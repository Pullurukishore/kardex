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guru\Downloads\"/>
    </mc:Choice>
  </mc:AlternateContent>
  <xr:revisionPtr revIDLastSave="0" documentId="13_ncr:1_{5C5B44A8-50F8-401D-98EA-310E76B030D0}" xr6:coauthVersionLast="47" xr6:coauthVersionMax="47" xr10:uidLastSave="{00000000-0000-0000-0000-000000000000}"/>
  <bookViews>
    <workbookView xWindow="-108" yWindow="-108" windowWidth="23256" windowHeight="12456" firstSheet="4" activeTab="4" xr2:uid="{629857D6-9D15-4B30-809E-D5B10D27E304}"/>
  </bookViews>
  <sheets>
    <sheet name="Jan -April 26" sheetId="6" state="hidden" r:id="rId1"/>
    <sheet name="Jan - May 26" sheetId="8" state="hidden" r:id="rId2"/>
    <sheet name="Jan - June 26" sheetId="11" state="hidden" r:id="rId3"/>
    <sheet name="Jan _ July 26" sheetId="12" state="hidden" r:id="rId4"/>
    <sheet name="AMC LIST 2026" sheetId="2" r:id="rId5"/>
    <sheet name="Jan -Aug 26" sheetId="13" state="hidden" r:id="rId6"/>
  </sheets>
  <definedNames>
    <definedName name="_xlnm._FilterDatabase" localSheetId="4" hidden="1">'AMC LIST 2026'!$A$6:$AH$698</definedName>
    <definedName name="_xlnm._FilterDatabase" localSheetId="2" hidden="1">'Jan - June 26'!$A$6:$AF$613</definedName>
    <definedName name="_xlnm._FilterDatabase" localSheetId="1" hidden="1">'Jan - May 26'!$A$6:$AF$574</definedName>
    <definedName name="_xlnm._FilterDatabase" localSheetId="3" hidden="1">'Jan _ July 26'!$A$6:$AH$645</definedName>
    <definedName name="_xlnm._FilterDatabase" localSheetId="0" hidden="1">'Jan -April 26'!$A$6:$AF$524</definedName>
    <definedName name="_xlnm._FilterDatabase" localSheetId="5" hidden="1">'Jan -Aug 26'!$A$6:$AH$679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  <c r="H3" i="2" s="1"/>
  <c r="I1" i="2"/>
  <c r="L1" i="2" s="1"/>
  <c r="J1" i="2"/>
  <c r="K1" i="2"/>
  <c r="H2" i="2"/>
  <c r="S2" i="2" a="1"/>
  <c r="S2" i="2"/>
  <c r="U2" i="2" a="1"/>
  <c r="U2" i="2" s="1"/>
  <c r="S3" i="2" a="1"/>
  <c r="S3" i="2"/>
  <c r="U3" i="2" a="1"/>
  <c r="U3" i="2"/>
  <c r="W3" i="2" a="1"/>
  <c r="W3" i="2"/>
  <c r="L4" i="2"/>
  <c r="W4" i="2" s="1" a="1"/>
  <c r="W4" i="2" s="1"/>
  <c r="S4" i="2" a="1"/>
  <c r="S4" i="2"/>
  <c r="U4" i="2" a="1"/>
  <c r="U4" i="2" s="1"/>
  <c r="Y698" i="2" a="1"/>
  <c r="Y698" i="2" s="1"/>
  <c r="W698" i="2" a="1"/>
  <c r="W698" i="2" s="1"/>
  <c r="U698" i="2" a="1"/>
  <c r="U698" i="2" s="1"/>
  <c r="S698" i="2" a="1"/>
  <c r="S698" i="2" s="1"/>
  <c r="K698" i="2"/>
  <c r="W697" i="2" a="1"/>
  <c r="W697" i="2"/>
  <c r="U697" i="2" a="1"/>
  <c r="U697" i="2" s="1"/>
  <c r="S697" i="2" a="1"/>
  <c r="S697" i="2" s="1"/>
  <c r="K697" i="2"/>
  <c r="W696" i="2" a="1"/>
  <c r="W696" i="2" s="1"/>
  <c r="U696" i="2" a="1"/>
  <c r="U696" i="2" s="1"/>
  <c r="S696" i="2" a="1"/>
  <c r="S696" i="2"/>
  <c r="K696" i="2"/>
  <c r="W695" i="2" a="1"/>
  <c r="W695" i="2" s="1"/>
  <c r="U695" i="2" a="1"/>
  <c r="U695" i="2" s="1"/>
  <c r="S695" i="2" a="1"/>
  <c r="S695" i="2" s="1"/>
  <c r="K695" i="2"/>
  <c r="U694" i="2" a="1"/>
  <c r="U694" i="2" s="1"/>
  <c r="S694" i="2" a="1"/>
  <c r="S694" i="2" s="1"/>
  <c r="U693" i="2" a="1"/>
  <c r="U693" i="2" s="1"/>
  <c r="S693" i="2" a="1"/>
  <c r="S693" i="2"/>
  <c r="U692" i="2" a="1"/>
  <c r="U692" i="2" s="1"/>
  <c r="S692" i="2" a="1"/>
  <c r="S692" i="2" s="1"/>
  <c r="I694" i="2"/>
  <c r="K694" i="2" s="1"/>
  <c r="I693" i="2"/>
  <c r="K693" i="2" s="1"/>
  <c r="I692" i="2"/>
  <c r="K692" i="2" s="1"/>
  <c r="K691" i="2"/>
  <c r="K690" i="2"/>
  <c r="K219" i="2"/>
  <c r="W689" i="2" a="1"/>
  <c r="W689" i="2" s="1"/>
  <c r="U689" i="2" a="1"/>
  <c r="U689" i="2" s="1"/>
  <c r="S689" i="2" a="1"/>
  <c r="S689" i="2" s="1"/>
  <c r="K689" i="2"/>
  <c r="W688" i="2" a="1"/>
  <c r="W688" i="2" s="1"/>
  <c r="U688" i="2" a="1"/>
  <c r="U688" i="2"/>
  <c r="S688" i="2" a="1"/>
  <c r="S688" i="2" s="1"/>
  <c r="K688" i="2"/>
  <c r="I3" i="13"/>
  <c r="K687" i="2"/>
  <c r="W687" i="2" a="1"/>
  <c r="W687" i="2" s="1"/>
  <c r="U687" i="2" a="1"/>
  <c r="U687" i="2" s="1"/>
  <c r="S687" i="2" a="1"/>
  <c r="S687" i="2" s="1"/>
  <c r="W686" i="2" a="1"/>
  <c r="W686" i="2" s="1"/>
  <c r="U686" i="2" a="1"/>
  <c r="U686" i="2" s="1"/>
  <c r="S686" i="2" a="1"/>
  <c r="S686" i="2" s="1"/>
  <c r="K686" i="2"/>
  <c r="K685" i="2"/>
  <c r="U685" i="2" a="1"/>
  <c r="U685" i="2" s="1"/>
  <c r="S685" i="2" a="1"/>
  <c r="S685" i="2" s="1"/>
  <c r="W684" i="2" a="1"/>
  <c r="W684" i="2" s="1"/>
  <c r="U684" i="2" a="1"/>
  <c r="U684" i="2" s="1"/>
  <c r="S684" i="2" a="1"/>
  <c r="S684" i="2" s="1"/>
  <c r="K581" i="2"/>
  <c r="U682" i="2" a="1"/>
  <c r="U682" i="2" s="1"/>
  <c r="S682" i="2" a="1"/>
  <c r="S682" i="2" s="1"/>
  <c r="K682" i="2"/>
  <c r="U680" i="2" a="1"/>
  <c r="U680" i="2" s="1"/>
  <c r="S680" i="2" a="1"/>
  <c r="S680" i="2" s="1"/>
  <c r="K680" i="2"/>
  <c r="W679" i="13" a="1"/>
  <c r="W679" i="13" s="1"/>
  <c r="U679" i="13" a="1"/>
  <c r="U679" i="13" s="1"/>
  <c r="S679" i="13" a="1"/>
  <c r="S679" i="13" s="1"/>
  <c r="K679" i="13"/>
  <c r="W678" i="13" a="1"/>
  <c r="W678" i="13" s="1"/>
  <c r="U678" i="13" a="1"/>
  <c r="U678" i="13" s="1"/>
  <c r="S678" i="13" a="1"/>
  <c r="S678" i="13" s="1"/>
  <c r="K678" i="13"/>
  <c r="K677" i="13"/>
  <c r="W676" i="13" a="1"/>
  <c r="W676" i="13" s="1"/>
  <c r="U676" i="13" a="1"/>
  <c r="U676" i="13" s="1"/>
  <c r="S676" i="13" a="1"/>
  <c r="S676" i="13" s="1"/>
  <c r="K676" i="13"/>
  <c r="W675" i="13" a="1"/>
  <c r="W675" i="13" s="1"/>
  <c r="U675" i="13" a="1"/>
  <c r="U675" i="13" s="1"/>
  <c r="S675" i="13" a="1"/>
  <c r="S675" i="13" s="1"/>
  <c r="K675" i="13"/>
  <c r="Y674" i="13" a="1"/>
  <c r="Y674" i="13" s="1"/>
  <c r="W674" i="13" a="1"/>
  <c r="W674" i="13" s="1"/>
  <c r="U674" i="13" a="1"/>
  <c r="U674" i="13" s="1"/>
  <c r="S674" i="13" a="1"/>
  <c r="S674" i="13" s="1"/>
  <c r="K674" i="13"/>
  <c r="Y673" i="13" a="1"/>
  <c r="Y673" i="13" s="1"/>
  <c r="W673" i="13" a="1"/>
  <c r="W673" i="13" s="1"/>
  <c r="U673" i="13" a="1"/>
  <c r="U673" i="13" s="1"/>
  <c r="S673" i="13" a="1"/>
  <c r="S673" i="13" s="1"/>
  <c r="K673" i="13"/>
  <c r="Y672" i="13" a="1"/>
  <c r="Y672" i="13" s="1"/>
  <c r="W672" i="13" a="1"/>
  <c r="W672" i="13" s="1"/>
  <c r="U672" i="13" a="1"/>
  <c r="U672" i="13" s="1"/>
  <c r="S672" i="13" a="1"/>
  <c r="S672" i="13" s="1"/>
  <c r="K672" i="13"/>
  <c r="W671" i="13" a="1"/>
  <c r="W671" i="13" s="1"/>
  <c r="U671" i="13" a="1"/>
  <c r="U671" i="13" s="1"/>
  <c r="S671" i="13" a="1"/>
  <c r="S671" i="13" s="1"/>
  <c r="K671" i="13"/>
  <c r="W670" i="13" a="1"/>
  <c r="W670" i="13" s="1"/>
  <c r="U670" i="13" a="1"/>
  <c r="U670" i="13" s="1"/>
  <c r="S670" i="13" a="1"/>
  <c r="S670" i="13" s="1"/>
  <c r="K670" i="13"/>
  <c r="U669" i="13" a="1"/>
  <c r="U669" i="13" s="1"/>
  <c r="S669" i="13" a="1"/>
  <c r="S669" i="13" s="1"/>
  <c r="K669" i="13"/>
  <c r="W668" i="13" a="1"/>
  <c r="W668" i="13" s="1"/>
  <c r="U668" i="13" a="1"/>
  <c r="U668" i="13" s="1"/>
  <c r="S668" i="13" a="1"/>
  <c r="S668" i="13" s="1"/>
  <c r="K668" i="13"/>
  <c r="W667" i="13" a="1"/>
  <c r="W667" i="13" s="1"/>
  <c r="U667" i="13" a="1"/>
  <c r="U667" i="13" s="1"/>
  <c r="S667" i="13" a="1"/>
  <c r="S667" i="13" s="1"/>
  <c r="K667" i="13"/>
  <c r="W666" i="13" a="1"/>
  <c r="W666" i="13" s="1"/>
  <c r="U666" i="13" a="1"/>
  <c r="U666" i="13" s="1"/>
  <c r="S666" i="13" a="1"/>
  <c r="S666" i="13" s="1"/>
  <c r="K666" i="13"/>
  <c r="W665" i="13" a="1"/>
  <c r="W665" i="13" s="1"/>
  <c r="U665" i="13" a="1"/>
  <c r="U665" i="13" s="1"/>
  <c r="S665" i="13" a="1"/>
  <c r="S665" i="13" s="1"/>
  <c r="K665" i="13"/>
  <c r="W664" i="13" a="1"/>
  <c r="W664" i="13" s="1"/>
  <c r="U664" i="13" a="1"/>
  <c r="U664" i="13" s="1"/>
  <c r="S664" i="13" a="1"/>
  <c r="S664" i="13" s="1"/>
  <c r="K664" i="13"/>
  <c r="U663" i="13" a="1"/>
  <c r="U663" i="13" s="1"/>
  <c r="S663" i="13" a="1"/>
  <c r="S663" i="13" s="1"/>
  <c r="K663" i="13"/>
  <c r="W662" i="13" a="1"/>
  <c r="W662" i="13" s="1"/>
  <c r="U662" i="13" a="1"/>
  <c r="U662" i="13" s="1"/>
  <c r="S662" i="13" a="1"/>
  <c r="S662" i="13" s="1"/>
  <c r="K662" i="13"/>
  <c r="W661" i="13" a="1"/>
  <c r="W661" i="13" s="1"/>
  <c r="U661" i="13" a="1"/>
  <c r="U661" i="13" s="1"/>
  <c r="S661" i="13" a="1"/>
  <c r="S661" i="13" s="1"/>
  <c r="K661" i="13"/>
  <c r="W660" i="13" a="1"/>
  <c r="W660" i="13" s="1"/>
  <c r="U660" i="13" a="1"/>
  <c r="U660" i="13" s="1"/>
  <c r="S660" i="13" a="1"/>
  <c r="S660" i="13" s="1"/>
  <c r="K660" i="13"/>
  <c r="W659" i="13" a="1"/>
  <c r="W659" i="13" s="1"/>
  <c r="U659" i="13" a="1"/>
  <c r="U659" i="13" s="1"/>
  <c r="S659" i="13" a="1"/>
  <c r="S659" i="13" s="1"/>
  <c r="K659" i="13"/>
  <c r="W658" i="13" a="1"/>
  <c r="W658" i="13" s="1"/>
  <c r="U658" i="13" a="1"/>
  <c r="U658" i="13" s="1"/>
  <c r="S658" i="13" a="1"/>
  <c r="S658" i="13" s="1"/>
  <c r="K658" i="13"/>
  <c r="U657" i="13" a="1"/>
  <c r="U657" i="13" s="1"/>
  <c r="S657" i="13" a="1"/>
  <c r="S657" i="13" s="1"/>
  <c r="K657" i="13"/>
  <c r="W656" i="13" a="1"/>
  <c r="W656" i="13" s="1"/>
  <c r="U656" i="13" a="1"/>
  <c r="U656" i="13" s="1"/>
  <c r="S656" i="13" a="1"/>
  <c r="S656" i="13" s="1"/>
  <c r="K656" i="13"/>
  <c r="Y655" i="13" a="1"/>
  <c r="Y655" i="13" s="1"/>
  <c r="W655" i="13" a="1"/>
  <c r="W655" i="13" s="1"/>
  <c r="U655" i="13" a="1"/>
  <c r="U655" i="13" s="1"/>
  <c r="S655" i="13" a="1"/>
  <c r="S655" i="13" s="1"/>
  <c r="K655" i="13"/>
  <c r="Y654" i="13" a="1"/>
  <c r="Y654" i="13" s="1"/>
  <c r="W654" i="13" a="1"/>
  <c r="W654" i="13" s="1"/>
  <c r="U654" i="13" a="1"/>
  <c r="U654" i="13" s="1"/>
  <c r="S654" i="13" a="1"/>
  <c r="S654" i="13" s="1"/>
  <c r="K654" i="13"/>
  <c r="Y653" i="13" a="1"/>
  <c r="Y653" i="13" s="1"/>
  <c r="W653" i="13" a="1"/>
  <c r="W653" i="13" s="1"/>
  <c r="U653" i="13" a="1"/>
  <c r="U653" i="13" s="1"/>
  <c r="S653" i="13" a="1"/>
  <c r="S653" i="13" s="1"/>
  <c r="K653" i="13"/>
  <c r="Y652" i="13" a="1"/>
  <c r="Y652" i="13" s="1"/>
  <c r="W652" i="13" a="1"/>
  <c r="W652" i="13" s="1"/>
  <c r="U652" i="13" a="1"/>
  <c r="U652" i="13" s="1"/>
  <c r="S652" i="13" a="1"/>
  <c r="S652" i="13" s="1"/>
  <c r="K652" i="13"/>
  <c r="Y651" i="13" a="1"/>
  <c r="Y651" i="13" s="1"/>
  <c r="W651" i="13" a="1"/>
  <c r="W651" i="13" s="1"/>
  <c r="U651" i="13" a="1"/>
  <c r="U651" i="13" s="1"/>
  <c r="S651" i="13" a="1"/>
  <c r="S651" i="13" s="1"/>
  <c r="K651" i="13"/>
  <c r="W650" i="13" a="1"/>
  <c r="W650" i="13" s="1"/>
  <c r="U650" i="13" a="1"/>
  <c r="U650" i="13" s="1"/>
  <c r="S650" i="13" a="1"/>
  <c r="S650" i="13" s="1"/>
  <c r="K650" i="13"/>
  <c r="Y649" i="13" a="1"/>
  <c r="Y649" i="13" s="1"/>
  <c r="W649" i="13" a="1"/>
  <c r="W649" i="13" s="1"/>
  <c r="U649" i="13" a="1"/>
  <c r="U649" i="13" s="1"/>
  <c r="S649" i="13" a="1"/>
  <c r="S649" i="13" s="1"/>
  <c r="K649" i="13"/>
  <c r="W648" i="13" a="1"/>
  <c r="W648" i="13" s="1"/>
  <c r="U648" i="13" a="1"/>
  <c r="U648" i="13" s="1"/>
  <c r="S648" i="13" a="1"/>
  <c r="S648" i="13" s="1"/>
  <c r="K648" i="13"/>
  <c r="U647" i="13" a="1"/>
  <c r="U647" i="13" s="1"/>
  <c r="S647" i="13" a="1"/>
  <c r="S647" i="13" s="1"/>
  <c r="K647" i="13"/>
  <c r="Y646" i="13" a="1"/>
  <c r="Y646" i="13" s="1"/>
  <c r="W646" i="13" a="1"/>
  <c r="W646" i="13" s="1"/>
  <c r="U646" i="13" a="1"/>
  <c r="U646" i="13" s="1"/>
  <c r="S646" i="13" a="1"/>
  <c r="S646" i="13" s="1"/>
  <c r="K646" i="13"/>
  <c r="Y645" i="13" a="1"/>
  <c r="Y645" i="13" s="1"/>
  <c r="W645" i="13" a="1"/>
  <c r="W645" i="13" s="1"/>
  <c r="U645" i="13" a="1"/>
  <c r="U645" i="13" s="1"/>
  <c r="S645" i="13" a="1"/>
  <c r="S645" i="13" s="1"/>
  <c r="K645" i="13"/>
  <c r="U644" i="13" a="1"/>
  <c r="U644" i="13" s="1"/>
  <c r="S644" i="13" a="1"/>
  <c r="S644" i="13" s="1"/>
  <c r="W643" i="13" a="1"/>
  <c r="W643" i="13" s="1"/>
  <c r="U643" i="13" a="1"/>
  <c r="U643" i="13" s="1"/>
  <c r="S643" i="13" a="1"/>
  <c r="S643" i="13" s="1"/>
  <c r="K643" i="13"/>
  <c r="W642" i="13" a="1"/>
  <c r="W642" i="13" s="1"/>
  <c r="U642" i="13" a="1"/>
  <c r="U642" i="13" s="1"/>
  <c r="S642" i="13" a="1"/>
  <c r="S642" i="13" s="1"/>
  <c r="K642" i="13"/>
  <c r="Y641" i="13" a="1"/>
  <c r="Y641" i="13" s="1"/>
  <c r="W641" i="13" a="1"/>
  <c r="W641" i="13" s="1"/>
  <c r="U641" i="13" a="1"/>
  <c r="U641" i="13" s="1"/>
  <c r="S641" i="13" a="1"/>
  <c r="S641" i="13" s="1"/>
  <c r="K641" i="13"/>
  <c r="U640" i="13" a="1"/>
  <c r="U640" i="13" s="1"/>
  <c r="S640" i="13" a="1"/>
  <c r="S640" i="13" s="1"/>
  <c r="K640" i="13"/>
  <c r="K639" i="13"/>
  <c r="W638" i="13" a="1"/>
  <c r="W638" i="13" s="1"/>
  <c r="U638" i="13" a="1"/>
  <c r="U638" i="13" s="1"/>
  <c r="S638" i="13" a="1"/>
  <c r="S638" i="13" s="1"/>
  <c r="K638" i="13"/>
  <c r="W637" i="13" a="1"/>
  <c r="W637" i="13" s="1"/>
  <c r="U637" i="13" a="1"/>
  <c r="U637" i="13" s="1"/>
  <c r="S637" i="13" a="1"/>
  <c r="S637" i="13" s="1"/>
  <c r="W636" i="13" a="1"/>
  <c r="W636" i="13" s="1"/>
  <c r="U636" i="13" a="1"/>
  <c r="U636" i="13" s="1"/>
  <c r="S636" i="13" a="1"/>
  <c r="S636" i="13" s="1"/>
  <c r="K636" i="13"/>
  <c r="W635" i="13" a="1"/>
  <c r="W635" i="13" s="1"/>
  <c r="U635" i="13" a="1"/>
  <c r="U635" i="13" s="1"/>
  <c r="S635" i="13" a="1"/>
  <c r="S635" i="13" s="1"/>
  <c r="K635" i="13"/>
  <c r="U634" i="13" a="1"/>
  <c r="U634" i="13" s="1"/>
  <c r="S634" i="13" a="1"/>
  <c r="S634" i="13" s="1"/>
  <c r="K634" i="13"/>
  <c r="U633" i="13" a="1"/>
  <c r="U633" i="13" s="1"/>
  <c r="S633" i="13" a="1"/>
  <c r="S633" i="13" s="1"/>
  <c r="K633" i="13"/>
  <c r="W632" i="13" a="1"/>
  <c r="W632" i="13" s="1"/>
  <c r="U632" i="13" a="1"/>
  <c r="U632" i="13" s="1"/>
  <c r="S632" i="13" a="1"/>
  <c r="S632" i="13" s="1"/>
  <c r="W631" i="13" a="1"/>
  <c r="W631" i="13" s="1"/>
  <c r="U631" i="13" a="1"/>
  <c r="U631" i="13" s="1"/>
  <c r="S631" i="13" a="1"/>
  <c r="S631" i="13" s="1"/>
  <c r="K631" i="13"/>
  <c r="W630" i="13" a="1"/>
  <c r="W630" i="13" s="1"/>
  <c r="U630" i="13" a="1"/>
  <c r="U630" i="13" s="1"/>
  <c r="S630" i="13" a="1"/>
  <c r="S630" i="13" s="1"/>
  <c r="K630" i="13"/>
  <c r="U629" i="13" a="1"/>
  <c r="U629" i="13" s="1"/>
  <c r="S629" i="13" a="1"/>
  <c r="S629" i="13" s="1"/>
  <c r="W628" i="13" a="1"/>
  <c r="W628" i="13" s="1"/>
  <c r="U628" i="13" a="1"/>
  <c r="U628" i="13" s="1"/>
  <c r="S628" i="13" a="1"/>
  <c r="S628" i="13" s="1"/>
  <c r="K628" i="13"/>
  <c r="Y627" i="13" a="1"/>
  <c r="Y627" i="13" s="1"/>
  <c r="W627" i="13" a="1"/>
  <c r="W627" i="13" s="1"/>
  <c r="U627" i="13" a="1"/>
  <c r="U627" i="13" s="1"/>
  <c r="S627" i="13" a="1"/>
  <c r="S627" i="13" s="1"/>
  <c r="K627" i="13"/>
  <c r="Y626" i="13" a="1"/>
  <c r="Y626" i="13" s="1"/>
  <c r="W626" i="13" a="1"/>
  <c r="W626" i="13" s="1"/>
  <c r="U626" i="13" a="1"/>
  <c r="U626" i="13" s="1"/>
  <c r="S626" i="13" a="1"/>
  <c r="S626" i="13" s="1"/>
  <c r="K626" i="13"/>
  <c r="W625" i="13" a="1"/>
  <c r="W625" i="13" s="1"/>
  <c r="U625" i="13" a="1"/>
  <c r="U625" i="13" s="1"/>
  <c r="S625" i="13" a="1"/>
  <c r="S625" i="13" s="1"/>
  <c r="K625" i="13"/>
  <c r="U624" i="13" a="1"/>
  <c r="U624" i="13" s="1"/>
  <c r="S624" i="13" a="1"/>
  <c r="S624" i="13" s="1"/>
  <c r="W623" i="13" a="1"/>
  <c r="W623" i="13" s="1"/>
  <c r="U623" i="13" a="1"/>
  <c r="U623" i="13" s="1"/>
  <c r="S623" i="13" a="1"/>
  <c r="S623" i="13" s="1"/>
  <c r="W622" i="13" a="1"/>
  <c r="W622" i="13" s="1"/>
  <c r="U622" i="13" a="1"/>
  <c r="U622" i="13" s="1"/>
  <c r="S622" i="13" a="1"/>
  <c r="S622" i="13" s="1"/>
  <c r="W621" i="13" a="1"/>
  <c r="W621" i="13" s="1"/>
  <c r="U621" i="13" a="1"/>
  <c r="U621" i="13" s="1"/>
  <c r="S621" i="13" a="1"/>
  <c r="S621" i="13" s="1"/>
  <c r="K621" i="13"/>
  <c r="U620" i="13" a="1"/>
  <c r="U620" i="13" s="1"/>
  <c r="S620" i="13" a="1"/>
  <c r="S620" i="13" s="1"/>
  <c r="K619" i="13"/>
  <c r="K618" i="13"/>
  <c r="K617" i="13"/>
  <c r="Y616" i="13" a="1"/>
  <c r="Y616" i="13" s="1"/>
  <c r="W616" i="13" a="1"/>
  <c r="W616" i="13" s="1"/>
  <c r="U616" i="13" a="1"/>
  <c r="U616" i="13" s="1"/>
  <c r="S616" i="13" a="1"/>
  <c r="S616" i="13" s="1"/>
  <c r="K616" i="13"/>
  <c r="U615" i="13" a="1"/>
  <c r="U615" i="13" s="1"/>
  <c r="S615" i="13" a="1"/>
  <c r="S615" i="13" s="1"/>
  <c r="K615" i="13"/>
  <c r="W614" i="13" a="1"/>
  <c r="W614" i="13" s="1"/>
  <c r="U614" i="13" a="1"/>
  <c r="U614" i="13" s="1"/>
  <c r="S614" i="13" a="1"/>
  <c r="S614" i="13" s="1"/>
  <c r="K614" i="13"/>
  <c r="W613" i="13" a="1"/>
  <c r="W613" i="13" s="1"/>
  <c r="U613" i="13" a="1"/>
  <c r="U613" i="13" s="1"/>
  <c r="S613" i="13" a="1"/>
  <c r="S613" i="13" s="1"/>
  <c r="K613" i="13"/>
  <c r="W612" i="13" a="1"/>
  <c r="W612" i="13" s="1"/>
  <c r="U612" i="13" a="1"/>
  <c r="U612" i="13" s="1"/>
  <c r="S612" i="13" a="1"/>
  <c r="S612" i="13" s="1"/>
  <c r="K612" i="13"/>
  <c r="Y611" i="13" a="1"/>
  <c r="Y611" i="13" s="1"/>
  <c r="W611" i="13" a="1"/>
  <c r="W611" i="13" s="1"/>
  <c r="U611" i="13" a="1"/>
  <c r="U611" i="13" s="1"/>
  <c r="S611" i="13" a="1"/>
  <c r="S611" i="13" s="1"/>
  <c r="K611" i="13"/>
  <c r="W610" i="13" a="1"/>
  <c r="W610" i="13" s="1"/>
  <c r="U610" i="13" a="1"/>
  <c r="U610" i="13" s="1"/>
  <c r="S610" i="13" a="1"/>
  <c r="S610" i="13" s="1"/>
  <c r="K610" i="13"/>
  <c r="U609" i="13" a="1"/>
  <c r="U609" i="13" s="1"/>
  <c r="S609" i="13" a="1"/>
  <c r="S609" i="13" s="1"/>
  <c r="K609" i="13"/>
  <c r="W608" i="13" a="1"/>
  <c r="W608" i="13" s="1"/>
  <c r="U608" i="13" a="1"/>
  <c r="U608" i="13" s="1"/>
  <c r="S608" i="13" a="1"/>
  <c r="S608" i="13" s="1"/>
  <c r="K608" i="13"/>
  <c r="U607" i="13" a="1"/>
  <c r="U607" i="13" s="1"/>
  <c r="S607" i="13" a="1"/>
  <c r="S607" i="13" s="1"/>
  <c r="K607" i="13"/>
  <c r="W606" i="13" a="1"/>
  <c r="W606" i="13" s="1"/>
  <c r="U606" i="13" a="1"/>
  <c r="U606" i="13" s="1"/>
  <c r="S606" i="13" a="1"/>
  <c r="S606" i="13" s="1"/>
  <c r="K606" i="13"/>
  <c r="W605" i="13" a="1"/>
  <c r="W605" i="13" s="1"/>
  <c r="U605" i="13" a="1"/>
  <c r="U605" i="13" s="1"/>
  <c r="S605" i="13" a="1"/>
  <c r="S605" i="13" s="1"/>
  <c r="K605" i="13"/>
  <c r="W604" i="13" a="1"/>
  <c r="W604" i="13" s="1"/>
  <c r="U604" i="13" a="1"/>
  <c r="U604" i="13" s="1"/>
  <c r="S604" i="13" a="1"/>
  <c r="S604" i="13" s="1"/>
  <c r="U603" i="13" a="1"/>
  <c r="U603" i="13" s="1"/>
  <c r="S603" i="13" a="1"/>
  <c r="S603" i="13" s="1"/>
  <c r="K603" i="13"/>
  <c r="K602" i="13"/>
  <c r="Y601" i="13" a="1"/>
  <c r="Y601" i="13" s="1"/>
  <c r="W601" i="13" a="1"/>
  <c r="W601" i="13" s="1"/>
  <c r="U601" i="13" a="1"/>
  <c r="U601" i="13" s="1"/>
  <c r="S601" i="13" a="1"/>
  <c r="S601" i="13" s="1"/>
  <c r="K601" i="13"/>
  <c r="W600" i="13" a="1"/>
  <c r="W600" i="13" s="1"/>
  <c r="U600" i="13" a="1"/>
  <c r="U600" i="13" s="1"/>
  <c r="S600" i="13" a="1"/>
  <c r="S600" i="13" s="1"/>
  <c r="W599" i="13" a="1"/>
  <c r="W599" i="13" s="1"/>
  <c r="U599" i="13" a="1"/>
  <c r="U599" i="13" s="1"/>
  <c r="S599" i="13" a="1"/>
  <c r="S599" i="13" s="1"/>
  <c r="K599" i="13"/>
  <c r="W598" i="13" a="1"/>
  <c r="W598" i="13" s="1"/>
  <c r="U598" i="13" a="1"/>
  <c r="U598" i="13" s="1"/>
  <c r="S598" i="13" a="1"/>
  <c r="S598" i="13" s="1"/>
  <c r="K598" i="13"/>
  <c r="W597" i="13" a="1"/>
  <c r="W597" i="13" s="1"/>
  <c r="U597" i="13" a="1"/>
  <c r="U597" i="13" s="1"/>
  <c r="S597" i="13" a="1"/>
  <c r="S597" i="13" s="1"/>
  <c r="K597" i="13"/>
  <c r="W596" i="13" a="1"/>
  <c r="W596" i="13" s="1"/>
  <c r="U596" i="13" a="1"/>
  <c r="U596" i="13" s="1"/>
  <c r="S596" i="13" a="1"/>
  <c r="S596" i="13" s="1"/>
  <c r="K596" i="13"/>
  <c r="U595" i="13" a="1"/>
  <c r="U595" i="13" s="1"/>
  <c r="S595" i="13" a="1"/>
  <c r="S595" i="13" s="1"/>
  <c r="K595" i="13"/>
  <c r="U594" i="13" a="1"/>
  <c r="U594" i="13" s="1"/>
  <c r="S594" i="13" a="1"/>
  <c r="S594" i="13" s="1"/>
  <c r="K594" i="13"/>
  <c r="U593" i="13" a="1"/>
  <c r="U593" i="13" s="1"/>
  <c r="S593" i="13" a="1"/>
  <c r="S593" i="13" s="1"/>
  <c r="W592" i="13" a="1"/>
  <c r="W592" i="13" s="1"/>
  <c r="U592" i="13" a="1"/>
  <c r="U592" i="13" s="1"/>
  <c r="S592" i="13" a="1"/>
  <c r="S592" i="13" s="1"/>
  <c r="K592" i="13"/>
  <c r="U591" i="13" a="1"/>
  <c r="U591" i="13" s="1"/>
  <c r="S591" i="13" a="1"/>
  <c r="S591" i="13" s="1"/>
  <c r="K591" i="13"/>
  <c r="U590" i="13" a="1"/>
  <c r="U590" i="13" s="1"/>
  <c r="S590" i="13" a="1"/>
  <c r="S590" i="13" s="1"/>
  <c r="K590" i="13"/>
  <c r="W589" i="13" a="1"/>
  <c r="W589" i="13" s="1"/>
  <c r="U589" i="13" a="1"/>
  <c r="U589" i="13" s="1"/>
  <c r="S589" i="13" a="1"/>
  <c r="S589" i="13" s="1"/>
  <c r="K589" i="13"/>
  <c r="W588" i="13" a="1"/>
  <c r="W588" i="13" s="1"/>
  <c r="U588" i="13" a="1"/>
  <c r="U588" i="13" s="1"/>
  <c r="S588" i="13" a="1"/>
  <c r="S588" i="13" s="1"/>
  <c r="K588" i="13"/>
  <c r="W587" i="13" a="1"/>
  <c r="W587" i="13" s="1"/>
  <c r="U587" i="13" a="1"/>
  <c r="U587" i="13" s="1"/>
  <c r="S587" i="13" a="1"/>
  <c r="S587" i="13" s="1"/>
  <c r="K587" i="13"/>
  <c r="W586" i="13" a="1"/>
  <c r="W586" i="13" s="1"/>
  <c r="U586" i="13" a="1"/>
  <c r="U586" i="13" s="1"/>
  <c r="S586" i="13" a="1"/>
  <c r="S586" i="13" s="1"/>
  <c r="I586" i="13"/>
  <c r="K586" i="13" s="1"/>
  <c r="K585" i="13"/>
  <c r="W584" i="13" a="1"/>
  <c r="W584" i="13" s="1"/>
  <c r="U584" i="13" a="1"/>
  <c r="U584" i="13" s="1"/>
  <c r="S584" i="13" a="1"/>
  <c r="S584" i="13" s="1"/>
  <c r="K584" i="13"/>
  <c r="U583" i="13" a="1"/>
  <c r="U583" i="13" s="1"/>
  <c r="S583" i="13" a="1"/>
  <c r="S583" i="13" s="1"/>
  <c r="K583" i="13"/>
  <c r="U582" i="13" a="1"/>
  <c r="U582" i="13" s="1"/>
  <c r="S582" i="13" a="1"/>
  <c r="S582" i="13" s="1"/>
  <c r="K582" i="13"/>
  <c r="W581" i="13" a="1"/>
  <c r="W581" i="13" s="1"/>
  <c r="U581" i="13" a="1"/>
  <c r="U581" i="13" s="1"/>
  <c r="S581" i="13" a="1"/>
  <c r="S581" i="13" s="1"/>
  <c r="K581" i="13"/>
  <c r="W580" i="13" a="1"/>
  <c r="W580" i="13" s="1"/>
  <c r="U580" i="13" a="1"/>
  <c r="U580" i="13" s="1"/>
  <c r="S580" i="13" a="1"/>
  <c r="S580" i="13" s="1"/>
  <c r="K580" i="13"/>
  <c r="W579" i="13" a="1"/>
  <c r="W579" i="13" s="1"/>
  <c r="U579" i="13" a="1"/>
  <c r="U579" i="13" s="1"/>
  <c r="S579" i="13" a="1"/>
  <c r="S579" i="13" s="1"/>
  <c r="K579" i="13"/>
  <c r="W578" i="13" a="1"/>
  <c r="W578" i="13" s="1"/>
  <c r="U578" i="13" a="1"/>
  <c r="U578" i="13" s="1"/>
  <c r="S578" i="13" a="1"/>
  <c r="S578" i="13" s="1"/>
  <c r="I578" i="13"/>
  <c r="W577" i="13" a="1"/>
  <c r="W577" i="13" s="1"/>
  <c r="U577" i="13" a="1"/>
  <c r="U577" i="13" s="1"/>
  <c r="S577" i="13" a="1"/>
  <c r="S577" i="13" s="1"/>
  <c r="W576" i="13" a="1"/>
  <c r="W576" i="13" s="1"/>
  <c r="U576" i="13" a="1"/>
  <c r="U576" i="13" s="1"/>
  <c r="S576" i="13" a="1"/>
  <c r="S576" i="13" s="1"/>
  <c r="U575" i="13" a="1"/>
  <c r="U575" i="13" s="1"/>
  <c r="S575" i="13" a="1"/>
  <c r="S575" i="13" s="1"/>
  <c r="K575" i="13"/>
  <c r="W574" i="13" a="1"/>
  <c r="W574" i="13" s="1"/>
  <c r="U574" i="13" a="1"/>
  <c r="U574" i="13" s="1"/>
  <c r="S574" i="13" a="1"/>
  <c r="S574" i="13" s="1"/>
  <c r="I574" i="13"/>
  <c r="K574" i="13" s="1"/>
  <c r="W573" i="13" a="1"/>
  <c r="W573" i="13" s="1"/>
  <c r="U573" i="13" a="1"/>
  <c r="U573" i="13" s="1"/>
  <c r="S573" i="13" a="1"/>
  <c r="S573" i="13" s="1"/>
  <c r="K573" i="13"/>
  <c r="W572" i="13" a="1"/>
  <c r="W572" i="13" s="1"/>
  <c r="U572" i="13" a="1"/>
  <c r="U572" i="13" s="1"/>
  <c r="S572" i="13" a="1"/>
  <c r="S572" i="13" s="1"/>
  <c r="K572" i="13"/>
  <c r="W571" i="13" a="1"/>
  <c r="W571" i="13" s="1"/>
  <c r="U571" i="13" a="1"/>
  <c r="U571" i="13" s="1"/>
  <c r="S571" i="13" a="1"/>
  <c r="S571" i="13" s="1"/>
  <c r="I571" i="13"/>
  <c r="K571" i="13" s="1"/>
  <c r="W570" i="13" a="1"/>
  <c r="W570" i="13" s="1"/>
  <c r="U570" i="13" a="1"/>
  <c r="U570" i="13" s="1"/>
  <c r="S570" i="13" a="1"/>
  <c r="S570" i="13" s="1"/>
  <c r="I570" i="13"/>
  <c r="K570" i="13" s="1"/>
  <c r="W569" i="13" a="1"/>
  <c r="W569" i="13" s="1"/>
  <c r="U569" i="13" a="1"/>
  <c r="U569" i="13" s="1"/>
  <c r="S569" i="13" a="1"/>
  <c r="S569" i="13" s="1"/>
  <c r="I569" i="13"/>
  <c r="K569" i="13" s="1"/>
  <c r="K568" i="13"/>
  <c r="K567" i="13"/>
  <c r="K566" i="13"/>
  <c r="K565" i="13"/>
  <c r="K564" i="13"/>
  <c r="K561" i="13"/>
  <c r="K560" i="13"/>
  <c r="K559" i="13"/>
  <c r="K558" i="13"/>
  <c r="K557" i="13"/>
  <c r="K556" i="13"/>
  <c r="K555" i="13"/>
  <c r="K554" i="13"/>
  <c r="K553" i="13"/>
  <c r="K552" i="13"/>
  <c r="K551" i="13"/>
  <c r="K550" i="13"/>
  <c r="K549" i="13"/>
  <c r="K547" i="13"/>
  <c r="K546" i="13"/>
  <c r="K545" i="13"/>
  <c r="K544" i="13"/>
  <c r="K543" i="13"/>
  <c r="K542" i="13"/>
  <c r="K541" i="13"/>
  <c r="K540" i="13"/>
  <c r="K539" i="13"/>
  <c r="K538" i="13"/>
  <c r="K537" i="13"/>
  <c r="K536" i="13"/>
  <c r="K534" i="13"/>
  <c r="K533" i="13"/>
  <c r="K532" i="13"/>
  <c r="K531" i="13"/>
  <c r="K530" i="13"/>
  <c r="K529" i="13"/>
  <c r="K528" i="13"/>
  <c r="K527" i="13"/>
  <c r="K526" i="13"/>
  <c r="K525" i="13"/>
  <c r="K524" i="13"/>
  <c r="K523" i="13"/>
  <c r="K522" i="13"/>
  <c r="K521" i="13"/>
  <c r="K520" i="13"/>
  <c r="K519" i="13"/>
  <c r="K518" i="13"/>
  <c r="K517" i="13"/>
  <c r="K516" i="13"/>
  <c r="K514" i="13"/>
  <c r="Y513" i="13" a="1"/>
  <c r="Y513" i="13" s="1"/>
  <c r="W513" i="13" a="1"/>
  <c r="W513" i="13" s="1"/>
  <c r="U513" i="13" a="1"/>
  <c r="U513" i="13" s="1"/>
  <c r="S513" i="13" a="1"/>
  <c r="S513" i="13" s="1"/>
  <c r="K513" i="13"/>
  <c r="K512" i="13"/>
  <c r="K511" i="13"/>
  <c r="K510" i="13"/>
  <c r="K509" i="13"/>
  <c r="K508" i="13"/>
  <c r="K507" i="13"/>
  <c r="K506" i="13"/>
  <c r="K505" i="13"/>
  <c r="K504" i="13"/>
  <c r="K503" i="13"/>
  <c r="K502" i="13"/>
  <c r="K501" i="13"/>
  <c r="K500" i="13"/>
  <c r="K499" i="13"/>
  <c r="K498" i="13"/>
  <c r="K497" i="13"/>
  <c r="K496" i="13"/>
  <c r="K495" i="13"/>
  <c r="K494" i="13"/>
  <c r="K493" i="13"/>
  <c r="K492" i="13"/>
  <c r="K491" i="13"/>
  <c r="K490" i="13"/>
  <c r="K489" i="13"/>
  <c r="K488" i="13"/>
  <c r="K486" i="13"/>
  <c r="K485" i="13"/>
  <c r="K484" i="13"/>
  <c r="K483" i="13"/>
  <c r="K482" i="13"/>
  <c r="K481" i="13"/>
  <c r="K480" i="13"/>
  <c r="K479" i="13"/>
  <c r="K478" i="13"/>
  <c r="K477" i="13"/>
  <c r="K476" i="13"/>
  <c r="K475" i="13"/>
  <c r="K474" i="13"/>
  <c r="K473" i="13"/>
  <c r="K472" i="13"/>
  <c r="K471" i="13"/>
  <c r="K470" i="13"/>
  <c r="K469" i="13"/>
  <c r="K468" i="13"/>
  <c r="K467" i="13"/>
  <c r="K466" i="13"/>
  <c r="K465" i="13"/>
  <c r="K464" i="13"/>
  <c r="K463" i="13"/>
  <c r="K462" i="13"/>
  <c r="K461" i="13"/>
  <c r="K460" i="13"/>
  <c r="K459" i="13"/>
  <c r="K458" i="13"/>
  <c r="K457" i="13"/>
  <c r="K456" i="13"/>
  <c r="K455" i="13"/>
  <c r="K454" i="13"/>
  <c r="K453" i="13"/>
  <c r="K452" i="13"/>
  <c r="K451" i="13"/>
  <c r="K450" i="13"/>
  <c r="K449" i="13"/>
  <c r="K448" i="13"/>
  <c r="K447" i="13"/>
  <c r="K446" i="13"/>
  <c r="K445" i="13"/>
  <c r="K444" i="13"/>
  <c r="K443" i="13"/>
  <c r="K442" i="13"/>
  <c r="K441" i="13"/>
  <c r="K440" i="13"/>
  <c r="K438" i="13"/>
  <c r="K437" i="13"/>
  <c r="K436" i="13"/>
  <c r="K435" i="13"/>
  <c r="K434" i="13"/>
  <c r="K433" i="13"/>
  <c r="K432" i="13"/>
  <c r="K431" i="13"/>
  <c r="K430" i="13"/>
  <c r="K429" i="13"/>
  <c r="K428" i="13"/>
  <c r="K427" i="13"/>
  <c r="K426" i="13"/>
  <c r="K425" i="13"/>
  <c r="K424" i="13"/>
  <c r="K423" i="13"/>
  <c r="I422" i="13"/>
  <c r="K422" i="13" s="1"/>
  <c r="I421" i="13"/>
  <c r="K421" i="13" s="1"/>
  <c r="I420" i="13"/>
  <c r="K420" i="13" s="1"/>
  <c r="I419" i="13"/>
  <c r="K419" i="13" s="1"/>
  <c r="K418" i="13"/>
  <c r="K417" i="13"/>
  <c r="K416" i="13"/>
  <c r="K415" i="13"/>
  <c r="K414" i="13"/>
  <c r="K413" i="13"/>
  <c r="K412" i="13"/>
  <c r="K411" i="13"/>
  <c r="K410" i="13"/>
  <c r="K409" i="13"/>
  <c r="K408" i="13"/>
  <c r="K407" i="13"/>
  <c r="K406" i="13"/>
  <c r="K405" i="13"/>
  <c r="K404" i="13"/>
  <c r="K403" i="13"/>
  <c r="K402" i="13"/>
  <c r="K401" i="13"/>
  <c r="K400" i="13"/>
  <c r="K399" i="13"/>
  <c r="K395" i="13"/>
  <c r="K394" i="13"/>
  <c r="I393" i="13"/>
  <c r="K393" i="13" s="1"/>
  <c r="I392" i="13"/>
  <c r="K392" i="13" s="1"/>
  <c r="K391" i="13"/>
  <c r="K390" i="13"/>
  <c r="K387" i="13"/>
  <c r="K386" i="13"/>
  <c r="K385" i="13"/>
  <c r="K384" i="13"/>
  <c r="K383" i="13"/>
  <c r="K382" i="13"/>
  <c r="K381" i="13"/>
  <c r="K380" i="13"/>
  <c r="K379" i="13"/>
  <c r="K378" i="13"/>
  <c r="K377" i="13"/>
  <c r="K376" i="13"/>
  <c r="K375" i="13"/>
  <c r="K374" i="13"/>
  <c r="K373" i="13"/>
  <c r="K372" i="13"/>
  <c r="K371" i="13"/>
  <c r="K370" i="13"/>
  <c r="K369" i="13"/>
  <c r="K368" i="13"/>
  <c r="K367" i="13"/>
  <c r="K366" i="13"/>
  <c r="K365" i="13"/>
  <c r="K363" i="13"/>
  <c r="K362" i="13"/>
  <c r="K361" i="13"/>
  <c r="K360" i="13"/>
  <c r="K359" i="13"/>
  <c r="K358" i="13"/>
  <c r="K357" i="13"/>
  <c r="K356" i="13"/>
  <c r="K355" i="13"/>
  <c r="K354" i="13"/>
  <c r="K353" i="13"/>
  <c r="K352" i="13"/>
  <c r="K351" i="13"/>
  <c r="K350" i="13"/>
  <c r="K349" i="13"/>
  <c r="K348" i="13"/>
  <c r="K347" i="13"/>
  <c r="K346" i="13"/>
  <c r="K345" i="13"/>
  <c r="K344" i="13"/>
  <c r="K342" i="13"/>
  <c r="K341" i="13"/>
  <c r="K340" i="13"/>
  <c r="K339" i="13"/>
  <c r="K338" i="13"/>
  <c r="K337" i="13"/>
  <c r="K336" i="13"/>
  <c r="K335" i="13"/>
  <c r="K334" i="13"/>
  <c r="K333" i="13"/>
  <c r="K332" i="13"/>
  <c r="K331" i="13"/>
  <c r="K330" i="13"/>
  <c r="K329" i="13"/>
  <c r="K328" i="13"/>
  <c r="K327" i="13"/>
  <c r="K325" i="13"/>
  <c r="I323" i="13"/>
  <c r="K323" i="13" s="1"/>
  <c r="K322" i="13"/>
  <c r="K321" i="13"/>
  <c r="K320" i="13"/>
  <c r="K319" i="13"/>
  <c r="K318" i="13"/>
  <c r="K317" i="13"/>
  <c r="K316" i="13"/>
  <c r="K315" i="13"/>
  <c r="K314" i="13"/>
  <c r="K313" i="13"/>
  <c r="K312" i="13"/>
  <c r="K311" i="13"/>
  <c r="K310" i="13"/>
  <c r="K309" i="13"/>
  <c r="K308" i="13"/>
  <c r="K307" i="13"/>
  <c r="K306" i="13"/>
  <c r="K305" i="13"/>
  <c r="K303" i="13"/>
  <c r="K302" i="13"/>
  <c r="I301" i="13"/>
  <c r="K301" i="13" s="1"/>
  <c r="I300" i="13"/>
  <c r="K300" i="13" s="1"/>
  <c r="I299" i="13"/>
  <c r="K299" i="13" s="1"/>
  <c r="K298" i="13"/>
  <c r="K297" i="13"/>
  <c r="K296" i="13"/>
  <c r="I295" i="13"/>
  <c r="K295" i="13" s="1"/>
  <c r="I294" i="13"/>
  <c r="K294" i="13" s="1"/>
  <c r="I293" i="13"/>
  <c r="K293" i="13" s="1"/>
  <c r="I292" i="13"/>
  <c r="K292" i="13" s="1"/>
  <c r="K291" i="13"/>
  <c r="K290" i="13"/>
  <c r="K289" i="13"/>
  <c r="K288" i="13"/>
  <c r="K287" i="13"/>
  <c r="K286" i="13"/>
  <c r="K285" i="13"/>
  <c r="K284" i="13"/>
  <c r="K283" i="13"/>
  <c r="K282" i="13"/>
  <c r="K280" i="13"/>
  <c r="I279" i="13"/>
  <c r="K279" i="13" s="1"/>
  <c r="K278" i="13"/>
  <c r="K277" i="13"/>
  <c r="K275" i="13"/>
  <c r="I274" i="13"/>
  <c r="K274" i="13" s="1"/>
  <c r="K273" i="13"/>
  <c r="I272" i="13"/>
  <c r="K272" i="13" s="1"/>
  <c r="I271" i="13"/>
  <c r="K271" i="13" s="1"/>
  <c r="K270" i="13"/>
  <c r="K269" i="13"/>
  <c r="K268" i="13"/>
  <c r="K267" i="13"/>
  <c r="K266" i="13"/>
  <c r="K265" i="13"/>
  <c r="K264" i="13"/>
  <c r="K263" i="13"/>
  <c r="K262" i="13"/>
  <c r="K261" i="13"/>
  <c r="K260" i="13"/>
  <c r="K259" i="13"/>
  <c r="K258" i="13"/>
  <c r="K257" i="13"/>
  <c r="I256" i="13"/>
  <c r="K256" i="13" s="1"/>
  <c r="I255" i="13"/>
  <c r="K255" i="13" s="1"/>
  <c r="I254" i="13"/>
  <c r="K254" i="13" s="1"/>
  <c r="K253" i="13"/>
  <c r="K252" i="13"/>
  <c r="K250" i="13"/>
  <c r="K249" i="13"/>
  <c r="K248" i="13"/>
  <c r="K247" i="13"/>
  <c r="K246" i="13"/>
  <c r="I245" i="13"/>
  <c r="K245" i="13" s="1"/>
  <c r="I244" i="13"/>
  <c r="K244" i="13" s="1"/>
  <c r="I243" i="13"/>
  <c r="K243" i="13" s="1"/>
  <c r="K242" i="13"/>
  <c r="K241" i="13"/>
  <c r="K240" i="13"/>
  <c r="K239" i="13"/>
  <c r="K238" i="13"/>
  <c r="K237" i="13"/>
  <c r="K236" i="13"/>
  <c r="K235" i="13"/>
  <c r="K234" i="13"/>
  <c r="K233" i="13"/>
  <c r="K232" i="13"/>
  <c r="K231" i="13"/>
  <c r="K230" i="13"/>
  <c r="K229" i="13"/>
  <c r="K228" i="13"/>
  <c r="K227" i="13"/>
  <c r="K226" i="13"/>
  <c r="K225" i="13"/>
  <c r="K222" i="13"/>
  <c r="K221" i="13"/>
  <c r="K219" i="13"/>
  <c r="K218" i="13"/>
  <c r="I217" i="13"/>
  <c r="K216" i="13"/>
  <c r="K215" i="13"/>
  <c r="K214" i="13"/>
  <c r="K213" i="13"/>
  <c r="K212" i="13"/>
  <c r="K211" i="13"/>
  <c r="K210" i="13"/>
  <c r="K209" i="13"/>
  <c r="K207" i="13"/>
  <c r="I206" i="13"/>
  <c r="K206" i="13" s="1"/>
  <c r="K205" i="13"/>
  <c r="I204" i="13"/>
  <c r="K204" i="13" s="1"/>
  <c r="K203" i="13"/>
  <c r="K202" i="13"/>
  <c r="K201" i="13"/>
  <c r="K200" i="13"/>
  <c r="I199" i="13"/>
  <c r="K199" i="13" s="1"/>
  <c r="I198" i="13"/>
  <c r="K198" i="13" s="1"/>
  <c r="I197" i="13"/>
  <c r="K197" i="13" s="1"/>
  <c r="I195" i="13"/>
  <c r="K193" i="13"/>
  <c r="K192" i="13"/>
  <c r="K191" i="13"/>
  <c r="K190" i="13"/>
  <c r="K189" i="13"/>
  <c r="K188" i="13"/>
  <c r="K187" i="13"/>
  <c r="K186" i="13"/>
  <c r="K185" i="13"/>
  <c r="K184" i="13"/>
  <c r="K183" i="13"/>
  <c r="K181" i="13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I133" i="13"/>
  <c r="K133" i="13" s="1"/>
  <c r="I132" i="13"/>
  <c r="K132" i="13" s="1"/>
  <c r="K131" i="13"/>
  <c r="K130" i="13"/>
  <c r="K129" i="13"/>
  <c r="K128" i="13"/>
  <c r="K127" i="13"/>
  <c r="K126" i="13"/>
  <c r="K125" i="13"/>
  <c r="K124" i="13"/>
  <c r="I123" i="13"/>
  <c r="K123" i="13" s="1"/>
  <c r="I122" i="13"/>
  <c r="K122" i="13" s="1"/>
  <c r="K121" i="13"/>
  <c r="K120" i="13"/>
  <c r="K119" i="13"/>
  <c r="K118" i="13"/>
  <c r="K117" i="13"/>
  <c r="K116" i="13"/>
  <c r="K115" i="13"/>
  <c r="K114" i="13"/>
  <c r="K113" i="13"/>
  <c r="K112" i="13"/>
  <c r="K111" i="13"/>
  <c r="I110" i="13"/>
  <c r="K110" i="13" s="1"/>
  <c r="K109" i="13"/>
  <c r="K108" i="13"/>
  <c r="K107" i="13"/>
  <c r="K106" i="13"/>
  <c r="K105" i="13"/>
  <c r="K104" i="13"/>
  <c r="K103" i="13"/>
  <c r="K102" i="13"/>
  <c r="K101" i="13"/>
  <c r="K100" i="13"/>
  <c r="K99" i="13"/>
  <c r="I98" i="13"/>
  <c r="I97" i="13"/>
  <c r="I96" i="13"/>
  <c r="K96" i="13" s="1"/>
  <c r="K95" i="13"/>
  <c r="K94" i="13"/>
  <c r="I93" i="13"/>
  <c r="K93" i="13" s="1"/>
  <c r="I92" i="13"/>
  <c r="K92" i="13" s="1"/>
  <c r="K91" i="13"/>
  <c r="I90" i="13"/>
  <c r="K90" i="13" s="1"/>
  <c r="I89" i="13"/>
  <c r="K89" i="13" s="1"/>
  <c r="I88" i="13"/>
  <c r="K88" i="13" s="1"/>
  <c r="I87" i="13"/>
  <c r="K87" i="13" s="1"/>
  <c r="K86" i="13"/>
  <c r="K85" i="13"/>
  <c r="K84" i="13"/>
  <c r="AG83" i="13"/>
  <c r="K83" i="13"/>
  <c r="K82" i="13"/>
  <c r="I81" i="13"/>
  <c r="K81" i="13" s="1"/>
  <c r="I80" i="13"/>
  <c r="K80" i="13" s="1"/>
  <c r="I79" i="13"/>
  <c r="K79" i="13" s="1"/>
  <c r="I78" i="13"/>
  <c r="K78" i="13" s="1"/>
  <c r="I77" i="13"/>
  <c r="K77" i="13" s="1"/>
  <c r="I76" i="13"/>
  <c r="K76" i="13" s="1"/>
  <c r="K75" i="13"/>
  <c r="I74" i="13"/>
  <c r="K74" i="13" s="1"/>
  <c r="I73" i="13"/>
  <c r="K73" i="13" s="1"/>
  <c r="I72" i="13"/>
  <c r="K72" i="13" s="1"/>
  <c r="I71" i="13"/>
  <c r="K71" i="13" s="1"/>
  <c r="I70" i="13"/>
  <c r="K70" i="13" s="1"/>
  <c r="I69" i="13"/>
  <c r="K69" i="13" s="1"/>
  <c r="I68" i="13"/>
  <c r="K68" i="13" s="1"/>
  <c r="I67" i="13"/>
  <c r="K67" i="13" s="1"/>
  <c r="I66" i="13"/>
  <c r="K66" i="13" s="1"/>
  <c r="I65" i="13"/>
  <c r="K65" i="13" s="1"/>
  <c r="I64" i="13"/>
  <c r="K64" i="13" s="1"/>
  <c r="I63" i="13"/>
  <c r="K63" i="13" s="1"/>
  <c r="I62" i="13"/>
  <c r="K62" i="13" s="1"/>
  <c r="I61" i="13"/>
  <c r="K61" i="13" s="1"/>
  <c r="I60" i="13"/>
  <c r="K60" i="13" s="1"/>
  <c r="I59" i="13"/>
  <c r="K59" i="13" s="1"/>
  <c r="K58" i="13"/>
  <c r="K57" i="13"/>
  <c r="K56" i="13"/>
  <c r="K55" i="13"/>
  <c r="K54" i="13"/>
  <c r="I53" i="13"/>
  <c r="K53" i="13" s="1"/>
  <c r="I52" i="13"/>
  <c r="K52" i="13" s="1"/>
  <c r="I51" i="13"/>
  <c r="K51" i="13" s="1"/>
  <c r="I50" i="13"/>
  <c r="K50" i="13" s="1"/>
  <c r="K49" i="13"/>
  <c r="K48" i="13"/>
  <c r="K47" i="13"/>
  <c r="K46" i="13"/>
  <c r="I45" i="13"/>
  <c r="K45" i="13" s="1"/>
  <c r="I44" i="13"/>
  <c r="K44" i="13" s="1"/>
  <c r="I43" i="13"/>
  <c r="K43" i="13" s="1"/>
  <c r="K42" i="13"/>
  <c r="I41" i="13"/>
  <c r="K41" i="13" s="1"/>
  <c r="I40" i="13"/>
  <c r="K40" i="13" s="1"/>
  <c r="I39" i="13"/>
  <c r="K39" i="13" s="1"/>
  <c r="AG38" i="13"/>
  <c r="K38" i="13"/>
  <c r="AG37" i="13"/>
  <c r="K37" i="13"/>
  <c r="K36" i="13"/>
  <c r="K35" i="13"/>
  <c r="K34" i="13"/>
  <c r="I33" i="13"/>
  <c r="K33" i="13" s="1"/>
  <c r="I32" i="13"/>
  <c r="K32" i="13" s="1"/>
  <c r="I31" i="13"/>
  <c r="K31" i="13" s="1"/>
  <c r="I30" i="13"/>
  <c r="K30" i="13" s="1"/>
  <c r="I29" i="13"/>
  <c r="K29" i="13" s="1"/>
  <c r="I28" i="13"/>
  <c r="K28" i="13" s="1"/>
  <c r="I27" i="13"/>
  <c r="K27" i="13" s="1"/>
  <c r="I26" i="13"/>
  <c r="K26" i="13" s="1"/>
  <c r="K25" i="13"/>
  <c r="K24" i="13"/>
  <c r="K23" i="13"/>
  <c r="K22" i="13"/>
  <c r="K21" i="13"/>
  <c r="K20" i="13"/>
  <c r="K19" i="13"/>
  <c r="K18" i="13"/>
  <c r="I17" i="13"/>
  <c r="K17" i="13" s="1"/>
  <c r="I16" i="13"/>
  <c r="K16" i="13" s="1"/>
  <c r="I15" i="13"/>
  <c r="K15" i="13" s="1"/>
  <c r="K14" i="13"/>
  <c r="K13" i="13"/>
  <c r="K12" i="13"/>
  <c r="K11" i="13"/>
  <c r="K10" i="13"/>
  <c r="K9" i="13"/>
  <c r="K8" i="13"/>
  <c r="K7" i="13"/>
  <c r="Y4" i="13" a="1"/>
  <c r="Y4" i="13" s="1"/>
  <c r="W4" i="13" a="1"/>
  <c r="W4" i="13" s="1"/>
  <c r="U4" i="13" a="1"/>
  <c r="U4" i="13" s="1"/>
  <c r="S4" i="13" a="1"/>
  <c r="S4" i="13" s="1"/>
  <c r="W3" i="13" a="1"/>
  <c r="W3" i="13" s="1"/>
  <c r="U3" i="13" a="1"/>
  <c r="U3" i="13" s="1"/>
  <c r="S3" i="13" a="1"/>
  <c r="S3" i="13" s="1"/>
  <c r="U2" i="13" a="1"/>
  <c r="U2" i="13" s="1"/>
  <c r="S2" i="13" a="1"/>
  <c r="S2" i="13" s="1"/>
  <c r="H2" i="13"/>
  <c r="L1" i="13"/>
  <c r="J1" i="13"/>
  <c r="K1" i="13" s="1"/>
  <c r="N1" i="13" s="1"/>
  <c r="H1" i="13"/>
  <c r="K679" i="2"/>
  <c r="W679" i="2" a="1"/>
  <c r="W679" i="2" s="1"/>
  <c r="U679" i="2" a="1"/>
  <c r="U679" i="2" s="1"/>
  <c r="S679" i="2" a="1"/>
  <c r="S679" i="2" s="1"/>
  <c r="W678" i="2" a="1"/>
  <c r="W678" i="2" s="1"/>
  <c r="U678" i="2" a="1"/>
  <c r="U678" i="2" s="1"/>
  <c r="S678" i="2" a="1"/>
  <c r="S678" i="2" s="1"/>
  <c r="K678" i="2"/>
  <c r="K677" i="2"/>
  <c r="W676" i="2" a="1"/>
  <c r="W676" i="2"/>
  <c r="U676" i="2" a="1"/>
  <c r="U676" i="2" s="1"/>
  <c r="S676" i="2" a="1"/>
  <c r="S676" i="2" s="1"/>
  <c r="K676" i="2"/>
  <c r="W675" i="2" a="1"/>
  <c r="W675" i="2" s="1"/>
  <c r="U675" i="2" a="1"/>
  <c r="U675" i="2" s="1"/>
  <c r="S675" i="2" a="1"/>
  <c r="S675" i="2" s="1"/>
  <c r="K675" i="2"/>
  <c r="S673" i="2" a="1"/>
  <c r="S673" i="2" s="1"/>
  <c r="U673" i="2" a="1"/>
  <c r="U673" i="2"/>
  <c r="W673" i="2" a="1"/>
  <c r="W673" i="2" s="1"/>
  <c r="Y673" i="2" a="1"/>
  <c r="Y673" i="2" s="1"/>
  <c r="S674" i="2" a="1"/>
  <c r="S674" i="2" s="1"/>
  <c r="U674" i="2" a="1"/>
  <c r="U674" i="2" s="1"/>
  <c r="W674" i="2" a="1"/>
  <c r="W674" i="2" s="1"/>
  <c r="Y674" i="2" a="1"/>
  <c r="Y674" i="2" s="1"/>
  <c r="Y672" i="2" a="1"/>
  <c r="Y672" i="2" s="1"/>
  <c r="W672" i="2" a="1"/>
  <c r="W672" i="2" s="1"/>
  <c r="U672" i="2" a="1"/>
  <c r="U672" i="2" s="1"/>
  <c r="S672" i="2" a="1"/>
  <c r="S672" i="2" s="1"/>
  <c r="K672" i="2"/>
  <c r="K673" i="2"/>
  <c r="K674" i="2"/>
  <c r="S671" i="2" a="1"/>
  <c r="S671" i="2"/>
  <c r="U671" i="2" a="1"/>
  <c r="U671" i="2" s="1"/>
  <c r="W671" i="2" a="1"/>
  <c r="W671" i="2" s="1"/>
  <c r="K671" i="2"/>
  <c r="W670" i="2" a="1"/>
  <c r="W670" i="2" s="1"/>
  <c r="U670" i="2" a="1"/>
  <c r="U670" i="2" s="1"/>
  <c r="S670" i="2" a="1"/>
  <c r="S670" i="2" s="1"/>
  <c r="K670" i="2"/>
  <c r="U669" i="2" a="1"/>
  <c r="U669" i="2" s="1"/>
  <c r="S669" i="2" a="1"/>
  <c r="S669" i="2" s="1"/>
  <c r="K669" i="2"/>
  <c r="S667" i="2" a="1"/>
  <c r="S667" i="2" s="1"/>
  <c r="U667" i="2" a="1"/>
  <c r="U667" i="2" s="1"/>
  <c r="W667" i="2" a="1"/>
  <c r="W667" i="2" s="1"/>
  <c r="S668" i="2" a="1"/>
  <c r="S668" i="2" s="1"/>
  <c r="U668" i="2" a="1"/>
  <c r="U668" i="2"/>
  <c r="W668" i="2" a="1"/>
  <c r="W668" i="2"/>
  <c r="K667" i="2"/>
  <c r="K668" i="2"/>
  <c r="W666" i="2" a="1"/>
  <c r="W666" i="2" s="1"/>
  <c r="U666" i="2" a="1"/>
  <c r="U666" i="2" s="1"/>
  <c r="S666" i="2" a="1"/>
  <c r="S666" i="2" s="1"/>
  <c r="K666" i="2"/>
  <c r="S665" i="2" a="1"/>
  <c r="S665" i="2"/>
  <c r="U665" i="2" a="1"/>
  <c r="U665" i="2" s="1"/>
  <c r="W665" i="2" a="1"/>
  <c r="W665" i="2" s="1"/>
  <c r="K665" i="2"/>
  <c r="W664" i="2" a="1"/>
  <c r="W664" i="2" s="1"/>
  <c r="U664" i="2" a="1"/>
  <c r="U664" i="2" s="1"/>
  <c r="S664" i="2" a="1"/>
  <c r="S664" i="2" s="1"/>
  <c r="K664" i="2"/>
  <c r="U663" i="2" a="1"/>
  <c r="U663" i="2" s="1"/>
  <c r="S663" i="2" a="1"/>
  <c r="S663" i="2" s="1"/>
  <c r="K663" i="2"/>
  <c r="W662" i="2" a="1"/>
  <c r="W662" i="2" s="1"/>
  <c r="U662" i="2" a="1"/>
  <c r="U662" i="2" s="1"/>
  <c r="S662" i="2" a="1"/>
  <c r="S662" i="2" s="1"/>
  <c r="K662" i="2"/>
  <c r="K585" i="2"/>
  <c r="W661" i="2" a="1"/>
  <c r="W661" i="2" s="1"/>
  <c r="U661" i="2" a="1"/>
  <c r="U661" i="2" s="1"/>
  <c r="S661" i="2" a="1"/>
  <c r="S661" i="2" s="1"/>
  <c r="K661" i="2"/>
  <c r="W660" i="2" a="1"/>
  <c r="W660" i="2" s="1"/>
  <c r="U660" i="2" a="1"/>
  <c r="U660" i="2" s="1"/>
  <c r="S660" i="2" a="1"/>
  <c r="S660" i="2" s="1"/>
  <c r="K660" i="2"/>
  <c r="W659" i="2" a="1"/>
  <c r="W659" i="2" s="1"/>
  <c r="U659" i="2" a="1"/>
  <c r="U659" i="2" s="1"/>
  <c r="S659" i="2" a="1"/>
  <c r="S659" i="2" s="1"/>
  <c r="K659" i="2"/>
  <c r="K353" i="2"/>
  <c r="K137" i="2"/>
  <c r="W658" i="2" a="1"/>
  <c r="W658" i="2" s="1"/>
  <c r="U658" i="2" a="1"/>
  <c r="U658" i="2" s="1"/>
  <c r="S658" i="2" a="1"/>
  <c r="S658" i="2" s="1"/>
  <c r="K658" i="2"/>
  <c r="H1" i="12"/>
  <c r="K658" i="12"/>
  <c r="K657" i="12"/>
  <c r="K656" i="12"/>
  <c r="K655" i="12"/>
  <c r="K654" i="12"/>
  <c r="K653" i="12"/>
  <c r="U657" i="2" a="1"/>
  <c r="U657" i="2" s="1"/>
  <c r="S657" i="2" a="1"/>
  <c r="S657" i="2" s="1"/>
  <c r="K657" i="2"/>
  <c r="I73" i="2"/>
  <c r="K73" i="2"/>
  <c r="I74" i="2"/>
  <c r="K74" i="2"/>
  <c r="W656" i="2" a="1"/>
  <c r="W656" i="2" s="1"/>
  <c r="U656" i="2" a="1"/>
  <c r="U656" i="2" s="1"/>
  <c r="S656" i="2" a="1"/>
  <c r="S656" i="2" s="1"/>
  <c r="K656" i="2"/>
  <c r="K500" i="2"/>
  <c r="S652" i="2" a="1"/>
  <c r="S652" i="2"/>
  <c r="U652" i="2" a="1"/>
  <c r="U652" i="2" s="1"/>
  <c r="W652" i="2" a="1"/>
  <c r="W652" i="2" s="1"/>
  <c r="Y652" i="2" a="1"/>
  <c r="Y652" i="2" s="1"/>
  <c r="S653" i="2" a="1"/>
  <c r="S653" i="2" s="1"/>
  <c r="U653" i="2" a="1"/>
  <c r="U653" i="2" s="1"/>
  <c r="W653" i="2" a="1"/>
  <c r="W653" i="2" s="1"/>
  <c r="Y653" i="2" a="1"/>
  <c r="Y653" i="2" s="1"/>
  <c r="S654" i="2" a="1"/>
  <c r="S654" i="2" s="1"/>
  <c r="U654" i="2" a="1"/>
  <c r="U654" i="2"/>
  <c r="W654" i="2" a="1"/>
  <c r="W654" i="2" s="1"/>
  <c r="Y654" i="2" a="1"/>
  <c r="Y654" i="2" s="1"/>
  <c r="S655" i="2" a="1"/>
  <c r="S655" i="2" s="1"/>
  <c r="U655" i="2" a="1"/>
  <c r="U655" i="2" s="1"/>
  <c r="W655" i="2" a="1"/>
  <c r="W655" i="2" s="1"/>
  <c r="Y655" i="2" a="1"/>
  <c r="Y655" i="2" s="1"/>
  <c r="Y651" i="2" a="1"/>
  <c r="Y651" i="2" s="1"/>
  <c r="W651" i="2" a="1"/>
  <c r="W651" i="2" s="1"/>
  <c r="U651" i="2" a="1"/>
  <c r="U651" i="2" s="1"/>
  <c r="S651" i="2" a="1"/>
  <c r="S651" i="2" s="1"/>
  <c r="K652" i="2"/>
  <c r="K653" i="2"/>
  <c r="K654" i="2"/>
  <c r="K655" i="2"/>
  <c r="K651" i="2"/>
  <c r="W650" i="2" a="1"/>
  <c r="W650" i="2" s="1"/>
  <c r="U650" i="2" a="1"/>
  <c r="U650" i="2" s="1"/>
  <c r="S650" i="2" a="1"/>
  <c r="S650" i="2" s="1"/>
  <c r="K650" i="2"/>
  <c r="Y649" i="2" a="1"/>
  <c r="Y649" i="2" s="1"/>
  <c r="W649" i="2" a="1"/>
  <c r="W649" i="2" s="1"/>
  <c r="U649" i="2" a="1"/>
  <c r="U649" i="2" s="1"/>
  <c r="S649" i="2" a="1"/>
  <c r="S649" i="2" s="1"/>
  <c r="K649" i="2"/>
  <c r="W648" i="2" a="1"/>
  <c r="W648" i="2" s="1"/>
  <c r="U648" i="2" a="1"/>
  <c r="U648" i="2" s="1"/>
  <c r="S648" i="2" a="1"/>
  <c r="S648" i="2" s="1"/>
  <c r="K648" i="2"/>
  <c r="U647" i="2" a="1"/>
  <c r="U647" i="2" s="1"/>
  <c r="S647" i="2" a="1"/>
  <c r="S647" i="2" s="1"/>
  <c r="K647" i="2"/>
  <c r="G4" i="12"/>
  <c r="K513" i="2"/>
  <c r="W593" i="12" a="1"/>
  <c r="W593" i="12" s="1"/>
  <c r="U593" i="12" a="1"/>
  <c r="U593" i="12" s="1"/>
  <c r="S593" i="12" a="1"/>
  <c r="S593" i="12" s="1"/>
  <c r="W592" i="2" a="1"/>
  <c r="W592" i="2" s="1"/>
  <c r="U592" i="2" a="1"/>
  <c r="U592" i="2" s="1"/>
  <c r="S592" i="2" a="1"/>
  <c r="S592" i="2" s="1"/>
  <c r="K592" i="2"/>
  <c r="I2" i="12"/>
  <c r="H4" i="12"/>
  <c r="I3" i="12" s="1"/>
  <c r="Y646" i="2" a="1"/>
  <c r="Y646" i="2" s="1"/>
  <c r="W646" i="2" a="1"/>
  <c r="W646" i="2" s="1"/>
  <c r="U646" i="2" a="1"/>
  <c r="U646" i="2" s="1"/>
  <c r="S646" i="2" a="1"/>
  <c r="S646" i="2" s="1"/>
  <c r="Y645" i="2" a="1"/>
  <c r="Y645" i="2" s="1"/>
  <c r="W645" i="2" a="1"/>
  <c r="W645" i="2" s="1"/>
  <c r="U645" i="2" a="1"/>
  <c r="U645" i="2" s="1"/>
  <c r="S645" i="2" a="1"/>
  <c r="S645" i="2" s="1"/>
  <c r="K645" i="2"/>
  <c r="K646" i="2"/>
  <c r="U645" i="12" a="1"/>
  <c r="U645" i="12" s="1"/>
  <c r="S645" i="12" a="1"/>
  <c r="S645" i="12" s="1"/>
  <c r="W644" i="12" a="1"/>
  <c r="W644" i="12" s="1"/>
  <c r="U644" i="12" a="1"/>
  <c r="U644" i="12" s="1"/>
  <c r="S644" i="12" a="1"/>
  <c r="S644" i="12" s="1"/>
  <c r="K644" i="12"/>
  <c r="W643" i="12" a="1"/>
  <c r="W643" i="12" s="1"/>
  <c r="U643" i="12" a="1"/>
  <c r="U643" i="12" s="1"/>
  <c r="S643" i="12" a="1"/>
  <c r="S643" i="12" s="1"/>
  <c r="K643" i="12"/>
  <c r="Y642" i="12" a="1"/>
  <c r="Y642" i="12" s="1"/>
  <c r="W642" i="12" a="1"/>
  <c r="W642" i="12" s="1"/>
  <c r="U642" i="12" a="1"/>
  <c r="U642" i="12" s="1"/>
  <c r="S642" i="12" a="1"/>
  <c r="S642" i="12" s="1"/>
  <c r="K642" i="12"/>
  <c r="U641" i="12" a="1"/>
  <c r="U641" i="12" s="1"/>
  <c r="S641" i="12" a="1"/>
  <c r="S641" i="12" s="1"/>
  <c r="K641" i="12"/>
  <c r="K640" i="12"/>
  <c r="W639" i="12" a="1"/>
  <c r="W639" i="12" s="1"/>
  <c r="U639" i="12" a="1"/>
  <c r="U639" i="12" s="1"/>
  <c r="S639" i="12" a="1"/>
  <c r="S639" i="12" s="1"/>
  <c r="K639" i="12"/>
  <c r="W638" i="12" a="1"/>
  <c r="W638" i="12" s="1"/>
  <c r="U638" i="12" a="1"/>
  <c r="U638" i="12" s="1"/>
  <c r="S638" i="12" a="1"/>
  <c r="S638" i="12" s="1"/>
  <c r="W637" i="12" a="1"/>
  <c r="W637" i="12" s="1"/>
  <c r="U637" i="12" a="1"/>
  <c r="U637" i="12" s="1"/>
  <c r="S637" i="12" a="1"/>
  <c r="S637" i="12" s="1"/>
  <c r="K637" i="12"/>
  <c r="W636" i="12" a="1"/>
  <c r="W636" i="12" s="1"/>
  <c r="U636" i="12" a="1"/>
  <c r="U636" i="12" s="1"/>
  <c r="S636" i="12" a="1"/>
  <c r="S636" i="12" s="1"/>
  <c r="K636" i="12"/>
  <c r="U635" i="12" a="1"/>
  <c r="U635" i="12" s="1"/>
  <c r="S635" i="12" a="1"/>
  <c r="S635" i="12" s="1"/>
  <c r="K635" i="12"/>
  <c r="U634" i="12" a="1"/>
  <c r="U634" i="12" s="1"/>
  <c r="S634" i="12" a="1"/>
  <c r="S634" i="12" s="1"/>
  <c r="K634" i="12"/>
  <c r="W633" i="12" a="1"/>
  <c r="W633" i="12" s="1"/>
  <c r="U633" i="12" a="1"/>
  <c r="U633" i="12" s="1"/>
  <c r="S633" i="12" a="1"/>
  <c r="S633" i="12" s="1"/>
  <c r="W632" i="12" a="1"/>
  <c r="W632" i="12" s="1"/>
  <c r="U632" i="12" a="1"/>
  <c r="U632" i="12" s="1"/>
  <c r="S632" i="12" a="1"/>
  <c r="S632" i="12" s="1"/>
  <c r="K632" i="12"/>
  <c r="W631" i="12" a="1"/>
  <c r="W631" i="12" s="1"/>
  <c r="U631" i="12" a="1"/>
  <c r="U631" i="12" s="1"/>
  <c r="S631" i="12" a="1"/>
  <c r="S631" i="12" s="1"/>
  <c r="K631" i="12"/>
  <c r="U630" i="12" a="1"/>
  <c r="U630" i="12" s="1"/>
  <c r="S630" i="12" a="1"/>
  <c r="S630" i="12" s="1"/>
  <c r="W629" i="12" a="1"/>
  <c r="W629" i="12" s="1"/>
  <c r="U629" i="12" a="1"/>
  <c r="U629" i="12" s="1"/>
  <c r="S629" i="12" a="1"/>
  <c r="S629" i="12" s="1"/>
  <c r="K629" i="12"/>
  <c r="Y628" i="12" a="1"/>
  <c r="Y628" i="12" s="1"/>
  <c r="W628" i="12" a="1"/>
  <c r="W628" i="12" s="1"/>
  <c r="U628" i="12" a="1"/>
  <c r="U628" i="12" s="1"/>
  <c r="S628" i="12" a="1"/>
  <c r="S628" i="12" s="1"/>
  <c r="K628" i="12"/>
  <c r="Y627" i="12" a="1"/>
  <c r="Y627" i="12" s="1"/>
  <c r="W627" i="12" a="1"/>
  <c r="W627" i="12" s="1"/>
  <c r="U627" i="12" a="1"/>
  <c r="U627" i="12" s="1"/>
  <c r="S627" i="12" a="1"/>
  <c r="S627" i="12" s="1"/>
  <c r="K627" i="12"/>
  <c r="W626" i="12" a="1"/>
  <c r="W626" i="12" s="1"/>
  <c r="U626" i="12" a="1"/>
  <c r="U626" i="12" s="1"/>
  <c r="S626" i="12" a="1"/>
  <c r="S626" i="12" s="1"/>
  <c r="K626" i="12"/>
  <c r="U625" i="12" a="1"/>
  <c r="U625" i="12" s="1"/>
  <c r="S625" i="12" a="1"/>
  <c r="S625" i="12" s="1"/>
  <c r="W624" i="12" a="1"/>
  <c r="W624" i="12" s="1"/>
  <c r="U624" i="12" a="1"/>
  <c r="U624" i="12" s="1"/>
  <c r="S624" i="12" a="1"/>
  <c r="S624" i="12" s="1"/>
  <c r="W623" i="12" a="1"/>
  <c r="W623" i="12" s="1"/>
  <c r="U623" i="12" a="1"/>
  <c r="U623" i="12" s="1"/>
  <c r="S623" i="12" a="1"/>
  <c r="S623" i="12" s="1"/>
  <c r="W622" i="12" a="1"/>
  <c r="W622" i="12" s="1"/>
  <c r="U622" i="12" a="1"/>
  <c r="U622" i="12" s="1"/>
  <c r="S622" i="12" a="1"/>
  <c r="S622" i="12" s="1"/>
  <c r="K622" i="12"/>
  <c r="U621" i="12" a="1"/>
  <c r="U621" i="12" s="1"/>
  <c r="S621" i="12" a="1"/>
  <c r="S621" i="12" s="1"/>
  <c r="K620" i="12"/>
  <c r="K619" i="12"/>
  <c r="K618" i="12"/>
  <c r="Y617" i="12" a="1"/>
  <c r="Y617" i="12" s="1"/>
  <c r="W617" i="12" a="1"/>
  <c r="W617" i="12" s="1"/>
  <c r="U617" i="12" a="1"/>
  <c r="U617" i="12" s="1"/>
  <c r="S617" i="12" a="1"/>
  <c r="S617" i="12" s="1"/>
  <c r="K617" i="12"/>
  <c r="U616" i="12" a="1"/>
  <c r="U616" i="12" s="1"/>
  <c r="S616" i="12" a="1"/>
  <c r="S616" i="12" s="1"/>
  <c r="K616" i="12"/>
  <c r="W615" i="12" a="1"/>
  <c r="W615" i="12" s="1"/>
  <c r="U615" i="12" a="1"/>
  <c r="U615" i="12" s="1"/>
  <c r="S615" i="12" a="1"/>
  <c r="S615" i="12" s="1"/>
  <c r="K615" i="12"/>
  <c r="W614" i="12" a="1"/>
  <c r="W614" i="12" s="1"/>
  <c r="U614" i="12" a="1"/>
  <c r="U614" i="12" s="1"/>
  <c r="S614" i="12" a="1"/>
  <c r="S614" i="12" s="1"/>
  <c r="K614" i="12"/>
  <c r="W613" i="12" a="1"/>
  <c r="W613" i="12" s="1"/>
  <c r="U613" i="12" a="1"/>
  <c r="U613" i="12" s="1"/>
  <c r="S613" i="12" a="1"/>
  <c r="S613" i="12" s="1"/>
  <c r="K613" i="12"/>
  <c r="Y612" i="12" a="1"/>
  <c r="Y612" i="12" s="1"/>
  <c r="W612" i="12" a="1"/>
  <c r="W612" i="12" s="1"/>
  <c r="U612" i="12" a="1"/>
  <c r="U612" i="12" s="1"/>
  <c r="S612" i="12" a="1"/>
  <c r="S612" i="12" s="1"/>
  <c r="K612" i="12"/>
  <c r="W611" i="12" a="1"/>
  <c r="W611" i="12" s="1"/>
  <c r="U611" i="12" a="1"/>
  <c r="U611" i="12" s="1"/>
  <c r="S611" i="12" a="1"/>
  <c r="S611" i="12" s="1"/>
  <c r="K611" i="12"/>
  <c r="U610" i="12" a="1"/>
  <c r="U610" i="12" s="1"/>
  <c r="S610" i="12" a="1"/>
  <c r="S610" i="12" s="1"/>
  <c r="K610" i="12"/>
  <c r="W609" i="12" a="1"/>
  <c r="W609" i="12" s="1"/>
  <c r="U609" i="12" a="1"/>
  <c r="U609" i="12" s="1"/>
  <c r="S609" i="12" a="1"/>
  <c r="S609" i="12" s="1"/>
  <c r="K609" i="12"/>
  <c r="U608" i="12" a="1"/>
  <c r="U608" i="12" s="1"/>
  <c r="S608" i="12" a="1"/>
  <c r="S608" i="12" s="1"/>
  <c r="K608" i="12"/>
  <c r="W607" i="12" a="1"/>
  <c r="W607" i="12" s="1"/>
  <c r="U607" i="12" a="1"/>
  <c r="U607" i="12" s="1"/>
  <c r="S607" i="12" a="1"/>
  <c r="S607" i="12" s="1"/>
  <c r="K607" i="12"/>
  <c r="W606" i="12" a="1"/>
  <c r="W606" i="12" s="1"/>
  <c r="U606" i="12" a="1"/>
  <c r="U606" i="12" s="1"/>
  <c r="S606" i="12" a="1"/>
  <c r="S606" i="12" s="1"/>
  <c r="K606" i="12"/>
  <c r="W605" i="12" a="1"/>
  <c r="W605" i="12" s="1"/>
  <c r="U605" i="12" a="1"/>
  <c r="U605" i="12" s="1"/>
  <c r="S605" i="12" a="1"/>
  <c r="S605" i="12" s="1"/>
  <c r="U604" i="12" a="1"/>
  <c r="U604" i="12" s="1"/>
  <c r="S604" i="12" a="1"/>
  <c r="S604" i="12" s="1"/>
  <c r="K604" i="12"/>
  <c r="K603" i="12"/>
  <c r="Y602" i="12" a="1"/>
  <c r="Y602" i="12" s="1"/>
  <c r="W602" i="12" a="1"/>
  <c r="W602" i="12" s="1"/>
  <c r="U602" i="12" a="1"/>
  <c r="U602" i="12" s="1"/>
  <c r="S602" i="12" a="1"/>
  <c r="S602" i="12" s="1"/>
  <c r="K602" i="12"/>
  <c r="W601" i="12" a="1"/>
  <c r="W601" i="12" s="1"/>
  <c r="U601" i="12" a="1"/>
  <c r="U601" i="12" s="1"/>
  <c r="S601" i="12" a="1"/>
  <c r="S601" i="12" s="1"/>
  <c r="W600" i="12" a="1"/>
  <c r="W600" i="12" s="1"/>
  <c r="U600" i="12" a="1"/>
  <c r="U600" i="12" s="1"/>
  <c r="S600" i="12" a="1"/>
  <c r="S600" i="12" s="1"/>
  <c r="K600" i="12"/>
  <c r="W599" i="12" a="1"/>
  <c r="W599" i="12" s="1"/>
  <c r="U599" i="12" a="1"/>
  <c r="U599" i="12" s="1"/>
  <c r="S599" i="12" a="1"/>
  <c r="S599" i="12" s="1"/>
  <c r="K599" i="12"/>
  <c r="W598" i="12" a="1"/>
  <c r="W598" i="12" s="1"/>
  <c r="U598" i="12" a="1"/>
  <c r="U598" i="12" s="1"/>
  <c r="S598" i="12" a="1"/>
  <c r="S598" i="12" s="1"/>
  <c r="K598" i="12"/>
  <c r="W597" i="12" a="1"/>
  <c r="W597" i="12" s="1"/>
  <c r="U597" i="12" a="1"/>
  <c r="U597" i="12" s="1"/>
  <c r="S597" i="12" a="1"/>
  <c r="S597" i="12" s="1"/>
  <c r="K597" i="12"/>
  <c r="U596" i="12" a="1"/>
  <c r="U596" i="12" s="1"/>
  <c r="S596" i="12" a="1"/>
  <c r="S596" i="12" s="1"/>
  <c r="K596" i="12"/>
  <c r="U595" i="12" a="1"/>
  <c r="U595" i="12" s="1"/>
  <c r="S595" i="12" a="1"/>
  <c r="S595" i="12" s="1"/>
  <c r="K595" i="12"/>
  <c r="U594" i="12" a="1"/>
  <c r="U594" i="12" s="1"/>
  <c r="S594" i="12" a="1"/>
  <c r="S594" i="12" s="1"/>
  <c r="U592" i="12" a="1"/>
  <c r="U592" i="12" s="1"/>
  <c r="S592" i="12" a="1"/>
  <c r="S592" i="12" s="1"/>
  <c r="K592" i="12"/>
  <c r="U591" i="12" a="1"/>
  <c r="U591" i="12" s="1"/>
  <c r="S591" i="12" a="1"/>
  <c r="S591" i="12" s="1"/>
  <c r="K591" i="12"/>
  <c r="W590" i="12" a="1"/>
  <c r="W590" i="12" s="1"/>
  <c r="U590" i="12" a="1"/>
  <c r="U590" i="12" s="1"/>
  <c r="S590" i="12" a="1"/>
  <c r="S590" i="12" s="1"/>
  <c r="K590" i="12"/>
  <c r="W589" i="12" a="1"/>
  <c r="W589" i="12" s="1"/>
  <c r="U589" i="12" a="1"/>
  <c r="U589" i="12" s="1"/>
  <c r="S589" i="12" a="1"/>
  <c r="S589" i="12" s="1"/>
  <c r="K589" i="12"/>
  <c r="W588" i="12" a="1"/>
  <c r="W588" i="12" s="1"/>
  <c r="U588" i="12" a="1"/>
  <c r="U588" i="12" s="1"/>
  <c r="S588" i="12" a="1"/>
  <c r="S588" i="12" s="1"/>
  <c r="K588" i="12"/>
  <c r="W587" i="12" a="1"/>
  <c r="W587" i="12" s="1"/>
  <c r="U587" i="12" a="1"/>
  <c r="U587" i="12" s="1"/>
  <c r="S587" i="12" a="1"/>
  <c r="S587" i="12" s="1"/>
  <c r="I587" i="12"/>
  <c r="K587" i="12" s="1"/>
  <c r="K586" i="12"/>
  <c r="W585" i="12" a="1"/>
  <c r="W585" i="12" s="1"/>
  <c r="U585" i="12" a="1"/>
  <c r="U585" i="12" s="1"/>
  <c r="S585" i="12" a="1"/>
  <c r="S585" i="12" s="1"/>
  <c r="K585" i="12"/>
  <c r="U584" i="12" a="1"/>
  <c r="U584" i="12" s="1"/>
  <c r="S584" i="12" a="1"/>
  <c r="S584" i="12" s="1"/>
  <c r="K584" i="12"/>
  <c r="U583" i="12" a="1"/>
  <c r="U583" i="12" s="1"/>
  <c r="S583" i="12" a="1"/>
  <c r="S583" i="12" s="1"/>
  <c r="K583" i="12"/>
  <c r="W582" i="12" a="1"/>
  <c r="W582" i="12" s="1"/>
  <c r="U582" i="12" a="1"/>
  <c r="U582" i="12" s="1"/>
  <c r="S582" i="12" a="1"/>
  <c r="S582" i="12" s="1"/>
  <c r="K582" i="12"/>
  <c r="W581" i="12" a="1"/>
  <c r="W581" i="12" s="1"/>
  <c r="U581" i="12" a="1"/>
  <c r="U581" i="12" s="1"/>
  <c r="S581" i="12" a="1"/>
  <c r="S581" i="12" s="1"/>
  <c r="K581" i="12"/>
  <c r="W580" i="12" a="1"/>
  <c r="W580" i="12" s="1"/>
  <c r="U580" i="12" a="1"/>
  <c r="U580" i="12" s="1"/>
  <c r="S580" i="12" a="1"/>
  <c r="S580" i="12" s="1"/>
  <c r="K580" i="12"/>
  <c r="W579" i="12" a="1"/>
  <c r="W579" i="12" s="1"/>
  <c r="U579" i="12" a="1"/>
  <c r="U579" i="12" s="1"/>
  <c r="S579" i="12" a="1"/>
  <c r="S579" i="12" s="1"/>
  <c r="I579" i="12"/>
  <c r="W578" i="12" a="1"/>
  <c r="W578" i="12" s="1"/>
  <c r="U578" i="12" a="1"/>
  <c r="U578" i="12" s="1"/>
  <c r="S578" i="12" a="1"/>
  <c r="S578" i="12" s="1"/>
  <c r="W577" i="12" a="1"/>
  <c r="W577" i="12" s="1"/>
  <c r="U577" i="12" a="1"/>
  <c r="U577" i="12" s="1"/>
  <c r="S577" i="12" a="1"/>
  <c r="S577" i="12" s="1"/>
  <c r="U576" i="12" a="1"/>
  <c r="U576" i="12" s="1"/>
  <c r="S576" i="12" a="1"/>
  <c r="S576" i="12" s="1"/>
  <c r="K576" i="12"/>
  <c r="W575" i="12" a="1"/>
  <c r="W575" i="12" s="1"/>
  <c r="U575" i="12" a="1"/>
  <c r="U575" i="12" s="1"/>
  <c r="S575" i="12" a="1"/>
  <c r="S575" i="12" s="1"/>
  <c r="I575" i="12"/>
  <c r="K575" i="12" s="1"/>
  <c r="W574" i="12" a="1"/>
  <c r="W574" i="12" s="1"/>
  <c r="U574" i="12" a="1"/>
  <c r="U574" i="12" s="1"/>
  <c r="S574" i="12" a="1"/>
  <c r="S574" i="12" s="1"/>
  <c r="K574" i="12"/>
  <c r="W573" i="12" a="1"/>
  <c r="W573" i="12" s="1"/>
  <c r="U573" i="12" a="1"/>
  <c r="U573" i="12" s="1"/>
  <c r="S573" i="12" a="1"/>
  <c r="S573" i="12" s="1"/>
  <c r="K573" i="12"/>
  <c r="W572" i="12" a="1"/>
  <c r="W572" i="12" s="1"/>
  <c r="U572" i="12" a="1"/>
  <c r="U572" i="12" s="1"/>
  <c r="S572" i="12" a="1"/>
  <c r="S572" i="12" s="1"/>
  <c r="I572" i="12"/>
  <c r="K572" i="12" s="1"/>
  <c r="W571" i="12" a="1"/>
  <c r="W571" i="12" s="1"/>
  <c r="U571" i="12" a="1"/>
  <c r="U571" i="12" s="1"/>
  <c r="S571" i="12" a="1"/>
  <c r="S571" i="12" s="1"/>
  <c r="I571" i="12"/>
  <c r="K571" i="12" s="1"/>
  <c r="W570" i="12" a="1"/>
  <c r="W570" i="12" s="1"/>
  <c r="U570" i="12" a="1"/>
  <c r="U570" i="12" s="1"/>
  <c r="S570" i="12" a="1"/>
  <c r="S570" i="12" s="1"/>
  <c r="I570" i="12"/>
  <c r="K570" i="12" s="1"/>
  <c r="K569" i="12"/>
  <c r="K568" i="12"/>
  <c r="K567" i="12"/>
  <c r="K566" i="12"/>
  <c r="K565" i="12"/>
  <c r="K562" i="12"/>
  <c r="K561" i="12"/>
  <c r="K560" i="12"/>
  <c r="K559" i="12"/>
  <c r="K558" i="12"/>
  <c r="K557" i="12"/>
  <c r="K556" i="12"/>
  <c r="K555" i="12"/>
  <c r="K554" i="12"/>
  <c r="K553" i="12"/>
  <c r="K552" i="12"/>
  <c r="K551" i="12"/>
  <c r="K550" i="12"/>
  <c r="K549" i="12"/>
  <c r="K548" i="12"/>
  <c r="K546" i="12"/>
  <c r="K545" i="12"/>
  <c r="K544" i="12"/>
  <c r="K543" i="12"/>
  <c r="K542" i="12"/>
  <c r="K541" i="12"/>
  <c r="K540" i="12"/>
  <c r="K539" i="12"/>
  <c r="K538" i="12"/>
  <c r="K537" i="12"/>
  <c r="K536" i="12"/>
  <c r="K535" i="12"/>
  <c r="K533" i="12"/>
  <c r="K532" i="12"/>
  <c r="K531" i="12"/>
  <c r="K530" i="12"/>
  <c r="K529" i="12"/>
  <c r="K528" i="12"/>
  <c r="K527" i="12"/>
  <c r="K526" i="12"/>
  <c r="K525" i="12"/>
  <c r="K524" i="12"/>
  <c r="K523" i="12"/>
  <c r="K522" i="12"/>
  <c r="K521" i="12"/>
  <c r="K520" i="12"/>
  <c r="K519" i="12"/>
  <c r="K518" i="12"/>
  <c r="K517" i="12"/>
  <c r="K516" i="12"/>
  <c r="K515" i="12"/>
  <c r="K513" i="12"/>
  <c r="Y512" i="12" a="1"/>
  <c r="Y512" i="12" s="1"/>
  <c r="W512" i="12" a="1"/>
  <c r="W512" i="12" s="1"/>
  <c r="U512" i="12" a="1"/>
  <c r="U512" i="12" s="1"/>
  <c r="S512" i="12" a="1"/>
  <c r="S512" i="12" s="1"/>
  <c r="K512" i="12"/>
  <c r="K511" i="12"/>
  <c r="K510" i="12"/>
  <c r="K509" i="12"/>
  <c r="K508" i="12"/>
  <c r="K507" i="12"/>
  <c r="K506" i="12"/>
  <c r="K505" i="12"/>
  <c r="K504" i="12"/>
  <c r="K503" i="12"/>
  <c r="K502" i="12"/>
  <c r="K501" i="12"/>
  <c r="K500" i="12"/>
  <c r="K499" i="12"/>
  <c r="K498" i="12"/>
  <c r="K497" i="12"/>
  <c r="K496" i="12"/>
  <c r="K495" i="12"/>
  <c r="K494" i="12"/>
  <c r="K493" i="12"/>
  <c r="K492" i="12"/>
  <c r="K491" i="12"/>
  <c r="K490" i="12"/>
  <c r="K489" i="12"/>
  <c r="K488" i="12"/>
  <c r="K487" i="12"/>
  <c r="K485" i="12"/>
  <c r="K484" i="12"/>
  <c r="K483" i="12"/>
  <c r="K482" i="12"/>
  <c r="K481" i="12"/>
  <c r="K480" i="12"/>
  <c r="K479" i="12"/>
  <c r="K478" i="12"/>
  <c r="K477" i="12"/>
  <c r="K476" i="12"/>
  <c r="K475" i="12"/>
  <c r="K474" i="12"/>
  <c r="K473" i="12"/>
  <c r="K472" i="12"/>
  <c r="K471" i="12"/>
  <c r="K470" i="12"/>
  <c r="K469" i="12"/>
  <c r="K468" i="12"/>
  <c r="K467" i="12"/>
  <c r="K466" i="12"/>
  <c r="K465" i="12"/>
  <c r="K464" i="12"/>
  <c r="K463" i="12"/>
  <c r="K462" i="12"/>
  <c r="K461" i="12"/>
  <c r="K460" i="12"/>
  <c r="K459" i="12"/>
  <c r="K458" i="12"/>
  <c r="K457" i="12"/>
  <c r="K456" i="12"/>
  <c r="K455" i="12"/>
  <c r="K454" i="12"/>
  <c r="K453" i="12"/>
  <c r="K452" i="12"/>
  <c r="K451" i="12"/>
  <c r="K450" i="12"/>
  <c r="K449" i="12"/>
  <c r="K448" i="12"/>
  <c r="K447" i="12"/>
  <c r="K446" i="12"/>
  <c r="K445" i="12"/>
  <c r="K444" i="12"/>
  <c r="K443" i="12"/>
  <c r="K442" i="12"/>
  <c r="K441" i="12"/>
  <c r="K440" i="12"/>
  <c r="K439" i="12"/>
  <c r="K437" i="12"/>
  <c r="K436" i="12"/>
  <c r="K435" i="12"/>
  <c r="K434" i="12"/>
  <c r="K433" i="12"/>
  <c r="K432" i="12"/>
  <c r="K431" i="12"/>
  <c r="K430" i="12"/>
  <c r="K429" i="12"/>
  <c r="K428" i="12"/>
  <c r="K427" i="12"/>
  <c r="K426" i="12"/>
  <c r="K425" i="12"/>
  <c r="K424" i="12"/>
  <c r="K423" i="12"/>
  <c r="K422" i="12"/>
  <c r="I421" i="12"/>
  <c r="K421" i="12" s="1"/>
  <c r="I420" i="12"/>
  <c r="K420" i="12" s="1"/>
  <c r="I419" i="12"/>
  <c r="K419" i="12" s="1"/>
  <c r="I418" i="12"/>
  <c r="K418" i="12" s="1"/>
  <c r="K417" i="12"/>
  <c r="K416" i="12"/>
  <c r="K415" i="12"/>
  <c r="K414" i="12"/>
  <c r="K413" i="12"/>
  <c r="K412" i="12"/>
  <c r="K411" i="12"/>
  <c r="K410" i="12"/>
  <c r="K409" i="12"/>
  <c r="K408" i="12"/>
  <c r="K407" i="12"/>
  <c r="K406" i="12"/>
  <c r="K405" i="12"/>
  <c r="K404" i="12"/>
  <c r="K403" i="12"/>
  <c r="K402" i="12"/>
  <c r="K401" i="12"/>
  <c r="K400" i="12"/>
  <c r="K399" i="12"/>
  <c r="K398" i="12"/>
  <c r="K397" i="12"/>
  <c r="K396" i="12"/>
  <c r="K395" i="12"/>
  <c r="K394" i="12"/>
  <c r="K393" i="12"/>
  <c r="I392" i="12"/>
  <c r="K392" i="12" s="1"/>
  <c r="I391" i="12"/>
  <c r="K391" i="12" s="1"/>
  <c r="K390" i="12"/>
  <c r="K389" i="12"/>
  <c r="K388" i="12"/>
  <c r="K387" i="12"/>
  <c r="K386" i="12"/>
  <c r="K385" i="12"/>
  <c r="K384" i="12"/>
  <c r="K383" i="12"/>
  <c r="K382" i="12"/>
  <c r="K381" i="12"/>
  <c r="K380" i="12"/>
  <c r="K379" i="12"/>
  <c r="K378" i="12"/>
  <c r="K377" i="12"/>
  <c r="K376" i="12"/>
  <c r="K375" i="12"/>
  <c r="K374" i="12"/>
  <c r="K373" i="12"/>
  <c r="K372" i="12"/>
  <c r="K371" i="12"/>
  <c r="K370" i="12"/>
  <c r="K369" i="12"/>
  <c r="K368" i="12"/>
  <c r="K367" i="12"/>
  <c r="K366" i="12"/>
  <c r="K365" i="12"/>
  <c r="K364" i="12"/>
  <c r="K363" i="12"/>
  <c r="K362" i="12"/>
  <c r="K361" i="12"/>
  <c r="K360" i="12"/>
  <c r="K359" i="12"/>
  <c r="K358" i="12"/>
  <c r="K357" i="12"/>
  <c r="K356" i="12"/>
  <c r="K355" i="12"/>
  <c r="K354" i="12"/>
  <c r="K353" i="12"/>
  <c r="K352" i="12"/>
  <c r="K351" i="12"/>
  <c r="K350" i="12"/>
  <c r="K349" i="12"/>
  <c r="K348" i="12"/>
  <c r="K347" i="12"/>
  <c r="K346" i="12"/>
  <c r="K345" i="12"/>
  <c r="K344" i="12"/>
  <c r="K343" i="12"/>
  <c r="K342" i="12"/>
  <c r="K341" i="12"/>
  <c r="K340" i="12"/>
  <c r="K339" i="12"/>
  <c r="K338" i="12"/>
  <c r="K337" i="12"/>
  <c r="K336" i="12"/>
  <c r="K335" i="12"/>
  <c r="K334" i="12"/>
  <c r="K333" i="12"/>
  <c r="K332" i="12"/>
  <c r="K331" i="12"/>
  <c r="K330" i="12"/>
  <c r="K329" i="12"/>
  <c r="K328" i="12"/>
  <c r="K327" i="12"/>
  <c r="K326" i="12"/>
  <c r="K325" i="12"/>
  <c r="K324" i="12"/>
  <c r="K323" i="12"/>
  <c r="I322" i="12"/>
  <c r="K322" i="12" s="1"/>
  <c r="K321" i="12"/>
  <c r="K320" i="12"/>
  <c r="K319" i="12"/>
  <c r="K318" i="12"/>
  <c r="K317" i="12"/>
  <c r="K316" i="12"/>
  <c r="K315" i="12"/>
  <c r="K314" i="12"/>
  <c r="K313" i="12"/>
  <c r="K312" i="12"/>
  <c r="K311" i="12"/>
  <c r="K310" i="12"/>
  <c r="K309" i="12"/>
  <c r="K308" i="12"/>
  <c r="K307" i="12"/>
  <c r="K306" i="12"/>
  <c r="K305" i="12"/>
  <c r="K304" i="12"/>
  <c r="K303" i="12"/>
  <c r="K302" i="12"/>
  <c r="I301" i="12"/>
  <c r="K301" i="12" s="1"/>
  <c r="I300" i="12"/>
  <c r="K300" i="12" s="1"/>
  <c r="I299" i="12"/>
  <c r="K299" i="12" s="1"/>
  <c r="K298" i="12"/>
  <c r="K297" i="12"/>
  <c r="K296" i="12"/>
  <c r="I295" i="12"/>
  <c r="K295" i="12" s="1"/>
  <c r="I294" i="12"/>
  <c r="K294" i="12" s="1"/>
  <c r="I293" i="12"/>
  <c r="K293" i="12" s="1"/>
  <c r="I292" i="12"/>
  <c r="K292" i="12" s="1"/>
  <c r="K291" i="12"/>
  <c r="K290" i="12"/>
  <c r="K289" i="12"/>
  <c r="K288" i="12"/>
  <c r="K287" i="12"/>
  <c r="K286" i="12"/>
  <c r="K285" i="12"/>
  <c r="K284" i="12"/>
  <c r="K283" i="12"/>
  <c r="K282" i="12"/>
  <c r="K280" i="12"/>
  <c r="I279" i="12"/>
  <c r="K279" i="12" s="1"/>
  <c r="K278" i="12"/>
  <c r="K277" i="12"/>
  <c r="K276" i="12"/>
  <c r="K275" i="12"/>
  <c r="I274" i="12"/>
  <c r="K274" i="12" s="1"/>
  <c r="K273" i="12"/>
  <c r="I272" i="12"/>
  <c r="K272" i="12" s="1"/>
  <c r="I271" i="12"/>
  <c r="K271" i="12" s="1"/>
  <c r="K270" i="12"/>
  <c r="K269" i="12"/>
  <c r="K268" i="12"/>
  <c r="K267" i="12"/>
  <c r="K266" i="12"/>
  <c r="K265" i="12"/>
  <c r="K264" i="12"/>
  <c r="K263" i="12"/>
  <c r="K262" i="12"/>
  <c r="K261" i="12"/>
  <c r="K260" i="12"/>
  <c r="K259" i="12"/>
  <c r="K258" i="12"/>
  <c r="K257" i="12"/>
  <c r="I256" i="12"/>
  <c r="K256" i="12" s="1"/>
  <c r="I255" i="12"/>
  <c r="K255" i="12" s="1"/>
  <c r="I254" i="12"/>
  <c r="K254" i="12" s="1"/>
  <c r="K253" i="12"/>
  <c r="K252" i="12"/>
  <c r="K250" i="12"/>
  <c r="K249" i="12"/>
  <c r="K248" i="12"/>
  <c r="K247" i="12"/>
  <c r="K246" i="12"/>
  <c r="I245" i="12"/>
  <c r="K245" i="12" s="1"/>
  <c r="I244" i="12"/>
  <c r="K244" i="12" s="1"/>
  <c r="I243" i="12"/>
  <c r="K243" i="12" s="1"/>
  <c r="K242" i="12"/>
  <c r="K241" i="12"/>
  <c r="K240" i="12"/>
  <c r="K239" i="12"/>
  <c r="K238" i="12"/>
  <c r="K237" i="12"/>
  <c r="K236" i="12"/>
  <c r="K235" i="12"/>
  <c r="K234" i="12"/>
  <c r="K233" i="12"/>
  <c r="K232" i="12"/>
  <c r="K231" i="12"/>
  <c r="K230" i="12"/>
  <c r="K229" i="12"/>
  <c r="K228" i="12"/>
  <c r="K227" i="12"/>
  <c r="K226" i="12"/>
  <c r="K225" i="12"/>
  <c r="K222" i="12"/>
  <c r="K221" i="12"/>
  <c r="K219" i="12"/>
  <c r="K218" i="12"/>
  <c r="I217" i="12"/>
  <c r="K216" i="12"/>
  <c r="K215" i="12"/>
  <c r="K214" i="12"/>
  <c r="K213" i="12"/>
  <c r="K212" i="12"/>
  <c r="K211" i="12"/>
  <c r="K210" i="12"/>
  <c r="K209" i="12"/>
  <c r="K207" i="12"/>
  <c r="I206" i="12"/>
  <c r="K206" i="12" s="1"/>
  <c r="K205" i="12"/>
  <c r="I204" i="12"/>
  <c r="K204" i="12" s="1"/>
  <c r="K203" i="12"/>
  <c r="K202" i="12"/>
  <c r="K201" i="12"/>
  <c r="K200" i="12"/>
  <c r="I199" i="12"/>
  <c r="K199" i="12" s="1"/>
  <c r="I198" i="12"/>
  <c r="K198" i="12" s="1"/>
  <c r="I197" i="12"/>
  <c r="K197" i="12" s="1"/>
  <c r="I195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I133" i="12"/>
  <c r="K133" i="12" s="1"/>
  <c r="I132" i="12"/>
  <c r="K132" i="12" s="1"/>
  <c r="K131" i="12"/>
  <c r="K130" i="12"/>
  <c r="K129" i="12"/>
  <c r="K128" i="12"/>
  <c r="K127" i="12"/>
  <c r="K126" i="12"/>
  <c r="K125" i="12"/>
  <c r="K124" i="12"/>
  <c r="I123" i="12"/>
  <c r="K123" i="12" s="1"/>
  <c r="I122" i="12"/>
  <c r="K122" i="12" s="1"/>
  <c r="K121" i="12"/>
  <c r="K120" i="12"/>
  <c r="K119" i="12"/>
  <c r="K118" i="12"/>
  <c r="K117" i="12"/>
  <c r="K116" i="12"/>
  <c r="K115" i="12"/>
  <c r="K114" i="12"/>
  <c r="K113" i="12"/>
  <c r="K112" i="12"/>
  <c r="K111" i="12"/>
  <c r="I110" i="12"/>
  <c r="K110" i="12" s="1"/>
  <c r="K109" i="12"/>
  <c r="K108" i="12"/>
  <c r="K107" i="12"/>
  <c r="K106" i="12"/>
  <c r="K105" i="12"/>
  <c r="K104" i="12"/>
  <c r="K103" i="12"/>
  <c r="K102" i="12"/>
  <c r="K101" i="12"/>
  <c r="K100" i="12"/>
  <c r="K99" i="12"/>
  <c r="I98" i="12"/>
  <c r="I97" i="12"/>
  <c r="I96" i="12"/>
  <c r="K96" i="12" s="1"/>
  <c r="K95" i="12"/>
  <c r="K94" i="12"/>
  <c r="I93" i="12"/>
  <c r="K93" i="12" s="1"/>
  <c r="I92" i="12"/>
  <c r="K92" i="12" s="1"/>
  <c r="K91" i="12"/>
  <c r="I90" i="12"/>
  <c r="K90" i="12" s="1"/>
  <c r="I89" i="12"/>
  <c r="K89" i="12" s="1"/>
  <c r="I88" i="12"/>
  <c r="K88" i="12" s="1"/>
  <c r="I87" i="12"/>
  <c r="K87" i="12" s="1"/>
  <c r="K86" i="12"/>
  <c r="K85" i="12"/>
  <c r="K84" i="12"/>
  <c r="AG83" i="12"/>
  <c r="K83" i="12"/>
  <c r="K82" i="12"/>
  <c r="I81" i="12"/>
  <c r="K81" i="12" s="1"/>
  <c r="I80" i="12"/>
  <c r="K80" i="12" s="1"/>
  <c r="I79" i="12"/>
  <c r="K79" i="12" s="1"/>
  <c r="I78" i="12"/>
  <c r="K78" i="12" s="1"/>
  <c r="I77" i="12"/>
  <c r="K77" i="12" s="1"/>
  <c r="I76" i="12"/>
  <c r="K76" i="12" s="1"/>
  <c r="K75" i="12"/>
  <c r="I74" i="12"/>
  <c r="K74" i="12" s="1"/>
  <c r="I73" i="12"/>
  <c r="K73" i="12" s="1"/>
  <c r="I72" i="12"/>
  <c r="K72" i="12" s="1"/>
  <c r="I71" i="12"/>
  <c r="K71" i="12" s="1"/>
  <c r="I70" i="12"/>
  <c r="K70" i="12" s="1"/>
  <c r="I69" i="12"/>
  <c r="K69" i="12" s="1"/>
  <c r="I68" i="12"/>
  <c r="K68" i="12" s="1"/>
  <c r="I67" i="12"/>
  <c r="K67" i="12" s="1"/>
  <c r="I66" i="12"/>
  <c r="K66" i="12" s="1"/>
  <c r="I65" i="12"/>
  <c r="K65" i="12" s="1"/>
  <c r="I64" i="12"/>
  <c r="K64" i="12" s="1"/>
  <c r="I63" i="12"/>
  <c r="K63" i="12" s="1"/>
  <c r="I62" i="12"/>
  <c r="K62" i="12" s="1"/>
  <c r="I61" i="12"/>
  <c r="K61" i="12" s="1"/>
  <c r="I60" i="12"/>
  <c r="K60" i="12" s="1"/>
  <c r="I59" i="12"/>
  <c r="K59" i="12" s="1"/>
  <c r="K58" i="12"/>
  <c r="K57" i="12"/>
  <c r="K56" i="12"/>
  <c r="K55" i="12"/>
  <c r="K54" i="12"/>
  <c r="I53" i="12"/>
  <c r="K53" i="12" s="1"/>
  <c r="I52" i="12"/>
  <c r="K52" i="12" s="1"/>
  <c r="I51" i="12"/>
  <c r="K51" i="12" s="1"/>
  <c r="I50" i="12"/>
  <c r="K50" i="12" s="1"/>
  <c r="K49" i="12"/>
  <c r="K48" i="12"/>
  <c r="K47" i="12"/>
  <c r="K46" i="12"/>
  <c r="I45" i="12"/>
  <c r="K45" i="12" s="1"/>
  <c r="I44" i="12"/>
  <c r="K44" i="12" s="1"/>
  <c r="I43" i="12"/>
  <c r="K43" i="12" s="1"/>
  <c r="K42" i="12"/>
  <c r="I41" i="12"/>
  <c r="K41" i="12" s="1"/>
  <c r="I40" i="12"/>
  <c r="K40" i="12" s="1"/>
  <c r="I39" i="12"/>
  <c r="K39" i="12" s="1"/>
  <c r="AG38" i="12"/>
  <c r="K38" i="12"/>
  <c r="AG37" i="12"/>
  <c r="K37" i="12"/>
  <c r="K36" i="12"/>
  <c r="K35" i="12"/>
  <c r="K34" i="12"/>
  <c r="I33" i="12"/>
  <c r="K33" i="12" s="1"/>
  <c r="I32" i="12"/>
  <c r="K32" i="12" s="1"/>
  <c r="I31" i="12"/>
  <c r="K31" i="12" s="1"/>
  <c r="I30" i="12"/>
  <c r="K30" i="12" s="1"/>
  <c r="I29" i="12"/>
  <c r="K29" i="12" s="1"/>
  <c r="I28" i="12"/>
  <c r="K28" i="12" s="1"/>
  <c r="I27" i="12"/>
  <c r="K27" i="12" s="1"/>
  <c r="I26" i="12"/>
  <c r="K26" i="12" s="1"/>
  <c r="K25" i="12"/>
  <c r="K24" i="12"/>
  <c r="K23" i="12"/>
  <c r="K22" i="12"/>
  <c r="K21" i="12"/>
  <c r="K20" i="12"/>
  <c r="K19" i="12"/>
  <c r="K18" i="12"/>
  <c r="I17" i="12"/>
  <c r="K17" i="12" s="1"/>
  <c r="I16" i="12"/>
  <c r="K16" i="12" s="1"/>
  <c r="I15" i="12"/>
  <c r="K15" i="12" s="1"/>
  <c r="K14" i="12"/>
  <c r="K13" i="12"/>
  <c r="K12" i="12"/>
  <c r="K11" i="12"/>
  <c r="K10" i="12"/>
  <c r="K9" i="12"/>
  <c r="K8" i="12"/>
  <c r="K7" i="12"/>
  <c r="Y4" i="12" a="1"/>
  <c r="Y4" i="12" s="1"/>
  <c r="W4" i="12" a="1"/>
  <c r="W4" i="12" s="1"/>
  <c r="U4" i="12" a="1"/>
  <c r="U4" i="12" s="1"/>
  <c r="S4" i="12" a="1"/>
  <c r="S4" i="12" s="1"/>
  <c r="W3" i="12" a="1"/>
  <c r="W3" i="12" s="1"/>
  <c r="U3" i="12" a="1"/>
  <c r="U3" i="12" s="1"/>
  <c r="S3" i="12" a="1"/>
  <c r="S3" i="12" s="1"/>
  <c r="U2" i="12" a="1"/>
  <c r="U2" i="12" s="1"/>
  <c r="S2" i="12" a="1"/>
  <c r="S2" i="12" s="1"/>
  <c r="L1" i="12"/>
  <c r="J1" i="12"/>
  <c r="K1" i="12" s="1"/>
  <c r="N1" i="12" s="1"/>
  <c r="U644" i="2" a="1"/>
  <c r="U644" i="2" s="1"/>
  <c r="S644" i="2" a="1"/>
  <c r="S644" i="2" s="1"/>
  <c r="Y513" i="2" a="1"/>
  <c r="Y513" i="2" s="1"/>
  <c r="W513" i="2" a="1"/>
  <c r="W513" i="2" s="1"/>
  <c r="U513" i="2" a="1"/>
  <c r="U513" i="2" s="1"/>
  <c r="S513" i="2" a="1"/>
  <c r="S513" i="2" s="1"/>
  <c r="W643" i="2" a="1"/>
  <c r="W643" i="2" s="1"/>
  <c r="U643" i="2" a="1"/>
  <c r="U643" i="2" s="1"/>
  <c r="S643" i="2" a="1"/>
  <c r="S643" i="2" s="1"/>
  <c r="K643" i="2"/>
  <c r="W642" i="2" a="1"/>
  <c r="W642" i="2" s="1"/>
  <c r="U642" i="2" a="1"/>
  <c r="U642" i="2" s="1"/>
  <c r="S642" i="2" a="1"/>
  <c r="S642" i="2" s="1"/>
  <c r="K642" i="2"/>
  <c r="Y641" i="2" a="1"/>
  <c r="Y641" i="2" s="1"/>
  <c r="W641" i="2" a="1"/>
  <c r="W641" i="2" s="1"/>
  <c r="U641" i="2" a="1"/>
  <c r="U641" i="2" s="1"/>
  <c r="S641" i="2" a="1"/>
  <c r="S641" i="2" s="1"/>
  <c r="K641" i="2"/>
  <c r="U640" i="2" a="1"/>
  <c r="U640" i="2" s="1"/>
  <c r="S640" i="2" a="1"/>
  <c r="S640" i="2" s="1"/>
  <c r="K640" i="2"/>
  <c r="K639" i="2"/>
  <c r="W638" i="2" a="1"/>
  <c r="W638" i="2" s="1"/>
  <c r="U638" i="2" a="1"/>
  <c r="U638" i="2"/>
  <c r="S638" i="2" a="1"/>
  <c r="S638" i="2" s="1"/>
  <c r="K638" i="2"/>
  <c r="W635" i="2" a="1"/>
  <c r="W635" i="2" s="1"/>
  <c r="U635" i="2" a="1"/>
  <c r="U635" i="2" s="1"/>
  <c r="S635" i="2" a="1"/>
  <c r="S635" i="2" s="1"/>
  <c r="K635" i="2"/>
  <c r="W637" i="2" a="1"/>
  <c r="W637" i="2" s="1"/>
  <c r="U637" i="2" a="1"/>
  <c r="U637" i="2" s="1"/>
  <c r="S637" i="2" a="1"/>
  <c r="S637" i="2"/>
  <c r="W636" i="2" a="1"/>
  <c r="W636" i="2" s="1"/>
  <c r="U636" i="2" a="1"/>
  <c r="U636" i="2" s="1"/>
  <c r="S636" i="2" a="1"/>
  <c r="S636" i="2" s="1"/>
  <c r="K636" i="2"/>
  <c r="U634" i="2" a="1"/>
  <c r="U634" i="2" s="1"/>
  <c r="S634" i="2" a="1"/>
  <c r="S634" i="2" s="1"/>
  <c r="K634" i="2"/>
  <c r="U633" i="2" a="1"/>
  <c r="U633" i="2" s="1"/>
  <c r="S633" i="2" a="1"/>
  <c r="S633" i="2" s="1"/>
  <c r="K633" i="2"/>
  <c r="W632" i="2" a="1"/>
  <c r="W632" i="2"/>
  <c r="U632" i="2" a="1"/>
  <c r="U632" i="2" s="1"/>
  <c r="S632" i="2" a="1"/>
  <c r="S632" i="2" s="1"/>
  <c r="W631" i="2" a="1"/>
  <c r="W631" i="2" s="1"/>
  <c r="U631" i="2" a="1"/>
  <c r="U631" i="2" s="1"/>
  <c r="S631" i="2" a="1"/>
  <c r="S631" i="2" s="1"/>
  <c r="W630" i="2" a="1"/>
  <c r="W630" i="2" s="1"/>
  <c r="U630" i="2" a="1"/>
  <c r="U630" i="2" s="1"/>
  <c r="S630" i="2" a="1"/>
  <c r="S630" i="2" s="1"/>
  <c r="K631" i="2"/>
  <c r="K630" i="2"/>
  <c r="U629" i="2" a="1"/>
  <c r="U629" i="2" s="1"/>
  <c r="S629" i="2" a="1"/>
  <c r="S629" i="2" s="1"/>
  <c r="K621" i="2"/>
  <c r="K602" i="2"/>
  <c r="W628" i="2" a="1"/>
  <c r="W628" i="2" s="1"/>
  <c r="U628" i="2" a="1"/>
  <c r="U628" i="2" s="1"/>
  <c r="S628" i="2" a="1"/>
  <c r="S628" i="2" s="1"/>
  <c r="K628" i="2"/>
  <c r="K507" i="2"/>
  <c r="K610" i="2"/>
  <c r="K627" i="2"/>
  <c r="K626" i="2"/>
  <c r="K625" i="2"/>
  <c r="Y627" i="2" a="1"/>
  <c r="Y627" i="2" s="1"/>
  <c r="W627" i="2" a="1"/>
  <c r="W627" i="2" s="1"/>
  <c r="U627" i="2" a="1"/>
  <c r="U627" i="2" s="1"/>
  <c r="S627" i="2" a="1"/>
  <c r="S627" i="2" s="1"/>
  <c r="Y626" i="2" a="1"/>
  <c r="Y626" i="2" s="1"/>
  <c r="W626" i="2" a="1"/>
  <c r="W626" i="2" s="1"/>
  <c r="U626" i="2" a="1"/>
  <c r="U626" i="2" s="1"/>
  <c r="S626" i="2" a="1"/>
  <c r="S626" i="2" s="1"/>
  <c r="W625" i="2" a="1"/>
  <c r="W625" i="2" s="1"/>
  <c r="U625" i="2" a="1"/>
  <c r="U625" i="2" s="1"/>
  <c r="S625" i="2" a="1"/>
  <c r="S625" i="2" s="1"/>
  <c r="U624" i="2" a="1"/>
  <c r="U624" i="2" s="1"/>
  <c r="S624" i="2" a="1"/>
  <c r="S624" i="2" s="1"/>
  <c r="W623" i="2" a="1"/>
  <c r="W623" i="2" s="1"/>
  <c r="U623" i="2" a="1"/>
  <c r="U623" i="2" s="1"/>
  <c r="S623" i="2" a="1"/>
  <c r="S623" i="2" s="1"/>
  <c r="W622" i="2" a="1"/>
  <c r="W622" i="2" s="1"/>
  <c r="U622" i="2" a="1"/>
  <c r="U622" i="2" s="1"/>
  <c r="S622" i="2" a="1"/>
  <c r="S622" i="2"/>
  <c r="W621" i="2" a="1"/>
  <c r="W621" i="2" s="1"/>
  <c r="U621" i="2" a="1"/>
  <c r="U621" i="2" s="1"/>
  <c r="S621" i="2" a="1"/>
  <c r="S621" i="2" s="1"/>
  <c r="K246" i="2"/>
  <c r="U620" i="2" a="1"/>
  <c r="U620" i="2" s="1"/>
  <c r="S620" i="2" a="1"/>
  <c r="S620" i="2" s="1"/>
  <c r="K619" i="2"/>
  <c r="K618" i="2"/>
  <c r="K617" i="2"/>
  <c r="Y616" i="2" a="1"/>
  <c r="Y616" i="2" s="1"/>
  <c r="W616" i="2" a="1"/>
  <c r="W616" i="2" s="1"/>
  <c r="U616" i="2" a="1"/>
  <c r="U616" i="2" s="1"/>
  <c r="S616" i="2" a="1"/>
  <c r="S616" i="2" s="1"/>
  <c r="K616" i="2"/>
  <c r="K615" i="2"/>
  <c r="K614" i="2"/>
  <c r="W612" i="2" a="1"/>
  <c r="W612" i="2" s="1"/>
  <c r="U612" i="2" a="1"/>
  <c r="U612" i="2" s="1"/>
  <c r="S612" i="2" a="1"/>
  <c r="S612" i="2" s="1"/>
  <c r="U615" i="2" a="1"/>
  <c r="U615" i="2" s="1"/>
  <c r="S615" i="2" a="1"/>
  <c r="S615" i="2" s="1"/>
  <c r="W614" i="2" a="1"/>
  <c r="W614" i="2"/>
  <c r="U614" i="2" a="1"/>
  <c r="U614" i="2"/>
  <c r="S614" i="2" a="1"/>
  <c r="S614" i="2" s="1"/>
  <c r="K337" i="2"/>
  <c r="W613" i="2" a="1"/>
  <c r="W613" i="2" s="1"/>
  <c r="U613" i="2" a="1"/>
  <c r="U613" i="2" s="1"/>
  <c r="S613" i="2" a="1"/>
  <c r="S613" i="2" s="1"/>
  <c r="K613" i="2"/>
  <c r="K612" i="2"/>
  <c r="Y611" i="2" a="1"/>
  <c r="Y611" i="2" s="1"/>
  <c r="W611" i="2" a="1"/>
  <c r="W611" i="2" s="1"/>
  <c r="U611" i="2" a="1"/>
  <c r="U611" i="2" s="1"/>
  <c r="S611" i="2" a="1"/>
  <c r="S611" i="2" s="1"/>
  <c r="K611" i="2"/>
  <c r="W610" i="2" a="1"/>
  <c r="W610" i="2" s="1"/>
  <c r="U610" i="2" a="1"/>
  <c r="U610" i="2" s="1"/>
  <c r="S610" i="2" a="1"/>
  <c r="S610" i="2" s="1"/>
  <c r="U603" i="11" a="1"/>
  <c r="U603" i="11" s="1"/>
  <c r="S603" i="11" a="1"/>
  <c r="S603" i="11" s="1"/>
  <c r="Q603" i="11" a="1"/>
  <c r="Q603" i="11" s="1"/>
  <c r="K603" i="11"/>
  <c r="G1" i="11"/>
  <c r="G3" i="11"/>
  <c r="L1" i="11"/>
  <c r="J1" i="11"/>
  <c r="K1" i="11" s="1"/>
  <c r="N1" i="11" s="1"/>
  <c r="E1" i="11"/>
  <c r="U609" i="2" a="1"/>
  <c r="U609" i="2" s="1"/>
  <c r="S609" i="2" a="1"/>
  <c r="S609" i="2" s="1"/>
  <c r="K609" i="2"/>
  <c r="W608" i="2" a="1"/>
  <c r="W608" i="2" s="1"/>
  <c r="U608" i="2" a="1"/>
  <c r="U608" i="2" s="1"/>
  <c r="S608" i="2" a="1"/>
  <c r="S608" i="2" s="1"/>
  <c r="K608" i="2"/>
  <c r="K538" i="2"/>
  <c r="U607" i="2" a="1"/>
  <c r="U607" i="2" s="1"/>
  <c r="S607" i="2" a="1"/>
  <c r="S607" i="2" s="1"/>
  <c r="K607" i="2"/>
  <c r="W606" i="2" a="1"/>
  <c r="W606" i="2" s="1"/>
  <c r="U606" i="2" a="1"/>
  <c r="U606" i="2" s="1"/>
  <c r="S606" i="2" a="1"/>
  <c r="S606" i="2" s="1"/>
  <c r="W605" i="2" a="1"/>
  <c r="W605" i="2" s="1"/>
  <c r="U605" i="2" a="1"/>
  <c r="U605" i="2" s="1"/>
  <c r="S605" i="2" a="1"/>
  <c r="S605" i="2" s="1"/>
  <c r="K606" i="2"/>
  <c r="K605" i="2"/>
  <c r="W604" i="2" a="1"/>
  <c r="W604" i="2" s="1"/>
  <c r="U604" i="2" a="1"/>
  <c r="U604" i="2" s="1"/>
  <c r="S604" i="2" a="1"/>
  <c r="S604" i="2" s="1"/>
  <c r="U603" i="2" a="1"/>
  <c r="U603" i="2" s="1"/>
  <c r="S603" i="2" a="1"/>
  <c r="S603" i="2" s="1"/>
  <c r="K603" i="2"/>
  <c r="U7" i="11" a="1"/>
  <c r="U7" i="11" s="1"/>
  <c r="U613" i="11" a="1"/>
  <c r="U613" i="11" s="1"/>
  <c r="S613" i="11" a="1"/>
  <c r="S613" i="11" s="1"/>
  <c r="Q613" i="11" a="1"/>
  <c r="Q613" i="11" s="1"/>
  <c r="K613" i="11"/>
  <c r="K7" i="11"/>
  <c r="K8" i="11"/>
  <c r="K9" i="11"/>
  <c r="K10" i="11"/>
  <c r="K11" i="11"/>
  <c r="K12" i="11"/>
  <c r="K13" i="11"/>
  <c r="K14" i="11"/>
  <c r="I15" i="11"/>
  <c r="K15" i="11" s="1"/>
  <c r="I16" i="11"/>
  <c r="K16" i="11" s="1"/>
  <c r="I17" i="11"/>
  <c r="K17" i="11" s="1"/>
  <c r="K18" i="11"/>
  <c r="K19" i="11"/>
  <c r="K20" i="11"/>
  <c r="K21" i="11"/>
  <c r="K22" i="11"/>
  <c r="K23" i="11"/>
  <c r="K24" i="11"/>
  <c r="K25" i="11"/>
  <c r="I26" i="11"/>
  <c r="K26" i="11" s="1"/>
  <c r="I27" i="11"/>
  <c r="K27" i="11" s="1"/>
  <c r="I28" i="11"/>
  <c r="K28" i="11" s="1"/>
  <c r="I29" i="11"/>
  <c r="K29" i="11" s="1"/>
  <c r="I30" i="11"/>
  <c r="K30" i="11" s="1"/>
  <c r="I31" i="11"/>
  <c r="K31" i="11"/>
  <c r="I32" i="11"/>
  <c r="K32" i="11" s="1"/>
  <c r="I33" i="11"/>
  <c r="K33" i="11" s="1"/>
  <c r="K34" i="11"/>
  <c r="K35" i="11"/>
  <c r="K36" i="11"/>
  <c r="K37" i="11"/>
  <c r="AE37" i="11"/>
  <c r="K38" i="11"/>
  <c r="AE38" i="11"/>
  <c r="I39" i="11"/>
  <c r="K39" i="11"/>
  <c r="I40" i="11"/>
  <c r="K40" i="11" s="1"/>
  <c r="I41" i="11"/>
  <c r="K41" i="11"/>
  <c r="K42" i="11"/>
  <c r="I43" i="11"/>
  <c r="K43" i="11"/>
  <c r="I44" i="11"/>
  <c r="K44" i="11" s="1"/>
  <c r="I45" i="11"/>
  <c r="K45" i="11" s="1"/>
  <c r="K46" i="11"/>
  <c r="K47" i="11"/>
  <c r="K48" i="11"/>
  <c r="K49" i="11"/>
  <c r="I50" i="11"/>
  <c r="K50" i="11" s="1"/>
  <c r="I51" i="11"/>
  <c r="K51" i="11"/>
  <c r="I52" i="11"/>
  <c r="K52" i="11" s="1"/>
  <c r="I53" i="11"/>
  <c r="K53" i="11"/>
  <c r="K54" i="11"/>
  <c r="K55" i="11"/>
  <c r="K56" i="11"/>
  <c r="K57" i="11"/>
  <c r="K58" i="11"/>
  <c r="I59" i="11"/>
  <c r="K59" i="11" s="1"/>
  <c r="I60" i="11"/>
  <c r="K60" i="11"/>
  <c r="I61" i="11"/>
  <c r="K61" i="11" s="1"/>
  <c r="I62" i="11"/>
  <c r="K62" i="11"/>
  <c r="I63" i="11"/>
  <c r="K63" i="11" s="1"/>
  <c r="I64" i="11"/>
  <c r="K64" i="11"/>
  <c r="I65" i="11"/>
  <c r="K65" i="11" s="1"/>
  <c r="I66" i="11"/>
  <c r="K66" i="11"/>
  <c r="I67" i="11"/>
  <c r="K67" i="11" s="1"/>
  <c r="I68" i="11"/>
  <c r="K68" i="11"/>
  <c r="I69" i="11"/>
  <c r="K69" i="11"/>
  <c r="I70" i="11"/>
  <c r="K70" i="11" s="1"/>
  <c r="I71" i="11"/>
  <c r="K71" i="11" s="1"/>
  <c r="I72" i="11"/>
  <c r="K72" i="11"/>
  <c r="I73" i="11"/>
  <c r="K73" i="11" s="1"/>
  <c r="I74" i="11"/>
  <c r="K74" i="11"/>
  <c r="K75" i="11"/>
  <c r="K76" i="11"/>
  <c r="I77" i="11"/>
  <c r="K77" i="11"/>
  <c r="I78" i="11"/>
  <c r="K78" i="11" s="1"/>
  <c r="I79" i="11"/>
  <c r="K79" i="11" s="1"/>
  <c r="I80" i="11"/>
  <c r="K80" i="11" s="1"/>
  <c r="I81" i="11"/>
  <c r="K81" i="11"/>
  <c r="I82" i="11"/>
  <c r="K82" i="11" s="1"/>
  <c r="K83" i="11"/>
  <c r="K84" i="11"/>
  <c r="K85" i="11"/>
  <c r="AE85" i="11"/>
  <c r="K86" i="11"/>
  <c r="K87" i="11"/>
  <c r="K88" i="11"/>
  <c r="I89" i="11"/>
  <c r="K89" i="11"/>
  <c r="I90" i="11"/>
  <c r="K90" i="11" s="1"/>
  <c r="I91" i="11"/>
  <c r="K91" i="11" s="1"/>
  <c r="I92" i="11"/>
  <c r="K92" i="11" s="1"/>
  <c r="K93" i="11"/>
  <c r="I94" i="11"/>
  <c r="K94" i="11"/>
  <c r="I95" i="11"/>
  <c r="K95" i="11" s="1"/>
  <c r="K96" i="11"/>
  <c r="K97" i="11"/>
  <c r="I98" i="11"/>
  <c r="K98" i="11"/>
  <c r="I99" i="11"/>
  <c r="I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I114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I126" i="11"/>
  <c r="K126" i="11"/>
  <c r="I127" i="11"/>
  <c r="K127" i="11" s="1"/>
  <c r="K128" i="11"/>
  <c r="K129" i="11"/>
  <c r="K130" i="11"/>
  <c r="K131" i="11"/>
  <c r="K132" i="11"/>
  <c r="K133" i="11"/>
  <c r="K134" i="11"/>
  <c r="K135" i="11"/>
  <c r="I136" i="11"/>
  <c r="K136" i="11"/>
  <c r="I137" i="11"/>
  <c r="K137" i="11" s="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1" i="11"/>
  <c r="I202" i="11"/>
  <c r="I204" i="11"/>
  <c r="K204" i="11" s="1"/>
  <c r="I205" i="11"/>
  <c r="K205" i="11" s="1"/>
  <c r="I206" i="11"/>
  <c r="K206" i="11"/>
  <c r="K207" i="11"/>
  <c r="K208" i="11"/>
  <c r="K209" i="11"/>
  <c r="K210" i="11"/>
  <c r="I211" i="11"/>
  <c r="K211" i="11" s="1"/>
  <c r="K212" i="11"/>
  <c r="I213" i="11"/>
  <c r="K213" i="11"/>
  <c r="K214" i="11"/>
  <c r="K216" i="11"/>
  <c r="K217" i="11"/>
  <c r="K218" i="11"/>
  <c r="K219" i="11"/>
  <c r="K220" i="11"/>
  <c r="K221" i="11"/>
  <c r="K222" i="11"/>
  <c r="K223" i="11"/>
  <c r="I224" i="11"/>
  <c r="K225" i="11"/>
  <c r="K226" i="11"/>
  <c r="K228" i="11"/>
  <c r="K229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I250" i="11"/>
  <c r="K250" i="11"/>
  <c r="I251" i="11"/>
  <c r="K251" i="11"/>
  <c r="I252" i="11"/>
  <c r="K252" i="11" s="1"/>
  <c r="K253" i="11"/>
  <c r="K254" i="11"/>
  <c r="K255" i="11"/>
  <c r="K256" i="11"/>
  <c r="K257" i="11"/>
  <c r="K259" i="11"/>
  <c r="K260" i="11"/>
  <c r="I261" i="11"/>
  <c r="K261" i="11" s="1"/>
  <c r="I262" i="11"/>
  <c r="K262" i="11" s="1"/>
  <c r="I263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I278" i="11"/>
  <c r="K278" i="11"/>
  <c r="I279" i="11"/>
  <c r="K279" i="11" s="1"/>
  <c r="K280" i="11"/>
  <c r="I281" i="11"/>
  <c r="K281" i="11"/>
  <c r="K282" i="11"/>
  <c r="K283" i="11"/>
  <c r="K284" i="11"/>
  <c r="K285" i="11"/>
  <c r="I286" i="11"/>
  <c r="K286" i="11" s="1"/>
  <c r="K287" i="11"/>
  <c r="K288" i="11"/>
  <c r="K290" i="11"/>
  <c r="K291" i="11"/>
  <c r="K292" i="11"/>
  <c r="K293" i="11"/>
  <c r="K294" i="11"/>
  <c r="K295" i="11"/>
  <c r="K296" i="11"/>
  <c r="K297" i="11"/>
  <c r="K298" i="11"/>
  <c r="K299" i="11"/>
  <c r="I300" i="11"/>
  <c r="K300" i="11"/>
  <c r="I301" i="11"/>
  <c r="K301" i="11"/>
  <c r="I302" i="11"/>
  <c r="K302" i="11" s="1"/>
  <c r="I303" i="11"/>
  <c r="K303" i="11" s="1"/>
  <c r="K304" i="11"/>
  <c r="K305" i="11"/>
  <c r="K306" i="11"/>
  <c r="I307" i="11"/>
  <c r="K307" i="11" s="1"/>
  <c r="I308" i="11"/>
  <c r="K308" i="11" s="1"/>
  <c r="I309" i="11"/>
  <c r="K309" i="11" s="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I331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I401" i="11"/>
  <c r="K401" i="11" s="1"/>
  <c r="I402" i="11"/>
  <c r="K402" i="11" s="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I428" i="11"/>
  <c r="K428" i="11" s="1"/>
  <c r="I429" i="11"/>
  <c r="K429" i="11"/>
  <c r="I430" i="11"/>
  <c r="K430" i="11" s="1"/>
  <c r="I431" i="11"/>
  <c r="K431" i="11" s="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5" i="11"/>
  <c r="K576" i="11"/>
  <c r="K577" i="11"/>
  <c r="K578" i="11"/>
  <c r="K579" i="11"/>
  <c r="I580" i="11"/>
  <c r="K580" i="11" s="1"/>
  <c r="Q580" i="11" a="1"/>
  <c r="Q580" i="11" s="1"/>
  <c r="S580" i="11" a="1"/>
  <c r="S580" i="11" s="1"/>
  <c r="U580" i="11" a="1"/>
  <c r="U580" i="11" s="1"/>
  <c r="I581" i="11"/>
  <c r="K581" i="11" s="1"/>
  <c r="Q581" i="11" a="1"/>
  <c r="Q581" i="11" s="1"/>
  <c r="S581" i="11" a="1"/>
  <c r="S581" i="11" s="1"/>
  <c r="U581" i="11" a="1"/>
  <c r="U581" i="11"/>
  <c r="I582" i="11"/>
  <c r="K582" i="11" s="1"/>
  <c r="Q582" i="11" a="1"/>
  <c r="Q582" i="11" s="1"/>
  <c r="S582" i="11" a="1"/>
  <c r="S582" i="11" s="1"/>
  <c r="U582" i="11" a="1"/>
  <c r="U582" i="11" s="1"/>
  <c r="K583" i="11"/>
  <c r="Q583" i="11" a="1"/>
  <c r="Q583" i="11" s="1"/>
  <c r="S583" i="11" a="1"/>
  <c r="S583" i="11" s="1"/>
  <c r="U583" i="11" a="1"/>
  <c r="U583" i="11"/>
  <c r="K584" i="11"/>
  <c r="Q584" i="11" a="1"/>
  <c r="Q584" i="11" s="1"/>
  <c r="S584" i="11" a="1"/>
  <c r="S584" i="11" s="1"/>
  <c r="U584" i="11" a="1"/>
  <c r="U584" i="11" s="1"/>
  <c r="I585" i="11"/>
  <c r="K585" i="11"/>
  <c r="Q585" i="11" a="1"/>
  <c r="Q585" i="11" s="1"/>
  <c r="S585" i="11" a="1"/>
  <c r="S585" i="11" s="1"/>
  <c r="U585" i="11" a="1"/>
  <c r="U585" i="11" s="1"/>
  <c r="K586" i="11"/>
  <c r="Q586" i="11" a="1"/>
  <c r="Q586" i="11" s="1"/>
  <c r="S586" i="11" a="1"/>
  <c r="S586" i="11" s="1"/>
  <c r="Q587" i="11" a="1"/>
  <c r="Q587" i="11" s="1"/>
  <c r="S587" i="11" a="1"/>
  <c r="S587" i="11" s="1"/>
  <c r="U587" i="11" a="1"/>
  <c r="U587" i="11" s="1"/>
  <c r="Q588" i="11" a="1"/>
  <c r="Q588" i="11" s="1"/>
  <c r="S588" i="11" a="1"/>
  <c r="S588" i="11"/>
  <c r="U588" i="11" a="1"/>
  <c r="U588" i="11" s="1"/>
  <c r="I589" i="11"/>
  <c r="Q589" i="11" a="1"/>
  <c r="Q589" i="11"/>
  <c r="S589" i="11" a="1"/>
  <c r="S589" i="11" s="1"/>
  <c r="U589" i="11" a="1"/>
  <c r="U589" i="11" s="1"/>
  <c r="K590" i="11"/>
  <c r="Q590" i="11" a="1"/>
  <c r="Q590" i="11" s="1"/>
  <c r="S590" i="11" a="1"/>
  <c r="S590" i="11" s="1"/>
  <c r="U590" i="11" a="1"/>
  <c r="U590" i="11" s="1"/>
  <c r="K591" i="11"/>
  <c r="Q591" i="11" a="1"/>
  <c r="Q591" i="11" s="1"/>
  <c r="S591" i="11" a="1"/>
  <c r="S591" i="11" s="1"/>
  <c r="U591" i="11" a="1"/>
  <c r="U591" i="11" s="1"/>
  <c r="K592" i="11"/>
  <c r="Q592" i="11" a="1"/>
  <c r="Q592" i="11" s="1"/>
  <c r="S592" i="11" a="1"/>
  <c r="S592" i="11" s="1"/>
  <c r="U592" i="11" a="1"/>
  <c r="U592" i="11" s="1"/>
  <c r="K593" i="11"/>
  <c r="Q593" i="11" a="1"/>
  <c r="Q593" i="11" s="1"/>
  <c r="S593" i="11" a="1"/>
  <c r="S593" i="11"/>
  <c r="K594" i="11"/>
  <c r="Q594" i="11" a="1"/>
  <c r="Q594" i="11" s="1"/>
  <c r="S594" i="11" a="1"/>
  <c r="S594" i="11" s="1"/>
  <c r="K595" i="11"/>
  <c r="Q595" i="11" a="1"/>
  <c r="Q595" i="11" s="1"/>
  <c r="S595" i="11" a="1"/>
  <c r="S595" i="11" s="1"/>
  <c r="U595" i="11" a="1"/>
  <c r="U595" i="11" s="1"/>
  <c r="K596" i="11"/>
  <c r="I597" i="11"/>
  <c r="K597" i="11"/>
  <c r="Q597" i="11" a="1"/>
  <c r="Q597" i="11" s="1"/>
  <c r="S597" i="11" a="1"/>
  <c r="S597" i="11" s="1"/>
  <c r="U597" i="11" a="1"/>
  <c r="U597" i="11" s="1"/>
  <c r="K598" i="11"/>
  <c r="Q598" i="11" a="1"/>
  <c r="Q598" i="11"/>
  <c r="S598" i="11" a="1"/>
  <c r="S598" i="11" s="1"/>
  <c r="U598" i="11" a="1"/>
  <c r="U598" i="11"/>
  <c r="K599" i="11"/>
  <c r="Q599" i="11" a="1"/>
  <c r="Q599" i="11"/>
  <c r="S599" i="11" a="1"/>
  <c r="S599" i="11" s="1"/>
  <c r="U599" i="11" a="1"/>
  <c r="U599" i="11" s="1"/>
  <c r="K600" i="11"/>
  <c r="Q600" i="11" a="1"/>
  <c r="Q600" i="11"/>
  <c r="S600" i="11" a="1"/>
  <c r="S600" i="11" s="1"/>
  <c r="U600" i="11" a="1"/>
  <c r="U600" i="11" s="1"/>
  <c r="K601" i="11"/>
  <c r="Q601" i="11" a="1"/>
  <c r="Q601" i="11" s="1"/>
  <c r="S601" i="11" a="1"/>
  <c r="S601" i="11" s="1"/>
  <c r="K602" i="11"/>
  <c r="Q602" i="11" a="1"/>
  <c r="Q602" i="11"/>
  <c r="S602" i="11" a="1"/>
  <c r="S602" i="11" s="1"/>
  <c r="Q604" i="11" a="1"/>
  <c r="Q604" i="11" s="1"/>
  <c r="S604" i="11" a="1"/>
  <c r="S604" i="11"/>
  <c r="K605" i="11"/>
  <c r="Q605" i="11" a="1"/>
  <c r="Q605" i="11" s="1"/>
  <c r="S605" i="11" a="1"/>
  <c r="S605" i="11" s="1"/>
  <c r="K606" i="11"/>
  <c r="Q606" i="11" a="1"/>
  <c r="Q606" i="11"/>
  <c r="S606" i="11" a="1"/>
  <c r="S606" i="11"/>
  <c r="K607" i="11"/>
  <c r="Q607" i="11" a="1"/>
  <c r="Q607" i="11" s="1"/>
  <c r="S607" i="11" a="1"/>
  <c r="S607" i="11"/>
  <c r="U607" i="11" a="1"/>
  <c r="U607" i="11" s="1"/>
  <c r="K608" i="11"/>
  <c r="Q608" i="11" a="1"/>
  <c r="Q608" i="11" s="1"/>
  <c r="S608" i="11" a="1"/>
  <c r="S608" i="11"/>
  <c r="U608" i="11" a="1"/>
  <c r="U608" i="11"/>
  <c r="K609" i="11"/>
  <c r="Q609" i="11" a="1"/>
  <c r="Q609" i="11" s="1"/>
  <c r="S609" i="11" a="1"/>
  <c r="S609" i="11" s="1"/>
  <c r="U609" i="11" a="1"/>
  <c r="U609" i="11"/>
  <c r="K610" i="11"/>
  <c r="Q610" i="11" a="1"/>
  <c r="Q610" i="11"/>
  <c r="S610" i="11" a="1"/>
  <c r="S610" i="11"/>
  <c r="U610" i="11" a="1"/>
  <c r="U610" i="11" s="1"/>
  <c r="Q611" i="11" a="1"/>
  <c r="Q611" i="11"/>
  <c r="S611" i="11" a="1"/>
  <c r="S611" i="11" s="1"/>
  <c r="U611" i="11" a="1"/>
  <c r="U611" i="11"/>
  <c r="K612" i="11"/>
  <c r="Q612" i="11" a="1"/>
  <c r="Q612" i="11" s="1"/>
  <c r="S612" i="11" a="1"/>
  <c r="S612" i="11" s="1"/>
  <c r="U612" i="11" a="1"/>
  <c r="U612" i="11"/>
  <c r="W612" i="11" a="1"/>
  <c r="W612" i="11"/>
  <c r="H3" i="11"/>
  <c r="W4" i="11" a="1"/>
  <c r="W4" i="11" s="1"/>
  <c r="U4" i="11" a="1"/>
  <c r="U4" i="11" s="1"/>
  <c r="S4" i="11" a="1"/>
  <c r="S4" i="11" s="1"/>
  <c r="Q4" i="11" a="1"/>
  <c r="Q4" i="11" s="1"/>
  <c r="U3" i="11" a="1"/>
  <c r="U3" i="11" s="1"/>
  <c r="S3" i="11" a="1"/>
  <c r="S3" i="11" s="1"/>
  <c r="Q3" i="11" a="1"/>
  <c r="Q3" i="11" s="1"/>
  <c r="S2" i="11" a="1"/>
  <c r="S2" i="11" s="1"/>
  <c r="Q2" i="11" a="1"/>
  <c r="Q2" i="11" s="1"/>
  <c r="K234" i="2"/>
  <c r="K233" i="2"/>
  <c r="Y601" i="2" a="1"/>
  <c r="Y601" i="2" s="1"/>
  <c r="W601" i="2" a="1"/>
  <c r="W601" i="2" s="1"/>
  <c r="U601" i="2" a="1"/>
  <c r="U601" i="2" s="1"/>
  <c r="S601" i="2" a="1"/>
  <c r="S601" i="2" s="1"/>
  <c r="K601" i="2"/>
  <c r="W600" i="2" a="1"/>
  <c r="W600" i="2" s="1"/>
  <c r="U600" i="2" a="1"/>
  <c r="U600" i="2" s="1"/>
  <c r="S600" i="2" a="1"/>
  <c r="S600" i="2" s="1"/>
  <c r="K599" i="2"/>
  <c r="W599" i="2" a="1"/>
  <c r="W599" i="2"/>
  <c r="U599" i="2" a="1"/>
  <c r="U599" i="2"/>
  <c r="S599" i="2" a="1"/>
  <c r="S599" i="2" s="1"/>
  <c r="W598" i="2" a="1"/>
  <c r="W598" i="2" s="1"/>
  <c r="U598" i="2" a="1"/>
  <c r="U598" i="2" s="1"/>
  <c r="S598" i="2" a="1"/>
  <c r="S598" i="2" s="1"/>
  <c r="K598" i="2"/>
  <c r="W597" i="2" a="1"/>
  <c r="W597" i="2" s="1"/>
  <c r="U597" i="2" a="1"/>
  <c r="U597" i="2" s="1"/>
  <c r="S597" i="2" a="1"/>
  <c r="S597" i="2" s="1"/>
  <c r="K597" i="2"/>
  <c r="W596" i="2" a="1"/>
  <c r="W596" i="2" s="1"/>
  <c r="U596" i="2" a="1"/>
  <c r="U596" i="2" s="1"/>
  <c r="S596" i="2" a="1"/>
  <c r="S596" i="2" s="1"/>
  <c r="K596" i="2"/>
  <c r="U595" i="2" a="1"/>
  <c r="U595" i="2" s="1"/>
  <c r="S595" i="2" a="1"/>
  <c r="S595" i="2" s="1"/>
  <c r="K595" i="2"/>
  <c r="U594" i="2" a="1"/>
  <c r="U594" i="2" s="1"/>
  <c r="S594" i="2" a="1"/>
  <c r="S594" i="2" s="1"/>
  <c r="K594" i="2"/>
  <c r="U593" i="2" a="1"/>
  <c r="U593" i="2" s="1"/>
  <c r="S593" i="2" a="1"/>
  <c r="S593" i="2" s="1"/>
  <c r="U591" i="2" a="1"/>
  <c r="U591" i="2" s="1"/>
  <c r="S591" i="2" a="1"/>
  <c r="S591" i="2" s="1"/>
  <c r="K591" i="2"/>
  <c r="U590" i="2" a="1"/>
  <c r="U590" i="2" s="1"/>
  <c r="S590" i="2" a="1"/>
  <c r="S590" i="2" s="1"/>
  <c r="K590" i="2"/>
  <c r="W589" i="2" a="1"/>
  <c r="W589" i="2" s="1"/>
  <c r="U589" i="2" a="1"/>
  <c r="U589" i="2" s="1"/>
  <c r="S589" i="2" a="1"/>
  <c r="S589" i="2" s="1"/>
  <c r="K589" i="2"/>
  <c r="K253" i="2"/>
  <c r="W586" i="2" a="1"/>
  <c r="W586" i="2" s="1"/>
  <c r="U586" i="2" a="1"/>
  <c r="U586" i="2" s="1"/>
  <c r="S586" i="2" a="1"/>
  <c r="S586" i="2" s="1"/>
  <c r="W588" i="2" a="1"/>
  <c r="W588" i="2" s="1"/>
  <c r="U588" i="2" a="1"/>
  <c r="U588" i="2" s="1"/>
  <c r="S588" i="2" a="1"/>
  <c r="S588" i="2" s="1"/>
  <c r="K588" i="2"/>
  <c r="W587" i="2" a="1"/>
  <c r="W587" i="2" s="1"/>
  <c r="U587" i="2" a="1"/>
  <c r="U587" i="2" s="1"/>
  <c r="S587" i="2" a="1"/>
  <c r="S587" i="2" s="1"/>
  <c r="K587" i="2"/>
  <c r="I586" i="2"/>
  <c r="K586" i="2" s="1"/>
  <c r="W584" i="2" a="1"/>
  <c r="W584" i="2" s="1"/>
  <c r="U584" i="2" a="1"/>
  <c r="U584" i="2" s="1"/>
  <c r="S584" i="2" a="1"/>
  <c r="S584" i="2" s="1"/>
  <c r="K584" i="2"/>
  <c r="U583" i="2" a="1"/>
  <c r="U583" i="2" s="1"/>
  <c r="S583" i="2" a="1"/>
  <c r="S583" i="2" s="1"/>
  <c r="K583" i="2"/>
  <c r="U582" i="2" a="1"/>
  <c r="U582" i="2" s="1"/>
  <c r="S582" i="2" a="1"/>
  <c r="S582" i="2" s="1"/>
  <c r="K582" i="2"/>
  <c r="W581" i="2" a="1"/>
  <c r="W581" i="2" s="1"/>
  <c r="U581" i="2" a="1"/>
  <c r="U581" i="2" s="1"/>
  <c r="S581" i="2" a="1"/>
  <c r="S581" i="2" s="1"/>
  <c r="W580" i="2" a="1"/>
  <c r="W580" i="2" s="1"/>
  <c r="U580" i="2" a="1"/>
  <c r="U580" i="2" s="1"/>
  <c r="S580" i="2" a="1"/>
  <c r="S580" i="2" s="1"/>
  <c r="K580" i="2"/>
  <c r="S579" i="2" a="1"/>
  <c r="S579" i="2" s="1"/>
  <c r="U579" i="2" a="1"/>
  <c r="U579" i="2" s="1"/>
  <c r="W579" i="2" a="1"/>
  <c r="W579" i="2" s="1"/>
  <c r="K579" i="2"/>
  <c r="K521" i="2"/>
  <c r="W578" i="2" a="1"/>
  <c r="W578" i="2" s="1"/>
  <c r="U578" i="2" a="1"/>
  <c r="U578" i="2" s="1"/>
  <c r="S578" i="2" a="1"/>
  <c r="S578" i="2" s="1"/>
  <c r="I578" i="2"/>
  <c r="S577" i="2" a="1"/>
  <c r="S577" i="2" s="1"/>
  <c r="U577" i="2" a="1"/>
  <c r="U577" i="2" s="1"/>
  <c r="W577" i="2" a="1"/>
  <c r="W577" i="2" s="1"/>
  <c r="W576" i="2" a="1"/>
  <c r="W576" i="2" s="1"/>
  <c r="U576" i="2" a="1"/>
  <c r="U576" i="2" s="1"/>
  <c r="S576" i="2" a="1"/>
  <c r="S576" i="2" s="1"/>
  <c r="S575" i="2" a="1"/>
  <c r="S575" i="2" s="1"/>
  <c r="U575" i="2" a="1"/>
  <c r="U575" i="2" s="1"/>
  <c r="K575" i="2"/>
  <c r="W574" i="2" a="1"/>
  <c r="W574" i="2" s="1"/>
  <c r="U574" i="2" a="1"/>
  <c r="U574" i="2" s="1"/>
  <c r="S574" i="2" a="1"/>
  <c r="S574" i="2" s="1"/>
  <c r="I574" i="2"/>
  <c r="K574" i="2" s="1"/>
  <c r="W573" i="2" a="1"/>
  <c r="W573" i="2" s="1"/>
  <c r="U573" i="2" a="1"/>
  <c r="U573" i="2" s="1"/>
  <c r="S573" i="2" a="1"/>
  <c r="S573" i="2" s="1"/>
  <c r="K573" i="2"/>
  <c r="K426" i="2"/>
  <c r="S572" i="2" a="1"/>
  <c r="S572" i="2" s="1"/>
  <c r="W572" i="2" a="1"/>
  <c r="W572" i="2" s="1"/>
  <c r="U572" i="2" a="1"/>
  <c r="U572" i="2" s="1"/>
  <c r="K572" i="2"/>
  <c r="W571" i="2" a="1"/>
  <c r="W571" i="2" s="1"/>
  <c r="S570" i="2" a="1"/>
  <c r="S570" i="2" s="1"/>
  <c r="U570" i="2" a="1"/>
  <c r="U570" i="2" s="1"/>
  <c r="W570" i="2" a="1"/>
  <c r="W570" i="2" s="1"/>
  <c r="S571" i="2" a="1"/>
  <c r="S571" i="2" s="1"/>
  <c r="U571" i="2" a="1"/>
  <c r="U571" i="2" s="1"/>
  <c r="W569" i="2" a="1"/>
  <c r="W569" i="2" s="1"/>
  <c r="U569" i="2" a="1"/>
  <c r="U569" i="2" s="1"/>
  <c r="S569" i="2" a="1"/>
  <c r="S569" i="2" s="1"/>
  <c r="I570" i="2"/>
  <c r="K570" i="2" s="1"/>
  <c r="I571" i="2"/>
  <c r="K571" i="2" s="1"/>
  <c r="I569" i="2"/>
  <c r="K569" i="2" s="1"/>
  <c r="K568" i="2"/>
  <c r="K567" i="2"/>
  <c r="H4" i="8"/>
  <c r="G4" i="8"/>
  <c r="K572" i="8"/>
  <c r="K571" i="8"/>
  <c r="K570" i="8"/>
  <c r="K569" i="8"/>
  <c r="K568" i="8"/>
  <c r="K567" i="8"/>
  <c r="K566" i="8"/>
  <c r="K565" i="8"/>
  <c r="K564" i="8"/>
  <c r="K563" i="8"/>
  <c r="K562" i="8"/>
  <c r="K561" i="8"/>
  <c r="K560" i="8"/>
  <c r="K559" i="8"/>
  <c r="K558" i="8"/>
  <c r="K556" i="8"/>
  <c r="K555" i="8"/>
  <c r="K554" i="8"/>
  <c r="K553" i="8"/>
  <c r="K552" i="8"/>
  <c r="K551" i="8"/>
  <c r="K550" i="8"/>
  <c r="K549" i="8"/>
  <c r="K548" i="8"/>
  <c r="K547" i="8"/>
  <c r="K546" i="8"/>
  <c r="K545" i="8"/>
  <c r="K543" i="8"/>
  <c r="K542" i="8"/>
  <c r="K541" i="8"/>
  <c r="K540" i="8"/>
  <c r="K539" i="8"/>
  <c r="K538" i="8"/>
  <c r="K537" i="8"/>
  <c r="K536" i="8"/>
  <c r="K535" i="8"/>
  <c r="K534" i="8"/>
  <c r="K533" i="8"/>
  <c r="K532" i="8"/>
  <c r="K531" i="8"/>
  <c r="K529" i="8"/>
  <c r="K528" i="8"/>
  <c r="K527" i="8"/>
  <c r="K526" i="8"/>
  <c r="K525" i="8"/>
  <c r="K524" i="8"/>
  <c r="K523" i="8"/>
  <c r="K522" i="8"/>
  <c r="K521" i="8"/>
  <c r="K520" i="8"/>
  <c r="K519" i="8"/>
  <c r="K518" i="8"/>
  <c r="K517" i="8"/>
  <c r="K516" i="8"/>
  <c r="K515" i="8"/>
  <c r="K514" i="8"/>
  <c r="K513" i="8"/>
  <c r="K512" i="8"/>
  <c r="K511" i="8"/>
  <c r="K510" i="8"/>
  <c r="K509" i="8"/>
  <c r="K508" i="8"/>
  <c r="K507" i="8"/>
  <c r="K506" i="8"/>
  <c r="K505" i="8"/>
  <c r="K504" i="8"/>
  <c r="K503" i="8"/>
  <c r="K502" i="8"/>
  <c r="K501" i="8"/>
  <c r="K500" i="8"/>
  <c r="K499" i="8"/>
  <c r="K498" i="8"/>
  <c r="K497" i="8"/>
  <c r="K496" i="8"/>
  <c r="K495" i="8"/>
  <c r="K494" i="8"/>
  <c r="K493" i="8"/>
  <c r="K492" i="8"/>
  <c r="K491" i="8"/>
  <c r="K490" i="8"/>
  <c r="K489" i="8"/>
  <c r="K488" i="8"/>
  <c r="K487" i="8"/>
  <c r="K486" i="8"/>
  <c r="K485" i="8"/>
  <c r="K484" i="8"/>
  <c r="K483" i="8"/>
  <c r="K482" i="8"/>
  <c r="K481" i="8"/>
  <c r="K480" i="8"/>
  <c r="K479" i="8"/>
  <c r="K478" i="8"/>
  <c r="K477" i="8"/>
  <c r="K476" i="8"/>
  <c r="K475" i="8"/>
  <c r="K474" i="8"/>
  <c r="K473" i="8"/>
  <c r="K472" i="8"/>
  <c r="K471" i="8"/>
  <c r="K470" i="8"/>
  <c r="K469" i="8"/>
  <c r="K468" i="8"/>
  <c r="K467" i="8"/>
  <c r="K466" i="8"/>
  <c r="K465" i="8"/>
  <c r="K464" i="8"/>
  <c r="K463" i="8"/>
  <c r="K462" i="8"/>
  <c r="K461" i="8"/>
  <c r="K460" i="8"/>
  <c r="K459" i="8"/>
  <c r="K458" i="8"/>
  <c r="K457" i="8"/>
  <c r="K456" i="8"/>
  <c r="K455" i="8"/>
  <c r="K454" i="8"/>
  <c r="K453" i="8"/>
  <c r="K452" i="8"/>
  <c r="K451" i="8"/>
  <c r="K450" i="8"/>
  <c r="K449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I431" i="8"/>
  <c r="K431" i="8" s="1"/>
  <c r="I430" i="8"/>
  <c r="K430" i="8" s="1"/>
  <c r="I429" i="8"/>
  <c r="K429" i="8" s="1"/>
  <c r="I428" i="8"/>
  <c r="K428" i="8" s="1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3" i="8"/>
  <c r="I402" i="8"/>
  <c r="K402" i="8" s="1"/>
  <c r="I401" i="8"/>
  <c r="K401" i="8" s="1"/>
  <c r="K400" i="8"/>
  <c r="K399" i="8"/>
  <c r="K398" i="8"/>
  <c r="K397" i="8"/>
  <c r="K396" i="8"/>
  <c r="K395" i="8"/>
  <c r="K394" i="8"/>
  <c r="K393" i="8"/>
  <c r="K392" i="8"/>
  <c r="K391" i="8"/>
  <c r="K390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4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I331" i="8"/>
  <c r="K331" i="8" s="1"/>
  <c r="K330" i="8"/>
  <c r="K329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I309" i="8"/>
  <c r="K309" i="8" s="1"/>
  <c r="I308" i="8"/>
  <c r="K308" i="8" s="1"/>
  <c r="I307" i="8"/>
  <c r="K307" i="8" s="1"/>
  <c r="K306" i="8"/>
  <c r="K305" i="8"/>
  <c r="K304" i="8"/>
  <c r="I303" i="8"/>
  <c r="K303" i="8" s="1"/>
  <c r="I302" i="8"/>
  <c r="K302" i="8" s="1"/>
  <c r="I301" i="8"/>
  <c r="K301" i="8" s="1"/>
  <c r="I300" i="8"/>
  <c r="K300" i="8" s="1"/>
  <c r="K299" i="8"/>
  <c r="K298" i="8"/>
  <c r="K297" i="8"/>
  <c r="K296" i="8"/>
  <c r="K295" i="8"/>
  <c r="K294" i="8"/>
  <c r="K293" i="8"/>
  <c r="K292" i="8"/>
  <c r="K291" i="8"/>
  <c r="K290" i="8"/>
  <c r="K288" i="8"/>
  <c r="K287" i="8"/>
  <c r="I286" i="8"/>
  <c r="K286" i="8" s="1"/>
  <c r="K285" i="8"/>
  <c r="K284" i="8"/>
  <c r="K283" i="8"/>
  <c r="K282" i="8"/>
  <c r="I281" i="8"/>
  <c r="K281" i="8" s="1"/>
  <c r="K280" i="8"/>
  <c r="I279" i="8"/>
  <c r="K279" i="8" s="1"/>
  <c r="I278" i="8"/>
  <c r="K278" i="8" s="1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I263" i="8"/>
  <c r="K263" i="8" s="1"/>
  <c r="I262" i="8"/>
  <c r="K262" i="8" s="1"/>
  <c r="I261" i="8"/>
  <c r="K261" i="8" s="1"/>
  <c r="K260" i="8"/>
  <c r="K259" i="8"/>
  <c r="K257" i="8"/>
  <c r="K256" i="8"/>
  <c r="K255" i="8"/>
  <c r="K254" i="8"/>
  <c r="K253" i="8"/>
  <c r="I252" i="8"/>
  <c r="K252" i="8" s="1"/>
  <c r="I251" i="8"/>
  <c r="K251" i="8" s="1"/>
  <c r="I250" i="8"/>
  <c r="K250" i="8" s="1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29" i="8"/>
  <c r="K228" i="8"/>
  <c r="K226" i="8"/>
  <c r="K225" i="8"/>
  <c r="I224" i="8"/>
  <c r="K223" i="8"/>
  <c r="K222" i="8"/>
  <c r="K221" i="8"/>
  <c r="K220" i="8"/>
  <c r="K219" i="8"/>
  <c r="K218" i="8"/>
  <c r="K217" i="8"/>
  <c r="K216" i="8"/>
  <c r="K214" i="8"/>
  <c r="I213" i="8"/>
  <c r="K213" i="8" s="1"/>
  <c r="K212" i="8"/>
  <c r="I211" i="8"/>
  <c r="K211" i="8" s="1"/>
  <c r="K210" i="8"/>
  <c r="K209" i="8"/>
  <c r="K208" i="8"/>
  <c r="K207" i="8"/>
  <c r="I206" i="8"/>
  <c r="K206" i="8" s="1"/>
  <c r="I205" i="8"/>
  <c r="K205" i="8" s="1"/>
  <c r="I204" i="8"/>
  <c r="K204" i="8" s="1"/>
  <c r="I202" i="8"/>
  <c r="K201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I137" i="8"/>
  <c r="K137" i="8" s="1"/>
  <c r="I136" i="8"/>
  <c r="K136" i="8" s="1"/>
  <c r="K135" i="8"/>
  <c r="K134" i="8"/>
  <c r="K133" i="8"/>
  <c r="K132" i="8"/>
  <c r="K131" i="8"/>
  <c r="K130" i="8"/>
  <c r="K129" i="8"/>
  <c r="K128" i="8"/>
  <c r="I127" i="8"/>
  <c r="K127" i="8" s="1"/>
  <c r="I126" i="8"/>
  <c r="K126" i="8" s="1"/>
  <c r="K125" i="8"/>
  <c r="K124" i="8"/>
  <c r="K123" i="8"/>
  <c r="K122" i="8"/>
  <c r="K121" i="8"/>
  <c r="K120" i="8"/>
  <c r="K119" i="8"/>
  <c r="K118" i="8"/>
  <c r="K117" i="8"/>
  <c r="K116" i="8"/>
  <c r="K115" i="8"/>
  <c r="I114" i="8"/>
  <c r="K114" i="8" s="1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I100" i="8"/>
  <c r="I99" i="8"/>
  <c r="I98" i="8"/>
  <c r="K98" i="8" s="1"/>
  <c r="K97" i="8"/>
  <c r="K96" i="8"/>
  <c r="I95" i="8"/>
  <c r="K95" i="8" s="1"/>
  <c r="I94" i="8"/>
  <c r="K94" i="8" s="1"/>
  <c r="K93" i="8"/>
  <c r="I92" i="8"/>
  <c r="K92" i="8" s="1"/>
  <c r="I91" i="8"/>
  <c r="K91" i="8" s="1"/>
  <c r="I90" i="8"/>
  <c r="K90" i="8" s="1"/>
  <c r="I89" i="8"/>
  <c r="K89" i="8" s="1"/>
  <c r="K88" i="8"/>
  <c r="K87" i="8"/>
  <c r="K86" i="8"/>
  <c r="AE85" i="8"/>
  <c r="K85" i="8"/>
  <c r="K84" i="8"/>
  <c r="K83" i="8"/>
  <c r="I82" i="8"/>
  <c r="K82" i="8" s="1"/>
  <c r="I81" i="8"/>
  <c r="K81" i="8" s="1"/>
  <c r="I80" i="8"/>
  <c r="K80" i="8" s="1"/>
  <c r="I79" i="8"/>
  <c r="K79" i="8" s="1"/>
  <c r="I78" i="8"/>
  <c r="K78" i="8" s="1"/>
  <c r="I77" i="8"/>
  <c r="K77" i="8" s="1"/>
  <c r="K76" i="8"/>
  <c r="K75" i="8"/>
  <c r="I74" i="8"/>
  <c r="K74" i="8" s="1"/>
  <c r="I73" i="8"/>
  <c r="K73" i="8" s="1"/>
  <c r="I72" i="8"/>
  <c r="K72" i="8" s="1"/>
  <c r="I71" i="8"/>
  <c r="K71" i="8" s="1"/>
  <c r="I70" i="8"/>
  <c r="K70" i="8" s="1"/>
  <c r="I69" i="8"/>
  <c r="K69" i="8" s="1"/>
  <c r="I68" i="8"/>
  <c r="K68" i="8" s="1"/>
  <c r="I67" i="8"/>
  <c r="K67" i="8" s="1"/>
  <c r="I66" i="8"/>
  <c r="K66" i="8" s="1"/>
  <c r="I65" i="8"/>
  <c r="K65" i="8" s="1"/>
  <c r="I64" i="8"/>
  <c r="K64" i="8" s="1"/>
  <c r="I63" i="8"/>
  <c r="K63" i="8" s="1"/>
  <c r="I62" i="8"/>
  <c r="K62" i="8" s="1"/>
  <c r="I61" i="8"/>
  <c r="K61" i="8" s="1"/>
  <c r="I60" i="8"/>
  <c r="K60" i="8" s="1"/>
  <c r="I59" i="8"/>
  <c r="K59" i="8" s="1"/>
  <c r="K58" i="8"/>
  <c r="K57" i="8"/>
  <c r="K56" i="8"/>
  <c r="K55" i="8"/>
  <c r="K54" i="8"/>
  <c r="I53" i="8"/>
  <c r="K53" i="8" s="1"/>
  <c r="I52" i="8"/>
  <c r="K52" i="8" s="1"/>
  <c r="I51" i="8"/>
  <c r="K51" i="8" s="1"/>
  <c r="I50" i="8"/>
  <c r="K50" i="8" s="1"/>
  <c r="K49" i="8"/>
  <c r="K48" i="8"/>
  <c r="K47" i="8"/>
  <c r="K46" i="8"/>
  <c r="I45" i="8"/>
  <c r="K45" i="8" s="1"/>
  <c r="I44" i="8"/>
  <c r="K44" i="8" s="1"/>
  <c r="I43" i="8"/>
  <c r="K43" i="8" s="1"/>
  <c r="K42" i="8"/>
  <c r="I41" i="8"/>
  <c r="K41" i="8" s="1"/>
  <c r="I40" i="8"/>
  <c r="K40" i="8" s="1"/>
  <c r="I39" i="8"/>
  <c r="K39" i="8" s="1"/>
  <c r="AE38" i="8"/>
  <c r="K38" i="8"/>
  <c r="AE37" i="8"/>
  <c r="K37" i="8"/>
  <c r="K36" i="8"/>
  <c r="K35" i="8"/>
  <c r="K34" i="8"/>
  <c r="I33" i="8"/>
  <c r="K33" i="8" s="1"/>
  <c r="I32" i="8"/>
  <c r="K32" i="8" s="1"/>
  <c r="I31" i="8"/>
  <c r="K31" i="8" s="1"/>
  <c r="I30" i="8"/>
  <c r="K30" i="8" s="1"/>
  <c r="I29" i="8"/>
  <c r="K29" i="8" s="1"/>
  <c r="I28" i="8"/>
  <c r="K28" i="8" s="1"/>
  <c r="I27" i="8"/>
  <c r="K27" i="8" s="1"/>
  <c r="I26" i="8"/>
  <c r="K26" i="8" s="1"/>
  <c r="K25" i="8"/>
  <c r="K24" i="8"/>
  <c r="K23" i="8"/>
  <c r="K22" i="8"/>
  <c r="K21" i="8"/>
  <c r="K20" i="8"/>
  <c r="K19" i="8"/>
  <c r="K18" i="8"/>
  <c r="I17" i="8"/>
  <c r="K17" i="8" s="1"/>
  <c r="I16" i="8"/>
  <c r="K16" i="8" s="1"/>
  <c r="I15" i="8"/>
  <c r="K15" i="8" s="1"/>
  <c r="K14" i="8"/>
  <c r="K13" i="8"/>
  <c r="K12" i="8"/>
  <c r="K11" i="8"/>
  <c r="K10" i="8"/>
  <c r="K9" i="8"/>
  <c r="K8" i="8"/>
  <c r="K7" i="8"/>
  <c r="R3" i="8"/>
  <c r="S2" i="8"/>
  <c r="L1" i="8"/>
  <c r="J1" i="8"/>
  <c r="K1" i="8" s="1"/>
  <c r="N1" i="8" s="1"/>
  <c r="K566" i="2"/>
  <c r="K565" i="2"/>
  <c r="K564" i="2"/>
  <c r="K331" i="2"/>
  <c r="K561" i="2"/>
  <c r="K560" i="2"/>
  <c r="K497" i="2"/>
  <c r="K492" i="2"/>
  <c r="K491" i="2"/>
  <c r="I96" i="2"/>
  <c r="I97" i="2"/>
  <c r="I98" i="2"/>
  <c r="K559" i="2"/>
  <c r="K558" i="2"/>
  <c r="K557" i="2"/>
  <c r="K556" i="2"/>
  <c r="K553" i="2"/>
  <c r="K554" i="2"/>
  <c r="K555" i="2"/>
  <c r="K551" i="2"/>
  <c r="K552" i="2"/>
  <c r="K550" i="2"/>
  <c r="K549" i="2"/>
  <c r="K546" i="2"/>
  <c r="K547" i="2"/>
  <c r="K545" i="2"/>
  <c r="K544" i="2"/>
  <c r="K543" i="2"/>
  <c r="K542" i="2"/>
  <c r="K541" i="2"/>
  <c r="K539" i="2"/>
  <c r="K537" i="2"/>
  <c r="K536" i="2"/>
  <c r="K534" i="2"/>
  <c r="K540" i="2"/>
  <c r="L1" i="6"/>
  <c r="J1" i="6"/>
  <c r="K1" i="6" s="1"/>
  <c r="N1" i="6" s="1"/>
  <c r="E4" i="6"/>
  <c r="E3" i="6"/>
  <c r="F3" i="6"/>
  <c r="P1" i="6"/>
  <c r="H3" i="6"/>
  <c r="K533" i="2"/>
  <c r="K532" i="2"/>
  <c r="K531" i="2"/>
  <c r="K317" i="2"/>
  <c r="K3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I431" i="6"/>
  <c r="K431" i="6" s="1"/>
  <c r="I430" i="6"/>
  <c r="K430" i="6" s="1"/>
  <c r="I429" i="6"/>
  <c r="K429" i="6" s="1"/>
  <c r="I428" i="6"/>
  <c r="K428" i="6" s="1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I402" i="6"/>
  <c r="K402" i="6" s="1"/>
  <c r="I401" i="6"/>
  <c r="K401" i="6" s="1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I331" i="6"/>
  <c r="K331" i="6" s="1"/>
  <c r="K330" i="6"/>
  <c r="K329" i="6"/>
  <c r="K328" i="6"/>
  <c r="K327" i="6"/>
  <c r="K326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I309" i="6"/>
  <c r="K309" i="6" s="1"/>
  <c r="I308" i="6"/>
  <c r="K308" i="6" s="1"/>
  <c r="I307" i="6"/>
  <c r="K307" i="6" s="1"/>
  <c r="K306" i="6"/>
  <c r="K305" i="6"/>
  <c r="K304" i="6"/>
  <c r="I303" i="6"/>
  <c r="K303" i="6" s="1"/>
  <c r="I302" i="6"/>
  <c r="K302" i="6" s="1"/>
  <c r="I301" i="6"/>
  <c r="K301" i="6" s="1"/>
  <c r="I300" i="6"/>
  <c r="K300" i="6" s="1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I286" i="6"/>
  <c r="K286" i="6" s="1"/>
  <c r="K285" i="6"/>
  <c r="K284" i="6"/>
  <c r="K283" i="6"/>
  <c r="K282" i="6"/>
  <c r="I281" i="6"/>
  <c r="K281" i="6" s="1"/>
  <c r="K280" i="6"/>
  <c r="I279" i="6"/>
  <c r="K279" i="6" s="1"/>
  <c r="I278" i="6"/>
  <c r="K278" i="6" s="1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I263" i="6"/>
  <c r="K263" i="6" s="1"/>
  <c r="I262" i="6"/>
  <c r="K262" i="6" s="1"/>
  <c r="I261" i="6"/>
  <c r="K261" i="6" s="1"/>
  <c r="K260" i="6"/>
  <c r="K259" i="6"/>
  <c r="K257" i="6"/>
  <c r="K256" i="6"/>
  <c r="K255" i="6"/>
  <c r="K254" i="6"/>
  <c r="K253" i="6"/>
  <c r="I252" i="6"/>
  <c r="K252" i="6" s="1"/>
  <c r="I251" i="6"/>
  <c r="K251" i="6" s="1"/>
  <c r="I250" i="6"/>
  <c r="K250" i="6" s="1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29" i="6"/>
  <c r="K228" i="6"/>
  <c r="K226" i="6"/>
  <c r="K225" i="6"/>
  <c r="I224" i="6"/>
  <c r="K223" i="6"/>
  <c r="K222" i="6"/>
  <c r="K221" i="6"/>
  <c r="K220" i="6"/>
  <c r="K219" i="6"/>
  <c r="K218" i="6"/>
  <c r="K217" i="6"/>
  <c r="K216" i="6"/>
  <c r="K214" i="6"/>
  <c r="I213" i="6"/>
  <c r="K213" i="6" s="1"/>
  <c r="K212" i="6"/>
  <c r="I211" i="6"/>
  <c r="K211" i="6" s="1"/>
  <c r="K210" i="6"/>
  <c r="K209" i="6"/>
  <c r="K208" i="6"/>
  <c r="K207" i="6"/>
  <c r="I206" i="6"/>
  <c r="K206" i="6" s="1"/>
  <c r="I205" i="6"/>
  <c r="K205" i="6" s="1"/>
  <c r="I204" i="6"/>
  <c r="K204" i="6" s="1"/>
  <c r="I202" i="6"/>
  <c r="K201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I137" i="6"/>
  <c r="K137" i="6" s="1"/>
  <c r="I136" i="6"/>
  <c r="K136" i="6" s="1"/>
  <c r="K135" i="6"/>
  <c r="K134" i="6"/>
  <c r="K133" i="6"/>
  <c r="K132" i="6"/>
  <c r="K131" i="6"/>
  <c r="K130" i="6"/>
  <c r="K129" i="6"/>
  <c r="K128" i="6"/>
  <c r="I127" i="6"/>
  <c r="K127" i="6" s="1"/>
  <c r="I126" i="6"/>
  <c r="K126" i="6" s="1"/>
  <c r="K125" i="6"/>
  <c r="K124" i="6"/>
  <c r="K123" i="6"/>
  <c r="K122" i="6"/>
  <c r="K121" i="6"/>
  <c r="K120" i="6"/>
  <c r="K119" i="6"/>
  <c r="K118" i="6"/>
  <c r="K117" i="6"/>
  <c r="K116" i="6"/>
  <c r="K115" i="6"/>
  <c r="I114" i="6"/>
  <c r="K114" i="6" s="1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I100" i="6"/>
  <c r="K100" i="6" s="1"/>
  <c r="I99" i="6"/>
  <c r="K99" i="6" s="1"/>
  <c r="I98" i="6"/>
  <c r="K98" i="6" s="1"/>
  <c r="K97" i="6"/>
  <c r="K96" i="6"/>
  <c r="I95" i="6"/>
  <c r="K95" i="6" s="1"/>
  <c r="I94" i="6"/>
  <c r="K94" i="6" s="1"/>
  <c r="K93" i="6"/>
  <c r="I92" i="6"/>
  <c r="K92" i="6" s="1"/>
  <c r="I91" i="6"/>
  <c r="K91" i="6" s="1"/>
  <c r="I90" i="6"/>
  <c r="K90" i="6" s="1"/>
  <c r="I89" i="6"/>
  <c r="K89" i="6" s="1"/>
  <c r="K88" i="6"/>
  <c r="K87" i="6"/>
  <c r="K86" i="6"/>
  <c r="AE85" i="6"/>
  <c r="K85" i="6"/>
  <c r="K84" i="6"/>
  <c r="K83" i="6"/>
  <c r="I82" i="6"/>
  <c r="K82" i="6" s="1"/>
  <c r="I81" i="6"/>
  <c r="K81" i="6" s="1"/>
  <c r="I80" i="6"/>
  <c r="K80" i="6" s="1"/>
  <c r="I79" i="6"/>
  <c r="K79" i="6" s="1"/>
  <c r="I78" i="6"/>
  <c r="K78" i="6" s="1"/>
  <c r="I77" i="6"/>
  <c r="K77" i="6" s="1"/>
  <c r="K76" i="6"/>
  <c r="K75" i="6"/>
  <c r="I74" i="6"/>
  <c r="K74" i="6" s="1"/>
  <c r="I73" i="6"/>
  <c r="K73" i="6" s="1"/>
  <c r="I72" i="6"/>
  <c r="K72" i="6" s="1"/>
  <c r="I71" i="6"/>
  <c r="K71" i="6" s="1"/>
  <c r="I70" i="6"/>
  <c r="K70" i="6" s="1"/>
  <c r="I69" i="6"/>
  <c r="K69" i="6" s="1"/>
  <c r="I68" i="6"/>
  <c r="K68" i="6" s="1"/>
  <c r="I67" i="6"/>
  <c r="K67" i="6" s="1"/>
  <c r="I66" i="6"/>
  <c r="K66" i="6" s="1"/>
  <c r="I65" i="6"/>
  <c r="K65" i="6" s="1"/>
  <c r="I64" i="6"/>
  <c r="K64" i="6" s="1"/>
  <c r="I63" i="6"/>
  <c r="K63" i="6" s="1"/>
  <c r="I62" i="6"/>
  <c r="K62" i="6" s="1"/>
  <c r="I61" i="6"/>
  <c r="K61" i="6" s="1"/>
  <c r="I60" i="6"/>
  <c r="K60" i="6" s="1"/>
  <c r="I59" i="6"/>
  <c r="K59" i="6" s="1"/>
  <c r="K58" i="6"/>
  <c r="K57" i="6"/>
  <c r="K56" i="6"/>
  <c r="K55" i="6"/>
  <c r="K54" i="6"/>
  <c r="I53" i="6"/>
  <c r="K53" i="6" s="1"/>
  <c r="I52" i="6"/>
  <c r="K52" i="6" s="1"/>
  <c r="I51" i="6"/>
  <c r="K51" i="6" s="1"/>
  <c r="I50" i="6"/>
  <c r="K50" i="6" s="1"/>
  <c r="K49" i="6"/>
  <c r="K48" i="6"/>
  <c r="K47" i="6"/>
  <c r="K46" i="6"/>
  <c r="I45" i="6"/>
  <c r="K45" i="6" s="1"/>
  <c r="I44" i="6"/>
  <c r="K44" i="6" s="1"/>
  <c r="I43" i="6"/>
  <c r="K43" i="6" s="1"/>
  <c r="K42" i="6"/>
  <c r="I41" i="6"/>
  <c r="K41" i="6" s="1"/>
  <c r="I40" i="6"/>
  <c r="K40" i="6" s="1"/>
  <c r="I39" i="6"/>
  <c r="K39" i="6" s="1"/>
  <c r="AE38" i="6"/>
  <c r="K38" i="6"/>
  <c r="AE37" i="6"/>
  <c r="K37" i="6"/>
  <c r="K36" i="6"/>
  <c r="K35" i="6"/>
  <c r="K34" i="6"/>
  <c r="I33" i="6"/>
  <c r="K33" i="6" s="1"/>
  <c r="I32" i="6"/>
  <c r="K32" i="6" s="1"/>
  <c r="I31" i="6"/>
  <c r="K31" i="6" s="1"/>
  <c r="I30" i="6"/>
  <c r="K30" i="6" s="1"/>
  <c r="I29" i="6"/>
  <c r="K29" i="6" s="1"/>
  <c r="I28" i="6"/>
  <c r="K28" i="6" s="1"/>
  <c r="I27" i="6"/>
  <c r="K27" i="6" s="1"/>
  <c r="I26" i="6"/>
  <c r="K26" i="6" s="1"/>
  <c r="K25" i="6"/>
  <c r="K24" i="6"/>
  <c r="K23" i="6"/>
  <c r="K22" i="6"/>
  <c r="K21" i="6"/>
  <c r="K20" i="6"/>
  <c r="K19" i="6"/>
  <c r="K18" i="6"/>
  <c r="I17" i="6"/>
  <c r="K17" i="6" s="1"/>
  <c r="I16" i="6"/>
  <c r="K16" i="6" s="1"/>
  <c r="I15" i="6"/>
  <c r="K15" i="6" s="1"/>
  <c r="K14" i="6"/>
  <c r="K13" i="6"/>
  <c r="K12" i="6"/>
  <c r="K11" i="6"/>
  <c r="K10" i="6"/>
  <c r="K9" i="6"/>
  <c r="K8" i="6"/>
  <c r="K7" i="6"/>
  <c r="R3" i="6"/>
  <c r="S2" i="6" s="1"/>
  <c r="K528" i="2"/>
  <c r="K529" i="2"/>
  <c r="K530" i="2"/>
  <c r="K459" i="2"/>
  <c r="K527" i="2"/>
  <c r="K526" i="2"/>
  <c r="K525" i="2"/>
  <c r="K524" i="2"/>
  <c r="K523" i="2"/>
  <c r="K522" i="2"/>
  <c r="K238" i="2"/>
  <c r="K520" i="2"/>
  <c r="K517" i="2"/>
  <c r="K518" i="2"/>
  <c r="K519" i="2"/>
  <c r="K516" i="2"/>
  <c r="K8" i="2"/>
  <c r="K9" i="2"/>
  <c r="K10" i="2"/>
  <c r="K11" i="2"/>
  <c r="K12" i="2"/>
  <c r="K13" i="2"/>
  <c r="K14" i="2"/>
  <c r="K18" i="2"/>
  <c r="K19" i="2"/>
  <c r="K20" i="2"/>
  <c r="K21" i="2"/>
  <c r="K22" i="2"/>
  <c r="K23" i="2"/>
  <c r="K24" i="2"/>
  <c r="K25" i="2"/>
  <c r="K34" i="2"/>
  <c r="K35" i="2"/>
  <c r="K36" i="2"/>
  <c r="K37" i="2"/>
  <c r="K38" i="2"/>
  <c r="K42" i="2"/>
  <c r="K46" i="2"/>
  <c r="K47" i="2"/>
  <c r="K48" i="2"/>
  <c r="K49" i="2"/>
  <c r="K54" i="2"/>
  <c r="K55" i="2"/>
  <c r="K56" i="2"/>
  <c r="K57" i="2"/>
  <c r="K58" i="2"/>
  <c r="K75" i="2"/>
  <c r="K82" i="2"/>
  <c r="K83" i="2"/>
  <c r="K84" i="2"/>
  <c r="K85" i="2"/>
  <c r="K86" i="2"/>
  <c r="K91" i="2"/>
  <c r="K94" i="2"/>
  <c r="K95" i="2"/>
  <c r="K99" i="2"/>
  <c r="K100" i="2"/>
  <c r="K101" i="2"/>
  <c r="K102" i="2"/>
  <c r="K103" i="2"/>
  <c r="K104" i="2"/>
  <c r="K105" i="2"/>
  <c r="K106" i="2"/>
  <c r="K107" i="2"/>
  <c r="K108" i="2"/>
  <c r="K109" i="2"/>
  <c r="K111" i="2"/>
  <c r="K112" i="2"/>
  <c r="K113" i="2"/>
  <c r="K114" i="2"/>
  <c r="K115" i="2"/>
  <c r="K116" i="2"/>
  <c r="K117" i="2"/>
  <c r="K118" i="2"/>
  <c r="K119" i="2"/>
  <c r="K120" i="2"/>
  <c r="K121" i="2"/>
  <c r="K124" i="2"/>
  <c r="K125" i="2"/>
  <c r="K126" i="2"/>
  <c r="K127" i="2"/>
  <c r="K128" i="2"/>
  <c r="K129" i="2"/>
  <c r="K130" i="2"/>
  <c r="K131" i="2"/>
  <c r="K134" i="2"/>
  <c r="K135" i="2"/>
  <c r="K136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3" i="2"/>
  <c r="K184" i="2"/>
  <c r="K185" i="2"/>
  <c r="K186" i="2"/>
  <c r="K187" i="2"/>
  <c r="K188" i="2"/>
  <c r="K189" i="2"/>
  <c r="K190" i="2"/>
  <c r="K191" i="2"/>
  <c r="K192" i="2"/>
  <c r="K193" i="2"/>
  <c r="K200" i="2"/>
  <c r="K201" i="2"/>
  <c r="K202" i="2"/>
  <c r="K203" i="2"/>
  <c r="K205" i="2"/>
  <c r="K207" i="2"/>
  <c r="K209" i="2"/>
  <c r="K210" i="2"/>
  <c r="K211" i="2"/>
  <c r="K212" i="2"/>
  <c r="K213" i="2"/>
  <c r="K214" i="2"/>
  <c r="K215" i="2"/>
  <c r="K216" i="2"/>
  <c r="K218" i="2"/>
  <c r="K221" i="2"/>
  <c r="K222" i="2"/>
  <c r="K225" i="2"/>
  <c r="K226" i="2"/>
  <c r="K227" i="2"/>
  <c r="K228" i="2"/>
  <c r="K229" i="2"/>
  <c r="K230" i="2"/>
  <c r="K231" i="2"/>
  <c r="K232" i="2"/>
  <c r="K235" i="2"/>
  <c r="K236" i="2"/>
  <c r="K237" i="2"/>
  <c r="K239" i="2"/>
  <c r="K240" i="2"/>
  <c r="K241" i="2"/>
  <c r="K242" i="2"/>
  <c r="K247" i="2"/>
  <c r="K248" i="2"/>
  <c r="K249" i="2"/>
  <c r="K250" i="2"/>
  <c r="K252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3" i="2"/>
  <c r="K275" i="2"/>
  <c r="K277" i="2"/>
  <c r="K278" i="2"/>
  <c r="K280" i="2"/>
  <c r="K282" i="2"/>
  <c r="K283" i="2"/>
  <c r="K284" i="2"/>
  <c r="K285" i="2"/>
  <c r="K286" i="2"/>
  <c r="K287" i="2"/>
  <c r="K288" i="2"/>
  <c r="K289" i="2"/>
  <c r="K290" i="2"/>
  <c r="K291" i="2"/>
  <c r="K296" i="2"/>
  <c r="K297" i="2"/>
  <c r="K298" i="2"/>
  <c r="K302" i="2"/>
  <c r="K303" i="2"/>
  <c r="K305" i="2"/>
  <c r="K306" i="2"/>
  <c r="K307" i="2"/>
  <c r="K308" i="2"/>
  <c r="K309" i="2"/>
  <c r="K310" i="2"/>
  <c r="K311" i="2"/>
  <c r="K312" i="2"/>
  <c r="K313" i="2"/>
  <c r="K316" i="2"/>
  <c r="K318" i="2"/>
  <c r="K319" i="2"/>
  <c r="K320" i="2"/>
  <c r="K321" i="2"/>
  <c r="K322" i="2"/>
  <c r="K324" i="2"/>
  <c r="K325" i="2"/>
  <c r="K327" i="2"/>
  <c r="K328" i="2"/>
  <c r="K329" i="2"/>
  <c r="K330" i="2"/>
  <c r="K332" i="2"/>
  <c r="K333" i="2"/>
  <c r="K334" i="2"/>
  <c r="K335" i="2"/>
  <c r="K336" i="2"/>
  <c r="K338" i="2"/>
  <c r="K339" i="2"/>
  <c r="K340" i="2"/>
  <c r="K341" i="2"/>
  <c r="K342" i="2"/>
  <c r="K344" i="2"/>
  <c r="K345" i="2"/>
  <c r="K346" i="2"/>
  <c r="K347" i="2"/>
  <c r="K348" i="2"/>
  <c r="K349" i="2"/>
  <c r="K350" i="2"/>
  <c r="K351" i="2"/>
  <c r="K352" i="2"/>
  <c r="K354" i="2"/>
  <c r="K355" i="2"/>
  <c r="K356" i="2"/>
  <c r="K357" i="2"/>
  <c r="K358" i="2"/>
  <c r="K359" i="2"/>
  <c r="K360" i="2"/>
  <c r="K361" i="2"/>
  <c r="K362" i="2"/>
  <c r="K363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80" i="2"/>
  <c r="K381" i="2"/>
  <c r="K382" i="2"/>
  <c r="K383" i="2"/>
  <c r="K384" i="2"/>
  <c r="K385" i="2"/>
  <c r="K386" i="2"/>
  <c r="K387" i="2"/>
  <c r="K390" i="2"/>
  <c r="K391" i="2"/>
  <c r="K394" i="2"/>
  <c r="K395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23" i="2"/>
  <c r="K424" i="2"/>
  <c r="K425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40" i="2"/>
  <c r="K441" i="2"/>
  <c r="K442" i="2"/>
  <c r="K443" i="2"/>
  <c r="K444" i="2"/>
  <c r="K445" i="2"/>
  <c r="K446" i="2"/>
  <c r="K448" i="2"/>
  <c r="K449" i="2"/>
  <c r="K450" i="2"/>
  <c r="K451" i="2"/>
  <c r="K452" i="2"/>
  <c r="K453" i="2"/>
  <c r="K454" i="2"/>
  <c r="K455" i="2"/>
  <c r="K456" i="2"/>
  <c r="K457" i="2"/>
  <c r="K458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8" i="2"/>
  <c r="K489" i="2"/>
  <c r="K490" i="2"/>
  <c r="K493" i="2"/>
  <c r="K494" i="2"/>
  <c r="K495" i="2"/>
  <c r="K496" i="2"/>
  <c r="K498" i="2"/>
  <c r="K499" i="2"/>
  <c r="K501" i="2"/>
  <c r="K502" i="2"/>
  <c r="K503" i="2"/>
  <c r="K504" i="2"/>
  <c r="K505" i="2"/>
  <c r="K506" i="2"/>
  <c r="K508" i="2"/>
  <c r="K509" i="2"/>
  <c r="K510" i="2"/>
  <c r="K511" i="2"/>
  <c r="K512" i="2"/>
  <c r="K514" i="2"/>
  <c r="K7" i="2"/>
  <c r="I422" i="2"/>
  <c r="K422" i="2" s="1"/>
  <c r="I421" i="2"/>
  <c r="K421" i="2" s="1"/>
  <c r="I420" i="2"/>
  <c r="K420" i="2" s="1"/>
  <c r="I419" i="2"/>
  <c r="K419" i="2" s="1"/>
  <c r="I393" i="2"/>
  <c r="K393" i="2" s="1"/>
  <c r="I392" i="2"/>
  <c r="K392" i="2" s="1"/>
  <c r="I323" i="2"/>
  <c r="K323" i="2" s="1"/>
  <c r="I301" i="2"/>
  <c r="K301" i="2" s="1"/>
  <c r="I300" i="2"/>
  <c r="K300" i="2" s="1"/>
  <c r="I299" i="2"/>
  <c r="K299" i="2" s="1"/>
  <c r="I295" i="2"/>
  <c r="K295" i="2" s="1"/>
  <c r="I294" i="2"/>
  <c r="K294" i="2" s="1"/>
  <c r="I293" i="2"/>
  <c r="K293" i="2" s="1"/>
  <c r="I292" i="2"/>
  <c r="K292" i="2" s="1"/>
  <c r="I279" i="2"/>
  <c r="K279" i="2" s="1"/>
  <c r="I274" i="2"/>
  <c r="K274" i="2" s="1"/>
  <c r="I272" i="2"/>
  <c r="K272" i="2" s="1"/>
  <c r="I271" i="2"/>
  <c r="K271" i="2" s="1"/>
  <c r="I256" i="2"/>
  <c r="K256" i="2" s="1"/>
  <c r="I255" i="2"/>
  <c r="K255" i="2" s="1"/>
  <c r="I254" i="2"/>
  <c r="K254" i="2" s="1"/>
  <c r="I245" i="2"/>
  <c r="K245" i="2" s="1"/>
  <c r="I244" i="2"/>
  <c r="K244" i="2" s="1"/>
  <c r="I243" i="2"/>
  <c r="K243" i="2" s="1"/>
  <c r="I217" i="2"/>
  <c r="I206" i="2"/>
  <c r="K206" i="2" s="1"/>
  <c r="I204" i="2"/>
  <c r="K204" i="2" s="1"/>
  <c r="I199" i="2"/>
  <c r="K199" i="2" s="1"/>
  <c r="I198" i="2"/>
  <c r="K198" i="2" s="1"/>
  <c r="I197" i="2"/>
  <c r="K197" i="2" s="1"/>
  <c r="I195" i="2"/>
  <c r="I133" i="2"/>
  <c r="K133" i="2" s="1"/>
  <c r="I132" i="2"/>
  <c r="K132" i="2" s="1"/>
  <c r="I123" i="2"/>
  <c r="K123" i="2" s="1"/>
  <c r="I122" i="2"/>
  <c r="K122" i="2" s="1"/>
  <c r="I110" i="2"/>
  <c r="K110" i="2" s="1"/>
  <c r="K96" i="2"/>
  <c r="I93" i="2"/>
  <c r="K93" i="2" s="1"/>
  <c r="I92" i="2"/>
  <c r="K92" i="2" s="1"/>
  <c r="I90" i="2"/>
  <c r="K90" i="2" s="1"/>
  <c r="I89" i="2"/>
  <c r="K89" i="2" s="1"/>
  <c r="I88" i="2"/>
  <c r="K88" i="2" s="1"/>
  <c r="I87" i="2"/>
  <c r="K87" i="2" s="1"/>
  <c r="AG83" i="2"/>
  <c r="I81" i="2"/>
  <c r="K81" i="2" s="1"/>
  <c r="I80" i="2"/>
  <c r="K80" i="2" s="1"/>
  <c r="I79" i="2"/>
  <c r="K79" i="2" s="1"/>
  <c r="I78" i="2"/>
  <c r="K78" i="2" s="1"/>
  <c r="I77" i="2"/>
  <c r="K77" i="2" s="1"/>
  <c r="I76" i="2"/>
  <c r="K76" i="2" s="1"/>
  <c r="I72" i="2"/>
  <c r="K72" i="2" s="1"/>
  <c r="I71" i="2"/>
  <c r="K71" i="2" s="1"/>
  <c r="I70" i="2"/>
  <c r="K70" i="2" s="1"/>
  <c r="I69" i="2"/>
  <c r="K69" i="2" s="1"/>
  <c r="I68" i="2"/>
  <c r="K68" i="2" s="1"/>
  <c r="I67" i="2"/>
  <c r="K67" i="2" s="1"/>
  <c r="I66" i="2"/>
  <c r="K66" i="2" s="1"/>
  <c r="I65" i="2"/>
  <c r="K65" i="2" s="1"/>
  <c r="I64" i="2"/>
  <c r="K64" i="2" s="1"/>
  <c r="I63" i="2"/>
  <c r="K63" i="2" s="1"/>
  <c r="I62" i="2"/>
  <c r="K62" i="2" s="1"/>
  <c r="I61" i="2"/>
  <c r="K61" i="2" s="1"/>
  <c r="I60" i="2"/>
  <c r="K60" i="2" s="1"/>
  <c r="I59" i="2"/>
  <c r="K59" i="2" s="1"/>
  <c r="I53" i="2"/>
  <c r="K53" i="2" s="1"/>
  <c r="I52" i="2"/>
  <c r="K52" i="2" s="1"/>
  <c r="I51" i="2"/>
  <c r="K51" i="2" s="1"/>
  <c r="I50" i="2"/>
  <c r="K50" i="2" s="1"/>
  <c r="I45" i="2"/>
  <c r="K45" i="2" s="1"/>
  <c r="I44" i="2"/>
  <c r="K44" i="2" s="1"/>
  <c r="I43" i="2"/>
  <c r="K43" i="2" s="1"/>
  <c r="I41" i="2"/>
  <c r="K41" i="2" s="1"/>
  <c r="I40" i="2"/>
  <c r="K40" i="2" s="1"/>
  <c r="I39" i="2"/>
  <c r="K39" i="2" s="1"/>
  <c r="AG38" i="2"/>
  <c r="AG37" i="2"/>
  <c r="I33" i="2"/>
  <c r="K33" i="2" s="1"/>
  <c r="I32" i="2"/>
  <c r="K32" i="2" s="1"/>
  <c r="I31" i="2"/>
  <c r="K31" i="2" s="1"/>
  <c r="I30" i="2"/>
  <c r="K30" i="2" s="1"/>
  <c r="I29" i="2"/>
  <c r="K29" i="2" s="1"/>
  <c r="I28" i="2"/>
  <c r="K28" i="2" s="1"/>
  <c r="I27" i="2"/>
  <c r="K27" i="2" s="1"/>
  <c r="I26" i="2"/>
  <c r="K26" i="2" s="1"/>
  <c r="I17" i="2"/>
  <c r="K17" i="2" s="1"/>
  <c r="I16" i="2"/>
  <c r="K16" i="2" s="1"/>
  <c r="I15" i="2"/>
  <c r="K15" i="2" s="1"/>
  <c r="O1" i="2" l="1"/>
  <c r="N1" i="2"/>
  <c r="M1" i="2"/>
  <c r="Y4" i="2" a="1"/>
  <c r="Y4" i="2" s="1"/>
  <c r="H3" i="13"/>
  <c r="O1" i="13"/>
  <c r="M1" i="13"/>
  <c r="O1" i="12"/>
  <c r="M1" i="12"/>
  <c r="O1" i="11"/>
  <c r="M1" i="11"/>
  <c r="O1" i="8"/>
  <c r="M1" i="8"/>
  <c r="O1" i="6"/>
  <c r="M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Geetha Kenchaiah</author>
    <author>Kavya Guru</author>
  </authors>
  <commentList>
    <comment ref="E10" authorId="0" shapeId="0" xr:uid="{158A08F9-525E-46AE-9F31-77AD30D8749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Old PO No.6700003429 , PO Number changed , due to merge of Flash viven into Flash electronics</t>
        </r>
      </text>
    </comment>
    <comment ref="I28" authorId="1" shapeId="0" xr:uid="{87F535E4-EA5E-44F7-AB87-68CD5BCAAE6D}">
      <text>
        <r>
          <rPr>
            <sz val="11"/>
            <color theme="1"/>
            <rFont val="Calibri"/>
            <family val="2"/>
            <scheme val="minor"/>
          </rPr>
          <t xml:space="preserve">Kavya Guru:
If required book it by month End 31/12/25
</t>
        </r>
      </text>
    </comment>
    <comment ref="E55" authorId="1" shapeId="0" xr:uid="{31B44F69-9378-485D-A03E-7D15AE912C31}">
      <text>
        <r>
          <rPr>
            <sz val="11"/>
            <color theme="1"/>
            <rFont val="Calibri"/>
            <family val="2"/>
            <scheme val="minor"/>
          </rPr>
          <t>Kavya Guru:
PO Short closed as customer has given New PO.</t>
        </r>
      </text>
    </comment>
    <comment ref="I61" authorId="0" shapeId="0" xr:uid="{9F088C31-B522-455B-A59A-5CECC6F0454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2" authorId="0" shapeId="0" xr:uid="{DABFF2F1-CD57-432A-AB58-355159A7A0A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3" authorId="0" shapeId="0" xr:uid="{C8BDA5FE-07CD-43EE-A002-283CED46C39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4" authorId="0" shapeId="0" xr:uid="{75DEBEE5-608D-4D51-A905-FED7006B472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P64" authorId="0" shapeId="0" xr:uid="{416C2B1A-3D52-4FE2-BB7C-55633D676E1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5" authorId="0" shapeId="0" xr:uid="{DB13E0DC-D81B-4FE2-9AE0-F4B2BD6FA8E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P65" authorId="0" shapeId="0" xr:uid="{5D8CC50E-D8B5-4C00-825D-63664D0ECCC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6" authorId="0" shapeId="0" xr:uid="{1DBB7166-7CCA-4FBE-B06E-8347CD2A780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P66" authorId="0" shapeId="0" xr:uid="{63E431CF-51EF-48DF-ABBC-7E5250E89C5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7" authorId="0" shapeId="0" xr:uid="{F235676C-EEA4-4D26-BBD3-36E3B937905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8" authorId="0" shapeId="0" xr:uid="{1D673E2E-1CC9-476A-96EC-F89DA526EA75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9" authorId="0" shapeId="0" xr:uid="{97AA476E-75EC-4934-9C37-023E8663ACB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E76" authorId="1" shapeId="0" xr:uid="{A81047FC-78D1-4ED5-9712-51425F3777E7}">
      <text>
        <r>
          <rPr>
            <sz val="11"/>
            <color theme="1"/>
            <rFont val="Calibri"/>
            <family val="2"/>
            <scheme val="minor"/>
          </rPr>
          <t>Kavya Guru:
BPCL -Previous PO no- 4601039968 is a contact agreement</t>
        </r>
      </text>
    </comment>
    <comment ref="C84" authorId="0" shapeId="0" xr:uid="{FC64ED7B-0C1F-4BB7-B323-EC220977A52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No.25350298 Dtd.24/03/25. For the period : 10/01/2025 to 09/07/2025
INV NO.25350771 Dtd.24/07/25 For the Period : 10/07/2025 to 09/01/26.
</t>
        </r>
      </text>
    </comment>
    <comment ref="C89" authorId="0" shapeId="0" xr:uid="{D8F15FB2-A64F-4ED7-9CB0-5BFA59CA60F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0" authorId="0" shapeId="0" xr:uid="{6B8D0AD8-04C3-4267-BB4E-156A6EDBAE6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1" authorId="0" shapeId="0" xr:uid="{8EF51127-1B50-4DAE-8536-65F41618AAE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2" authorId="0" shapeId="0" xr:uid="{DBE09619-617D-4B41-A39A-5AD23C5298C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8" authorId="1" shapeId="0" xr:uid="{4AFD3ED7-1177-4695-9C5D-E41678DEBE8C}">
      <text>
        <r>
          <rPr>
            <sz val="11"/>
            <color theme="1"/>
            <rFont val="Calibri"/>
            <family val="2"/>
            <scheme val="minor"/>
          </rPr>
          <t xml:space="preserve">Kavya Guru:
25350590 Full Amt Invoice raised Dtd on 12.06.25
</t>
        </r>
      </text>
    </comment>
    <comment ref="E98" authorId="1" shapeId="0" xr:uid="{541D579C-6655-4D70-8648-49C3D992D1BD}">
      <text>
        <r>
          <rPr>
            <sz val="11"/>
            <color theme="1"/>
            <rFont val="Calibri"/>
            <family val="2"/>
            <scheme val="minor"/>
          </rPr>
          <t>Kavya Guru:
No of mahcine - 3,</t>
        </r>
      </text>
    </comment>
    <comment ref="E99" authorId="1" shapeId="0" xr:uid="{32544CEA-62E6-4291-BBA7-5BE7F96E0EC3}">
      <text>
        <r>
          <rPr>
            <sz val="11"/>
            <color theme="1"/>
            <rFont val="Calibri"/>
            <family val="2"/>
            <scheme val="minor"/>
          </rPr>
          <t xml:space="preserve">Kavya Guru:
New machine added
</t>
        </r>
      </text>
    </comment>
    <comment ref="H99" authorId="0" shapeId="0" xr:uid="{E2339495-0A6B-4038-A780-D242A17C7F3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H100" authorId="0" shapeId="0" xr:uid="{E78198BF-4F34-4C06-B858-E8B44EC73BA2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C101" authorId="0" shapeId="0" xr:uid="{F77B1B10-C83C-49B4-A266-3E5D4377974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No.25350354 Dtd,11/04/2025</t>
        </r>
      </text>
    </comment>
    <comment ref="C110" authorId="0" shapeId="0" xr:uid="{FDAE4400-0790-4B2D-9326-15382ACA3C6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No.25350410 Dtd.28/04/2025</t>
        </r>
      </text>
    </comment>
    <comment ref="C113" authorId="0" shapeId="0" xr:uid="{0633EA56-A413-45C8-8F81-0B85252F5BA7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No.: 25350368 Dtd.16/04/2025</t>
        </r>
      </text>
    </comment>
    <comment ref="C134" authorId="0" shapeId="0" xr:uid="{36747D72-4846-4197-B255-B9694431338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invoice - 25350395 Dtd.23/04/25</t>
        </r>
      </text>
    </comment>
    <comment ref="C139" authorId="1" shapeId="0" xr:uid="{345B43CB-FCDA-4C5A-87D8-C259B4D6265B}">
      <text>
        <r>
          <rPr>
            <sz val="11"/>
            <color theme="1"/>
            <rFont val="Calibri"/>
            <family val="2"/>
            <scheme val="minor"/>
          </rPr>
          <t xml:space="preserve">Kavya Guru:
25350578 Dtd 11.06.25
</t>
        </r>
      </text>
    </comment>
    <comment ref="E150" authorId="1" shapeId="0" xr:uid="{595941D2-91E2-45EF-8D36-BA97B508CE73}">
      <text>
        <r>
          <rPr>
            <sz val="11"/>
            <color theme="1"/>
            <rFont val="Calibri"/>
            <family val="2"/>
            <scheme val="minor"/>
          </rPr>
          <t xml:space="preserve">Kavya Guru:
inv no-25350876 Dtd on 19.08.2025
</t>
        </r>
      </text>
    </comment>
    <comment ref="C162" authorId="1" shapeId="0" xr:uid="{498B9E9D-F567-404A-A006-16E60AE9FF52}">
      <text>
        <r>
          <rPr>
            <sz val="11"/>
            <color theme="1"/>
            <rFont val="Calibri"/>
            <family val="2"/>
            <scheme val="minor"/>
          </rPr>
          <t xml:space="preserve">Kavya Guru:
25351006 Dtd 13/10/25
</t>
        </r>
      </text>
    </comment>
    <comment ref="W169" authorId="1" shapeId="0" xr:uid="{CC7BF8B7-FF01-4DA2-A273-FDB48D2BEE0F}">
      <text>
        <r>
          <rPr>
            <sz val="11"/>
            <color theme="1"/>
            <rFont val="Calibri"/>
            <family val="2"/>
            <scheme val="minor"/>
          </rPr>
          <t>Kavya Guru:
If cx share the PO den only genearte the Invoice</t>
        </r>
      </text>
    </comment>
    <comment ref="C171" authorId="0" shapeId="0" xr:uid="{38D20EAB-86E4-406A-B819-5DFDD407CB9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No.25350643 Dtd.23/06/25. Period : 01/05/2025 to 31/10/2025</t>
        </r>
      </text>
    </comment>
    <comment ref="C172" authorId="0" shapeId="0" xr:uid="{D3D2DC22-9D44-4780-BBBF-5E86EF1B3CF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No.25350644 Dtd.23/06/25. Period : 01/05/2025 to 31/10/2025</t>
        </r>
      </text>
    </comment>
    <comment ref="C174" authorId="1" shapeId="0" xr:uid="{AC8A5184-B891-4B53-BE3F-95F6B5F86366}">
      <text>
        <r>
          <rPr>
            <sz val="11"/>
            <color theme="1"/>
            <rFont val="Calibri"/>
            <family val="2"/>
            <scheme val="minor"/>
          </rPr>
          <t>Kavya Guru:
Inv No.25350976 Dtd.08/09/25</t>
        </r>
      </text>
    </comment>
    <comment ref="C183" authorId="0" shapeId="0" xr:uid="{11AAF474-60E6-4568-9D6F-0BD58EEE75D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NO.25350942 Dtd.01/09/2025, Period : 15/05/2025 to 14/11/2025</t>
        </r>
      </text>
    </comment>
    <comment ref="C188" authorId="1" shapeId="0" xr:uid="{AAF61B14-57FF-4B9D-B83E-B0790C34A866}">
      <text>
        <r>
          <rPr>
            <sz val="11"/>
            <color theme="1"/>
            <rFont val="Calibri"/>
            <family val="2"/>
            <scheme val="minor"/>
          </rPr>
          <t>Kavya Guru:
25351069 Dtd on 06/10/25</t>
        </r>
      </text>
    </comment>
    <comment ref="E201" authorId="1" shapeId="0" xr:uid="{FD408BB0-87E0-4AFF-A03F-B62519975032}">
      <text>
        <r>
          <rPr>
            <sz val="11"/>
            <color theme="1"/>
            <rFont val="Calibri"/>
            <family val="2"/>
            <scheme val="minor"/>
          </rPr>
          <t>Kavya Guru:
Customer will release PO every month.
AMC Period- 01/04/2025 to 31/03/26
PM visit -4
Amount =18620*4= 74480</t>
        </r>
      </text>
    </comment>
    <comment ref="C203" authorId="0" shapeId="0" xr:uid="{A35D936D-5E07-4DA0-9DFF-1743E3E1579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- 25350765 Dtd.24/07/2025, Period : 01/06/25 to 30/11/2025</t>
        </r>
      </text>
    </comment>
    <comment ref="C210" authorId="1" shapeId="0" xr:uid="{19694F31-2B3D-4D4D-9CD5-D79C36561155}">
      <text>
        <r>
          <rPr>
            <sz val="11"/>
            <color theme="1"/>
            <rFont val="Calibri"/>
            <family val="2"/>
            <scheme val="minor"/>
          </rPr>
          <t xml:space="preserve">Kavya Guru:
Invoice No- 25350979 Dtd on 08/09/2025
</t>
        </r>
      </text>
    </comment>
    <comment ref="E212" authorId="1" shapeId="0" xr:uid="{1CFF682E-14CC-4DAE-BF9F-ABB6E6F69670}">
      <text>
        <r>
          <rPr>
            <sz val="11"/>
            <color theme="1"/>
            <rFont val="Calibri"/>
            <family val="2"/>
            <scheme val="minor"/>
          </rPr>
          <t xml:space="preserve">Kavya Guru:
2nd PM visit PO, FYI
</t>
        </r>
      </text>
    </comment>
    <comment ref="E216" authorId="1" shapeId="0" xr:uid="{70BCF256-DE8E-4843-98FD-BE6C6AAE88F2}">
      <text>
        <r>
          <rPr>
            <sz val="11"/>
            <color theme="1"/>
            <rFont val="Calibri"/>
            <family val="2"/>
            <scheme val="minor"/>
          </rPr>
          <t>Kavya Guru:
Invoice- 25350858 Dtd 14/08/25</t>
        </r>
      </text>
    </comment>
    <comment ref="C224" authorId="1" shapeId="0" xr:uid="{550508C7-88CC-44B1-854F-53D52A7BA2A9}">
      <text>
        <r>
          <rPr>
            <sz val="11"/>
            <color theme="1"/>
            <rFont val="Calibri"/>
            <family val="2"/>
            <scheme val="minor"/>
          </rPr>
          <t xml:space="preserve">Kavya Guru:
25351036 Dtd:24/09/25
</t>
        </r>
      </text>
    </comment>
    <comment ref="C227" authorId="1" shapeId="0" xr:uid="{546333E7-ECBA-4483-8581-34C35ACA31D0}">
      <text>
        <r>
          <rPr>
            <sz val="11"/>
            <color theme="1"/>
            <rFont val="Calibri"/>
            <family val="2"/>
            <scheme val="minor"/>
          </rPr>
          <t xml:space="preserve">Kavya Guru:
25351033 Dtd on 24/09/25
</t>
        </r>
      </text>
    </comment>
    <comment ref="E230" authorId="1" shapeId="0" xr:uid="{373586D3-AE91-4EE6-8118-1674AFD5F4C2}">
      <text>
        <r>
          <rPr>
            <sz val="11"/>
            <color theme="1"/>
            <rFont val="Calibri"/>
            <family val="2"/>
            <scheme val="minor"/>
          </rPr>
          <t xml:space="preserve">Kavya Guru:
Invoice generated 100% 
15 machines- 6 Invoices
All 6 Invoices generated on 26/08/25
</t>
        </r>
      </text>
    </comment>
    <comment ref="E231" authorId="1" shapeId="0" xr:uid="{1E83C95C-BBC2-4BA1-B601-B01369D5BFA5}">
      <text>
        <r>
          <rPr>
            <sz val="11"/>
            <color theme="1"/>
            <rFont val="Calibri"/>
            <family val="2"/>
            <scheme val="minor"/>
          </rPr>
          <t>Kavya Guru:
100% Inv - 25350973 Dtd.08/09/25</t>
        </r>
      </text>
    </comment>
    <comment ref="E235" authorId="1" shapeId="0" xr:uid="{DD05C6DC-D340-4BCF-9393-623F86EC0CFC}">
      <text>
        <r>
          <rPr>
            <sz val="11"/>
            <color theme="1"/>
            <rFont val="Calibri"/>
            <family val="2"/>
            <scheme val="minor"/>
          </rPr>
          <t>Kavya Guru:
inv No -25350855 Dtd 13.08.25</t>
        </r>
      </text>
    </comment>
    <comment ref="C245" authorId="1" shapeId="0" xr:uid="{3C426D23-C47B-489A-AF69-479B06B7F3AD}">
      <text>
        <r>
          <rPr>
            <sz val="11"/>
            <color theme="1"/>
            <rFont val="Calibri"/>
            <family val="2"/>
            <scheme val="minor"/>
          </rPr>
          <t>Kavya Guru:
Qty 0.50 while INVOICING</t>
        </r>
      </text>
    </comment>
    <comment ref="C257" authorId="0" shapeId="0" xr:uid="{7FFE89A7-5946-4E0F-BC07-94FB92232007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No.25350789 Dtd.29/07/25, Period : 10/07/25 to 09/01/2026</t>
        </r>
      </text>
    </comment>
    <comment ref="C258" authorId="1" shapeId="0" xr:uid="{B8FB36BC-0ABB-4990-8DE4-A45C718A0744}">
      <text>
        <r>
          <rPr>
            <sz val="11"/>
            <color theme="1"/>
            <rFont val="Calibri"/>
            <family val="2"/>
            <scheme val="minor"/>
          </rPr>
          <t xml:space="preserve">Kavya Guru:
Inv raised on 24.09.25
No- 25351032
</t>
        </r>
      </text>
    </comment>
    <comment ref="C278" authorId="0" shapeId="0" xr:uid="{178B092D-F7AA-4FAF-8EAD-80C1C68AEFD7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No.25351022 Dtd.18/09/25 Period : 09/08/25 to 08/02/26</t>
        </r>
      </text>
    </comment>
    <comment ref="E287" authorId="1" shapeId="0" xr:uid="{CF37A3F9-D959-49ED-B054-9CFE159A9BA6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2nd Quater PO-931669
</t>
        </r>
      </text>
    </comment>
    <comment ref="C312" authorId="1" shapeId="0" xr:uid="{749E6573-1DF5-4139-BFC7-7DA2E497A5E3}">
      <text>
        <r>
          <rPr>
            <sz val="11"/>
            <color theme="1"/>
            <rFont val="Calibri"/>
            <family val="2"/>
            <scheme val="minor"/>
          </rPr>
          <t xml:space="preserve">Kavya Guru:
</t>
        </r>
      </text>
    </comment>
    <comment ref="C322" authorId="1" shapeId="0" xr:uid="{115835E2-33FF-494D-891F-62B0AF0BB25E}">
      <text>
        <r>
          <rPr>
            <sz val="11"/>
            <color theme="1"/>
            <rFont val="Calibri"/>
            <family val="2"/>
            <scheme val="minor"/>
          </rPr>
          <t xml:space="preserve">Kavya Guru:
25351265 Dtd 20.11.25- 50% Inv Raised 
</t>
        </r>
      </text>
    </comment>
    <comment ref="C323" authorId="1" shapeId="0" xr:uid="{A34C46B1-D942-475F-98FA-1F085A1230B3}">
      <text>
        <r>
          <rPr>
            <sz val="11"/>
            <color theme="1"/>
            <rFont val="Calibri"/>
            <family val="2"/>
            <scheme val="minor"/>
          </rPr>
          <t>Kavya Guru:
Invoiced 25351393 Dtd  16/12/25</t>
        </r>
      </text>
    </comment>
    <comment ref="C332" authorId="1" shapeId="0" xr:uid="{8BD5D954-4F01-42EE-B806-23BE2D1E6031}">
      <text>
        <r>
          <rPr>
            <sz val="11"/>
            <color theme="1"/>
            <rFont val="Calibri"/>
            <family val="2"/>
            <scheme val="minor"/>
          </rPr>
          <t xml:space="preserve">Kavya Guru:
25351204 Dtd-07.11.25
</t>
        </r>
      </text>
    </comment>
    <comment ref="I334" authorId="1" shapeId="0" xr:uid="{32158BCC-2ECB-414D-B26E-07B506FCFD67}">
      <text>
        <r>
          <rPr>
            <sz val="11"/>
            <color theme="1"/>
            <rFont val="Calibri"/>
            <family val="2"/>
            <scheme val="minor"/>
          </rPr>
          <t xml:space="preserve">Kavya Guru:
Software amount-32500/- Included
</t>
        </r>
      </text>
    </comment>
    <comment ref="C341" authorId="1" shapeId="0" xr:uid="{7BC0D285-0B5D-4F25-8801-C1A2964A7D73}">
      <text>
        <r>
          <rPr>
            <sz val="11"/>
            <color theme="1"/>
            <rFont val="Calibri"/>
            <family val="2"/>
            <scheme val="minor"/>
          </rPr>
          <t>Kavya Guru:
PLace Of supply: Other Territory</t>
        </r>
      </text>
    </comment>
    <comment ref="E345" authorId="1" shapeId="0" xr:uid="{70C72B9D-681E-40C4-9474-E68C4331957C}">
      <text>
        <r>
          <rPr>
            <sz val="11"/>
            <color theme="1"/>
            <rFont val="Calibri"/>
            <family val="2"/>
            <scheme val="minor"/>
          </rPr>
          <t xml:space="preserve">Kavya Guru:
Cx has released 2 PO's for 2 Visit and select Place of Supply as other territory in SAP </t>
        </r>
      </text>
    </comment>
    <comment ref="C346" authorId="1" shapeId="0" xr:uid="{3CFC06DF-F896-4214-A700-72D6EC3E39A2}">
      <text>
        <r>
          <rPr>
            <sz val="11"/>
            <color theme="1"/>
            <rFont val="Calibri"/>
            <family val="2"/>
            <scheme val="minor"/>
          </rPr>
          <t>Kavya Guru:
Place of supply: Other Territory.</t>
        </r>
      </text>
    </comment>
    <comment ref="E347" authorId="1" shapeId="0" xr:uid="{08C92E8F-DB82-45A2-8448-EF7C2387C9FB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3rd Quater PO-948530
</t>
        </r>
      </text>
    </comment>
    <comment ref="C352" authorId="1" shapeId="0" xr:uid="{6FD4679A-A785-4BFB-80ED-A7722E0C1A70}">
      <text>
        <r>
          <rPr>
            <sz val="11"/>
            <color theme="1"/>
            <rFont val="Calibri"/>
            <family val="2"/>
            <scheme val="minor"/>
          </rPr>
          <t>Kavya Guru:
25351330 Dtd:5/12/25</t>
        </r>
      </text>
    </comment>
    <comment ref="C362" authorId="1" shapeId="0" xr:uid="{C48D0B3F-5EAB-4614-BDB0-A276C0FF45E5}">
      <text>
        <r>
          <rPr>
            <sz val="11"/>
            <color theme="1"/>
            <rFont val="Calibri"/>
            <family val="2"/>
            <scheme val="minor"/>
          </rPr>
          <t>Kavya Guru:
25351424 Dtd:23/12/25, Generate 2nd Invocie in month of July 26</t>
        </r>
      </text>
    </comment>
    <comment ref="C380" authorId="1" shapeId="0" xr:uid="{75AEFE47-112B-4205-803B-AD22FFC55551}">
      <text>
        <r>
          <rPr>
            <sz val="11"/>
            <color theme="1"/>
            <rFont val="Calibri"/>
            <family val="2"/>
            <scheme val="minor"/>
          </rPr>
          <t>Kavya Guru:
26350064 Dtd:14-03-26</t>
        </r>
      </text>
    </comment>
    <comment ref="C382" authorId="1" shapeId="0" xr:uid="{521D41A7-0224-4846-9E49-C916A187349B}">
      <text>
        <r>
          <rPr>
            <sz val="11"/>
            <color theme="1"/>
            <rFont val="Calibri"/>
            <family val="2"/>
            <scheme val="minor"/>
          </rPr>
          <t>Kavya Guru:
26360228 Dtd:14/03/26</t>
        </r>
      </text>
    </comment>
    <comment ref="C388" authorId="1" shapeId="0" xr:uid="{35204353-5B96-471D-A94F-8867CBBAE57D}">
      <text>
        <r>
          <rPr>
            <sz val="11"/>
            <color theme="1"/>
            <rFont val="Calibri"/>
            <family val="2"/>
            <scheme val="minor"/>
          </rPr>
          <t>Kavya Guru:
26350100 Dtd:30-01-26</t>
        </r>
      </text>
    </comment>
    <comment ref="C397" authorId="1" shapeId="0" xr:uid="{B0D66CC2-ACA1-4C14-B9BE-58A0F7CB2B29}">
      <text>
        <r>
          <rPr>
            <sz val="11"/>
            <color theme="1"/>
            <rFont val="Calibri"/>
            <family val="2"/>
            <scheme val="minor"/>
          </rPr>
          <t>Kavya Guru:
26350311 Dtd:30/03/26</t>
        </r>
      </text>
    </comment>
    <comment ref="C423" authorId="1" shapeId="0" xr:uid="{21B529AB-BBB1-4071-92AF-0B68D6189296}">
      <text>
        <r>
          <rPr>
            <sz val="11"/>
            <color theme="1"/>
            <rFont val="Calibri"/>
            <family val="2"/>
            <scheme val="minor"/>
          </rPr>
          <t>Kavya Guru:
26350325 Dtd:31/03/26</t>
        </r>
      </text>
    </comment>
    <comment ref="C428" authorId="0" shapeId="0" xr:uid="{03D1C131-F21A-438F-B8F1-7DB42587360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9" authorId="0" shapeId="0" xr:uid="{C9908473-FF6B-46E6-96B0-935019826F7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30" authorId="0" shapeId="0" xr:uid="{8237E331-53F9-4BB9-885A-EA16EAAF4680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31" authorId="0" shapeId="0" xr:uid="{D95693A2-303B-435E-8C81-E0E40892BAB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35" authorId="1" shapeId="0" xr:uid="{8DAB4957-068F-4393-A4CE-F046D1CC835A}">
      <text>
        <r>
          <rPr>
            <sz val="11"/>
            <color theme="1"/>
            <rFont val="Calibri"/>
            <family val="2"/>
            <scheme val="minor"/>
          </rPr>
          <t>Kavya Guru:
50% Invoice raised on 10/02/2026 Inv no-26360135</t>
        </r>
      </text>
    </comment>
    <comment ref="E450" authorId="1" shapeId="0" xr:uid="{2D5342E1-239F-451A-A50B-D88CDBAFC5A6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4th Quater PO-9000005172
</t>
        </r>
      </text>
    </comment>
    <comment ref="C456" authorId="1" shapeId="0" xr:uid="{4CD45459-6CA0-4DF7-A065-766302EFA239}">
      <text>
        <r>
          <rPr>
            <sz val="11"/>
            <color theme="1"/>
            <rFont val="Calibri"/>
            <family val="2"/>
            <scheme val="minor"/>
          </rPr>
          <t xml:space="preserve">Kavya Guru:
26350261 Dtd:17/03/26
</t>
        </r>
      </text>
    </comment>
    <comment ref="C463" authorId="1" shapeId="0" xr:uid="{FA7CF3BF-14C4-4F04-A369-B337E22C7EF3}">
      <text>
        <r>
          <rPr>
            <sz val="11"/>
            <color theme="1"/>
            <rFont val="Calibri"/>
            <family val="2"/>
            <scheme val="minor"/>
          </rPr>
          <t>Kavya Guru:
26350403 Dtd:20/04/26</t>
        </r>
      </text>
    </comment>
    <comment ref="I480" authorId="1" shapeId="0" xr:uid="{709D2C46-D392-4D29-89ED-FEB3BA1829EC}">
      <text>
        <r>
          <rPr>
            <sz val="11"/>
            <color theme="1"/>
            <rFont val="Calibri"/>
            <family val="2"/>
            <scheme val="minor"/>
          </rPr>
          <t>Kavya Guru:
Cx has given PO in EURO (4160* 108.70)</t>
        </r>
      </text>
    </comment>
    <comment ref="I484" authorId="1" shapeId="0" xr:uid="{CF5ACC12-A84E-4C56-97DC-D833CEB89F08}">
      <text>
        <r>
          <rPr>
            <sz val="11"/>
            <color theme="1"/>
            <rFont val="Calibri"/>
            <family val="2"/>
            <scheme val="minor"/>
          </rPr>
          <t>Kavya Guru:
190400 Software amt -27200*7</t>
        </r>
      </text>
    </comment>
    <comment ref="I489" authorId="1" shapeId="0" xr:uid="{10149B21-D680-4A98-9CD6-612CBA2A6656}">
      <text>
        <r>
          <rPr>
            <sz val="11"/>
            <color theme="1"/>
            <rFont val="Calibri"/>
            <family val="2"/>
            <scheme val="minor"/>
          </rPr>
          <t>Kavya Guru:
Software amt- 67200/-
Remote Support Amt- 38400/-</t>
        </r>
      </text>
    </comment>
    <comment ref="C495" authorId="1" shapeId="0" xr:uid="{82655585-913C-4E7E-A1FD-24748A13D817}">
      <text>
        <r>
          <rPr>
            <sz val="11"/>
            <color theme="1"/>
            <rFont val="Calibri"/>
            <family val="2"/>
            <scheme val="minor"/>
          </rPr>
          <t xml:space="preserve">Kavya Guru:
26350356 Dtd:10/04/26
</t>
        </r>
      </text>
    </comment>
    <comment ref="C500" authorId="1" shapeId="0" xr:uid="{C12641E0-169C-49A7-9C21-BC987BE19ABA}">
      <text>
        <r>
          <rPr>
            <sz val="11"/>
            <color theme="1"/>
            <rFont val="Calibri"/>
            <family val="2"/>
            <scheme val="minor"/>
          </rPr>
          <t>Kavya Guru:
2 invoice- 50% after 1st PM
50% after 3rd PM</t>
        </r>
      </text>
    </comment>
    <comment ref="I509" authorId="1" shapeId="0" xr:uid="{A8D32AB1-6697-4D54-B88E-CA88C3F15969}">
      <text>
        <r>
          <rPr>
            <sz val="11"/>
            <color theme="1"/>
            <rFont val="Calibri"/>
            <family val="2"/>
            <scheme val="minor"/>
          </rPr>
          <t>Kavya Guru:
Po value is for 6 month, check with pankaj for another (remaining) 6 month PO
Period-01.04.2026 to 31.03.202, but consider only for 6 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Geetha Kenchaiah</author>
    <author>Kavya Guru</author>
  </authors>
  <commentList>
    <comment ref="E10" authorId="0" shapeId="0" xr:uid="{2EFF12FE-8F81-4CC4-B647-86420A2ACF1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Old PO No.6700003429 , PO Number changed , due to merge of Flash viven into Flash electronics</t>
        </r>
      </text>
    </comment>
    <comment ref="I28" authorId="1" shapeId="0" xr:uid="{EB3B343A-0C93-4686-9B27-09FA8ED57C2B}">
      <text>
        <r>
          <rPr>
            <sz val="11"/>
            <color theme="1"/>
            <rFont val="Calibri"/>
            <family val="2"/>
            <scheme val="minor"/>
          </rPr>
          <t xml:space="preserve">Kavya Guru:
If required book it by month End 31/12/25
</t>
        </r>
      </text>
    </comment>
    <comment ref="E55" authorId="1" shapeId="0" xr:uid="{BE46218B-627F-4BF6-A152-87425F5EC28F}">
      <text>
        <r>
          <rPr>
            <sz val="11"/>
            <color theme="1"/>
            <rFont val="Calibri"/>
            <family val="2"/>
            <scheme val="minor"/>
          </rPr>
          <t>Kavya Guru:
PO Short closed as customer has given New PO.</t>
        </r>
      </text>
    </comment>
    <comment ref="I61" authorId="0" shapeId="0" xr:uid="{CD229F23-9F1A-459D-9647-130B249B449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2" authorId="0" shapeId="0" xr:uid="{6C20CE65-1392-4022-BDC7-DDE38468B91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3" authorId="0" shapeId="0" xr:uid="{63CE25D0-E908-4122-9C40-8243892BF10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4" authorId="0" shapeId="0" xr:uid="{2C75C7D3-136D-4157-91CB-0390477E8E8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P64" authorId="0" shapeId="0" xr:uid="{F5238E4C-E8D6-4DE4-9604-90AA1D918A8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5" authorId="0" shapeId="0" xr:uid="{DF932945-40D2-41AC-A97C-5E18BCDCC472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P65" authorId="0" shapeId="0" xr:uid="{0E5224CA-CA0B-4F6A-B75A-6264022728A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6" authorId="0" shapeId="0" xr:uid="{0B296B02-497F-470B-B735-AD9FAE10AED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P66" authorId="0" shapeId="0" xr:uid="{8F957B11-A9AA-40F4-904C-218C977A008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7" authorId="0" shapeId="0" xr:uid="{19B3AF13-5AAA-4126-86DC-5EAE3C23B115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8" authorId="0" shapeId="0" xr:uid="{41B56A5C-2360-4BBF-8547-16B02C842410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9" authorId="0" shapeId="0" xr:uid="{35A22A1B-6C47-464B-AD70-D5F10D5DE36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E76" authorId="1" shapeId="0" xr:uid="{3B372FB2-5AA4-4C63-98E2-7B911D9B7392}">
      <text>
        <r>
          <rPr>
            <sz val="11"/>
            <color theme="1"/>
            <rFont val="Calibri"/>
            <family val="2"/>
            <scheme val="minor"/>
          </rPr>
          <t>Kavya Guru:
BPCL -Previous PO no- 4601039968 is a contact agreement</t>
        </r>
      </text>
    </comment>
    <comment ref="C84" authorId="0" shapeId="0" xr:uid="{9C1A0185-B8D7-45AB-831F-FE68E98B3FD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No.25350298 Dtd.24/03/25. For the period : 10/01/2025 to 09/07/2025
INV NO.25350771 Dtd.24/07/25 For the Period : 10/07/2025 to 09/01/26.
</t>
        </r>
      </text>
    </comment>
    <comment ref="C89" authorId="0" shapeId="0" xr:uid="{8DFA9B7E-5574-4D6A-B12E-53886F401210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0" authorId="0" shapeId="0" xr:uid="{C9C38999-36D7-4FE9-AAF1-F238AE62760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1" authorId="0" shapeId="0" xr:uid="{1C0BD5DA-926B-4442-9769-62F5E867204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2" authorId="0" shapeId="0" xr:uid="{E552D2E4-3A33-41A5-BE64-B9D6A62E317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8" authorId="1" shapeId="0" xr:uid="{E5004590-689D-410B-9B39-3A60C2904F21}">
      <text>
        <r>
          <rPr>
            <sz val="11"/>
            <color theme="1"/>
            <rFont val="Calibri"/>
            <family val="2"/>
            <scheme val="minor"/>
          </rPr>
          <t xml:space="preserve">Kavya Guru:
25350590 Full Amt Invoice raised Dtd on 12.06.25
</t>
        </r>
      </text>
    </comment>
    <comment ref="E98" authorId="1" shapeId="0" xr:uid="{BE989C26-942F-46D5-902D-E717FBCFDE0F}">
      <text>
        <r>
          <rPr>
            <sz val="11"/>
            <color theme="1"/>
            <rFont val="Calibri"/>
            <family val="2"/>
            <scheme val="minor"/>
          </rPr>
          <t>Kavya Guru:
No of mahcine - 3,</t>
        </r>
      </text>
    </comment>
    <comment ref="C99" authorId="1" shapeId="0" xr:uid="{0032274C-D955-447F-A2F6-447086F98F87}">
      <text>
        <r>
          <rPr>
            <sz val="11"/>
            <color theme="1"/>
            <rFont val="Calibri"/>
            <family val="2"/>
            <scheme val="minor"/>
          </rPr>
          <t>Kavya Guru:
2635544 Dtd:27/05/26</t>
        </r>
      </text>
    </comment>
    <comment ref="E99" authorId="1" shapeId="0" xr:uid="{ABAF4568-0699-419D-916F-EDBD322A58EB}">
      <text>
        <r>
          <rPr>
            <sz val="11"/>
            <color theme="1"/>
            <rFont val="Calibri"/>
            <family val="2"/>
            <scheme val="minor"/>
          </rPr>
          <t xml:space="preserve">Kavya Guru:
New machine added
</t>
        </r>
      </text>
    </comment>
    <comment ref="H99" authorId="0" shapeId="0" xr:uid="{9BA7695B-7177-427B-B11E-505EEA190EE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H100" authorId="0" shapeId="0" xr:uid="{219FA8C6-0ED2-4964-933B-A35062589A7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C101" authorId="0" shapeId="0" xr:uid="{E1192BF3-34D7-4A12-8105-22E12281268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No.25350354 Dtd,11/04/2025</t>
        </r>
      </text>
    </comment>
    <comment ref="C110" authorId="0" shapeId="0" xr:uid="{FB4E7D68-F49E-420D-80EE-EB9620EACCC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No.25350410 Dtd.28/04/2025</t>
        </r>
      </text>
    </comment>
    <comment ref="C113" authorId="0" shapeId="0" xr:uid="{B5851784-F329-41B1-9EDB-9F93156A733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No.: 25350368 Dtd.16/04/2025</t>
        </r>
      </text>
    </comment>
    <comment ref="C134" authorId="0" shapeId="0" xr:uid="{3B1D97C0-E409-4F79-8A7A-F93048F0F91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invoice - 25350395 Dtd.23/04/25</t>
        </r>
      </text>
    </comment>
    <comment ref="C139" authorId="1" shapeId="0" xr:uid="{7EAE1461-372D-4242-992E-C40362C354DB}">
      <text>
        <r>
          <rPr>
            <sz val="11"/>
            <color theme="1"/>
            <rFont val="Calibri"/>
            <family val="2"/>
            <scheme val="minor"/>
          </rPr>
          <t xml:space="preserve">Kavya Guru:
25350578 Dtd 11.06.25
</t>
        </r>
      </text>
    </comment>
    <comment ref="E150" authorId="1" shapeId="0" xr:uid="{6023D181-3FEF-4A1E-9811-A15489DB17CF}">
      <text>
        <r>
          <rPr>
            <sz val="11"/>
            <color theme="1"/>
            <rFont val="Calibri"/>
            <family val="2"/>
            <scheme val="minor"/>
          </rPr>
          <t xml:space="preserve">Kavya Guru:
inv no-25350876 Dtd on 19.08.2025
</t>
        </r>
      </text>
    </comment>
    <comment ref="C162" authorId="1" shapeId="0" xr:uid="{02175FB0-C526-40D1-B2C5-7A79181F8D70}">
      <text>
        <r>
          <rPr>
            <sz val="11"/>
            <color theme="1"/>
            <rFont val="Calibri"/>
            <family val="2"/>
            <scheme val="minor"/>
          </rPr>
          <t xml:space="preserve">Kavya Guru:
25351006 Dtd 13/10/25
</t>
        </r>
      </text>
    </comment>
    <comment ref="W169" authorId="1" shapeId="0" xr:uid="{D87F217A-DB18-4B52-8B15-E103DB46E988}">
      <text>
        <r>
          <rPr>
            <sz val="11"/>
            <color theme="1"/>
            <rFont val="Calibri"/>
            <family val="2"/>
            <scheme val="minor"/>
          </rPr>
          <t>Kavya Guru:
If cx share the PO den only genearte the Invoice</t>
        </r>
      </text>
    </comment>
    <comment ref="C171" authorId="0" shapeId="0" xr:uid="{DBAFB62D-7E40-4074-8D82-0A65F576611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No.25350643 Dtd.23/06/25. Period : 01/05/2025 to 31/10/2025</t>
        </r>
      </text>
    </comment>
    <comment ref="C172" authorId="0" shapeId="0" xr:uid="{C1C4EDEF-BFA3-4002-BB3A-D67BD183293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No.25350644 Dtd.23/06/25. Period : 01/05/2025 to 31/10/2025</t>
        </r>
      </text>
    </comment>
    <comment ref="C174" authorId="1" shapeId="0" xr:uid="{74B41214-56D7-4CAB-A66D-E2C927C1E1E2}">
      <text>
        <r>
          <rPr>
            <sz val="11"/>
            <color theme="1"/>
            <rFont val="Calibri"/>
            <family val="2"/>
            <scheme val="minor"/>
          </rPr>
          <t>Kavya Guru:
Inv No.25350976 Dtd.08/09/25</t>
        </r>
      </text>
    </comment>
    <comment ref="C183" authorId="0" shapeId="0" xr:uid="{444F91F3-71B4-4EEA-9117-F82ABF98F7C7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NO.25350942 Dtd.01/09/2025, Period : 15/05/2025 to 14/11/2025</t>
        </r>
      </text>
    </comment>
    <comment ref="C188" authorId="1" shapeId="0" xr:uid="{9DA6A4C8-19E0-43A0-804D-E7501DC96AEB}">
      <text>
        <r>
          <rPr>
            <sz val="11"/>
            <color theme="1"/>
            <rFont val="Calibri"/>
            <family val="2"/>
            <scheme val="minor"/>
          </rPr>
          <t>Kavya Guru:
25351069 Dtd on 06/10/25</t>
        </r>
      </text>
    </comment>
    <comment ref="E201" authorId="1" shapeId="0" xr:uid="{D3D50E02-9608-4180-B7E8-25809968AF32}">
      <text>
        <r>
          <rPr>
            <sz val="11"/>
            <color theme="1"/>
            <rFont val="Calibri"/>
            <family val="2"/>
            <scheme val="minor"/>
          </rPr>
          <t>Kavya Guru:
Customer will release PO every month.
AMC Period- 01/04/2025 to 31/03/26
PM visit -4
Amount =18620*4= 74480</t>
        </r>
      </text>
    </comment>
    <comment ref="C203" authorId="0" shapeId="0" xr:uid="{11992066-A51A-4F4B-82E4-487EA05917C5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- 25350765 Dtd.24/07/2025, Period : 01/06/25 to 30/11/2025</t>
        </r>
      </text>
    </comment>
    <comment ref="C210" authorId="1" shapeId="0" xr:uid="{74F139B7-F84B-4984-85AB-A80CA8063370}">
      <text>
        <r>
          <rPr>
            <sz val="11"/>
            <color theme="1"/>
            <rFont val="Calibri"/>
            <family val="2"/>
            <scheme val="minor"/>
          </rPr>
          <t xml:space="preserve">Kavya Guru:
Invoice No- 25350979 Dtd on 08/09/2025
</t>
        </r>
      </text>
    </comment>
    <comment ref="E212" authorId="1" shapeId="0" xr:uid="{528C7260-5E4C-4FF0-821A-73CD90BC30F2}">
      <text>
        <r>
          <rPr>
            <sz val="11"/>
            <color theme="1"/>
            <rFont val="Calibri"/>
            <family val="2"/>
            <scheme val="minor"/>
          </rPr>
          <t xml:space="preserve">Kavya Guru:
2nd PM visit PO, FYI
</t>
        </r>
      </text>
    </comment>
    <comment ref="E216" authorId="1" shapeId="0" xr:uid="{D78E96AE-47E1-4D8A-97E7-03CBD74D8E9C}">
      <text>
        <r>
          <rPr>
            <sz val="11"/>
            <color theme="1"/>
            <rFont val="Calibri"/>
            <family val="2"/>
            <scheme val="minor"/>
          </rPr>
          <t>Kavya Guru:
Invoice- 25350858 Dtd 14/08/25</t>
        </r>
      </text>
    </comment>
    <comment ref="C224" authorId="1" shapeId="0" xr:uid="{CFCBD889-BC10-4B33-8800-40E1729276BC}">
      <text>
        <r>
          <rPr>
            <sz val="11"/>
            <color theme="1"/>
            <rFont val="Calibri"/>
            <family val="2"/>
            <scheme val="minor"/>
          </rPr>
          <t xml:space="preserve">Kavya Guru:
25351036 Dtd:24/09/25
</t>
        </r>
      </text>
    </comment>
    <comment ref="C227" authorId="1" shapeId="0" xr:uid="{FD5227DA-3AE9-4F7E-A277-007E9AFE6C79}">
      <text>
        <r>
          <rPr>
            <sz val="11"/>
            <color theme="1"/>
            <rFont val="Calibri"/>
            <family val="2"/>
            <scheme val="minor"/>
          </rPr>
          <t xml:space="preserve">Kavya Guru:
25351033 Dtd on 24/09/25
</t>
        </r>
      </text>
    </comment>
    <comment ref="E230" authorId="1" shapeId="0" xr:uid="{D73C8F94-9CE2-4DF8-9A45-5859A2EAFDED}">
      <text>
        <r>
          <rPr>
            <sz val="11"/>
            <color theme="1"/>
            <rFont val="Calibri"/>
            <family val="2"/>
            <scheme val="minor"/>
          </rPr>
          <t xml:space="preserve">Kavya Guru:
Invoice generated 100% 
15 machines- 6 Invoices
All 6 Invoices generated on 26/08/25
</t>
        </r>
      </text>
    </comment>
    <comment ref="E231" authorId="1" shapeId="0" xr:uid="{41C547B4-ADFD-4147-8B22-8FED1C26DD56}">
      <text>
        <r>
          <rPr>
            <sz val="11"/>
            <color theme="1"/>
            <rFont val="Calibri"/>
            <family val="2"/>
            <scheme val="minor"/>
          </rPr>
          <t>Kavya Guru:
100% Inv - 25350973 Dtd.08/09/25</t>
        </r>
      </text>
    </comment>
    <comment ref="E235" authorId="1" shapeId="0" xr:uid="{6910DC35-F200-45F4-B17A-F39A914ACFDC}">
      <text>
        <r>
          <rPr>
            <sz val="11"/>
            <color theme="1"/>
            <rFont val="Calibri"/>
            <family val="2"/>
            <scheme val="minor"/>
          </rPr>
          <t>Kavya Guru:
inv No -25350855 Dtd 13.08.25</t>
        </r>
      </text>
    </comment>
    <comment ref="C245" authorId="1" shapeId="0" xr:uid="{1FB88543-7922-44B3-9C0A-3821FD259239}">
      <text>
        <r>
          <rPr>
            <sz val="11"/>
            <color theme="1"/>
            <rFont val="Calibri"/>
            <family val="2"/>
            <scheme val="minor"/>
          </rPr>
          <t>Kavya Guru:
Qty 0.50 while INVOICING</t>
        </r>
      </text>
    </comment>
    <comment ref="C257" authorId="0" shapeId="0" xr:uid="{A9385C8E-47E3-4261-9E53-3644502F4B1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No.25350789 Dtd.29/07/25, Period : 10/07/25 to 09/01/2026</t>
        </r>
      </text>
    </comment>
    <comment ref="C258" authorId="1" shapeId="0" xr:uid="{34B63311-5A36-4220-9273-C89288EB9765}">
      <text>
        <r>
          <rPr>
            <sz val="11"/>
            <color theme="1"/>
            <rFont val="Calibri"/>
            <family val="2"/>
            <scheme val="minor"/>
          </rPr>
          <t xml:space="preserve">Kavya Guru:
Inv raised on 24.09.25
No- 25351032
</t>
        </r>
      </text>
    </comment>
    <comment ref="C278" authorId="0" shapeId="0" xr:uid="{6728F844-14DC-4282-ACCB-9F8FDF780A1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No.25351022 Dtd.18/09/25 Period : 09/08/25 to 08/02/26</t>
        </r>
      </text>
    </comment>
    <comment ref="E287" authorId="1" shapeId="0" xr:uid="{BB0FE4C7-5EE6-4DC8-8041-C9BC351DA856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2nd Quater PO-931669
</t>
        </r>
      </text>
    </comment>
    <comment ref="C312" authorId="1" shapeId="0" xr:uid="{576B5E69-5455-4868-9369-464696B4C31B}">
      <text>
        <r>
          <rPr>
            <sz val="11"/>
            <color theme="1"/>
            <rFont val="Calibri"/>
            <family val="2"/>
            <scheme val="minor"/>
          </rPr>
          <t xml:space="preserve">Kavya Guru:
</t>
        </r>
      </text>
    </comment>
    <comment ref="C322" authorId="1" shapeId="0" xr:uid="{2E2CB94F-8BB2-4385-8455-E98E9DE44EC5}">
      <text>
        <r>
          <rPr>
            <sz val="11"/>
            <color theme="1"/>
            <rFont val="Calibri"/>
            <family val="2"/>
            <scheme val="minor"/>
          </rPr>
          <t xml:space="preserve">Kavya Guru:
25351265 Dtd 20.11.25- 50% Inv Raised 
</t>
        </r>
      </text>
    </comment>
    <comment ref="C323" authorId="1" shapeId="0" xr:uid="{E0660D84-83AF-45FF-BC0A-EEDB74371EB0}">
      <text>
        <r>
          <rPr>
            <sz val="11"/>
            <color theme="1"/>
            <rFont val="Calibri"/>
            <family val="2"/>
            <scheme val="minor"/>
          </rPr>
          <t>Kavya Guru:
Invoiced 25351393 Dtd  16/12/25</t>
        </r>
      </text>
    </comment>
    <comment ref="C332" authorId="1" shapeId="0" xr:uid="{1B48A52F-BB8B-4200-9518-C16E7AAFF16D}">
      <text>
        <r>
          <rPr>
            <sz val="11"/>
            <color theme="1"/>
            <rFont val="Calibri"/>
            <family val="2"/>
            <scheme val="minor"/>
          </rPr>
          <t xml:space="preserve">Kavya Guru:
25351204 Dtd-07.11.25
</t>
        </r>
      </text>
    </comment>
    <comment ref="I334" authorId="1" shapeId="0" xr:uid="{C3181664-F5CB-4C1A-88D0-3728D68E8941}">
      <text>
        <r>
          <rPr>
            <sz val="11"/>
            <color theme="1"/>
            <rFont val="Calibri"/>
            <family val="2"/>
            <scheme val="minor"/>
          </rPr>
          <t xml:space="preserve">Kavya Guru:
Software amount-32500/- Included
</t>
        </r>
      </text>
    </comment>
    <comment ref="C341" authorId="1" shapeId="0" xr:uid="{E237D151-D0EC-4134-9E2F-2D72B57264D9}">
      <text>
        <r>
          <rPr>
            <sz val="11"/>
            <color theme="1"/>
            <rFont val="Calibri"/>
            <family val="2"/>
            <scheme val="minor"/>
          </rPr>
          <t>Kavya Guru:
PLace Of supply: Other Territory</t>
        </r>
      </text>
    </comment>
    <comment ref="E345" authorId="1" shapeId="0" xr:uid="{4B631378-C659-4CE5-B77C-B24C4BE9D967}">
      <text>
        <r>
          <rPr>
            <sz val="11"/>
            <color theme="1"/>
            <rFont val="Calibri"/>
            <family val="2"/>
            <scheme val="minor"/>
          </rPr>
          <t xml:space="preserve">Kavya Guru:
Cx has released 2 PO's for 2 Visit and select Place of Supply as other territory in SAP </t>
        </r>
      </text>
    </comment>
    <comment ref="C346" authorId="1" shapeId="0" xr:uid="{D839F97E-E875-4233-B098-EE9681F1E56C}">
      <text>
        <r>
          <rPr>
            <sz val="11"/>
            <color theme="1"/>
            <rFont val="Calibri"/>
            <family val="2"/>
            <scheme val="minor"/>
          </rPr>
          <t>Kavya Guru:
Place of supply: Other Territory.</t>
        </r>
      </text>
    </comment>
    <comment ref="E347" authorId="1" shapeId="0" xr:uid="{993C98DD-8769-4AE4-BD53-8756BE5E3AB9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3rd Quater PO-948530
</t>
        </r>
      </text>
    </comment>
    <comment ref="C352" authorId="1" shapeId="0" xr:uid="{FA3F49DE-4FCE-408C-8B79-99CC30D9F28A}">
      <text>
        <r>
          <rPr>
            <sz val="11"/>
            <color theme="1"/>
            <rFont val="Calibri"/>
            <family val="2"/>
            <scheme val="minor"/>
          </rPr>
          <t>Kavya Guru:
25351330 Dtd:5/12/25</t>
        </r>
      </text>
    </comment>
    <comment ref="C362" authorId="1" shapeId="0" xr:uid="{2A06DC15-63D2-4815-B320-79F39EE4774C}">
      <text>
        <r>
          <rPr>
            <sz val="11"/>
            <color theme="1"/>
            <rFont val="Calibri"/>
            <family val="2"/>
            <scheme val="minor"/>
          </rPr>
          <t>Kavya Guru:
25351424 Dtd:23/12/25, Generate 2nd Invocie in month of July 26</t>
        </r>
      </text>
    </comment>
    <comment ref="C380" authorId="1" shapeId="0" xr:uid="{53337BC5-E35D-4EAF-B61E-575792082898}">
      <text>
        <r>
          <rPr>
            <sz val="11"/>
            <color theme="1"/>
            <rFont val="Calibri"/>
            <family val="2"/>
            <scheme val="minor"/>
          </rPr>
          <t>Kavya Guru:
26350064 Dtd:14-03-26</t>
        </r>
      </text>
    </comment>
    <comment ref="C382" authorId="1" shapeId="0" xr:uid="{FBCB9478-8DFF-44FC-B8BE-EA17763563BC}">
      <text>
        <r>
          <rPr>
            <sz val="11"/>
            <color theme="1"/>
            <rFont val="Calibri"/>
            <family val="2"/>
            <scheme val="minor"/>
          </rPr>
          <t>Kavya Guru:
26360228 Dtd:14/03/26</t>
        </r>
      </text>
    </comment>
    <comment ref="C388" authorId="1" shapeId="0" xr:uid="{2452697C-7802-4A60-8172-06A04B1CD8A8}">
      <text>
        <r>
          <rPr>
            <sz val="11"/>
            <color theme="1"/>
            <rFont val="Calibri"/>
            <family val="2"/>
            <scheme val="minor"/>
          </rPr>
          <t>Kavya Guru:
26350100 Dtd:30-01-26</t>
        </r>
      </text>
    </comment>
    <comment ref="C397" authorId="1" shapeId="0" xr:uid="{FC516B8A-D1AC-4DC6-9459-50CDFF6181AF}">
      <text>
        <r>
          <rPr>
            <sz val="11"/>
            <color theme="1"/>
            <rFont val="Calibri"/>
            <family val="2"/>
            <scheme val="minor"/>
          </rPr>
          <t>Kavya Guru:
26350311 Dtd:30/03/26</t>
        </r>
      </text>
    </comment>
    <comment ref="C423" authorId="1" shapeId="0" xr:uid="{FB6A48B2-654B-4048-8592-326DF53B0C5C}">
      <text>
        <r>
          <rPr>
            <sz val="11"/>
            <color theme="1"/>
            <rFont val="Calibri"/>
            <family val="2"/>
            <scheme val="minor"/>
          </rPr>
          <t>Kavya Guru:
26350325 Dtd:31/03/26</t>
        </r>
      </text>
    </comment>
    <comment ref="C428" authorId="0" shapeId="0" xr:uid="{D48ADF37-0FD4-476B-8DFD-EAA8C7365AC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9" authorId="0" shapeId="0" xr:uid="{ABE94170-4652-402C-BB65-31B85EBCE5F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30" authorId="0" shapeId="0" xr:uid="{29C8A3D7-B8B3-4A5A-A454-330A07A8A6D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31" authorId="0" shapeId="0" xr:uid="{B9411C7E-D72E-4CCB-8F59-8F74FDBC2E6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35" authorId="1" shapeId="0" xr:uid="{646C4E22-A1CD-4C21-ACD0-86ADC67E66BA}">
      <text>
        <r>
          <rPr>
            <sz val="11"/>
            <color theme="1"/>
            <rFont val="Calibri"/>
            <family val="2"/>
            <scheme val="minor"/>
          </rPr>
          <t>Kavya Guru:
50% Invoice raised on 10/02/2026 Inv no-26360135</t>
        </r>
      </text>
    </comment>
    <comment ref="E450" authorId="1" shapeId="0" xr:uid="{0D1F63E8-9BDE-46E0-A223-B80EE20A850D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4th Quater PO-9000005172
</t>
        </r>
      </text>
    </comment>
    <comment ref="C456" authorId="1" shapeId="0" xr:uid="{BC546F75-770A-45AD-B259-6C0630C321C1}">
      <text>
        <r>
          <rPr>
            <sz val="11"/>
            <color theme="1"/>
            <rFont val="Calibri"/>
            <family val="2"/>
            <scheme val="minor"/>
          </rPr>
          <t xml:space="preserve">Kavya Guru:
26350261 Dtd:17/03/26
</t>
        </r>
      </text>
    </comment>
    <comment ref="C463" authorId="1" shapeId="0" xr:uid="{528AD9BC-AE79-4CC6-A81E-2E8C49F75B26}">
      <text>
        <r>
          <rPr>
            <sz val="11"/>
            <color theme="1"/>
            <rFont val="Calibri"/>
            <family val="2"/>
            <scheme val="minor"/>
          </rPr>
          <t>Kavya Guru:
26350403 Dtd:20/04/26</t>
        </r>
      </text>
    </comment>
    <comment ref="I480" authorId="1" shapeId="0" xr:uid="{0190C941-B332-4396-97D3-242E62B526FE}">
      <text>
        <r>
          <rPr>
            <sz val="11"/>
            <color theme="1"/>
            <rFont val="Calibri"/>
            <family val="2"/>
            <scheme val="minor"/>
          </rPr>
          <t>Kavya Guru:
Cx has given PO in EURO (4160* 108.70)</t>
        </r>
      </text>
    </comment>
    <comment ref="I484" authorId="1" shapeId="0" xr:uid="{A6BF18B6-FE27-462E-817D-3144DBE35D81}">
      <text>
        <r>
          <rPr>
            <sz val="11"/>
            <color theme="1"/>
            <rFont val="Calibri"/>
            <family val="2"/>
            <scheme val="minor"/>
          </rPr>
          <t>Kavya Guru:
190400 Software amt -27200*7</t>
        </r>
      </text>
    </comment>
    <comment ref="I489" authorId="1" shapeId="0" xr:uid="{8508F81F-5776-411D-826A-CB5EB74126ED}">
      <text>
        <r>
          <rPr>
            <sz val="11"/>
            <color theme="1"/>
            <rFont val="Calibri"/>
            <family val="2"/>
            <scheme val="minor"/>
          </rPr>
          <t>Kavya Guru:
Software amt- 67200/-
Remote Support Amt- 38400/-</t>
        </r>
      </text>
    </comment>
    <comment ref="C495" authorId="1" shapeId="0" xr:uid="{1F501904-6ECA-4C81-8999-FF507B2FA777}">
      <text>
        <r>
          <rPr>
            <sz val="11"/>
            <color theme="1"/>
            <rFont val="Calibri"/>
            <family val="2"/>
            <scheme val="minor"/>
          </rPr>
          <t xml:space="preserve">Kavya Guru:
26350356 Dtd:10/04/26
</t>
        </r>
      </text>
    </comment>
    <comment ref="C500" authorId="1" shapeId="0" xr:uid="{322D14CC-0AEB-4856-B21A-931ABF7554EC}">
      <text>
        <r>
          <rPr>
            <sz val="11"/>
            <color theme="1"/>
            <rFont val="Calibri"/>
            <family val="2"/>
            <scheme val="minor"/>
          </rPr>
          <t>Kavya Guru:
2 invoice- 50% after 1st PM
50% after 3rd PM</t>
        </r>
      </text>
    </comment>
    <comment ref="I509" authorId="1" shapeId="0" xr:uid="{604AA62D-5D13-45F1-860E-3566B06EC79E}">
      <text>
        <r>
          <rPr>
            <sz val="11"/>
            <color theme="1"/>
            <rFont val="Calibri"/>
            <family val="2"/>
            <scheme val="minor"/>
          </rPr>
          <t>Kavya Guru:
Po value is for 6 month, check with pankaj for another (remaining) 6 month PO
Period-01.04.2026 to 31.03.202, but consider only for 6 month</t>
        </r>
      </text>
    </comment>
    <comment ref="I543" authorId="1" shapeId="0" xr:uid="{9B794385-98E1-4279-B2CF-1A2FE1454BC0}">
      <text>
        <r>
          <rPr>
            <sz val="11"/>
            <color theme="1"/>
            <rFont val="Calibri"/>
            <family val="2"/>
            <scheme val="minor"/>
          </rPr>
          <t>Kavya Guru:
20500 software amount</t>
        </r>
      </text>
    </comment>
    <comment ref="I547" authorId="1" shapeId="0" xr:uid="{434A3332-6530-4B6C-8767-785E4DB42AC9}">
      <text>
        <r>
          <rPr>
            <sz val="11"/>
            <color theme="1"/>
            <rFont val="Calibri"/>
            <family val="2"/>
            <scheme val="minor"/>
          </rPr>
          <t>Kavya Guru:
Software Included -57,600/-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Geetha Kenchaiah</author>
    <author>Kavya Guru</author>
  </authors>
  <commentList>
    <comment ref="E10" authorId="0" shapeId="0" xr:uid="{B339B123-52FC-46EC-BEF0-068D3C5F1EE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Old PO No.6700003429 , PO Number changed , due to merge of Flash viven into Flash electronics</t>
        </r>
      </text>
    </comment>
    <comment ref="I28" authorId="1" shapeId="0" xr:uid="{A59878D2-AD6E-4143-BFBF-800D9C649C2F}">
      <text>
        <r>
          <rPr>
            <sz val="11"/>
            <color theme="1"/>
            <rFont val="Calibri"/>
            <family val="2"/>
            <scheme val="minor"/>
          </rPr>
          <t xml:space="preserve">Kavya Guru:
If required book it by month End 31/12/25
</t>
        </r>
      </text>
    </comment>
    <comment ref="E55" authorId="1" shapeId="0" xr:uid="{B8D137C5-59BC-4D50-B44A-37CE0A7768F3}">
      <text>
        <r>
          <rPr>
            <sz val="11"/>
            <color theme="1"/>
            <rFont val="Calibri"/>
            <family val="2"/>
            <scheme val="minor"/>
          </rPr>
          <t>Kavya Guru:
PO Short closed as customer has given New PO.</t>
        </r>
      </text>
    </comment>
    <comment ref="I61" authorId="0" shapeId="0" xr:uid="{5393EAB6-B4B3-4006-970D-B4A2D282CCC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2" authorId="0" shapeId="0" xr:uid="{0CF1698E-D31C-43E7-9C30-E7CF45E2B647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3" authorId="0" shapeId="0" xr:uid="{6977888B-379C-4681-B3BB-5927168B8F0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4" authorId="0" shapeId="0" xr:uid="{3CEF30D9-03B3-45DE-A793-919928F2F76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P64" authorId="0" shapeId="0" xr:uid="{7D299812-0D48-4F4C-A7FB-F3457C371D6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5" authorId="0" shapeId="0" xr:uid="{D99605AC-1AF1-4FF2-A63F-FCEB5E948C3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P65" authorId="0" shapeId="0" xr:uid="{11947627-9E66-40EC-9DEA-32839B40F5F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6" authorId="0" shapeId="0" xr:uid="{2C8FDD96-E524-4391-A52A-0A53B557AC05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P66" authorId="0" shapeId="0" xr:uid="{A694A09E-3816-4E06-90F9-A98A693DA29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7" authorId="0" shapeId="0" xr:uid="{1603D5F3-2317-48DD-8604-08C80CDBBD9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8" authorId="0" shapeId="0" xr:uid="{C5B3DAD6-7E9D-4D42-9167-B6C454776FB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9" authorId="0" shapeId="0" xr:uid="{C8E58273-E222-41F5-8E86-E3CA8648FA6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E76" authorId="1" shapeId="0" xr:uid="{315D5FA2-C0C2-4AD4-91C7-DD7741733893}">
      <text>
        <r>
          <rPr>
            <sz val="11"/>
            <color theme="1"/>
            <rFont val="Calibri"/>
            <family val="2"/>
            <scheme val="minor"/>
          </rPr>
          <t>Kavya Guru:
BPCL -Previous PO no- 4601039968 is a contact agreement</t>
        </r>
      </text>
    </comment>
    <comment ref="C84" authorId="0" shapeId="0" xr:uid="{A1632848-BED5-41C0-84A8-A8AD3E1A0067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No.25350298 Dtd.24/03/25. For the period : 10/01/2025 to 09/07/2025
INV NO.25350771 Dtd.24/07/25 For the Period : 10/07/2025 to 09/01/26.
</t>
        </r>
      </text>
    </comment>
    <comment ref="C89" authorId="0" shapeId="0" xr:uid="{B1776A9A-F311-45DA-A67F-61027DF71C25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0" authorId="0" shapeId="0" xr:uid="{29271752-B11C-4C1F-BEED-79AA7DF612E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1" authorId="0" shapeId="0" xr:uid="{36AFEC00-E7F0-40BB-95A6-40B5A7257030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2" authorId="0" shapeId="0" xr:uid="{02745CA1-2EE2-417D-BED3-8057F2B7E48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8" authorId="1" shapeId="0" xr:uid="{894B25EC-F199-4FE5-826D-093A5DCB6B64}">
      <text>
        <r>
          <rPr>
            <sz val="11"/>
            <color theme="1"/>
            <rFont val="Calibri"/>
            <family val="2"/>
            <scheme val="minor"/>
          </rPr>
          <t xml:space="preserve">Kavya Guru:
25350590 Full Amt Invoice raised Dtd on 12.06.25
</t>
        </r>
      </text>
    </comment>
    <comment ref="E98" authorId="1" shapeId="0" xr:uid="{66540565-FF14-47E8-AD47-AFD014E6F001}">
      <text>
        <r>
          <rPr>
            <sz val="11"/>
            <color theme="1"/>
            <rFont val="Calibri"/>
            <family val="2"/>
            <scheme val="minor"/>
          </rPr>
          <t>Kavya Guru:
No of mahcine - 3,</t>
        </r>
      </text>
    </comment>
    <comment ref="C99" authorId="1" shapeId="0" xr:uid="{5F0A03B8-71CF-4D94-8BE0-B696CE0308F4}">
      <text>
        <r>
          <rPr>
            <sz val="11"/>
            <color theme="1"/>
            <rFont val="Calibri"/>
            <family val="2"/>
            <scheme val="minor"/>
          </rPr>
          <t>Kavya Guru:
2635544 Dtd:27/05/26</t>
        </r>
      </text>
    </comment>
    <comment ref="E99" authorId="1" shapeId="0" xr:uid="{82C3E914-0895-446A-90E7-32EF21A087A4}">
      <text>
        <r>
          <rPr>
            <sz val="11"/>
            <color theme="1"/>
            <rFont val="Calibri"/>
            <family val="2"/>
            <scheme val="minor"/>
          </rPr>
          <t xml:space="preserve">Kavya Guru:
New machine added
</t>
        </r>
      </text>
    </comment>
    <comment ref="H99" authorId="0" shapeId="0" xr:uid="{DEA70A40-345E-41D9-98B7-6325AB4630C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H100" authorId="0" shapeId="0" xr:uid="{71E952C0-99A2-442C-A604-7A052D103F2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C101" authorId="0" shapeId="0" xr:uid="{424B0535-F999-41F2-86E0-D3520F7A221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No.25350354 Dtd,11/04/2025</t>
        </r>
      </text>
    </comment>
    <comment ref="C110" authorId="0" shapeId="0" xr:uid="{22F262B2-A077-4ED4-9D38-4C24D34015D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No.25350410 Dtd.28/04/2025</t>
        </r>
      </text>
    </comment>
    <comment ref="C113" authorId="0" shapeId="0" xr:uid="{07254405-9F3F-48AD-88E1-5E2F765BF30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No.: 25350368 Dtd.16/04/2025</t>
        </r>
      </text>
    </comment>
    <comment ref="C134" authorId="0" shapeId="0" xr:uid="{D6699675-0B61-456F-A874-6534C377FF5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invoice - 25350395 Dtd.23/04/25</t>
        </r>
      </text>
    </comment>
    <comment ref="C139" authorId="1" shapeId="0" xr:uid="{19F7DD2B-3B9C-4FA9-8AB5-8923CBABBE36}">
      <text>
        <r>
          <rPr>
            <sz val="11"/>
            <color theme="1"/>
            <rFont val="Calibri"/>
            <family val="2"/>
            <scheme val="minor"/>
          </rPr>
          <t xml:space="preserve">Kavya Guru:
25350578 Dtd 11.06.25
</t>
        </r>
      </text>
    </comment>
    <comment ref="E150" authorId="1" shapeId="0" xr:uid="{ADF7BEC0-CBFA-4236-B44D-16955AE3EFC8}">
      <text>
        <r>
          <rPr>
            <sz val="11"/>
            <color theme="1"/>
            <rFont val="Calibri"/>
            <family val="2"/>
            <scheme val="minor"/>
          </rPr>
          <t xml:space="preserve">Kavya Guru:
inv no-25350876 Dtd on 19.08.2025
</t>
        </r>
      </text>
    </comment>
    <comment ref="C162" authorId="1" shapeId="0" xr:uid="{97EB9864-2391-4C38-AF77-118147A98D9C}">
      <text>
        <r>
          <rPr>
            <sz val="11"/>
            <color theme="1"/>
            <rFont val="Calibri"/>
            <family val="2"/>
            <scheme val="minor"/>
          </rPr>
          <t xml:space="preserve">Kavya Guru:
25351006 Dtd 13/10/25
</t>
        </r>
      </text>
    </comment>
    <comment ref="W169" authorId="1" shapeId="0" xr:uid="{69E75F7F-FDC1-4DE2-B8DA-5146BD02D952}">
      <text>
        <r>
          <rPr>
            <sz val="11"/>
            <color theme="1"/>
            <rFont val="Calibri"/>
            <family val="2"/>
            <scheme val="minor"/>
          </rPr>
          <t>Kavya Guru:
If cx share the PO den only genearte the Invoice</t>
        </r>
      </text>
    </comment>
    <comment ref="C171" authorId="0" shapeId="0" xr:uid="{0E8DF827-BA98-496D-98C5-1B7C3EDAF6C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No.25350643 Dtd.23/06/25. Period : 01/05/2025 to 31/10/2025</t>
        </r>
      </text>
    </comment>
    <comment ref="C172" authorId="0" shapeId="0" xr:uid="{1C8AA73A-17E3-40F8-863A-A0D847AA59B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No.25350644 Dtd.23/06/25. Period : 01/05/2025 to 31/10/2025</t>
        </r>
      </text>
    </comment>
    <comment ref="C174" authorId="1" shapeId="0" xr:uid="{A635C0C4-FEA5-4508-90D4-9225AD540853}">
      <text>
        <r>
          <rPr>
            <sz val="11"/>
            <color theme="1"/>
            <rFont val="Calibri"/>
            <family val="2"/>
            <scheme val="minor"/>
          </rPr>
          <t>Kavya Guru:
Inv No.25350976 Dtd.08/09/25</t>
        </r>
      </text>
    </comment>
    <comment ref="C183" authorId="0" shapeId="0" xr:uid="{D292E223-BEC2-4A43-A304-E05003E65EF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NO.25350942 Dtd.01/09/2025, Period : 15/05/2025 to 14/11/2025</t>
        </r>
      </text>
    </comment>
    <comment ref="C188" authorId="1" shapeId="0" xr:uid="{C68C4637-2379-45DD-B51A-8D6D84172171}">
      <text>
        <r>
          <rPr>
            <sz val="11"/>
            <color theme="1"/>
            <rFont val="Calibri"/>
            <family val="2"/>
            <scheme val="minor"/>
          </rPr>
          <t>Kavya Guru:
25351069 Dtd on 06/10/25</t>
        </r>
      </text>
    </comment>
    <comment ref="E201" authorId="1" shapeId="0" xr:uid="{D73BA1CD-7513-4EED-A6FE-67BF51A6684E}">
      <text>
        <r>
          <rPr>
            <sz val="11"/>
            <color theme="1"/>
            <rFont val="Calibri"/>
            <family val="2"/>
            <scheme val="minor"/>
          </rPr>
          <t>Kavya Guru:
Customer will release PO every month.
AMC Period- 01/04/2025 to 31/03/26
PM visit -4
Amount =18620*4= 74480</t>
        </r>
      </text>
    </comment>
    <comment ref="C203" authorId="0" shapeId="0" xr:uid="{EFD86FA0-DA9B-4E17-A81F-5253D48CCA7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- 25350765 Dtd.24/07/2025, Period : 01/06/25 to 30/11/2025</t>
        </r>
      </text>
    </comment>
    <comment ref="C210" authorId="1" shapeId="0" xr:uid="{D8DB600B-0FD2-4DAA-BAB0-4F64D2A193D2}">
      <text>
        <r>
          <rPr>
            <sz val="11"/>
            <color theme="1"/>
            <rFont val="Calibri"/>
            <family val="2"/>
            <scheme val="minor"/>
          </rPr>
          <t xml:space="preserve">Kavya Guru:
Invoice No- 25350979 Dtd on 08/09/2025
</t>
        </r>
      </text>
    </comment>
    <comment ref="E212" authorId="1" shapeId="0" xr:uid="{A1DC0112-BCBA-4070-84B3-EBC1F943E9E0}">
      <text>
        <r>
          <rPr>
            <sz val="11"/>
            <color theme="1"/>
            <rFont val="Calibri"/>
            <family val="2"/>
            <scheme val="minor"/>
          </rPr>
          <t xml:space="preserve">Kavya Guru:
2nd PM visit PO, FYI
</t>
        </r>
      </text>
    </comment>
    <comment ref="E216" authorId="1" shapeId="0" xr:uid="{E95637ED-157C-466C-9884-53DEBDBEDC75}">
      <text>
        <r>
          <rPr>
            <sz val="11"/>
            <color theme="1"/>
            <rFont val="Calibri"/>
            <family val="2"/>
            <scheme val="minor"/>
          </rPr>
          <t>Kavya Guru:
Invoice- 25350858 Dtd 14/08/25</t>
        </r>
      </text>
    </comment>
    <comment ref="C224" authorId="1" shapeId="0" xr:uid="{7A5B3AF5-3D26-48FB-A522-A1C484BDA9CE}">
      <text>
        <r>
          <rPr>
            <sz val="11"/>
            <color theme="1"/>
            <rFont val="Calibri"/>
            <family val="2"/>
            <scheme val="minor"/>
          </rPr>
          <t xml:space="preserve">Kavya Guru:
25351036 Dtd:24/09/25
</t>
        </r>
      </text>
    </comment>
    <comment ref="C227" authorId="1" shapeId="0" xr:uid="{EF9EB42D-10A4-4E0A-9213-D283CE5E03D8}">
      <text>
        <r>
          <rPr>
            <sz val="11"/>
            <color theme="1"/>
            <rFont val="Calibri"/>
            <family val="2"/>
            <scheme val="minor"/>
          </rPr>
          <t xml:space="preserve">Kavya Guru:
25351033 Dtd on 24/09/25
</t>
        </r>
      </text>
    </comment>
    <comment ref="E230" authorId="1" shapeId="0" xr:uid="{34293958-6865-4789-A319-DB2905CC0BA8}">
      <text>
        <r>
          <rPr>
            <sz val="11"/>
            <color theme="1"/>
            <rFont val="Calibri"/>
            <family val="2"/>
            <scheme val="minor"/>
          </rPr>
          <t xml:space="preserve">Kavya Guru:
Invoice generated 100% 
15 machines- 6 Invoices
All 6 Invoices generated on 26/08/25
</t>
        </r>
      </text>
    </comment>
    <comment ref="E231" authorId="1" shapeId="0" xr:uid="{2F0A50C6-AC32-424D-85DC-BD4D0C9E657D}">
      <text>
        <r>
          <rPr>
            <sz val="11"/>
            <color theme="1"/>
            <rFont val="Calibri"/>
            <family val="2"/>
            <scheme val="minor"/>
          </rPr>
          <t>Kavya Guru:
100% Inv - 25350973 Dtd.08/09/25</t>
        </r>
      </text>
    </comment>
    <comment ref="E235" authorId="1" shapeId="0" xr:uid="{34BCBB22-4A62-4C64-A66C-160334EAFCDA}">
      <text>
        <r>
          <rPr>
            <sz val="11"/>
            <color theme="1"/>
            <rFont val="Calibri"/>
            <family val="2"/>
            <scheme val="minor"/>
          </rPr>
          <t>Kavya Guru:
inv No -25350855 Dtd 13.08.25</t>
        </r>
      </text>
    </comment>
    <comment ref="C245" authorId="1" shapeId="0" xr:uid="{F2DFD78F-4F4A-4942-A771-FA755276495B}">
      <text>
        <r>
          <rPr>
            <sz val="11"/>
            <color theme="1"/>
            <rFont val="Calibri"/>
            <family val="2"/>
            <scheme val="minor"/>
          </rPr>
          <t>Kavya Guru:
Qty 0.50 while INVOICING</t>
        </r>
      </text>
    </comment>
    <comment ref="C257" authorId="0" shapeId="0" xr:uid="{94E99CA2-830A-4F5F-99BC-77E3987C501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No.25350789 Dtd.29/07/25, Period : 10/07/25 to 09/01/2026</t>
        </r>
      </text>
    </comment>
    <comment ref="C258" authorId="1" shapeId="0" xr:uid="{4547CD6A-DEA4-42FD-B5E8-094E855D5402}">
      <text>
        <r>
          <rPr>
            <sz val="11"/>
            <color theme="1"/>
            <rFont val="Calibri"/>
            <family val="2"/>
            <scheme val="minor"/>
          </rPr>
          <t xml:space="preserve">Kavya Guru:
Inv raised on 24.09.25
No- 25351032
</t>
        </r>
      </text>
    </comment>
    <comment ref="C278" authorId="0" shapeId="0" xr:uid="{4C02FAA7-50F6-48C6-AEC6-1AF542525ED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No.25351022 Dtd.18/09/25 Period : 09/08/25 to 08/02/26</t>
        </r>
      </text>
    </comment>
    <comment ref="E287" authorId="1" shapeId="0" xr:uid="{519BC6BE-941D-4C25-B0E6-E55C12E99026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2nd Quater PO-931669
</t>
        </r>
      </text>
    </comment>
    <comment ref="C312" authorId="1" shapeId="0" xr:uid="{69D60D7D-1673-4588-A047-A5093B048B06}">
      <text>
        <r>
          <rPr>
            <sz val="11"/>
            <color theme="1"/>
            <rFont val="Calibri"/>
            <family val="2"/>
            <scheme val="minor"/>
          </rPr>
          <t xml:space="preserve">Kavya Guru:
</t>
        </r>
      </text>
    </comment>
    <comment ref="C322" authorId="1" shapeId="0" xr:uid="{059F24EE-40B0-4610-9AA9-464FFED96F8E}">
      <text>
        <r>
          <rPr>
            <sz val="11"/>
            <color theme="1"/>
            <rFont val="Calibri"/>
            <family val="2"/>
            <scheme val="minor"/>
          </rPr>
          <t xml:space="preserve">Kavya Guru:
25351265 Dtd 20.11.25- 50% Inv Raised 
</t>
        </r>
      </text>
    </comment>
    <comment ref="C323" authorId="1" shapeId="0" xr:uid="{598D1FDA-9C36-4783-B225-B6FB1806AF29}">
      <text>
        <r>
          <rPr>
            <sz val="11"/>
            <color theme="1"/>
            <rFont val="Calibri"/>
            <family val="2"/>
            <scheme val="minor"/>
          </rPr>
          <t>Kavya Guru:
Invoiced 25351393 Dtd  16/12/25</t>
        </r>
      </text>
    </comment>
    <comment ref="C332" authorId="1" shapeId="0" xr:uid="{5C5D2C91-B838-4A2A-8858-1ECAADF15B14}">
      <text>
        <r>
          <rPr>
            <sz val="11"/>
            <color theme="1"/>
            <rFont val="Calibri"/>
            <family val="2"/>
            <scheme val="minor"/>
          </rPr>
          <t xml:space="preserve">Kavya Guru:
25351204 Dtd-07.11.25
</t>
        </r>
      </text>
    </comment>
    <comment ref="I334" authorId="1" shapeId="0" xr:uid="{5F50248A-9577-43DA-872F-0FAFBAB983FE}">
      <text>
        <r>
          <rPr>
            <sz val="11"/>
            <color theme="1"/>
            <rFont val="Calibri"/>
            <family val="2"/>
            <scheme val="minor"/>
          </rPr>
          <t xml:space="preserve">Kavya Guru:
Software amount-32500/- Included
</t>
        </r>
      </text>
    </comment>
    <comment ref="C341" authorId="1" shapeId="0" xr:uid="{1AE8A733-52A3-4D56-8864-53AD32F4086B}">
      <text>
        <r>
          <rPr>
            <sz val="11"/>
            <color theme="1"/>
            <rFont val="Calibri"/>
            <family val="2"/>
            <scheme val="minor"/>
          </rPr>
          <t>Kavya Guru:
PLace Of supply: Other Territory</t>
        </r>
      </text>
    </comment>
    <comment ref="E345" authorId="1" shapeId="0" xr:uid="{348C5314-26FB-4EAB-91B1-0426060FB534}">
      <text>
        <r>
          <rPr>
            <sz val="11"/>
            <color theme="1"/>
            <rFont val="Calibri"/>
            <family val="2"/>
            <scheme val="minor"/>
          </rPr>
          <t xml:space="preserve">Kavya Guru:
Cx has released 2 PO's for 2 Visit and select Place of Supply as other territory in SAP </t>
        </r>
      </text>
    </comment>
    <comment ref="C346" authorId="1" shapeId="0" xr:uid="{031751F3-7D73-449C-AABB-0B6FF9F35FB2}">
      <text>
        <r>
          <rPr>
            <sz val="11"/>
            <color theme="1"/>
            <rFont val="Calibri"/>
            <family val="2"/>
            <scheme val="minor"/>
          </rPr>
          <t>Kavya Guru:
Place of supply: Other Territory.</t>
        </r>
      </text>
    </comment>
    <comment ref="E347" authorId="1" shapeId="0" xr:uid="{3B11B5C0-D378-43E8-A183-A063A4273C11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3rd Quater PO-948530
</t>
        </r>
      </text>
    </comment>
    <comment ref="C352" authorId="1" shapeId="0" xr:uid="{BFF04138-80B2-441D-BD6B-11A4F0AE1661}">
      <text>
        <r>
          <rPr>
            <sz val="11"/>
            <color theme="1"/>
            <rFont val="Calibri"/>
            <family val="2"/>
            <scheme val="minor"/>
          </rPr>
          <t>Kavya Guru:
25351330 Dtd:5/12/25</t>
        </r>
      </text>
    </comment>
    <comment ref="C362" authorId="1" shapeId="0" xr:uid="{65434023-A37D-4FF6-9723-26A445C54DCF}">
      <text>
        <r>
          <rPr>
            <sz val="11"/>
            <color theme="1"/>
            <rFont val="Calibri"/>
            <family val="2"/>
            <scheme val="minor"/>
          </rPr>
          <t>Kavya Guru:
25351424 Dtd:23/12/25, Generate 2nd Invocie in month of July 26</t>
        </r>
      </text>
    </comment>
    <comment ref="C380" authorId="1" shapeId="0" xr:uid="{8C917E04-2612-4726-95B3-0FDB96A7D6A7}">
      <text>
        <r>
          <rPr>
            <sz val="11"/>
            <color theme="1"/>
            <rFont val="Calibri"/>
            <family val="2"/>
            <scheme val="minor"/>
          </rPr>
          <t>Kavya Guru:
26350064 Dtd:14-03-26</t>
        </r>
      </text>
    </comment>
    <comment ref="C382" authorId="1" shapeId="0" xr:uid="{72400CDD-22C3-49FB-92E2-C5FD9E61B2C9}">
      <text>
        <r>
          <rPr>
            <sz val="11"/>
            <color theme="1"/>
            <rFont val="Calibri"/>
            <family val="2"/>
            <scheme val="minor"/>
          </rPr>
          <t>Kavya Guru:
26360228 Dtd:14/03/26</t>
        </r>
      </text>
    </comment>
    <comment ref="C388" authorId="1" shapeId="0" xr:uid="{3542FE87-EB5F-4534-9CC9-CD15864275B2}">
      <text>
        <r>
          <rPr>
            <sz val="11"/>
            <color theme="1"/>
            <rFont val="Calibri"/>
            <family val="2"/>
            <scheme val="minor"/>
          </rPr>
          <t>Kavya Guru:
26350100 Dtd:30-01-26</t>
        </r>
      </text>
    </comment>
    <comment ref="C397" authorId="1" shapeId="0" xr:uid="{182F6D0A-8D21-4088-B899-EB052D0B737A}">
      <text>
        <r>
          <rPr>
            <sz val="11"/>
            <color theme="1"/>
            <rFont val="Calibri"/>
            <family val="2"/>
            <scheme val="minor"/>
          </rPr>
          <t>Kavya Guru:
26350311 Dtd:30/03/26</t>
        </r>
      </text>
    </comment>
    <comment ref="C423" authorId="1" shapeId="0" xr:uid="{D6B31609-17F9-4751-9FFF-1430FC3029DF}">
      <text>
        <r>
          <rPr>
            <sz val="11"/>
            <color theme="1"/>
            <rFont val="Calibri"/>
            <family val="2"/>
            <scheme val="minor"/>
          </rPr>
          <t>Kavya Guru:
26350325 Dtd:31/03/26</t>
        </r>
      </text>
    </comment>
    <comment ref="C428" authorId="0" shapeId="0" xr:uid="{D3F8C55A-8C46-4FFE-A821-C5BC33B1930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9" authorId="0" shapeId="0" xr:uid="{8AEF2D5D-40CA-4B15-B62D-FD06D9B0DDA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30" authorId="0" shapeId="0" xr:uid="{AF061C64-615F-49D6-837F-83CE5B2599D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31" authorId="0" shapeId="0" xr:uid="{DBC8DE10-B698-425E-8A19-F51E78E8099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35" authorId="1" shapeId="0" xr:uid="{520D7219-6D2E-4945-8364-4F342C125759}">
      <text>
        <r>
          <rPr>
            <sz val="11"/>
            <color theme="1"/>
            <rFont val="Calibri"/>
            <family val="2"/>
            <scheme val="minor"/>
          </rPr>
          <t>Kavya Guru:
50% Invoice raised on 10/02/2026 Inv no-26360135</t>
        </r>
      </text>
    </comment>
    <comment ref="E450" authorId="1" shapeId="0" xr:uid="{7AC401A0-53E8-473E-9CCB-263FFD6CE0E0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4th Quater PO-9000005172
</t>
        </r>
      </text>
    </comment>
    <comment ref="C456" authorId="1" shapeId="0" xr:uid="{A49CB9D0-1AB7-4E31-92A6-3EC653FE4255}">
      <text>
        <r>
          <rPr>
            <sz val="11"/>
            <color theme="1"/>
            <rFont val="Calibri"/>
            <family val="2"/>
            <scheme val="minor"/>
          </rPr>
          <t xml:space="preserve">Kavya Guru:
26350261 Dtd:17/03/26
</t>
        </r>
      </text>
    </comment>
    <comment ref="C463" authorId="1" shapeId="0" xr:uid="{91604267-4F66-4418-8A9F-E37EBE95CFA6}">
      <text>
        <r>
          <rPr>
            <sz val="11"/>
            <color theme="1"/>
            <rFont val="Calibri"/>
            <family val="2"/>
            <scheme val="minor"/>
          </rPr>
          <t>Kavya Guru:
26350403 Dtd:20/04/26</t>
        </r>
      </text>
    </comment>
    <comment ref="I480" authorId="1" shapeId="0" xr:uid="{2E1F5290-E2B8-4800-907F-B2FCA0C6E7C0}">
      <text>
        <r>
          <rPr>
            <sz val="11"/>
            <color theme="1"/>
            <rFont val="Calibri"/>
            <family val="2"/>
            <scheme val="minor"/>
          </rPr>
          <t>Kavya Guru:
Cx has given PO in EURO (4160* 107.90)</t>
        </r>
      </text>
    </comment>
    <comment ref="I484" authorId="1" shapeId="0" xr:uid="{F513FF29-084C-4D50-84AC-4CF593DEF515}">
      <text>
        <r>
          <rPr>
            <sz val="11"/>
            <color theme="1"/>
            <rFont val="Calibri"/>
            <family val="2"/>
            <scheme val="minor"/>
          </rPr>
          <t>Kavya Guru:
190400 Software amt -27200*7</t>
        </r>
      </text>
    </comment>
    <comment ref="I489" authorId="1" shapeId="0" xr:uid="{FD106835-EA42-4542-BEFC-718A6D97216D}">
      <text>
        <r>
          <rPr>
            <sz val="11"/>
            <color theme="1"/>
            <rFont val="Calibri"/>
            <family val="2"/>
            <scheme val="minor"/>
          </rPr>
          <t>Kavya Guru:
Software amt- 67200/-
Remote Support Amt- 38400/-</t>
        </r>
      </text>
    </comment>
    <comment ref="C495" authorId="1" shapeId="0" xr:uid="{869BF2A7-E3E0-4745-AFD3-8440AB55C556}">
      <text>
        <r>
          <rPr>
            <sz val="11"/>
            <color theme="1"/>
            <rFont val="Calibri"/>
            <family val="2"/>
            <scheme val="minor"/>
          </rPr>
          <t xml:space="preserve">Kavya Guru:
26350356 Dtd:10/04/26
</t>
        </r>
      </text>
    </comment>
    <comment ref="C500" authorId="1" shapeId="0" xr:uid="{E2AAFDFB-6969-461B-BAE7-144A98F02E79}">
      <text>
        <r>
          <rPr>
            <sz val="11"/>
            <color theme="1"/>
            <rFont val="Calibri"/>
            <family val="2"/>
            <scheme val="minor"/>
          </rPr>
          <t>Kavya Guru:
2 invoice- 50% after 1st PM
50% after 3rd PM</t>
        </r>
      </text>
    </comment>
    <comment ref="I509" authorId="1" shapeId="0" xr:uid="{0BBB1570-82AA-4DEE-B918-36BFD60DF992}">
      <text>
        <r>
          <rPr>
            <sz val="11"/>
            <color theme="1"/>
            <rFont val="Calibri"/>
            <family val="2"/>
            <scheme val="minor"/>
          </rPr>
          <t>Kavya Guru:
Po value is for 6 month, check with pankaj for another (remaining) 6 month PO
Period-01.04.2026 to 31.03.202, but consider only for 6 month</t>
        </r>
      </text>
    </comment>
    <comment ref="I530" authorId="1" shapeId="0" xr:uid="{C51585A6-34B7-4F4A-A6B7-ACC614C36ECF}">
      <text>
        <r>
          <rPr>
            <sz val="11"/>
            <color theme="1"/>
            <rFont val="Calibri"/>
            <family val="2"/>
            <scheme val="minor"/>
          </rPr>
          <t xml:space="preserve">Kavya Guru:
41000 software amount
</t>
        </r>
      </text>
    </comment>
    <comment ref="I543" authorId="1" shapeId="0" xr:uid="{EEDC17F2-07ED-4BCF-B412-7022C8B97CD6}">
      <text>
        <r>
          <rPr>
            <sz val="11"/>
            <color theme="1"/>
            <rFont val="Calibri"/>
            <family val="2"/>
            <scheme val="minor"/>
          </rPr>
          <t>Kavya Guru:
20500 software amount</t>
        </r>
      </text>
    </comment>
    <comment ref="I547" authorId="1" shapeId="0" xr:uid="{94A18830-21D6-4AEC-B7A6-A27A66BFFB31}">
      <text>
        <r>
          <rPr>
            <sz val="11"/>
            <color theme="1"/>
            <rFont val="Calibri"/>
            <family val="2"/>
            <scheme val="minor"/>
          </rPr>
          <t>Kavya Guru:
Software Included -57,600/-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Geetha Kenchaiah</author>
    <author>Kavya Guru</author>
  </authors>
  <commentList>
    <comment ref="E10" authorId="0" shapeId="0" xr:uid="{40609627-FCB1-41A3-937C-D41134C83B1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Old PO No.6700003429 , PO Number changed , due to merge of Flash viven into Flash electronics</t>
        </r>
      </text>
    </comment>
    <comment ref="I28" authorId="1" shapeId="0" xr:uid="{ABE6CC57-FC33-41C6-9BC0-F1D974FF01AE}">
      <text>
        <r>
          <rPr>
            <sz val="11"/>
            <color theme="1"/>
            <rFont val="Calibri"/>
            <family val="2"/>
            <scheme val="minor"/>
          </rPr>
          <t xml:space="preserve">Kavya Guru:
If required book it by month End 31/12/25
</t>
        </r>
      </text>
    </comment>
    <comment ref="E55" authorId="1" shapeId="0" xr:uid="{9EA04C77-4F74-449C-A837-52C2A49992FF}">
      <text>
        <r>
          <rPr>
            <sz val="11"/>
            <color theme="1"/>
            <rFont val="Calibri"/>
            <family val="2"/>
            <scheme val="minor"/>
          </rPr>
          <t>Kavya Guru:
PO Short closed as customer has given New PO.</t>
        </r>
      </text>
    </comment>
    <comment ref="I61" authorId="0" shapeId="0" xr:uid="{7016F76E-F6D6-42E3-AE24-D8B163D65CD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2" authorId="0" shapeId="0" xr:uid="{81F16EA3-FB7D-4EC5-A415-6ABD9B7710A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3" authorId="0" shapeId="0" xr:uid="{03F4EF6C-CD87-43E1-A5D1-DF6329497E9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4" authorId="0" shapeId="0" xr:uid="{2A5C0FB0-F784-4260-AE81-3B31EF2578D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R64" authorId="0" shapeId="0" xr:uid="{F59B49DB-B36E-4691-96F4-8C8332CF04A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5" authorId="0" shapeId="0" xr:uid="{31E5D3DB-54BD-4593-A123-7BCE5615DA6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R65" authorId="0" shapeId="0" xr:uid="{75B79B7E-B73A-48A5-8608-547BF0F1D7B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6" authorId="0" shapeId="0" xr:uid="{BC10F401-29CF-427E-A9F4-DE6A0271C59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R66" authorId="0" shapeId="0" xr:uid="{147F2952-F206-4087-8160-54EA3750A58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7" authorId="0" shapeId="0" xr:uid="{E15662EE-EDE0-4568-9112-7E0A69B835C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8" authorId="0" shapeId="0" xr:uid="{6B533F40-35D2-447A-93A7-3973C34D21C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9" authorId="0" shapeId="0" xr:uid="{E36FB48C-2C20-4A6D-B1F4-6B6329C17B0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C82" authorId="0" shapeId="0" xr:uid="{1CC47F52-C032-4424-A816-279F3CC2042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No.25350298 Dtd.24/03/25. For the period : 10/01/2025 to 09/07/2025
INV NO.25350771 Dtd.24/07/25 For the Period : 10/07/2025 to 09/01/26.
</t>
        </r>
      </text>
    </comment>
    <comment ref="C87" authorId="0" shapeId="0" xr:uid="{56BD3940-539D-4D2B-8D9B-D90DF1A0EE8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88" authorId="0" shapeId="0" xr:uid="{B561ECAB-D294-425B-831C-9662CDD6D102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89" authorId="0" shapeId="0" xr:uid="{0FA38768-0418-4084-9DA8-755E5F0B806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0" authorId="0" shapeId="0" xr:uid="{D8DB8320-859F-4C3B-96FA-ECC99DD31D1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6" authorId="1" shapeId="0" xr:uid="{02FD87B8-AA7B-48C2-B6AE-4D090A98D18C}">
      <text>
        <r>
          <rPr>
            <sz val="11"/>
            <color theme="1"/>
            <rFont val="Calibri"/>
            <family val="2"/>
            <scheme val="minor"/>
          </rPr>
          <t xml:space="preserve">Kavya Guru:
25350590 Full Amt Invoice raised Dtd on 12.06.25
</t>
        </r>
      </text>
    </comment>
    <comment ref="E96" authorId="1" shapeId="0" xr:uid="{62BEA858-B1DA-4065-A517-ACF3B92A6BA0}">
      <text>
        <r>
          <rPr>
            <sz val="11"/>
            <color theme="1"/>
            <rFont val="Calibri"/>
            <family val="2"/>
            <scheme val="minor"/>
          </rPr>
          <t>Kavya Guru:
No of mahcine - 3,</t>
        </r>
      </text>
    </comment>
    <comment ref="C97" authorId="1" shapeId="0" xr:uid="{AFD22E41-E8B1-4D64-BBBC-953BC202490B}">
      <text>
        <r>
          <rPr>
            <sz val="11"/>
            <color theme="1"/>
            <rFont val="Calibri"/>
            <family val="2"/>
            <scheme val="minor"/>
          </rPr>
          <t>Kavya Guru:
2635544 Dtd:27/05/26</t>
        </r>
      </text>
    </comment>
    <comment ref="E97" authorId="1" shapeId="0" xr:uid="{3E6FDF0A-871E-4984-9332-7A7210F84ABF}">
      <text>
        <r>
          <rPr>
            <sz val="11"/>
            <color theme="1"/>
            <rFont val="Calibri"/>
            <family val="2"/>
            <scheme val="minor"/>
          </rPr>
          <t xml:space="preserve">Kavya Guru:
New machine added
</t>
        </r>
      </text>
    </comment>
    <comment ref="H97" authorId="0" shapeId="0" xr:uid="{D4611591-7866-42D1-A44D-39EEB82E6E7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H98" authorId="0" shapeId="0" xr:uid="{EA5B5092-75E0-45FA-8EFB-9E5ED5EEF1A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C99" authorId="0" shapeId="0" xr:uid="{F80801DE-07A8-4707-BED1-F16E88D9639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No.25350354 Dtd,11/04/2025</t>
        </r>
      </text>
    </comment>
    <comment ref="C109" authorId="0" shapeId="0" xr:uid="{036D4F8D-BA86-445C-A8D9-C2F8C8F3DE9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No.: 25350368 Dtd.16/04/2025</t>
        </r>
      </text>
    </comment>
    <comment ref="C130" authorId="0" shapeId="0" xr:uid="{E17E9C7A-C63E-4610-A33E-095FB2464BE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invoice - 25350395 Dtd.23/04/25</t>
        </r>
      </text>
    </comment>
    <comment ref="C135" authorId="1" shapeId="0" xr:uid="{ECBAEC51-9DF4-499F-BD5B-ED85F6B70DB8}">
      <text>
        <r>
          <rPr>
            <sz val="11"/>
            <color theme="1"/>
            <rFont val="Calibri"/>
            <family val="2"/>
            <scheme val="minor"/>
          </rPr>
          <t xml:space="preserve">Kavya Guru:
25350578 Dtd 11.06.25
</t>
        </r>
      </text>
    </comment>
    <comment ref="E146" authorId="1" shapeId="0" xr:uid="{4C4FC7C4-771C-4302-9292-F581BCD074A7}">
      <text>
        <r>
          <rPr>
            <sz val="11"/>
            <color theme="1"/>
            <rFont val="Calibri"/>
            <family val="2"/>
            <scheme val="minor"/>
          </rPr>
          <t xml:space="preserve">Kavya Guru:
inv no-25350876 Dtd on 19.08.2025
</t>
        </r>
      </text>
    </comment>
    <comment ref="C157" authorId="1" shapeId="0" xr:uid="{C4A569C7-6AFB-464E-9A27-7A2E2107114E}">
      <text>
        <r>
          <rPr>
            <sz val="11"/>
            <color theme="1"/>
            <rFont val="Calibri"/>
            <family val="2"/>
            <scheme val="minor"/>
          </rPr>
          <t xml:space="preserve">Kavya Guru:
25351006 Dtd 13/10/25
</t>
        </r>
      </text>
    </comment>
    <comment ref="Y163" authorId="1" shapeId="0" xr:uid="{586928EC-ABFC-4388-9581-728636EE7ECB}">
      <text>
        <r>
          <rPr>
            <sz val="11"/>
            <color theme="1"/>
            <rFont val="Calibri"/>
            <family val="2"/>
            <scheme val="minor"/>
          </rPr>
          <t>Kavya Guru:
If cx share the PO den only genearte the Invoice</t>
        </r>
      </text>
    </comment>
    <comment ref="C165" authorId="0" shapeId="0" xr:uid="{F0FF7796-33B8-49D3-A9F7-463B8CA8D73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No.25350643 Dtd.23/06/25. Period : 01/05/2025 to 31/10/2025</t>
        </r>
      </text>
    </comment>
    <comment ref="C166" authorId="0" shapeId="0" xr:uid="{B776FE92-6DEB-45A2-AE71-86F3E8E57977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No.25350644 Dtd.23/06/25. Period : 01/05/2025 to 31/10/2025</t>
        </r>
      </text>
    </comment>
    <comment ref="C168" authorId="1" shapeId="0" xr:uid="{B0F01BAD-9A75-49DE-B03B-A08F5C0F1854}">
      <text>
        <r>
          <rPr>
            <sz val="11"/>
            <color theme="1"/>
            <rFont val="Calibri"/>
            <family val="2"/>
            <scheme val="minor"/>
          </rPr>
          <t>Kavya Guru:
Inv No.25350976 Dtd.08/09/25</t>
        </r>
      </text>
    </comment>
    <comment ref="C177" authorId="0" shapeId="0" xr:uid="{3E04D546-E643-447C-A2FB-41C45D780D8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NO.25350942 Dtd.01/09/2025, Period : 15/05/2025 to 14/11/2025</t>
        </r>
      </text>
    </comment>
    <comment ref="C182" authorId="1" shapeId="0" xr:uid="{D810B285-E94E-4784-88D1-00FF82296D7F}">
      <text>
        <r>
          <rPr>
            <sz val="11"/>
            <color theme="1"/>
            <rFont val="Calibri"/>
            <family val="2"/>
            <scheme val="minor"/>
          </rPr>
          <t>Kavya Guru:
25351069 Dtd on 06/10/25</t>
        </r>
      </text>
    </comment>
    <comment ref="C196" authorId="0" shapeId="0" xr:uid="{5FB47E00-6627-4E58-A84E-95DFC0FC843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- 25350765 Dtd.24/07/2025, Period : 01/06/25 to 30/11/2025</t>
        </r>
      </text>
    </comment>
    <comment ref="C203" authorId="1" shapeId="0" xr:uid="{A602211E-B160-4F92-B608-C538421B07CB}">
      <text>
        <r>
          <rPr>
            <sz val="11"/>
            <color theme="1"/>
            <rFont val="Calibri"/>
            <family val="2"/>
            <scheme val="minor"/>
          </rPr>
          <t xml:space="preserve">Kavya Guru:
Invoice No- 25350979 Dtd on 08/09/2025
</t>
        </r>
      </text>
    </comment>
    <comment ref="E205" authorId="1" shapeId="0" xr:uid="{417EC3AF-6E0B-4D84-B044-135D99784712}">
      <text>
        <r>
          <rPr>
            <sz val="11"/>
            <color theme="1"/>
            <rFont val="Calibri"/>
            <family val="2"/>
            <scheme val="minor"/>
          </rPr>
          <t xml:space="preserve">Kavya Guru:
2nd PM visit PO, FYI
</t>
        </r>
      </text>
    </comment>
    <comment ref="E209" authorId="1" shapeId="0" xr:uid="{CAFB7610-7AB3-4BB9-933E-3A385CAFD379}">
      <text>
        <r>
          <rPr>
            <sz val="11"/>
            <color theme="1"/>
            <rFont val="Calibri"/>
            <family val="2"/>
            <scheme val="minor"/>
          </rPr>
          <t>Kavya Guru:
Invoice- 25350858 Dtd 14/08/25</t>
        </r>
      </text>
    </comment>
    <comment ref="C217" authorId="1" shapeId="0" xr:uid="{9722BA47-2E58-4EBE-ADC0-425F888E1600}">
      <text>
        <r>
          <rPr>
            <sz val="11"/>
            <color theme="1"/>
            <rFont val="Calibri"/>
            <family val="2"/>
            <scheme val="minor"/>
          </rPr>
          <t xml:space="preserve">Kavya Guru:
25351036 Dtd:24/09/25
</t>
        </r>
      </text>
    </comment>
    <comment ref="C220" authorId="1" shapeId="0" xr:uid="{75D0B0D9-272A-4DB5-8525-EA63A22A9ACF}">
      <text>
        <r>
          <rPr>
            <sz val="11"/>
            <color theme="1"/>
            <rFont val="Calibri"/>
            <family val="2"/>
            <scheme val="minor"/>
          </rPr>
          <t xml:space="preserve">Kavya Guru:
25351033 Dtd on 24/09/25
</t>
        </r>
      </text>
    </comment>
    <comment ref="E223" authorId="1" shapeId="0" xr:uid="{DD28F395-631B-499A-9158-75C8BCF9D493}">
      <text>
        <r>
          <rPr>
            <sz val="11"/>
            <color theme="1"/>
            <rFont val="Calibri"/>
            <family val="2"/>
            <scheme val="minor"/>
          </rPr>
          <t xml:space="preserve">Kavya Guru:
Invoice generated 100% 
15 machines- 6 Invoices
All 6 Invoices generated on 26/08/25
</t>
        </r>
      </text>
    </comment>
    <comment ref="E224" authorId="1" shapeId="0" xr:uid="{38D55E7A-789C-49F1-85ED-68F6AF64591F}">
      <text>
        <r>
          <rPr>
            <sz val="11"/>
            <color theme="1"/>
            <rFont val="Calibri"/>
            <family val="2"/>
            <scheme val="minor"/>
          </rPr>
          <t>Kavya Guru:
100% Inv - 25350973 Dtd.08/09/25</t>
        </r>
      </text>
    </comment>
    <comment ref="E228" authorId="1" shapeId="0" xr:uid="{0B34DE59-5D99-4CD9-9C41-39884C27D672}">
      <text>
        <r>
          <rPr>
            <sz val="11"/>
            <color theme="1"/>
            <rFont val="Calibri"/>
            <family val="2"/>
            <scheme val="minor"/>
          </rPr>
          <t>Kavya Guru:
inv No -25350855 Dtd 13.08.25</t>
        </r>
      </text>
    </comment>
    <comment ref="C238" authorId="1" shapeId="0" xr:uid="{82C2EB7A-66D3-44E4-B6A6-6C228A42F47E}">
      <text>
        <r>
          <rPr>
            <sz val="11"/>
            <color theme="1"/>
            <rFont val="Calibri"/>
            <family val="2"/>
            <scheme val="minor"/>
          </rPr>
          <t>Kavya Guru:
Qty 0.50 while INVOICING</t>
        </r>
      </text>
    </comment>
    <comment ref="C250" authorId="0" shapeId="0" xr:uid="{C3970AAD-5152-4D65-8271-14E4FFBC357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No.25350789 Dtd.29/07/25, Period : 10/07/25 to 09/01/2026</t>
        </r>
      </text>
    </comment>
    <comment ref="C251" authorId="1" shapeId="0" xr:uid="{8B94EF61-0AC2-4201-8495-8FD735C722C0}">
      <text>
        <r>
          <rPr>
            <sz val="11"/>
            <color theme="1"/>
            <rFont val="Calibri"/>
            <family val="2"/>
            <scheme val="minor"/>
          </rPr>
          <t xml:space="preserve">Kavya Guru:
Inv raised on 24.09.25
No- 25351032
</t>
        </r>
      </text>
    </comment>
    <comment ref="C271" authorId="0" shapeId="0" xr:uid="{5EF22714-DEEA-4434-9E77-CB1075B9D410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No.25351022 Dtd.18/09/25 Period : 09/08/25 to 08/02/26</t>
        </r>
      </text>
    </comment>
    <comment ref="C304" authorId="1" shapeId="0" xr:uid="{D7D42E31-2D16-40B8-9E75-DDDE09F678FF}">
      <text>
        <r>
          <rPr>
            <sz val="11"/>
            <color theme="1"/>
            <rFont val="Calibri"/>
            <family val="2"/>
            <scheme val="minor"/>
          </rPr>
          <t xml:space="preserve">Kavya Guru:
</t>
        </r>
      </text>
    </comment>
    <comment ref="C313" authorId="1" shapeId="0" xr:uid="{4CED4BA5-8A8D-42EC-86D1-B6F71A47328D}">
      <text>
        <r>
          <rPr>
            <sz val="11"/>
            <color theme="1"/>
            <rFont val="Calibri"/>
            <family val="2"/>
            <scheme val="minor"/>
          </rPr>
          <t xml:space="preserve">Kavya Guru:
25351265 Dtd 20.11.25- 50% Inv Raised 
</t>
        </r>
      </text>
    </comment>
    <comment ref="C314" authorId="1" shapeId="0" xr:uid="{3AB82AF9-C285-4677-97CB-9378434DE897}">
      <text>
        <r>
          <rPr>
            <sz val="11"/>
            <color theme="1"/>
            <rFont val="Calibri"/>
            <family val="2"/>
            <scheme val="minor"/>
          </rPr>
          <t>Kavya Guru:
Invoiced 25351393 Dtd  16/12/25</t>
        </r>
      </text>
    </comment>
    <comment ref="C323" authorId="1" shapeId="0" xr:uid="{AA8C86D2-D972-4736-8E8E-160EED838F6D}">
      <text>
        <r>
          <rPr>
            <sz val="11"/>
            <color theme="1"/>
            <rFont val="Calibri"/>
            <family val="2"/>
            <scheme val="minor"/>
          </rPr>
          <t xml:space="preserve">Kavya Guru:
25351204 Dtd-07.11.25
</t>
        </r>
      </text>
    </comment>
    <comment ref="I325" authorId="1" shapeId="0" xr:uid="{F6025F88-24F7-48D7-A66A-56E90155E144}">
      <text>
        <r>
          <rPr>
            <sz val="11"/>
            <color theme="1"/>
            <rFont val="Calibri"/>
            <family val="2"/>
            <scheme val="minor"/>
          </rPr>
          <t xml:space="preserve">Kavya Guru:
Software amount-32500/- Included
</t>
        </r>
      </text>
    </comment>
    <comment ref="C332" authorId="1" shapeId="0" xr:uid="{646EFA26-26F3-4D3B-8141-8763CBD6D61B}">
      <text>
        <r>
          <rPr>
            <sz val="11"/>
            <color theme="1"/>
            <rFont val="Calibri"/>
            <family val="2"/>
            <scheme val="minor"/>
          </rPr>
          <t>Kavya Guru:
PLace Of supply: Other Territory</t>
        </r>
      </text>
    </comment>
    <comment ref="E336" authorId="1" shapeId="0" xr:uid="{903FCD1E-2207-4EEC-AE04-8DC7451EFFF9}">
      <text>
        <r>
          <rPr>
            <sz val="11"/>
            <color theme="1"/>
            <rFont val="Calibri"/>
            <family val="2"/>
            <scheme val="minor"/>
          </rPr>
          <t xml:space="preserve">Kavya Guru:
Cx has released 2 PO's for 2 Visit and select Place of Supply as other territory in SAP </t>
        </r>
      </text>
    </comment>
    <comment ref="C337" authorId="1" shapeId="0" xr:uid="{CDAFF06E-ABD5-4A8B-B35A-D4799B16D7D0}">
      <text>
        <r>
          <rPr>
            <sz val="11"/>
            <color theme="1"/>
            <rFont val="Calibri"/>
            <family val="2"/>
            <scheme val="minor"/>
          </rPr>
          <t>Kavya Guru:
Place of supply: Other Territory.</t>
        </r>
      </text>
    </comment>
    <comment ref="C342" authorId="1" shapeId="0" xr:uid="{A8B30145-0652-4A78-964C-BA96899DDCB3}">
      <text>
        <r>
          <rPr>
            <sz val="11"/>
            <color theme="1"/>
            <rFont val="Calibri"/>
            <family val="2"/>
            <scheme val="minor"/>
          </rPr>
          <t>Kavya Guru:
25351330 Dtd:5/12/25</t>
        </r>
      </text>
    </comment>
    <comment ref="C352" authorId="1" shapeId="0" xr:uid="{CA6B9961-41D5-4A5D-8283-7AEB27F83832}">
      <text>
        <r>
          <rPr>
            <sz val="11"/>
            <color theme="1"/>
            <rFont val="Calibri"/>
            <family val="2"/>
            <scheme val="minor"/>
          </rPr>
          <t>Kavya Guru:
25351424 Dtd:23/12/25, Generate 2nd Invocie in month of July 26</t>
        </r>
      </text>
    </comment>
    <comment ref="C370" authorId="1" shapeId="0" xr:uid="{DF274896-CF35-4FFC-BC8B-00978D18B748}">
      <text>
        <r>
          <rPr>
            <sz val="11"/>
            <color theme="1"/>
            <rFont val="Calibri"/>
            <family val="2"/>
            <scheme val="minor"/>
          </rPr>
          <t>Kavya Guru:
26350064 Dtd:14-03-26</t>
        </r>
      </text>
    </comment>
    <comment ref="C372" authorId="1" shapeId="0" xr:uid="{CF81F475-650D-477F-9077-DCD725FBAC8D}">
      <text>
        <r>
          <rPr>
            <sz val="11"/>
            <color theme="1"/>
            <rFont val="Calibri"/>
            <family val="2"/>
            <scheme val="minor"/>
          </rPr>
          <t>Kavya Guru:
26360228 Dtd:14/03/26</t>
        </r>
      </text>
    </comment>
    <comment ref="C378" authorId="1" shapeId="0" xr:uid="{3FDEFDC0-00CA-457E-8647-E7C4EF53AB5A}">
      <text>
        <r>
          <rPr>
            <sz val="11"/>
            <color theme="1"/>
            <rFont val="Calibri"/>
            <family val="2"/>
            <scheme val="minor"/>
          </rPr>
          <t>Kavya Guru:
26350100 Dtd:30-01-26</t>
        </r>
      </text>
    </comment>
    <comment ref="C387" authorId="1" shapeId="0" xr:uid="{9F3D74AA-988B-4F03-A07E-972B15C2DB9C}">
      <text>
        <r>
          <rPr>
            <sz val="11"/>
            <color theme="1"/>
            <rFont val="Calibri"/>
            <family val="2"/>
            <scheme val="minor"/>
          </rPr>
          <t>Kavya Guru:
26350311 Dtd:30/03/26</t>
        </r>
      </text>
    </comment>
    <comment ref="C413" authorId="1" shapeId="0" xr:uid="{094990E6-226F-4BCC-BB04-AF883B3E87B2}">
      <text>
        <r>
          <rPr>
            <sz val="11"/>
            <color theme="1"/>
            <rFont val="Calibri"/>
            <family val="2"/>
            <scheme val="minor"/>
          </rPr>
          <t>Kavya Guru:
26350325 Dtd:31/03/26</t>
        </r>
      </text>
    </comment>
    <comment ref="C418" authorId="0" shapeId="0" xr:uid="{4EB604E9-5DF4-4486-89CD-A64D5F56031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19" authorId="0" shapeId="0" xr:uid="{2A939A77-C9DC-4715-BD81-9E8EAAD9E18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0" authorId="0" shapeId="0" xr:uid="{FAC9D02F-AC4E-4944-B168-BF0B2F734C9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1" authorId="0" shapeId="0" xr:uid="{5B616C6C-951D-4872-9721-AC8747AFED7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5" authorId="1" shapeId="0" xr:uid="{6371C4C9-ABB1-4523-B5EE-BBA83E55D249}">
      <text>
        <r>
          <rPr>
            <sz val="11"/>
            <color theme="1"/>
            <rFont val="Calibri"/>
            <family val="2"/>
            <scheme val="minor"/>
          </rPr>
          <t>Kavya Guru:
50% Invoice raised on 10/02/2026 Inv no-26360135</t>
        </r>
      </text>
    </comment>
    <comment ref="E440" authorId="1" shapeId="0" xr:uid="{C91FABCB-90F9-490A-8B36-4D7D4564AAFD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4th Quater PO-9000005172
</t>
        </r>
      </text>
    </comment>
    <comment ref="C446" authorId="1" shapeId="0" xr:uid="{6557F508-0005-4487-82A4-F8E9363FD02C}">
      <text>
        <r>
          <rPr>
            <sz val="11"/>
            <color theme="1"/>
            <rFont val="Calibri"/>
            <family val="2"/>
            <scheme val="minor"/>
          </rPr>
          <t xml:space="preserve">Kavya Guru:
26350261 Dtd:17/03/26
</t>
        </r>
      </text>
    </comment>
    <comment ref="C453" authorId="1" shapeId="0" xr:uid="{C9B1FE3A-618A-45D1-9857-ED3908DD7081}">
      <text>
        <r>
          <rPr>
            <sz val="11"/>
            <color theme="1"/>
            <rFont val="Calibri"/>
            <family val="2"/>
            <scheme val="minor"/>
          </rPr>
          <t>Kavya Guru:
26350403 Dtd:20/04/26</t>
        </r>
      </text>
    </comment>
    <comment ref="I470" authorId="1" shapeId="0" xr:uid="{A50166F0-F0C5-493F-9B30-6CB1FE8DD02E}">
      <text>
        <r>
          <rPr>
            <sz val="11"/>
            <color theme="1"/>
            <rFont val="Calibri"/>
            <family val="2"/>
            <scheme val="minor"/>
          </rPr>
          <t>Kavya Guru:
Cx has given PO in EURO (4160* 107.90)</t>
        </r>
      </text>
    </comment>
    <comment ref="I474" authorId="1" shapeId="0" xr:uid="{D7B0CC14-0620-4326-BEB3-77A15C0247B6}">
      <text>
        <r>
          <rPr>
            <sz val="11"/>
            <color theme="1"/>
            <rFont val="Calibri"/>
            <family val="2"/>
            <scheme val="minor"/>
          </rPr>
          <t>Kavya Guru:
190400 Software amt -27200*7</t>
        </r>
      </text>
    </comment>
    <comment ref="I479" authorId="1" shapeId="0" xr:uid="{5B55FAEB-416D-4821-B460-653D85EA5007}">
      <text>
        <r>
          <rPr>
            <sz val="11"/>
            <color theme="1"/>
            <rFont val="Calibri"/>
            <family val="2"/>
            <scheme val="minor"/>
          </rPr>
          <t>Kavya Guru:
Software amt- 67200/-
Remote Support Amt- 38400/-</t>
        </r>
      </text>
    </comment>
    <comment ref="C485" authorId="1" shapeId="0" xr:uid="{D8434CEB-66F3-4685-A6B5-F649C4D3B4F8}">
      <text>
        <r>
          <rPr>
            <sz val="11"/>
            <color theme="1"/>
            <rFont val="Calibri"/>
            <family val="2"/>
            <scheme val="minor"/>
          </rPr>
          <t xml:space="preserve">Kavya Guru:
26350356 Dtd:10/04/26
</t>
        </r>
      </text>
    </comment>
    <comment ref="C490" authorId="1" shapeId="0" xr:uid="{CC40D6EE-83C8-40D6-98FF-13AAF71E386C}">
      <text>
        <r>
          <rPr>
            <sz val="11"/>
            <color theme="1"/>
            <rFont val="Calibri"/>
            <family val="2"/>
            <scheme val="minor"/>
          </rPr>
          <t>Kavya Guru:
2 invoice- 50% after 1st PM
50% after 3rd PM</t>
        </r>
      </text>
    </comment>
    <comment ref="I499" authorId="1" shapeId="0" xr:uid="{44578DCC-EEC9-48ED-B486-C4AD35AB0071}">
      <text>
        <r>
          <rPr>
            <sz val="11"/>
            <color theme="1"/>
            <rFont val="Calibri"/>
            <family val="2"/>
            <scheme val="minor"/>
          </rPr>
          <t>Kavya Guru:
Po value is for 6 month, check with pankaj for another (remaining) 6 month PO
Period-01.04.2026 to 31.03.202, but consider only for 6 month</t>
        </r>
      </text>
    </comment>
    <comment ref="E506" authorId="1" shapeId="0" xr:uid="{9C7D2BBE-79F7-4788-A003-8F6A14F9ADD8}">
      <text>
        <r>
          <rPr>
            <sz val="11"/>
            <color theme="1"/>
            <rFont val="Calibri"/>
            <family val="2"/>
            <scheme val="minor"/>
          </rPr>
          <t>Kavya Guru:
Billing -4 times 
Period 24/04/2026 to 23/04/2027
1st - 24/04/2026 to 23/07/2026
2nd - 24/07/2026 to 23/10/2026
3rd - 24/10/2026 to 23/01/2027
4th - 24/01/2027 to 23/04/2027</t>
        </r>
      </text>
    </comment>
    <comment ref="M506" authorId="1" shapeId="0" xr:uid="{79AD7BFC-ABBA-4C0D-9C10-A95F68ABA575}">
      <text>
        <r>
          <rPr>
            <sz val="11"/>
            <color theme="1"/>
            <rFont val="Calibri"/>
            <family val="2"/>
            <scheme val="minor"/>
          </rPr>
          <t>Kavya Guru:
Billing -4 times 
Period 24/04/2026 to 23/04/2027 
1st - 24/04/2026 to 23/07/2026
2nd - 24/07/2026 to 23/10/2026
3rd - 24/10/2026 to 23/01/2027
4th -24/01/2027 to 23/04/2027</t>
        </r>
      </text>
    </comment>
    <comment ref="I520" authorId="1" shapeId="0" xr:uid="{7D30EBD8-4958-437E-981C-02FEA8F997FC}">
      <text>
        <r>
          <rPr>
            <sz val="11"/>
            <color theme="1"/>
            <rFont val="Calibri"/>
            <family val="2"/>
            <scheme val="minor"/>
          </rPr>
          <t xml:space="preserve">Kavya Guru:
41000 software amount, as cx confirmed not to add software amt in bill as they are not using it.
</t>
        </r>
      </text>
    </comment>
    <comment ref="I533" authorId="1" shapeId="0" xr:uid="{20358FC0-821C-42B8-BAA3-3305B8466D53}">
      <text>
        <r>
          <rPr>
            <sz val="11"/>
            <color theme="1"/>
            <rFont val="Calibri"/>
            <family val="2"/>
            <scheme val="minor"/>
          </rPr>
          <t>Kavya Guru:
20500 software amount</t>
        </r>
      </text>
    </comment>
    <comment ref="I537" authorId="1" shapeId="0" xr:uid="{9D0EDB96-43CC-4CD1-A8B3-3F46FF857BA5}">
      <text>
        <r>
          <rPr>
            <sz val="11"/>
            <color theme="1"/>
            <rFont val="Calibri"/>
            <family val="2"/>
            <scheme val="minor"/>
          </rPr>
          <t>Kavya Guru:
Software Included -57,600/-</t>
        </r>
      </text>
    </comment>
    <comment ref="I640" authorId="1" shapeId="0" xr:uid="{320D01C2-2EF1-4B65-80C5-01D973CB4E46}">
      <text>
        <r>
          <rPr>
            <sz val="11"/>
            <color theme="1"/>
            <rFont val="Calibri"/>
            <family val="2"/>
            <scheme val="minor"/>
          </rPr>
          <t xml:space="preserve">Kavya Guru:
35000/- for software amount included
</t>
        </r>
      </text>
    </comment>
    <comment ref="E653" authorId="1" shapeId="0" xr:uid="{ACD549CA-9644-47ED-B482-949C0D040DC5}">
      <text>
        <r>
          <rPr>
            <sz val="11"/>
            <color theme="1"/>
            <rFont val="Calibri"/>
            <family val="2"/>
            <scheme val="minor"/>
          </rPr>
          <t>Kavya Guru:
BPCL -Previous PO no- 4601039968 is a contact agreement</t>
        </r>
      </text>
    </comment>
    <comment ref="C655" authorId="0" shapeId="0" xr:uid="{F613D373-3F11-40AF-B821-6AB50B41517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No.25350410 Dtd.28/04/2025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Geetha Kenchaiah</author>
    <author>Kavya Guru</author>
  </authors>
  <commentList>
    <comment ref="E10" authorId="0" shapeId="0" xr:uid="{74249943-1188-4DBF-8F86-066705FFB5C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Old PO No.6700003429 , PO Number changed , due to merge of Flash viven into Flash electronics</t>
        </r>
      </text>
    </comment>
    <comment ref="I28" authorId="1" shapeId="0" xr:uid="{A2318E8D-1039-43C4-A67A-86C373675A02}">
      <text>
        <r>
          <rPr>
            <sz val="11"/>
            <color theme="1"/>
            <rFont val="Calibri"/>
            <family val="2"/>
            <scheme val="minor"/>
          </rPr>
          <t xml:space="preserve">Kavya Guru:
If required book it by month End 31/12/25
</t>
        </r>
      </text>
    </comment>
    <comment ref="E55" authorId="1" shapeId="0" xr:uid="{BEBBEA20-3029-4039-B2E4-92F22178461C}">
      <text>
        <r>
          <rPr>
            <sz val="11"/>
            <color theme="1"/>
            <rFont val="Calibri"/>
            <family val="2"/>
            <scheme val="minor"/>
          </rPr>
          <t>Kavya Guru:
PO Short closed as customer has given New PO.</t>
        </r>
      </text>
    </comment>
    <comment ref="I61" authorId="0" shapeId="0" xr:uid="{FA662063-F2F7-4AF0-81FE-BB7D0B3168E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2" authorId="0" shapeId="0" xr:uid="{C154767E-007F-4DAD-8661-E68B74656B8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3" authorId="0" shapeId="0" xr:uid="{2779B5ED-CFA8-44A2-AD02-0AE40077BBA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4" authorId="0" shapeId="0" xr:uid="{4B7DF8A6-53A7-4456-B6B6-17B5C01C15E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R64" authorId="0" shapeId="0" xr:uid="{1179D31D-4528-4E87-BB7C-B13D9DEEE1C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5" authorId="0" shapeId="0" xr:uid="{AB3359EC-B52B-45C9-B133-3E4D0A1028F5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R65" authorId="0" shapeId="0" xr:uid="{4B7EB2F0-A05B-4FE6-9BCB-76394024BAB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6" authorId="0" shapeId="0" xr:uid="{D823C5A9-3AFE-4309-84D4-E522DF01FA7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R66" authorId="0" shapeId="0" xr:uid="{CE07781E-5A0C-4F3C-BFB7-F83DFFC2E61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7" authorId="0" shapeId="0" xr:uid="{24D9A52C-E227-4D97-ACAB-FDF2350FA55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8" authorId="0" shapeId="0" xr:uid="{E4360067-F833-474C-8009-6639AA3D896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9" authorId="0" shapeId="0" xr:uid="{554EC5AC-54F7-4354-B870-CEA6ED146CD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C82" authorId="0" shapeId="0" xr:uid="{DEB76083-15D7-47DE-88AD-B83B6D1ECE6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No.25350298 Dtd.24/03/25. For the period : 10/01/2025 to 09/07/2025
INV NO.25350771 Dtd.24/07/25 For the Period : 10/07/2025 to 09/01/26.
</t>
        </r>
      </text>
    </comment>
    <comment ref="C87" authorId="0" shapeId="0" xr:uid="{EEAF9755-D2C3-43C5-8459-81ABCA8DB680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88" authorId="0" shapeId="0" xr:uid="{22C82905-349D-4DEC-8FD9-333A2007A91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89" authorId="0" shapeId="0" xr:uid="{F12856E9-568F-4BD9-954E-C8D87192898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0" authorId="0" shapeId="0" xr:uid="{4D7E7383-8A66-4A5A-9B94-B63A6087BC9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6" authorId="1" shapeId="0" xr:uid="{F84D6A3F-671E-4800-AB2E-7CBC3C9A8EC3}">
      <text>
        <r>
          <rPr>
            <sz val="11"/>
            <color theme="1"/>
            <rFont val="Calibri"/>
            <family val="2"/>
            <scheme val="minor"/>
          </rPr>
          <t xml:space="preserve">Kavya Guru:
25350590 Full Amt Invoice raised Dtd on 12.06.25
</t>
        </r>
      </text>
    </comment>
    <comment ref="E96" authorId="1" shapeId="0" xr:uid="{16FC9D18-03BF-4812-A5DA-756235BB9FC7}">
      <text>
        <r>
          <rPr>
            <sz val="11"/>
            <color theme="1"/>
            <rFont val="Calibri"/>
            <family val="2"/>
            <scheme val="minor"/>
          </rPr>
          <t>Kavya Guru:
No of mahcine - 3,</t>
        </r>
      </text>
    </comment>
    <comment ref="C97" authorId="1" shapeId="0" xr:uid="{567F6F7D-7677-40C7-B986-DC8DD139461C}">
      <text>
        <r>
          <rPr>
            <sz val="11"/>
            <color theme="1"/>
            <rFont val="Calibri"/>
            <family val="2"/>
            <scheme val="minor"/>
          </rPr>
          <t>Kavya Guru:
2635544 Dtd:27/05/26</t>
        </r>
      </text>
    </comment>
    <comment ref="E97" authorId="1" shapeId="0" xr:uid="{05E84002-C7B4-467D-8F7A-A432BCEE32C7}">
      <text>
        <r>
          <rPr>
            <sz val="11"/>
            <color theme="1"/>
            <rFont val="Calibri"/>
            <family val="2"/>
            <scheme val="minor"/>
          </rPr>
          <t xml:space="preserve">Kavya Guru:
New machine added
</t>
        </r>
      </text>
    </comment>
    <comment ref="H97" authorId="0" shapeId="0" xr:uid="{7A13364E-3703-48F1-8733-59C45B3CF99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H98" authorId="0" shapeId="0" xr:uid="{120905C7-E03A-452C-94CC-8780228F7792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C99" authorId="0" shapeId="0" xr:uid="{07F465F3-0449-49D9-A038-37AFEBE2799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No.25350354 Dtd,11/04/2025</t>
        </r>
      </text>
    </comment>
    <comment ref="C109" authorId="0" shapeId="0" xr:uid="{15C4C1D9-8B45-4DF2-874D-E2737726C74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No.: 25350368 Dtd.16/04/2025</t>
        </r>
      </text>
    </comment>
    <comment ref="C130" authorId="0" shapeId="0" xr:uid="{0D967BFC-3E71-424C-8E2C-BBA72A53CFF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invoice - 25350395 Dtd.23/04/25</t>
        </r>
      </text>
    </comment>
    <comment ref="C135" authorId="1" shapeId="0" xr:uid="{6F107CF8-32BA-42D2-B701-405084C056A2}">
      <text>
        <r>
          <rPr>
            <sz val="11"/>
            <color theme="1"/>
            <rFont val="Calibri"/>
            <family val="2"/>
            <scheme val="minor"/>
          </rPr>
          <t xml:space="preserve">Kavya Guru:
25350578 Dtd 11.06.25
</t>
        </r>
      </text>
    </comment>
    <comment ref="E146" authorId="1" shapeId="0" xr:uid="{4E69B792-FF1B-4D07-A3D1-DF57B97A608C}">
      <text>
        <r>
          <rPr>
            <sz val="11"/>
            <color theme="1"/>
            <rFont val="Calibri"/>
            <family val="2"/>
            <scheme val="minor"/>
          </rPr>
          <t xml:space="preserve">Kavya Guru:
inv no-25350876 Dtd on 19.08.2025
</t>
        </r>
      </text>
    </comment>
    <comment ref="C157" authorId="1" shapeId="0" xr:uid="{95F875DE-1092-4024-A6D9-78383A9B8BBD}">
      <text>
        <r>
          <rPr>
            <sz val="11"/>
            <color theme="1"/>
            <rFont val="Calibri"/>
            <family val="2"/>
            <scheme val="minor"/>
          </rPr>
          <t xml:space="preserve">Kavya Guru:
25351006 Dtd 13/10/25
</t>
        </r>
      </text>
    </comment>
    <comment ref="Y163" authorId="1" shapeId="0" xr:uid="{350B57FF-D9F0-4E5D-B68A-318E19ACFC74}">
      <text>
        <r>
          <rPr>
            <sz val="11"/>
            <color theme="1"/>
            <rFont val="Calibri"/>
            <family val="2"/>
            <scheme val="minor"/>
          </rPr>
          <t>Kavya Guru:
If cx share the PO den only genearte the Invoice</t>
        </r>
      </text>
    </comment>
    <comment ref="C165" authorId="0" shapeId="0" xr:uid="{3847B6D4-D2E0-48CD-80F0-07724EC9E2C2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No.25350643 Dtd.23/06/25. Period : 01/05/2025 to 31/10/2025</t>
        </r>
      </text>
    </comment>
    <comment ref="C166" authorId="0" shapeId="0" xr:uid="{810FDEB0-8131-486B-BFA7-3C436056335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No.25350644 Dtd.23/06/25. Period : 01/05/2025 to 31/10/2025</t>
        </r>
      </text>
    </comment>
    <comment ref="C168" authorId="1" shapeId="0" xr:uid="{A426FA39-F6B0-49CE-8F75-833DD9806A8D}">
      <text>
        <r>
          <rPr>
            <sz val="11"/>
            <color theme="1"/>
            <rFont val="Calibri"/>
            <family val="2"/>
            <scheme val="minor"/>
          </rPr>
          <t>Kavya Guru:
Inv No.25350976 Dtd.08/09/25</t>
        </r>
      </text>
    </comment>
    <comment ref="C177" authorId="0" shapeId="0" xr:uid="{0E3430F4-AC89-4300-AF03-E4FA406DC0D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NO.25350942 Dtd.01/09/2025, Period : 15/05/2025 to 14/11/2025</t>
        </r>
      </text>
    </comment>
    <comment ref="C182" authorId="1" shapeId="0" xr:uid="{19EB3344-2E91-4DB0-B7EA-14A2670A9F50}">
      <text>
        <r>
          <rPr>
            <sz val="11"/>
            <color theme="1"/>
            <rFont val="Calibri"/>
            <family val="2"/>
            <scheme val="minor"/>
          </rPr>
          <t>Kavya Guru:
25351069 Dtd on 06/10/25</t>
        </r>
      </text>
    </comment>
    <comment ref="C196" authorId="0" shapeId="0" xr:uid="{C133354E-406B-4E64-B09F-7560B8DD5002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- 25350765 Dtd.24/07/2025, Period : 01/06/25 to 30/11/2025</t>
        </r>
      </text>
    </comment>
    <comment ref="C203" authorId="1" shapeId="0" xr:uid="{96183BC9-15C7-43D9-A89C-B67EE511E7F5}">
      <text>
        <r>
          <rPr>
            <sz val="11"/>
            <color theme="1"/>
            <rFont val="Calibri"/>
            <family val="2"/>
            <scheme val="minor"/>
          </rPr>
          <t xml:space="preserve">Kavya Guru:
Invoice No- 25350979 Dtd on 08/09/2025
</t>
        </r>
      </text>
    </comment>
    <comment ref="E205" authorId="1" shapeId="0" xr:uid="{5E1A39EA-058A-46F2-9C9C-E83F481347FE}">
      <text>
        <r>
          <rPr>
            <sz val="11"/>
            <color theme="1"/>
            <rFont val="Calibri"/>
            <family val="2"/>
            <scheme val="minor"/>
          </rPr>
          <t xml:space="preserve">Kavya Guru:
2nd PM visit PO, FYI
</t>
        </r>
      </text>
    </comment>
    <comment ref="E209" authorId="1" shapeId="0" xr:uid="{84AFDFC3-F4F1-4564-8917-066A815744A7}">
      <text>
        <r>
          <rPr>
            <sz val="11"/>
            <color theme="1"/>
            <rFont val="Calibri"/>
            <family val="2"/>
            <scheme val="minor"/>
          </rPr>
          <t>Kavya Guru:
Invoice- 25350858 Dtd 14/08/25</t>
        </r>
      </text>
    </comment>
    <comment ref="C217" authorId="1" shapeId="0" xr:uid="{952DF148-A3E6-412F-B48B-3C226964A3A5}">
      <text>
        <r>
          <rPr>
            <sz val="11"/>
            <color theme="1"/>
            <rFont val="Calibri"/>
            <family val="2"/>
            <scheme val="minor"/>
          </rPr>
          <t xml:space="preserve">Kavya Guru:
25351036 Dtd:24/09/25
</t>
        </r>
      </text>
    </comment>
    <comment ref="C220" authorId="1" shapeId="0" xr:uid="{6BB5CFED-7F9E-40BC-A214-877D527E2C6A}">
      <text>
        <r>
          <rPr>
            <sz val="11"/>
            <color theme="1"/>
            <rFont val="Calibri"/>
            <family val="2"/>
            <scheme val="minor"/>
          </rPr>
          <t xml:space="preserve">Kavya Guru:
25351033 Dtd on 24/09/25
</t>
        </r>
      </text>
    </comment>
    <comment ref="E223" authorId="1" shapeId="0" xr:uid="{9DD4A7B6-36F7-47D5-9BCE-4B7979BD4805}">
      <text>
        <r>
          <rPr>
            <sz val="11"/>
            <color theme="1"/>
            <rFont val="Calibri"/>
            <family val="2"/>
            <scheme val="minor"/>
          </rPr>
          <t xml:space="preserve">Kavya Guru:
Invoice generated 100% 
15 machines- 6 Invoices
All 6 Invoices generated on 26/08/25
</t>
        </r>
      </text>
    </comment>
    <comment ref="E224" authorId="1" shapeId="0" xr:uid="{1D167804-2FA7-46AB-8243-00067BBEFD7B}">
      <text>
        <r>
          <rPr>
            <sz val="11"/>
            <color theme="1"/>
            <rFont val="Calibri"/>
            <family val="2"/>
            <scheme val="minor"/>
          </rPr>
          <t>Kavya Guru:
100% Inv - 25350973 Dtd.08/09/25</t>
        </r>
      </text>
    </comment>
    <comment ref="E228" authorId="1" shapeId="0" xr:uid="{D263E42A-9F8E-474E-B784-E919E9372EF1}">
      <text>
        <r>
          <rPr>
            <sz val="11"/>
            <color theme="1"/>
            <rFont val="Calibri"/>
            <family val="2"/>
            <scheme val="minor"/>
          </rPr>
          <t>Kavya Guru:
inv No -25350855 Dtd 13.08.25</t>
        </r>
      </text>
    </comment>
    <comment ref="C238" authorId="1" shapeId="0" xr:uid="{479FE7E7-87D8-4884-809F-FA2C92B94FCF}">
      <text>
        <r>
          <rPr>
            <sz val="11"/>
            <color theme="1"/>
            <rFont val="Calibri"/>
            <family val="2"/>
            <scheme val="minor"/>
          </rPr>
          <t>Kavya Guru:
Qty 0.50 while INVOICING</t>
        </r>
      </text>
    </comment>
    <comment ref="C250" authorId="0" shapeId="0" xr:uid="{C8997DD3-1630-42C5-BD89-BBF68DB0BB4F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No.25350789 Dtd.29/07/25, Period : 10/07/25 to 09/01/2026</t>
        </r>
      </text>
    </comment>
    <comment ref="C251" authorId="1" shapeId="0" xr:uid="{DD5E37C0-7C9D-4EBD-AB76-C0EF8CADAEFA}">
      <text>
        <r>
          <rPr>
            <sz val="11"/>
            <color theme="1"/>
            <rFont val="Calibri"/>
            <family val="2"/>
            <scheme val="minor"/>
          </rPr>
          <t xml:space="preserve">Kavya Guru:
Inv raised on 24.09.25
No- 25351032
</t>
        </r>
      </text>
    </comment>
    <comment ref="E270" authorId="1" shapeId="0" xr:uid="{1D424ADE-A396-41F6-ABD4-916BDA5A1CC6}">
      <text>
        <r>
          <rPr>
            <sz val="11"/>
            <color theme="1"/>
            <rFont val="Calibri"/>
            <family val="2"/>
            <scheme val="minor"/>
          </rPr>
          <t xml:space="preserve">Kavya Guru:
2 machines [470075997] PO no for AMC contract  </t>
        </r>
      </text>
    </comment>
    <comment ref="C271" authorId="0" shapeId="0" xr:uid="{2FE88BF6-22B2-4143-A0A8-56D9A73E1532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No.25351022 Dtd.18/09/25 Period : 09/08/25 to 08/02/26</t>
        </r>
      </text>
    </comment>
    <comment ref="E276" authorId="1" shapeId="0" xr:uid="{EC05E2EE-E34E-4F99-AADB-A2659A20D2AA}">
      <text>
        <r>
          <rPr>
            <sz val="11"/>
            <color theme="1"/>
            <rFont val="Calibri"/>
            <family val="2"/>
            <scheme val="minor"/>
          </rPr>
          <t>Kavya Guru:
1 machine Software only
16004510/001</t>
        </r>
      </text>
    </comment>
    <comment ref="C304" authorId="1" shapeId="0" xr:uid="{235900D3-6523-44EF-846D-937F1E8F1B7C}">
      <text>
        <r>
          <rPr>
            <sz val="11"/>
            <color theme="1"/>
            <rFont val="Calibri"/>
            <family val="2"/>
            <scheme val="minor"/>
          </rPr>
          <t xml:space="preserve">Kavya Guru:
</t>
        </r>
      </text>
    </comment>
    <comment ref="E312" authorId="1" shapeId="0" xr:uid="{2877FAD7-4EDC-4F53-BDFB-14ED794727BC}">
      <text>
        <r>
          <rPr>
            <sz val="11"/>
            <color theme="1"/>
            <rFont val="Calibri"/>
            <family val="2"/>
            <scheme val="minor"/>
          </rPr>
          <t>Kavya Guru:
Month End last date invoice is should be informed prior or generate in next month</t>
        </r>
      </text>
    </comment>
    <comment ref="C314" authorId="1" shapeId="0" xr:uid="{E05793E5-C10B-4226-B32C-4303241F015F}">
      <text>
        <r>
          <rPr>
            <sz val="11"/>
            <color theme="1"/>
            <rFont val="Calibri"/>
            <family val="2"/>
            <scheme val="minor"/>
          </rPr>
          <t xml:space="preserve">Kavya Guru:
25351265 Dtd 20.11.25- 50% Inv Raised 
</t>
        </r>
      </text>
    </comment>
    <comment ref="C315" authorId="1" shapeId="0" xr:uid="{F138DCF2-1B14-4D48-8346-30F3CADFAF04}">
      <text>
        <r>
          <rPr>
            <sz val="11"/>
            <color theme="1"/>
            <rFont val="Calibri"/>
            <family val="2"/>
            <scheme val="minor"/>
          </rPr>
          <t>Kavya Guru:
Invoiced 25351393 Dtd  16/12/25</t>
        </r>
      </text>
    </comment>
    <comment ref="C324" authorId="1" shapeId="0" xr:uid="{7E77FE2D-3D98-47E0-ADED-C8D56CF0AFC5}">
      <text>
        <r>
          <rPr>
            <sz val="11"/>
            <color theme="1"/>
            <rFont val="Calibri"/>
            <family val="2"/>
            <scheme val="minor"/>
          </rPr>
          <t xml:space="preserve">Kavya Guru:
25351204 Dtd-07.11.25
</t>
        </r>
      </text>
    </comment>
    <comment ref="I326" authorId="1" shapeId="0" xr:uid="{CB5F1630-E6A0-4877-95DC-ABF024BD0434}">
      <text>
        <r>
          <rPr>
            <sz val="11"/>
            <color theme="1"/>
            <rFont val="Calibri"/>
            <family val="2"/>
            <scheme val="minor"/>
          </rPr>
          <t xml:space="preserve">Kavya Guru:
Software amount-32500/- Included
</t>
        </r>
      </text>
    </comment>
    <comment ref="C333" authorId="1" shapeId="0" xr:uid="{C21E2B3B-900E-45EE-A390-0EFFCE6D0FBA}">
      <text>
        <r>
          <rPr>
            <sz val="11"/>
            <color theme="1"/>
            <rFont val="Calibri"/>
            <family val="2"/>
            <scheme val="minor"/>
          </rPr>
          <t>Kavya Guru:
PLace Of supply: Other Territory</t>
        </r>
      </text>
    </comment>
    <comment ref="E337" authorId="1" shapeId="0" xr:uid="{33376BBB-E83B-472F-A96E-D67369D4FFE8}">
      <text>
        <r>
          <rPr>
            <sz val="11"/>
            <color theme="1"/>
            <rFont val="Calibri"/>
            <family val="2"/>
            <scheme val="minor"/>
          </rPr>
          <t xml:space="preserve">Kavya Guru:
Cx has released 2 PO's for 2 Visit and select Place of Supply as other territory in SAP </t>
        </r>
      </text>
    </comment>
    <comment ref="C338" authorId="1" shapeId="0" xr:uid="{C0773565-E84F-4748-BF5A-49866187EBDC}">
      <text>
        <r>
          <rPr>
            <sz val="11"/>
            <color theme="1"/>
            <rFont val="Calibri"/>
            <family val="2"/>
            <scheme val="minor"/>
          </rPr>
          <t>Kavya Guru:
Place of supply: Other Territory.</t>
        </r>
      </text>
    </comment>
    <comment ref="C343" authorId="1" shapeId="0" xr:uid="{73D078A8-9A16-49E2-A25B-8229FBB21542}">
      <text>
        <r>
          <rPr>
            <sz val="11"/>
            <color theme="1"/>
            <rFont val="Calibri"/>
            <family val="2"/>
            <scheme val="minor"/>
          </rPr>
          <t>Kavya Guru:
25351330 Dtd:5/12/25</t>
        </r>
      </text>
    </comment>
    <comment ref="C353" authorId="1" shapeId="0" xr:uid="{4D1ACD29-5F47-4746-8158-4EFFC29B85B1}">
      <text>
        <r>
          <rPr>
            <sz val="11"/>
            <color theme="1"/>
            <rFont val="Calibri"/>
            <family val="2"/>
            <scheme val="minor"/>
          </rPr>
          <t>Kavya Guru:
25351424 Dtd:23/12/25, Generate 2nd Invocie in month of July 26</t>
        </r>
      </text>
    </comment>
    <comment ref="C371" authorId="1" shapeId="0" xr:uid="{15BC4403-02C6-4A56-885F-3ADE5366034C}">
      <text>
        <r>
          <rPr>
            <sz val="11"/>
            <color theme="1"/>
            <rFont val="Calibri"/>
            <family val="2"/>
            <scheme val="minor"/>
          </rPr>
          <t>Kavya Guru:
26350064 Dtd:14-03-26</t>
        </r>
      </text>
    </comment>
    <comment ref="C373" authorId="1" shapeId="0" xr:uid="{8A49AA91-9EAF-4C5E-99F8-6D497E10CE9C}">
      <text>
        <r>
          <rPr>
            <sz val="11"/>
            <color theme="1"/>
            <rFont val="Calibri"/>
            <family val="2"/>
            <scheme val="minor"/>
          </rPr>
          <t>Kavya Guru:
26360228 Dtd:14/03/26</t>
        </r>
      </text>
    </comment>
    <comment ref="C379" authorId="1" shapeId="0" xr:uid="{FC4E260E-51A3-4A92-84CE-7FFDADFE03D6}">
      <text>
        <r>
          <rPr>
            <sz val="11"/>
            <color theme="1"/>
            <rFont val="Calibri"/>
            <family val="2"/>
            <scheme val="minor"/>
          </rPr>
          <t>Kavya Guru:
26350100 Dtd:30-01-26</t>
        </r>
      </text>
    </comment>
    <comment ref="C388" authorId="1" shapeId="0" xr:uid="{8EF42109-4E1D-4A52-AF96-398F2A7B51D0}">
      <text>
        <r>
          <rPr>
            <sz val="11"/>
            <color theme="1"/>
            <rFont val="Calibri"/>
            <family val="2"/>
            <scheme val="minor"/>
          </rPr>
          <t>Kavya Guru:
26350311 Dtd:30/03/26</t>
        </r>
      </text>
    </comment>
    <comment ref="N402" authorId="1" shapeId="0" xr:uid="{AF81A373-4370-4476-AD2F-6E7DD4F70481}">
      <text>
        <r>
          <rPr>
            <sz val="11"/>
            <color theme="1"/>
            <rFont val="Calibri"/>
            <family val="2"/>
            <scheme val="minor"/>
          </rPr>
          <t xml:space="preserve">Kavya Guru:
SO cancelled, as hosur location plant AMC not carried out for 2nd PM </t>
        </r>
      </text>
    </comment>
    <comment ref="U402" authorId="1" shapeId="0" xr:uid="{FCE9CF52-A540-42F6-9CBB-963C98B3C270}">
      <text>
        <r>
          <rPr>
            <sz val="11"/>
            <color theme="1"/>
            <rFont val="Calibri"/>
            <family val="2"/>
            <scheme val="minor"/>
          </rPr>
          <t xml:space="preserve">Kavya Guru:
other M/c relocated to hosur plant hence cx disconituned the AMC for this relocated plant for this quarter proceed with single M/c billing hence cancelling the SO.
</t>
        </r>
      </text>
    </comment>
    <comment ref="C414" authorId="1" shapeId="0" xr:uid="{948120ED-437F-4809-AE61-FD7C5E14F112}">
      <text>
        <r>
          <rPr>
            <sz val="11"/>
            <color theme="1"/>
            <rFont val="Calibri"/>
            <family val="2"/>
            <scheme val="minor"/>
          </rPr>
          <t>Kavya Guru:
26350325 Dtd:31/03/26</t>
        </r>
      </text>
    </comment>
    <comment ref="C419" authorId="0" shapeId="0" xr:uid="{D518C2FB-524E-49D8-9220-515EB6BB92C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0" authorId="0" shapeId="0" xr:uid="{0831F3AC-A57B-457D-9EB2-B6E21E987DF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1" authorId="0" shapeId="0" xr:uid="{A74B8407-051E-4153-B3C7-9B607875BEB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2" authorId="0" shapeId="0" xr:uid="{C9725FE1-83C4-4636-BA74-60ABD9B8B11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6" authorId="1" shapeId="0" xr:uid="{3B8BEE10-EB60-43B8-BE8A-542513355B23}">
      <text>
        <r>
          <rPr>
            <sz val="11"/>
            <color theme="1"/>
            <rFont val="Calibri"/>
            <family val="2"/>
            <scheme val="minor"/>
          </rPr>
          <t>Kavya Guru:
50% Invoice raised on 10/02/2026 Inv no-26360135</t>
        </r>
      </text>
    </comment>
    <comment ref="E441" authorId="1" shapeId="0" xr:uid="{E9FDB47F-D8C4-4F4D-9F35-8B56056062AD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4th Quater PO-9000005172
</t>
        </r>
      </text>
    </comment>
    <comment ref="C447" authorId="1" shapeId="0" xr:uid="{58F30A71-288B-41AC-8811-CDC14E1C62E5}">
      <text>
        <r>
          <rPr>
            <sz val="11"/>
            <color theme="1"/>
            <rFont val="Calibri"/>
            <family val="2"/>
            <scheme val="minor"/>
          </rPr>
          <t xml:space="preserve">Kavya Guru:
26350261 Dtd:17/03/26
</t>
        </r>
      </text>
    </comment>
    <comment ref="C454" authorId="1" shapeId="0" xr:uid="{E785F17C-BAB3-423F-AFD5-4476DF8B24C2}">
      <text>
        <r>
          <rPr>
            <sz val="11"/>
            <color theme="1"/>
            <rFont val="Calibri"/>
            <family val="2"/>
            <scheme val="minor"/>
          </rPr>
          <t>Kavya Guru:
26350403 Dtd:20/04/26</t>
        </r>
      </text>
    </comment>
    <comment ref="I471" authorId="1" shapeId="0" xr:uid="{773EE653-FDDA-4973-8814-24CE67E9A13D}">
      <text>
        <r>
          <rPr>
            <sz val="11"/>
            <color theme="1"/>
            <rFont val="Calibri"/>
            <family val="2"/>
            <scheme val="minor"/>
          </rPr>
          <t>Kavya Guru:
Cx has given PO in EURO (4160* 107.90)</t>
        </r>
      </text>
    </comment>
    <comment ref="I475" authorId="1" shapeId="0" xr:uid="{F444DB7C-997F-48A8-B81D-F6409A7822AB}">
      <text>
        <r>
          <rPr>
            <sz val="11"/>
            <color theme="1"/>
            <rFont val="Calibri"/>
            <family val="2"/>
            <scheme val="minor"/>
          </rPr>
          <t>Kavya Guru:
190400 Software amt -27200*7</t>
        </r>
      </text>
    </comment>
    <comment ref="I480" authorId="1" shapeId="0" xr:uid="{C7323970-2B0F-44D2-96F5-8A9E44046315}">
      <text>
        <r>
          <rPr>
            <sz val="11"/>
            <color theme="1"/>
            <rFont val="Calibri"/>
            <family val="2"/>
            <scheme val="minor"/>
          </rPr>
          <t>Kavya Guru:
Software amt- 67200/-
Remote Support Amt- 38400/-</t>
        </r>
      </text>
    </comment>
    <comment ref="C486" authorId="1" shapeId="0" xr:uid="{5F0C2272-2182-4323-BC12-D07CCEDF45F1}">
      <text>
        <r>
          <rPr>
            <sz val="11"/>
            <color theme="1"/>
            <rFont val="Calibri"/>
            <family val="2"/>
            <scheme val="minor"/>
          </rPr>
          <t xml:space="preserve">Kavya Guru:
26350356 Dtd:10/04/26
</t>
        </r>
      </text>
    </comment>
    <comment ref="C491" authorId="1" shapeId="0" xr:uid="{5E751327-E78A-4ECB-97B4-E55C0AD68196}">
      <text>
        <r>
          <rPr>
            <sz val="11"/>
            <color theme="1"/>
            <rFont val="Calibri"/>
            <family val="2"/>
            <scheme val="minor"/>
          </rPr>
          <t>Kavya Guru:
2 invoice- 50% after 1st PM
50% after 3rd PM</t>
        </r>
      </text>
    </comment>
    <comment ref="I500" authorId="1" shapeId="0" xr:uid="{20DC0184-5CE9-4179-8E2D-B9BA1EC27CEF}">
      <text>
        <r>
          <rPr>
            <sz val="11"/>
            <color theme="1"/>
            <rFont val="Calibri"/>
            <family val="2"/>
            <scheme val="minor"/>
          </rPr>
          <t xml:space="preserve">Kavya Guru:
30,000/- Software Amount included </t>
        </r>
      </text>
    </comment>
    <comment ref="E507" authorId="1" shapeId="0" xr:uid="{7B4FAFC7-B141-41F8-B23E-97887B6716C2}">
      <text>
        <r>
          <rPr>
            <sz val="11"/>
            <color theme="1"/>
            <rFont val="Calibri"/>
            <family val="2"/>
            <scheme val="minor"/>
          </rPr>
          <t>Kavya Guru:
Billing -4 times 
Period 24/04/2026 to 23/04/2027
1st - 24/04/2026 to 23/07/2026
2nd - 24/07/2026 to 23/10/2026
3rd - 24/10/2026 to 23/01/2027
4th - 24/01/2027 to 23/04/2027</t>
        </r>
      </text>
    </comment>
    <comment ref="M507" authorId="1" shapeId="0" xr:uid="{51ADF418-DE7B-4B80-80AE-DA530FF1F3EE}">
      <text>
        <r>
          <rPr>
            <sz val="11"/>
            <color theme="1"/>
            <rFont val="Calibri"/>
            <family val="2"/>
            <scheme val="minor"/>
          </rPr>
          <t>Kavya Guru:
Billing -4 times 
Period 24/04/2026 to 23/04/2027 
1st - 24/04/2026 to 23/07/2026
2nd - 24/07/2026 to 23/10/2026
3rd - 24/10/2026 to 23/01/2027
4th -24/01/2027 to 23/04/2027</t>
        </r>
      </text>
    </comment>
    <comment ref="I521" authorId="1" shapeId="0" xr:uid="{D2EF5E8C-2F76-49FC-9104-69C94EA850E9}">
      <text>
        <r>
          <rPr>
            <sz val="11"/>
            <color theme="1"/>
            <rFont val="Calibri"/>
            <family val="2"/>
            <scheme val="minor"/>
          </rPr>
          <t xml:space="preserve">Kavya Guru:
41000 software amount, as cx confirmed not to add software amt in bill as they are not using it.
</t>
        </r>
      </text>
    </comment>
    <comment ref="I534" authorId="1" shapeId="0" xr:uid="{5F2B9445-4773-4DF7-8A71-B44BE846FF50}">
      <text>
        <r>
          <rPr>
            <sz val="11"/>
            <color theme="1"/>
            <rFont val="Calibri"/>
            <family val="2"/>
            <scheme val="minor"/>
          </rPr>
          <t>Kavya Guru:
20500 software amount</t>
        </r>
      </text>
    </comment>
    <comment ref="I538" authorId="1" shapeId="0" xr:uid="{C38C063D-6728-4CD5-9D19-4851F3450349}">
      <text>
        <r>
          <rPr>
            <sz val="11"/>
            <color theme="1"/>
            <rFont val="Calibri"/>
            <family val="2"/>
            <scheme val="minor"/>
          </rPr>
          <t>Kavya Guru:
Software Included -57,600/-</t>
        </r>
      </text>
    </comment>
    <comment ref="E556" authorId="1" shapeId="0" xr:uid="{EA69D6EA-9F66-4FC6-8F85-BDBF0D0081B1}">
      <text>
        <r>
          <rPr>
            <sz val="11"/>
            <color theme="1"/>
            <rFont val="Calibri"/>
            <family val="2"/>
            <scheme val="minor"/>
          </rPr>
          <t xml:space="preserve">Kavya Guru:
5 Machines, Pay Term -Half yr, Qty Mention as 2.5
</t>
        </r>
      </text>
    </comment>
    <comment ref="E563" authorId="1" shapeId="0" xr:uid="{0AFD5983-1E5E-4425-B18D-3B5C38B7681B}">
      <text>
        <r>
          <rPr>
            <sz val="11"/>
            <color theme="1"/>
            <rFont val="Calibri"/>
            <family val="2"/>
            <scheme val="minor"/>
          </rPr>
          <t>Kavya Guru:
Cx will release the PO every month, 4 visits continue.
2nd Po no:9200014749 Dtd:27.07.26</t>
        </r>
      </text>
    </comment>
    <comment ref="I639" authorId="1" shapeId="0" xr:uid="{AA96DA22-3916-4173-87B5-2A4027A41F8E}">
      <text>
        <r>
          <rPr>
            <sz val="11"/>
            <color theme="1"/>
            <rFont val="Calibri"/>
            <family val="2"/>
            <scheme val="minor"/>
          </rPr>
          <t xml:space="preserve">Kavya Guru:
35000/- for software amount included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Geetha Kenchaiah</author>
    <author>Kavya Guru</author>
  </authors>
  <commentList>
    <comment ref="E10" authorId="0" shapeId="0" xr:uid="{9E580FE2-ADF6-44A2-BC83-262270961367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Old PO No.6700003429 , PO Number changed , due to merge of Flash viven into Flash electronics</t>
        </r>
      </text>
    </comment>
    <comment ref="I28" authorId="1" shapeId="0" xr:uid="{17429EC5-1BEC-43E7-94E6-FD9D34D2370A}">
      <text>
        <r>
          <rPr>
            <sz val="11"/>
            <color theme="1"/>
            <rFont val="Calibri"/>
            <family val="2"/>
            <scheme val="minor"/>
          </rPr>
          <t xml:space="preserve">Kavya Guru:
If required book it by month End 31/12/25
</t>
        </r>
      </text>
    </comment>
    <comment ref="E55" authorId="1" shapeId="0" xr:uid="{21348DFA-E561-4B02-B26C-ECDDF8D1BD29}">
      <text>
        <r>
          <rPr>
            <sz val="11"/>
            <color theme="1"/>
            <rFont val="Calibri"/>
            <family val="2"/>
            <scheme val="minor"/>
          </rPr>
          <t>Kavya Guru:
PO Short closed as customer has given New PO.</t>
        </r>
      </text>
    </comment>
    <comment ref="I61" authorId="0" shapeId="0" xr:uid="{819F20B1-BBC9-4BAD-B25A-FFD49B11487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2" authorId="0" shapeId="0" xr:uid="{BA605FEB-5005-4A89-AD69-D3AFB17D4EF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3" authorId="0" shapeId="0" xr:uid="{85EBFD95-D0BE-46F5-B02B-78A4CB28D2B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 contract
</t>
        </r>
      </text>
    </comment>
    <comment ref="I64" authorId="0" shapeId="0" xr:uid="{8C9FEADA-17C2-4E04-9FAD-0A86A1A84C9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R64" authorId="0" shapeId="0" xr:uid="{09CF2781-88C9-490E-AA9F-FAC857C99E0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5" authorId="0" shapeId="0" xr:uid="{C6E2892C-CD19-4380-8767-B283C620B54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R65" authorId="0" shapeId="0" xr:uid="{34A9A096-CE40-4A12-B9B3-019B915062F5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6" authorId="0" shapeId="0" xr:uid="{D08F61FF-FB7F-4F6C-91B5-42C0300E1FF5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R66" authorId="0" shapeId="0" xr:uid="{D1CDD7ED-217A-45D3-8011-8ABF4964814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1 machine software
</t>
        </r>
      </text>
    </comment>
    <comment ref="I67" authorId="0" shapeId="0" xr:uid="{ED9431A9-0A9A-460C-8124-D8DE4F427B06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8" authorId="0" shapeId="0" xr:uid="{539A544A-F80E-44C1-8124-3796535CB2E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I69" authorId="0" shapeId="0" xr:uid="{9F426C32-6D08-4A42-86CD-CDE305EDB64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32K is for software</t>
        </r>
      </text>
    </comment>
    <comment ref="C82" authorId="0" shapeId="0" xr:uid="{0EEDE194-4C6E-43BF-9B38-CA9E2EC0FCA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No.25350298 Dtd.24/03/25. For the period : 10/01/2025 to 09/07/2025
INV NO.25350771 Dtd.24/07/25 For the Period : 10/07/2025 to 09/01/26.
</t>
        </r>
      </text>
    </comment>
    <comment ref="C87" authorId="0" shapeId="0" xr:uid="{2CE85CE3-9B1C-402B-8FA5-A9C2504139E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88" authorId="0" shapeId="0" xr:uid="{CE2076B8-D69A-4721-9AAF-45FB3473EBBE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89" authorId="0" shapeId="0" xr:uid="{9953DD04-6D1D-4000-80B3-2965E0BA338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0" authorId="0" shapeId="0" xr:uid="{55B28030-1A2C-450F-9683-5A44FDFA657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96" authorId="1" shapeId="0" xr:uid="{9274874C-2944-4661-BA76-F3D63F17B394}">
      <text>
        <r>
          <rPr>
            <sz val="11"/>
            <color theme="1"/>
            <rFont val="Calibri"/>
            <family val="2"/>
            <scheme val="minor"/>
          </rPr>
          <t xml:space="preserve">Kavya Guru:
25350590 Full Amt Invoice raised Dtd on 12.06.25
</t>
        </r>
      </text>
    </comment>
    <comment ref="E96" authorId="1" shapeId="0" xr:uid="{2C1B073E-0B0F-4878-A8B2-9F51AADBF5F6}">
      <text>
        <r>
          <rPr>
            <sz val="11"/>
            <color theme="1"/>
            <rFont val="Calibri"/>
            <family val="2"/>
            <scheme val="minor"/>
          </rPr>
          <t>Kavya Guru:
No of mahcine - 3,</t>
        </r>
      </text>
    </comment>
    <comment ref="C97" authorId="1" shapeId="0" xr:uid="{51DD69D1-3860-4A10-9969-86878405A18C}">
      <text>
        <r>
          <rPr>
            <sz val="11"/>
            <color theme="1"/>
            <rFont val="Calibri"/>
            <family val="2"/>
            <scheme val="minor"/>
          </rPr>
          <t>Kavya Guru:
2635544 Dtd:27/05/26</t>
        </r>
      </text>
    </comment>
    <comment ref="E97" authorId="1" shapeId="0" xr:uid="{DB311589-8E0E-4561-B6C6-DE4FF6F75883}">
      <text>
        <r>
          <rPr>
            <sz val="11"/>
            <color theme="1"/>
            <rFont val="Calibri"/>
            <family val="2"/>
            <scheme val="minor"/>
          </rPr>
          <t xml:space="preserve">Kavya Guru:
New machine added
</t>
        </r>
      </text>
    </comment>
    <comment ref="H97" authorId="0" shapeId="0" xr:uid="{E73533EB-AA8A-4800-8397-E92675ADA975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H98" authorId="0" shapeId="0" xr:uid="{3DDE0489-D433-4824-9E20-8C48CA08654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From this period , number of machine will be 4</t>
        </r>
      </text>
    </comment>
    <comment ref="C99" authorId="0" shapeId="0" xr:uid="{C1C8908D-7007-4E8B-806F-87B66BDEAC9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No.25350354 Dtd,11/04/2025</t>
        </r>
      </text>
    </comment>
    <comment ref="C109" authorId="0" shapeId="0" xr:uid="{AA64BDDE-FF42-4B8C-839B-172A3F08611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No.: 25350368 Dtd.16/04/2025</t>
        </r>
      </text>
    </comment>
    <comment ref="C130" authorId="0" shapeId="0" xr:uid="{19F7240F-FF83-4E02-A180-733CF585C1A1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invoice - 25350395 Dtd.23/04/25</t>
        </r>
      </text>
    </comment>
    <comment ref="C135" authorId="1" shapeId="0" xr:uid="{B558C6D6-A1EF-49B6-B96E-244D5269E2B2}">
      <text>
        <r>
          <rPr>
            <sz val="11"/>
            <color theme="1"/>
            <rFont val="Calibri"/>
            <family val="2"/>
            <scheme val="minor"/>
          </rPr>
          <t xml:space="preserve">Kavya Guru:
25350578 Dtd 11.06.25
</t>
        </r>
      </text>
    </comment>
    <comment ref="E146" authorId="1" shapeId="0" xr:uid="{13413228-46E8-494A-82AC-D8F8B4F267CC}">
      <text>
        <r>
          <rPr>
            <sz val="11"/>
            <color theme="1"/>
            <rFont val="Calibri"/>
            <family val="2"/>
            <scheme val="minor"/>
          </rPr>
          <t xml:space="preserve">Kavya Guru:
inv no-25350876 Dtd on 19.08.2025
</t>
        </r>
      </text>
    </comment>
    <comment ref="C157" authorId="1" shapeId="0" xr:uid="{A69C62D7-FB31-4904-A72F-26BB3C3EF941}">
      <text>
        <r>
          <rPr>
            <sz val="11"/>
            <color theme="1"/>
            <rFont val="Calibri"/>
            <family val="2"/>
            <scheme val="minor"/>
          </rPr>
          <t xml:space="preserve">Kavya Guru:
25351006 Dtd 13/10/25
</t>
        </r>
      </text>
    </comment>
    <comment ref="Y163" authorId="1" shapeId="0" xr:uid="{F9D44787-CFCE-4CC0-B5A8-121B43CD1346}">
      <text>
        <r>
          <rPr>
            <sz val="11"/>
            <color theme="1"/>
            <rFont val="Calibri"/>
            <family val="2"/>
            <scheme val="minor"/>
          </rPr>
          <t>Kavya Guru:
If cx share the PO den only genearte the Invoice</t>
        </r>
      </text>
    </comment>
    <comment ref="C165" authorId="0" shapeId="0" xr:uid="{F4170972-3F6C-41CB-B8ED-4FE5A90E55C4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No.25350643 Dtd.23/06/25. Period : 01/05/2025 to 31/10/2025</t>
        </r>
      </text>
    </comment>
    <comment ref="C166" authorId="0" shapeId="0" xr:uid="{150F53B7-CC1D-4839-8D5A-8849736B7A13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No.25350644 Dtd.23/06/25. Period : 01/05/2025 to 31/10/2025</t>
        </r>
      </text>
    </comment>
    <comment ref="C168" authorId="1" shapeId="0" xr:uid="{4600F7CF-A70B-466E-8C74-316C1E7B5B7F}">
      <text>
        <r>
          <rPr>
            <sz val="11"/>
            <color theme="1"/>
            <rFont val="Calibri"/>
            <family val="2"/>
            <scheme val="minor"/>
          </rPr>
          <t>Kavya Guru:
Inv No.25350976 Dtd.08/09/25</t>
        </r>
      </text>
    </comment>
    <comment ref="C177" authorId="0" shapeId="0" xr:uid="{7A0AF7CA-9F05-4189-B908-CC22773CA649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NO.25350942 Dtd.01/09/2025, Period : 15/05/2025 to 14/11/2025</t>
        </r>
      </text>
    </comment>
    <comment ref="C182" authorId="1" shapeId="0" xr:uid="{015D5590-CDF0-4021-B22E-5014DB359F38}">
      <text>
        <r>
          <rPr>
            <sz val="11"/>
            <color theme="1"/>
            <rFont val="Calibri"/>
            <family val="2"/>
            <scheme val="minor"/>
          </rPr>
          <t>Kavya Guru:
25351069 Dtd on 06/10/25</t>
        </r>
      </text>
    </comment>
    <comment ref="C196" authorId="0" shapeId="0" xr:uid="{221C3A4B-60D0-4C48-920D-8930F663F8D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- 25350765 Dtd.24/07/2025, Period : 01/06/25 to 30/11/2025</t>
        </r>
      </text>
    </comment>
    <comment ref="C203" authorId="1" shapeId="0" xr:uid="{2118854D-DFEA-4CC3-B086-FB014D08D777}">
      <text>
        <r>
          <rPr>
            <sz val="11"/>
            <color theme="1"/>
            <rFont val="Calibri"/>
            <family val="2"/>
            <scheme val="minor"/>
          </rPr>
          <t xml:space="preserve">Kavya Guru:
Invoice No- 25350979 Dtd on 08/09/2025
</t>
        </r>
      </text>
    </comment>
    <comment ref="E205" authorId="1" shapeId="0" xr:uid="{EBDC45C6-2E41-4880-8E7E-308ECC636B6E}">
      <text>
        <r>
          <rPr>
            <sz val="11"/>
            <color theme="1"/>
            <rFont val="Calibri"/>
            <family val="2"/>
            <scheme val="minor"/>
          </rPr>
          <t xml:space="preserve">Kavya Guru:
2nd PM visit PO, FYI
</t>
        </r>
      </text>
    </comment>
    <comment ref="E209" authorId="1" shapeId="0" xr:uid="{7040DA88-57CE-4647-A65B-B337A1A07C14}">
      <text>
        <r>
          <rPr>
            <sz val="11"/>
            <color theme="1"/>
            <rFont val="Calibri"/>
            <family val="2"/>
            <scheme val="minor"/>
          </rPr>
          <t>Kavya Guru:
Invoice- 25350858 Dtd 14/08/25</t>
        </r>
      </text>
    </comment>
    <comment ref="C217" authorId="1" shapeId="0" xr:uid="{64A5AA5D-8D7C-4DAA-B69F-5945E01DFC71}">
      <text>
        <r>
          <rPr>
            <sz val="11"/>
            <color theme="1"/>
            <rFont val="Calibri"/>
            <family val="2"/>
            <scheme val="minor"/>
          </rPr>
          <t xml:space="preserve">Kavya Guru:
25351036 Dtd:24/09/25
</t>
        </r>
      </text>
    </comment>
    <comment ref="C220" authorId="1" shapeId="0" xr:uid="{000ABEB6-4EEE-4F06-9CF0-DCEAA8C58194}">
      <text>
        <r>
          <rPr>
            <sz val="11"/>
            <color theme="1"/>
            <rFont val="Calibri"/>
            <family val="2"/>
            <scheme val="minor"/>
          </rPr>
          <t xml:space="preserve">Kavya Guru:
25351033 Dtd on 24/09/25
</t>
        </r>
      </text>
    </comment>
    <comment ref="E223" authorId="1" shapeId="0" xr:uid="{7738CFD8-7FBE-4B05-8A66-244789669B4C}">
      <text>
        <r>
          <rPr>
            <sz val="11"/>
            <color theme="1"/>
            <rFont val="Calibri"/>
            <family val="2"/>
            <scheme val="minor"/>
          </rPr>
          <t xml:space="preserve">Kavya Guru:
Invoice generated 100% 
15 machines- 6 Invoices
All 6 Invoices generated on 26/08/25
</t>
        </r>
      </text>
    </comment>
    <comment ref="E224" authorId="1" shapeId="0" xr:uid="{3B301B1F-F3B4-401F-9AE6-5D01CFB4FA1E}">
      <text>
        <r>
          <rPr>
            <sz val="11"/>
            <color theme="1"/>
            <rFont val="Calibri"/>
            <family val="2"/>
            <scheme val="minor"/>
          </rPr>
          <t>Kavya Guru:
100% Inv - 25350973 Dtd.08/09/25</t>
        </r>
      </text>
    </comment>
    <comment ref="E228" authorId="1" shapeId="0" xr:uid="{68C630FC-837D-4699-B40F-727712E59AFB}">
      <text>
        <r>
          <rPr>
            <sz val="11"/>
            <color theme="1"/>
            <rFont val="Calibri"/>
            <family val="2"/>
            <scheme val="minor"/>
          </rPr>
          <t>Kavya Guru:
inv No -25350855 Dtd 13.08.25</t>
        </r>
      </text>
    </comment>
    <comment ref="C238" authorId="1" shapeId="0" xr:uid="{74ECD2A2-F5AA-43C1-BD1A-96F78B063A24}">
      <text>
        <r>
          <rPr>
            <sz val="11"/>
            <color theme="1"/>
            <rFont val="Calibri"/>
            <family val="2"/>
            <scheme val="minor"/>
          </rPr>
          <t>Kavya Guru:
Qty 0.50 while INVOICING</t>
        </r>
      </text>
    </comment>
    <comment ref="C250" authorId="0" shapeId="0" xr:uid="{C08B2D9D-679D-4152-AFAA-6A94C471425C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50% Inv No.25350789 Dtd.29/07/25, Period : 10/07/25 to 09/01/2026</t>
        </r>
      </text>
    </comment>
    <comment ref="C251" authorId="1" shapeId="0" xr:uid="{8AB40B19-213F-4160-9EA2-984C624D27A1}">
      <text>
        <r>
          <rPr>
            <sz val="11"/>
            <color theme="1"/>
            <rFont val="Calibri"/>
            <family val="2"/>
            <scheme val="minor"/>
          </rPr>
          <t xml:space="preserve">Kavya Guru:
Inv raised on 24.09.25
No- 25351032
</t>
        </r>
      </text>
    </comment>
    <comment ref="E270" authorId="1" shapeId="0" xr:uid="{387CA252-CE94-4A21-8C54-010CE4B18703}">
      <text>
        <r>
          <rPr>
            <sz val="11"/>
            <color theme="1"/>
            <rFont val="Calibri"/>
            <family val="2"/>
            <scheme val="minor"/>
          </rPr>
          <t xml:space="preserve">Kavya Guru:
2 machines [470075997] PO no for AMC contract  </t>
        </r>
      </text>
    </comment>
    <comment ref="C271" authorId="0" shapeId="0" xr:uid="{D15951F6-74D5-42EF-84F1-16BBFBD7367D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Inv No.25351022 Dtd.18/09/25 Period : 09/08/25 to 08/02/26</t>
        </r>
      </text>
    </comment>
    <comment ref="E276" authorId="1" shapeId="0" xr:uid="{0D2F32C4-CE65-4006-88F8-2229AAAA7A9E}">
      <text>
        <r>
          <rPr>
            <sz val="11"/>
            <color theme="1"/>
            <rFont val="Calibri"/>
            <family val="2"/>
            <scheme val="minor"/>
          </rPr>
          <t>Kavya Guru:
1 machine Software only
16004510/001</t>
        </r>
      </text>
    </comment>
    <comment ref="U276" authorId="1" shapeId="0" xr:uid="{B7EC3CC3-F77E-4051-BC27-36C2A2CDC035}">
      <text>
        <r>
          <rPr>
            <sz val="11"/>
            <color theme="1"/>
            <rFont val="Calibri"/>
            <family val="2"/>
            <scheme val="minor"/>
          </rPr>
          <t>Kavya Guru:
consider only 1 Pm visit not 2.</t>
        </r>
      </text>
    </comment>
    <comment ref="C304" authorId="1" shapeId="0" xr:uid="{94A0B98F-0A8D-4C58-A1EF-828AA6EE3FF3}">
      <text>
        <r>
          <rPr>
            <sz val="11"/>
            <color theme="1"/>
            <rFont val="Calibri"/>
            <family val="2"/>
            <scheme val="minor"/>
          </rPr>
          <t xml:space="preserve">Kavya Guru:
</t>
        </r>
      </text>
    </comment>
    <comment ref="C314" authorId="1" shapeId="0" xr:uid="{0848C318-4494-4C2D-91E5-1E4A930957AC}">
      <text>
        <r>
          <rPr>
            <sz val="11"/>
            <color theme="1"/>
            <rFont val="Calibri"/>
            <family val="2"/>
            <scheme val="minor"/>
          </rPr>
          <t xml:space="preserve">Kavya Guru:
25351265 Dtd 20.11.25- 50% Inv Raised 
</t>
        </r>
      </text>
    </comment>
    <comment ref="C315" authorId="1" shapeId="0" xr:uid="{39EA1A50-735B-4D41-8FAC-A5031D5C434D}">
      <text>
        <r>
          <rPr>
            <sz val="11"/>
            <color theme="1"/>
            <rFont val="Calibri"/>
            <family val="2"/>
            <scheme val="minor"/>
          </rPr>
          <t>Kavya Guru:
Invoiced 25351393 Dtd  16/12/25</t>
        </r>
      </text>
    </comment>
    <comment ref="C324" authorId="1" shapeId="0" xr:uid="{0B347A06-DFB2-45DE-8DFB-7A1568C2EB36}">
      <text>
        <r>
          <rPr>
            <sz val="11"/>
            <color theme="1"/>
            <rFont val="Calibri"/>
            <family val="2"/>
            <scheme val="minor"/>
          </rPr>
          <t xml:space="preserve">Kavya Guru:
25351204 Dtd-07.11.25
</t>
        </r>
      </text>
    </comment>
    <comment ref="I326" authorId="1" shapeId="0" xr:uid="{6C40665F-F7E2-478F-8CB3-B4AD69B36226}">
      <text>
        <r>
          <rPr>
            <sz val="11"/>
            <color theme="1"/>
            <rFont val="Calibri"/>
            <family val="2"/>
            <scheme val="minor"/>
          </rPr>
          <t xml:space="preserve">Kavya Guru:
Software amount-32500/- Included
</t>
        </r>
      </text>
    </comment>
    <comment ref="C333" authorId="1" shapeId="0" xr:uid="{9817FD6A-B39E-4D79-B642-8D7ABBF5544F}">
      <text>
        <r>
          <rPr>
            <sz val="11"/>
            <color theme="1"/>
            <rFont val="Calibri"/>
            <family val="2"/>
            <scheme val="minor"/>
          </rPr>
          <t>Kavya Guru:
PLace Of supply: Other Territory</t>
        </r>
      </text>
    </comment>
    <comment ref="E337" authorId="1" shapeId="0" xr:uid="{D51AC2F6-A550-492E-87D7-328C375C514F}">
      <text>
        <r>
          <rPr>
            <sz val="11"/>
            <color theme="1"/>
            <rFont val="Calibri"/>
            <family val="2"/>
            <scheme val="minor"/>
          </rPr>
          <t xml:space="preserve">Kavya Guru:
Cx has released 2 PO's for 2 Visit and select Place of Supply as other territory in SAP </t>
        </r>
      </text>
    </comment>
    <comment ref="C338" authorId="1" shapeId="0" xr:uid="{A2F68CD9-F23D-4EB3-9AE9-4D34479168D1}">
      <text>
        <r>
          <rPr>
            <sz val="11"/>
            <color theme="1"/>
            <rFont val="Calibri"/>
            <family val="2"/>
            <scheme val="minor"/>
          </rPr>
          <t>Kavya Guru:
Place of supply: Other Territory.</t>
        </r>
      </text>
    </comment>
    <comment ref="C343" authorId="1" shapeId="0" xr:uid="{ADD91F55-3254-47B6-8001-C33972B0C4B9}">
      <text>
        <r>
          <rPr>
            <sz val="11"/>
            <color theme="1"/>
            <rFont val="Calibri"/>
            <family val="2"/>
            <scheme val="minor"/>
          </rPr>
          <t>Kavya Guru:
25351330 Dtd:5/12/25</t>
        </r>
      </text>
    </comment>
    <comment ref="C353" authorId="1" shapeId="0" xr:uid="{CBA57F86-6A43-4FE0-B682-3AF518A46D1C}">
      <text>
        <r>
          <rPr>
            <sz val="11"/>
            <color theme="1"/>
            <rFont val="Calibri"/>
            <family val="2"/>
            <scheme val="minor"/>
          </rPr>
          <t>Kavya Guru:
25351424 Dtd:23/12/25, Generate 2nd Invocie in month of July 26</t>
        </r>
      </text>
    </comment>
    <comment ref="C371" authorId="1" shapeId="0" xr:uid="{E4C055D6-6F2A-4088-BD33-DB01699D8C64}">
      <text>
        <r>
          <rPr>
            <sz val="11"/>
            <color theme="1"/>
            <rFont val="Calibri"/>
            <family val="2"/>
            <scheme val="minor"/>
          </rPr>
          <t>Kavya Guru:
26350064 Dtd:14-03-26</t>
        </r>
      </text>
    </comment>
    <comment ref="C373" authorId="1" shapeId="0" xr:uid="{D958F726-F8AA-4B0D-B271-03A6EB97A896}">
      <text>
        <r>
          <rPr>
            <sz val="11"/>
            <color theme="1"/>
            <rFont val="Calibri"/>
            <family val="2"/>
            <scheme val="minor"/>
          </rPr>
          <t>Kavya Guru:
26360228 Dtd:14/03/26</t>
        </r>
      </text>
    </comment>
    <comment ref="C379" authorId="1" shapeId="0" xr:uid="{8FD3402A-4553-490B-9F7F-996FA5A8AA46}">
      <text>
        <r>
          <rPr>
            <sz val="11"/>
            <color theme="1"/>
            <rFont val="Calibri"/>
            <family val="2"/>
            <scheme val="minor"/>
          </rPr>
          <t>Kavya Guru:
26350100 Dtd:30-01-26</t>
        </r>
      </text>
    </comment>
    <comment ref="C388" authorId="1" shapeId="0" xr:uid="{52DE4A61-431F-4304-8E8F-5C729A43D282}">
      <text>
        <r>
          <rPr>
            <sz val="11"/>
            <color theme="1"/>
            <rFont val="Calibri"/>
            <family val="2"/>
            <scheme val="minor"/>
          </rPr>
          <t>Kavya Guru:
26350311 Dtd:30/03/26</t>
        </r>
      </text>
    </comment>
    <comment ref="N402" authorId="1" shapeId="0" xr:uid="{34B3DDAE-AD9D-40AE-B214-75F8CA20D36F}">
      <text>
        <r>
          <rPr>
            <sz val="11"/>
            <color theme="1"/>
            <rFont val="Calibri"/>
            <family val="2"/>
            <scheme val="minor"/>
          </rPr>
          <t xml:space="preserve">Kavya Guru:
SO cancelled, as hosur location plant AMC not carried out for 2nd PM </t>
        </r>
      </text>
    </comment>
    <comment ref="U402" authorId="1" shapeId="0" xr:uid="{8459D3ED-E0D3-4AF8-AAA4-20FA7723431E}">
      <text>
        <r>
          <rPr>
            <sz val="11"/>
            <color theme="1"/>
            <rFont val="Calibri"/>
            <family val="2"/>
            <scheme val="minor"/>
          </rPr>
          <t xml:space="preserve">Kavya Guru:
other M/c relocated to hosur plant hence cx disconituned the AMC for this relocated plant for this quarter proceed with single M/c billing hence cancelling the SO.
</t>
        </r>
      </text>
    </comment>
    <comment ref="C414" authorId="1" shapeId="0" xr:uid="{0E26E29B-3533-452A-BA02-9CCE68046495}">
      <text>
        <r>
          <rPr>
            <sz val="11"/>
            <color theme="1"/>
            <rFont val="Calibri"/>
            <family val="2"/>
            <scheme val="minor"/>
          </rPr>
          <t>Kavya Guru:
26350325 Dtd:31/03/26</t>
        </r>
      </text>
    </comment>
    <comment ref="C419" authorId="0" shapeId="0" xr:uid="{B660AA8D-A035-4629-AF80-713E81C5576A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0" authorId="0" shapeId="0" xr:uid="{D7E43EB2-F28F-4D29-B83D-C6018E94727B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1" authorId="0" shapeId="0" xr:uid="{A46E1684-66D8-40EF-9ECE-091F215B1988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2" authorId="0" shapeId="0" xr:uid="{A0402F00-E986-427B-B9BB-57F7D350AD70}">
      <text>
        <r>
          <rPr>
            <b/>
            <sz val="9"/>
            <color indexed="81"/>
            <rFont val="Tahoma"/>
            <family val="2"/>
          </rPr>
          <t>Geetha Kenchaiah:</t>
        </r>
        <r>
          <rPr>
            <sz val="9"/>
            <color indexed="81"/>
            <rFont val="Tahoma"/>
            <family val="2"/>
          </rPr>
          <t xml:space="preserve">
Billing to Bengaluru address for all 4 machines after completion of PM Visit</t>
        </r>
      </text>
    </comment>
    <comment ref="C426" authorId="1" shapeId="0" xr:uid="{5FBAB01F-5FCA-44E9-90C4-F30DFD4B3B50}">
      <text>
        <r>
          <rPr>
            <sz val="11"/>
            <color theme="1"/>
            <rFont val="Calibri"/>
            <family val="2"/>
            <scheme val="minor"/>
          </rPr>
          <t>Kavya Guru:
50% Invoice raised on 10/02/2026 Inv no-26360135</t>
        </r>
      </text>
    </comment>
    <comment ref="E441" authorId="1" shapeId="0" xr:uid="{78BD3B03-E00F-42B3-8CEC-59C014D80447}">
      <text>
        <r>
          <rPr>
            <sz val="11"/>
            <color theme="1"/>
            <rFont val="Calibri"/>
            <family val="2"/>
            <scheme val="minor"/>
          </rPr>
          <t xml:space="preserve">Kavya Guru:
Customer will release PO every month.
4th Quater PO-9000005172
</t>
        </r>
      </text>
    </comment>
    <comment ref="C447" authorId="1" shapeId="0" xr:uid="{406502C1-244A-414C-9BC4-1A3FF979B238}">
      <text>
        <r>
          <rPr>
            <sz val="11"/>
            <color theme="1"/>
            <rFont val="Calibri"/>
            <family val="2"/>
            <scheme val="minor"/>
          </rPr>
          <t xml:space="preserve">Kavya Guru:
26350261 Dtd:17/03/26
</t>
        </r>
      </text>
    </comment>
    <comment ref="C454" authorId="1" shapeId="0" xr:uid="{AB95370B-8729-44F7-912A-6C6BF9C99D72}">
      <text>
        <r>
          <rPr>
            <sz val="11"/>
            <color theme="1"/>
            <rFont val="Calibri"/>
            <family val="2"/>
            <scheme val="minor"/>
          </rPr>
          <t>Kavya Guru:
26350403 Dtd:20/04/26</t>
        </r>
      </text>
    </comment>
    <comment ref="I471" authorId="1" shapeId="0" xr:uid="{AAF8D3B9-37DF-434F-AEDB-F83051238519}">
      <text>
        <r>
          <rPr>
            <sz val="11"/>
            <color theme="1"/>
            <rFont val="Calibri"/>
            <family val="2"/>
            <scheme val="minor"/>
          </rPr>
          <t>Kavya Guru:
Cx has given PO in EURO (4160* 107.90)</t>
        </r>
      </text>
    </comment>
    <comment ref="I475" authorId="1" shapeId="0" xr:uid="{A0A5FC8E-7B16-4F98-A8C9-E1F8557B9F80}">
      <text>
        <r>
          <rPr>
            <sz val="11"/>
            <color theme="1"/>
            <rFont val="Calibri"/>
            <family val="2"/>
            <scheme val="minor"/>
          </rPr>
          <t>Kavya Guru:
190400 Software amt -27200*7</t>
        </r>
      </text>
    </comment>
    <comment ref="I480" authorId="1" shapeId="0" xr:uid="{1DC4E1F8-5B2E-458B-833D-28A73DC6AF28}">
      <text>
        <r>
          <rPr>
            <sz val="11"/>
            <color theme="1"/>
            <rFont val="Calibri"/>
            <family val="2"/>
            <scheme val="minor"/>
          </rPr>
          <t>Kavya Guru:
Software amt- 67200/-
Remote Support Amt- 38400/-</t>
        </r>
      </text>
    </comment>
    <comment ref="C486" authorId="1" shapeId="0" xr:uid="{5CF74699-CDA3-4C80-A8A3-90E6DC18522A}">
      <text>
        <r>
          <rPr>
            <sz val="11"/>
            <color theme="1"/>
            <rFont val="Calibri"/>
            <family val="2"/>
            <scheme val="minor"/>
          </rPr>
          <t xml:space="preserve">Kavya Guru:
26350356 Dtd:10/04/26
</t>
        </r>
      </text>
    </comment>
    <comment ref="C491" authorId="1" shapeId="0" xr:uid="{DD739A24-6EB3-4751-9191-E56AE175D6CE}">
      <text>
        <r>
          <rPr>
            <sz val="11"/>
            <color theme="1"/>
            <rFont val="Calibri"/>
            <family val="2"/>
            <scheme val="minor"/>
          </rPr>
          <t>Kavya Guru:
2 invoice- 50% after 1st PM
50% after 3rd PM</t>
        </r>
      </text>
    </comment>
    <comment ref="I500" authorId="1" shapeId="0" xr:uid="{4865E636-273C-4199-933C-C38A75E61B28}">
      <text>
        <r>
          <rPr>
            <sz val="11"/>
            <color theme="1"/>
            <rFont val="Calibri"/>
            <family val="2"/>
            <scheme val="minor"/>
          </rPr>
          <t xml:space="preserve">Kavya Guru:
30,000/- Software Amount included </t>
        </r>
      </text>
    </comment>
    <comment ref="E507" authorId="1" shapeId="0" xr:uid="{B25921B5-F866-42DF-8AC3-7ECD65A2121F}">
      <text>
        <r>
          <rPr>
            <sz val="11"/>
            <color theme="1"/>
            <rFont val="Calibri"/>
            <family val="2"/>
            <scheme val="minor"/>
          </rPr>
          <t>Kavya Guru:
Billing -4 times 
Period 24/04/2026 to 23/04/2027
1st - 24/04/2026 to 23/07/2026
2nd - 24/07/2026 to 23/10/2026
3rd - 24/10/2026 to 23/01/2027
4th - 24/01/2027 to 23/04/2027</t>
        </r>
      </text>
    </comment>
    <comment ref="M507" authorId="1" shapeId="0" xr:uid="{17C4EE7E-0314-4E05-83BE-08A5EA3884A4}">
      <text>
        <r>
          <rPr>
            <sz val="11"/>
            <color theme="1"/>
            <rFont val="Calibri"/>
            <family val="2"/>
            <scheme val="minor"/>
          </rPr>
          <t>Kavya Guru:
Billing -4 times 
Period 24/04/2026 to 23/04/2027 
1st - 24/04/2026 to 23/07/2026
2nd - 24/07/2026 to 23/10/2026
3rd - 24/10/2026 to 23/01/2027
4th -24/01/2027 to 23/04/2027</t>
        </r>
      </text>
    </comment>
    <comment ref="I521" authorId="1" shapeId="0" xr:uid="{ED7CC3AB-618A-4F0E-8F79-A82198745B37}">
      <text>
        <r>
          <rPr>
            <sz val="11"/>
            <color theme="1"/>
            <rFont val="Calibri"/>
            <family val="2"/>
            <scheme val="minor"/>
          </rPr>
          <t xml:space="preserve">Kavya Guru:
41000 software amount, as cx confirmed not to add software amt in bill as they are not using it.
</t>
        </r>
      </text>
    </comment>
    <comment ref="I534" authorId="1" shapeId="0" xr:uid="{2FBF13AF-E70A-41D4-947C-DB8D72B4C9E3}">
      <text>
        <r>
          <rPr>
            <sz val="11"/>
            <color theme="1"/>
            <rFont val="Calibri"/>
            <family val="2"/>
            <scheme val="minor"/>
          </rPr>
          <t>Kavya Guru:
20500 software amount</t>
        </r>
      </text>
    </comment>
    <comment ref="I538" authorId="1" shapeId="0" xr:uid="{76938546-B8C0-41A2-A881-3245F5B81438}">
      <text>
        <r>
          <rPr>
            <sz val="11"/>
            <color theme="1"/>
            <rFont val="Calibri"/>
            <family val="2"/>
            <scheme val="minor"/>
          </rPr>
          <t>Kavya Guru:
Software Included -57,600/-</t>
        </r>
      </text>
    </comment>
    <comment ref="E563" authorId="1" shapeId="0" xr:uid="{201E6AB6-41F4-4F57-A6E9-381685EEA58B}">
      <text>
        <r>
          <rPr>
            <sz val="11"/>
            <color theme="1"/>
            <rFont val="Calibri"/>
            <family val="2"/>
            <scheme val="minor"/>
          </rPr>
          <t>Kavya Guru:
Cx will release the PO every month, 4 visits continue</t>
        </r>
      </text>
    </comment>
    <comment ref="I639" authorId="1" shapeId="0" xr:uid="{21EAAE8B-A122-4A03-8409-5BD0D667D763}">
      <text>
        <r>
          <rPr>
            <sz val="11"/>
            <color theme="1"/>
            <rFont val="Calibri"/>
            <family val="2"/>
            <scheme val="minor"/>
          </rPr>
          <t xml:space="preserve">Kavya Guru:
35000/- for software amount included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<sst xmlns="http://schemas.openxmlformats.org/spreadsheetml/2006/main" count="48407" uniqueCount="2150">
  <si>
    <t>Jan</t>
  </si>
  <si>
    <t>Yes</t>
  </si>
  <si>
    <t>Feb</t>
  </si>
  <si>
    <t>March</t>
  </si>
  <si>
    <t>Apr</t>
  </si>
  <si>
    <t>April</t>
  </si>
  <si>
    <t>May</t>
  </si>
  <si>
    <t>Jun</t>
  </si>
  <si>
    <t xml:space="preserve">Aug </t>
  </si>
  <si>
    <t>June</t>
  </si>
  <si>
    <t xml:space="preserve">Jul </t>
  </si>
  <si>
    <t>July</t>
  </si>
  <si>
    <t xml:space="preserve">Mar </t>
  </si>
  <si>
    <t>August</t>
  </si>
  <si>
    <t>Opening Bal</t>
  </si>
  <si>
    <t>SECO TOOLS dont Give Printout send only  soft copy</t>
  </si>
  <si>
    <t>100% inv raised</t>
  </si>
  <si>
    <t>Surya Nepal - Pick Other Territory While Invoicing</t>
  </si>
  <si>
    <t>CHECK WITH GIRIJA MAM / MANU FOR INV AMT BEFORE GENERATING THE INVOICE</t>
  </si>
  <si>
    <t>Expired</t>
  </si>
  <si>
    <t>GST</t>
  </si>
  <si>
    <t xml:space="preserve">Net Amt </t>
  </si>
  <si>
    <t>TDS</t>
  </si>
  <si>
    <t>Base+TDS</t>
  </si>
  <si>
    <t>Net Amt- TDS</t>
  </si>
  <si>
    <t>Net Amt- TDS (without GST)</t>
  </si>
  <si>
    <t>Half yearly</t>
  </si>
  <si>
    <t>Scheduled Month</t>
  </si>
  <si>
    <t>Customer Name</t>
  </si>
  <si>
    <t>Place</t>
  </si>
  <si>
    <t>PO No</t>
  </si>
  <si>
    <t>PO Date</t>
  </si>
  <si>
    <t>MC Type</t>
  </si>
  <si>
    <t>No of Machine</t>
  </si>
  <si>
    <t>Amount</t>
  </si>
  <si>
    <t>No of Visits</t>
  </si>
  <si>
    <t>Per Quater</t>
  </si>
  <si>
    <t xml:space="preserve">Start </t>
  </si>
  <si>
    <t>End</t>
  </si>
  <si>
    <t>Status</t>
  </si>
  <si>
    <t>Month</t>
  </si>
  <si>
    <t>Software Support</t>
  </si>
  <si>
    <t>1st PM</t>
  </si>
  <si>
    <t>2nd PM</t>
  </si>
  <si>
    <t>3rd PM</t>
  </si>
  <si>
    <t>4th PM</t>
  </si>
  <si>
    <t>5th PM</t>
  </si>
  <si>
    <t>6th PM</t>
  </si>
  <si>
    <t>Responsible</t>
  </si>
  <si>
    <t>Zone</t>
  </si>
  <si>
    <t>BD</t>
  </si>
  <si>
    <t>Payment Terms</t>
  </si>
  <si>
    <t>Hindustan Aeronautics Ltd</t>
  </si>
  <si>
    <t>Nashik</t>
  </si>
  <si>
    <t xml:space="preserve">HAL(NK)/FN/AM/22/20/AODSRV797/1221 </t>
  </si>
  <si>
    <t>Flex Care</t>
  </si>
  <si>
    <t>13/03/2023 TO 12/07/2023</t>
  </si>
  <si>
    <t>20th Apr 23</t>
  </si>
  <si>
    <t>13/07/2023 TO 12/11/2023</t>
  </si>
  <si>
    <t>30th Nov 23</t>
  </si>
  <si>
    <t>13/11/2023 TO 12/03/2024</t>
  </si>
  <si>
    <t>26th Mar 24</t>
  </si>
  <si>
    <t>Yogesh/Ashraf</t>
  </si>
  <si>
    <t>West</t>
  </si>
  <si>
    <t>13/03/2024 TO 12/07/2024</t>
  </si>
  <si>
    <t>8th Jul 24</t>
  </si>
  <si>
    <t>13/07/2024 TO 12/11/2024</t>
  </si>
  <si>
    <t>13th Nov 24</t>
  </si>
  <si>
    <t>13/11/2024 TO 12/03/2025</t>
  </si>
  <si>
    <t>10th Mar 25</t>
  </si>
  <si>
    <t>13/03/2025 TO 12/07/2025</t>
  </si>
  <si>
    <t>1st July 25</t>
  </si>
  <si>
    <t>13/07/2025 TO 12/11/2025</t>
  </si>
  <si>
    <t>7th Nov 25</t>
  </si>
  <si>
    <t>13/11/2025 TO 12/03/2026</t>
  </si>
  <si>
    <t>3rd march 26</t>
  </si>
  <si>
    <t>Flash Electronics (India) Pvt Ltd</t>
  </si>
  <si>
    <t>Chakan - Pune</t>
  </si>
  <si>
    <t xml:space="preserve">Jan </t>
  </si>
  <si>
    <t>01/02/2025 to 31/05/2025</t>
  </si>
  <si>
    <t>22nd May 25</t>
  </si>
  <si>
    <t>01/06/2025 to 30/09/2025</t>
  </si>
  <si>
    <t>29th Sep 25</t>
  </si>
  <si>
    <t>01/10/2025 to 31/01/2026</t>
  </si>
  <si>
    <t>12th Jan 26</t>
  </si>
  <si>
    <t>Bharat Electronics Ltd - EW &amp; A</t>
  </si>
  <si>
    <t>Bengaluru</t>
  </si>
  <si>
    <t>BEPO/H1/4800073181</t>
  </si>
  <si>
    <t>19/05/2023 to 18/08/2023</t>
  </si>
  <si>
    <t>8th Aug 23</t>
  </si>
  <si>
    <t>19/08/2023 to 18/11/2023</t>
  </si>
  <si>
    <t>6th Nov 23</t>
  </si>
  <si>
    <t>19/11/2023 to 18/02/2024</t>
  </si>
  <si>
    <t>2nd Feb 24</t>
  </si>
  <si>
    <t>19/02/2024 to 18/05/2024</t>
  </si>
  <si>
    <t>11th May 24</t>
  </si>
  <si>
    <t>Gajendra</t>
  </si>
  <si>
    <t>South</t>
  </si>
  <si>
    <t>Unlimited</t>
  </si>
  <si>
    <t>19/05/2024 to 18/08/2024</t>
  </si>
  <si>
    <t>24th Aug 24</t>
  </si>
  <si>
    <t>19/08/2024 to 18/11/2024</t>
  </si>
  <si>
    <t>6th Nov 24</t>
  </si>
  <si>
    <t>19/11/2024 to 18/02/2025</t>
  </si>
  <si>
    <t>8th Feb 25</t>
  </si>
  <si>
    <t>19/02/2025 to 18/05/2025</t>
  </si>
  <si>
    <t>30th April 25</t>
  </si>
  <si>
    <t>19/05/2025 to 18/08/2025</t>
  </si>
  <si>
    <t>9th Aug 25</t>
  </si>
  <si>
    <t>19/08/2025 to 18/11/2025</t>
  </si>
  <si>
    <t>28th Oct 25</t>
  </si>
  <si>
    <t>19/11/2025 to 18/02/2026</t>
  </si>
  <si>
    <t>24th Jan 26</t>
  </si>
  <si>
    <t>19/02/2026 to 18/05/2026</t>
  </si>
  <si>
    <t>6th May 26</t>
  </si>
  <si>
    <t>Koraput</t>
  </si>
  <si>
    <t>KPT/SNC/21SNCAP-409/250</t>
  </si>
  <si>
    <t>01/06/2023 to 30/11/2023</t>
  </si>
  <si>
    <t>8th Jun 23</t>
  </si>
  <si>
    <t>01/12/2023 to 31/05/2024</t>
  </si>
  <si>
    <t>31st Jan 24</t>
  </si>
  <si>
    <t>01/06/2024 to 30/11/2024</t>
  </si>
  <si>
    <t>27th Sep 24</t>
  </si>
  <si>
    <t>01/12/2024 to 31/05/2025</t>
  </si>
  <si>
    <t>11th April 25</t>
  </si>
  <si>
    <t>01/06/2025 to 30/11/2025</t>
  </si>
  <si>
    <t>26th Sep 25</t>
  </si>
  <si>
    <t>01/12/2025 to 31/05/2026</t>
  </si>
  <si>
    <t>Pankaj</t>
  </si>
  <si>
    <t>East</t>
  </si>
  <si>
    <t>Turbo Energy Pvt Ltd</t>
  </si>
  <si>
    <t>Vadodara</t>
  </si>
  <si>
    <t>19/06/2023 to 18/10/2023</t>
  </si>
  <si>
    <t>3rd Jul 23</t>
  </si>
  <si>
    <t>19/10/2023 to 18/02/2024</t>
  </si>
  <si>
    <t>8th Nov 23</t>
  </si>
  <si>
    <t>19/02/2024 to 18/06/2024</t>
  </si>
  <si>
    <t>Yogesh/Minesh</t>
  </si>
  <si>
    <t>19/06/2024 to 18/10/2024</t>
  </si>
  <si>
    <t>2nd Jul 24</t>
  </si>
  <si>
    <t>19/10/2024 to 18/02/2025</t>
  </si>
  <si>
    <t>7TH Nov 24</t>
  </si>
  <si>
    <t>19/02/2025 to 18/06/2025</t>
  </si>
  <si>
    <t>19th Mar 25</t>
  </si>
  <si>
    <t>19/06/2025 to 18/10/2025</t>
  </si>
  <si>
    <t>12th July 25</t>
  </si>
  <si>
    <t>19/10/2025 to 18/02/2026</t>
  </si>
  <si>
    <t>3rd Dec 25</t>
  </si>
  <si>
    <t>19/02/2026 to 18/06/2026</t>
  </si>
  <si>
    <t>16th April 26</t>
  </si>
  <si>
    <t>ITC Ltd</t>
  </si>
  <si>
    <t>Pune</t>
  </si>
  <si>
    <t>01/07/2023 to 30/09/2023</t>
  </si>
  <si>
    <t>8th Sep 23</t>
  </si>
  <si>
    <t>01/10/2023 TO 31/12/2023</t>
  </si>
  <si>
    <t>10th Jan 24</t>
  </si>
  <si>
    <t>01/01/2024 TO 31/03/2024</t>
  </si>
  <si>
    <t>29TH Mar 24</t>
  </si>
  <si>
    <t>01/04/2024 TO 30/06/2024</t>
  </si>
  <si>
    <t>14th Jun 24</t>
  </si>
  <si>
    <t>01/07/2024 to 30/09/2024</t>
  </si>
  <si>
    <t>4th Sep 24</t>
  </si>
  <si>
    <t>01/10/2024 TO 31/12/2024</t>
  </si>
  <si>
    <t>18th Jan 25</t>
  </si>
  <si>
    <t>01/01/2025 TO 31/03/2025</t>
  </si>
  <si>
    <t>24th Mar 25</t>
  </si>
  <si>
    <t>01/04/2025 TO 30/06/2025</t>
  </si>
  <si>
    <t>3rd July 25</t>
  </si>
  <si>
    <t>01/07/2025 to 30/09/2025</t>
  </si>
  <si>
    <t>23rd Sep 25</t>
  </si>
  <si>
    <t>01/10/2025 TO 31/12/2025</t>
  </si>
  <si>
    <t>3rd Jan 26</t>
  </si>
  <si>
    <t>01/01/2026 TO 31/03/2026</t>
  </si>
  <si>
    <t>12th Mar 26</t>
  </si>
  <si>
    <t>01/04/2026 TO 30/06/2026</t>
  </si>
  <si>
    <t>Allison Transmission India Pvt Ltd</t>
  </si>
  <si>
    <t>Chennai</t>
  </si>
  <si>
    <t>0000330454</t>
  </si>
  <si>
    <t>01/07/2023 to 31/10/2023</t>
  </si>
  <si>
    <t>01/11/2023 to 28/02/2024</t>
  </si>
  <si>
    <t>11th Mar 24</t>
  </si>
  <si>
    <t>01/03/2024 to 30/06/2024</t>
  </si>
  <si>
    <t>9TH May 24</t>
  </si>
  <si>
    <t>Sasikumar</t>
  </si>
  <si>
    <t>01/07/2024 to 31/10/2024</t>
  </si>
  <si>
    <t>29th Oct 24</t>
  </si>
  <si>
    <t>01/11/2024 to 28/02/2025</t>
  </si>
  <si>
    <t>14th Feb 25</t>
  </si>
  <si>
    <t>01/03/2025 to 30/06/2025</t>
  </si>
  <si>
    <t>17th June 25</t>
  </si>
  <si>
    <t>01/07/2025 to 31/10/2025</t>
  </si>
  <si>
    <t>15th Oct 25</t>
  </si>
  <si>
    <t>01/11/2025 to 28/02/2026</t>
  </si>
  <si>
    <t>11th Feb 26</t>
  </si>
  <si>
    <t>01/03/2026 to 30/06/2026</t>
  </si>
  <si>
    <t>Bharat Electronics Ltd</t>
  </si>
  <si>
    <t>Panchkula</t>
  </si>
  <si>
    <t>BEPO/PK2/4800073882</t>
  </si>
  <si>
    <t>04/10/2023 TO 03/01/2024</t>
  </si>
  <si>
    <t>26th Oct 23</t>
  </si>
  <si>
    <t>04/01/2024 TO 03/04/2024</t>
  </si>
  <si>
    <t>23rd Jan 24</t>
  </si>
  <si>
    <t>04/04/2024 TO 03/07/2024</t>
  </si>
  <si>
    <t>10th May 24</t>
  </si>
  <si>
    <t>04/07/2024 TO 03/10/2024</t>
  </si>
  <si>
    <t>9th Aug 24</t>
  </si>
  <si>
    <t>Vinay / Nitin</t>
  </si>
  <si>
    <t>North</t>
  </si>
  <si>
    <t>04/10/2024 TO 03/01/2025</t>
  </si>
  <si>
    <t>4th Dec 24</t>
  </si>
  <si>
    <t>04/01/2025 TO 03/04/2025</t>
  </si>
  <si>
    <t>4th Mar 25</t>
  </si>
  <si>
    <t>04/04/2025 TO 03/07/2025</t>
  </si>
  <si>
    <t>4th July 25</t>
  </si>
  <si>
    <t>04/07/2025 TO 03/10/2025</t>
  </si>
  <si>
    <t xml:space="preserve">BEPO/H1/4800069354 </t>
  </si>
  <si>
    <t>01/10/2023 to 31/12/2023</t>
  </si>
  <si>
    <t>19th Dec 23</t>
  </si>
  <si>
    <t>8th Mar 24</t>
  </si>
  <si>
    <t>3rd Jun 24</t>
  </si>
  <si>
    <t>01/07/2024 TO 30/09/2024</t>
  </si>
  <si>
    <t>11th Sep 24</t>
  </si>
  <si>
    <t>01/10/2024 to 31/12/2024</t>
  </si>
  <si>
    <t>10th Dec 24</t>
  </si>
  <si>
    <t>11th Mar 25</t>
  </si>
  <si>
    <t>6th June 25</t>
  </si>
  <si>
    <t>01/07/2025 TO 30/09/2025</t>
  </si>
  <si>
    <t>22nd Sep 25</t>
  </si>
  <si>
    <t>01/10/2025 to 31/12/2025</t>
  </si>
  <si>
    <t>4th Nov 25</t>
  </si>
  <si>
    <t>2nd Mar 26</t>
  </si>
  <si>
    <t>01/07/2026 TO 30/09/2026</t>
  </si>
  <si>
    <t>TaeguTec India P Ltd</t>
  </si>
  <si>
    <t>01/12/2023 TO 28/02/2024</t>
  </si>
  <si>
    <t>8th Feb 24</t>
  </si>
  <si>
    <t>01/03/2024 TO 31/05/2024</t>
  </si>
  <si>
    <t>01/06/2024 TO 31/08/2024</t>
  </si>
  <si>
    <t>22nd Aug 24</t>
  </si>
  <si>
    <t>01/09/2024 TO 30/11/2024</t>
  </si>
  <si>
    <t>14th Nov 24</t>
  </si>
  <si>
    <t>01/12/2024 TO 28/02/2025</t>
  </si>
  <si>
    <t>24th Feb 25</t>
  </si>
  <si>
    <t>01/03/2025 TO 31/05/2025</t>
  </si>
  <si>
    <t>24th May 25</t>
  </si>
  <si>
    <t>01/06/2025 TO 31/08/2025</t>
  </si>
  <si>
    <t>2nd August 25</t>
  </si>
  <si>
    <t>01/09/2025 TO 30/11/2025</t>
  </si>
  <si>
    <t>31st Oct 25</t>
  </si>
  <si>
    <t>01/12/2025 TO 28/02/2026</t>
  </si>
  <si>
    <t>9th Feb 26</t>
  </si>
  <si>
    <t>01/03/2026 TO 31/05/2026</t>
  </si>
  <si>
    <t>8th May 26</t>
  </si>
  <si>
    <t>01/06/2026 TO 31/08/2026</t>
  </si>
  <si>
    <t>01/09/2026 TO 30/11/2026</t>
  </si>
  <si>
    <t>Bharat Electronics Ltd - MS1</t>
  </si>
  <si>
    <t>BEPO/MS1/4800077496</t>
  </si>
  <si>
    <t>01/02/2024 to 30/04/2024</t>
  </si>
  <si>
    <t>19th Apr 24</t>
  </si>
  <si>
    <t>01/05/2024 to 31/07/2024</t>
  </si>
  <si>
    <t>12th Jul 24</t>
  </si>
  <si>
    <t>01/08/2024 to 31/10/2024</t>
  </si>
  <si>
    <t>23rd Oct 24</t>
  </si>
  <si>
    <t>01/11/2024 to 31/01/2025</t>
  </si>
  <si>
    <t>13th Jan 25</t>
  </si>
  <si>
    <t>01/02/2025 to 30/04/2025</t>
  </si>
  <si>
    <t>25th April 25</t>
  </si>
  <si>
    <t>01/05/2025 to 31/07/2025</t>
  </si>
  <si>
    <t>01/08/2025 to 31/10/2025</t>
  </si>
  <si>
    <t xml:space="preserve">8th Oct 25 </t>
  </si>
  <si>
    <t>01/11/2025 to 31/01/2026</t>
  </si>
  <si>
    <t>27th Jan 26</t>
  </si>
  <si>
    <t>Laboratory for electro optics system</t>
  </si>
  <si>
    <t>LESS 2023P001510101/LO</t>
  </si>
  <si>
    <t>30/11/2023 to 29/02/2024</t>
  </si>
  <si>
    <t>15th Feb 24</t>
  </si>
  <si>
    <t>01/03/2024 to 29/05/2024</t>
  </si>
  <si>
    <t>15th May 24</t>
  </si>
  <si>
    <t>30/05/2024 to 29/08/2024</t>
  </si>
  <si>
    <t>21st Aug 24</t>
  </si>
  <si>
    <t>30/08/2024 to 29/11/2024</t>
  </si>
  <si>
    <t>21st Nov 24</t>
  </si>
  <si>
    <t>Pradeep</t>
  </si>
  <si>
    <t>30/11/2024 to 28/02/2025</t>
  </si>
  <si>
    <t>6th Feb 25</t>
  </si>
  <si>
    <t>01/03/2025 to 29/05/2025</t>
  </si>
  <si>
    <t>8th May 2025</t>
  </si>
  <si>
    <t>30/05/2025 to 29/08/2025</t>
  </si>
  <si>
    <t>12th Aug 25</t>
  </si>
  <si>
    <t>31/08/2025 to 29/11/2025</t>
  </si>
  <si>
    <t>19th Nov 25</t>
  </si>
  <si>
    <t>30/11/2025 to 28/02/2026</t>
  </si>
  <si>
    <t>5th Feb 26</t>
  </si>
  <si>
    <t>01/03/2026 to 29/05/2026</t>
  </si>
  <si>
    <t>30/05/2026 to 29/08/2026</t>
  </si>
  <si>
    <t>30/08/2026 to 29/11/2026</t>
  </si>
  <si>
    <t>Pfizer Healthcare India Pvt Ltd</t>
  </si>
  <si>
    <t>Vizag</t>
  </si>
  <si>
    <t xml:space="preserve">9500567633/5205 </t>
  </si>
  <si>
    <t>01/03/2024 TO 30/06/2024</t>
  </si>
  <si>
    <t>3rd May 24</t>
  </si>
  <si>
    <t>01/07/2024 TO 31/10/2024</t>
  </si>
  <si>
    <t>01/11/2024 TO 28/02/2025</t>
  </si>
  <si>
    <t>12th Feb 25</t>
  </si>
  <si>
    <t>01/03/2025 TO 30/06/2025</t>
  </si>
  <si>
    <t>18th June 25</t>
  </si>
  <si>
    <t>01/07/2025 TO 31/10/2025</t>
  </si>
  <si>
    <t>16th oct 25</t>
  </si>
  <si>
    <t>01/11/2025 TO 28/02/2026</t>
  </si>
  <si>
    <t>01/06/2023 to 30/09/2023</t>
  </si>
  <si>
    <t>10th Jul 23</t>
  </si>
  <si>
    <t>01/10/2023 to 31/01/2024</t>
  </si>
  <si>
    <t>27th Dec 23</t>
  </si>
  <si>
    <t>01/02/2024 TO 31/05/2024</t>
  </si>
  <si>
    <t>14th Mar 24</t>
  </si>
  <si>
    <t>01/06/2024 to 30/09/2024</t>
  </si>
  <si>
    <t>27th Aug 24</t>
  </si>
  <si>
    <t>01/10/2024 to 31/01/2025</t>
  </si>
  <si>
    <t>1st Feb 25</t>
  </si>
  <si>
    <t>01/02/2025 TO 31/05/2025</t>
  </si>
  <si>
    <t>23rd May 25</t>
  </si>
  <si>
    <t>10th Jan 26</t>
  </si>
  <si>
    <t>01/02/2026 TO 31/05/2026</t>
  </si>
  <si>
    <t>Titan Engineering &amp; Automation Ltd</t>
  </si>
  <si>
    <t>Hosur</t>
  </si>
  <si>
    <t>01/05/2024 to 31/10/2024</t>
  </si>
  <si>
    <t>15th Oct 24</t>
  </si>
  <si>
    <t>01/11/2024 to 30/04/2025</t>
  </si>
  <si>
    <t>24th Apr 25</t>
  </si>
  <si>
    <t>01/05/2025 to 31/10/2025</t>
  </si>
  <si>
    <t>4th Oct 25</t>
  </si>
  <si>
    <t>01/11/2025 to 30/04/2026</t>
  </si>
  <si>
    <t>7th April 26</t>
  </si>
  <si>
    <t>After PM Visit</t>
  </si>
  <si>
    <t>Alfa Laval India Pvt Ltd - HSS</t>
  </si>
  <si>
    <t>01/01/2024 to 30/04/2024</t>
  </si>
  <si>
    <t>28th May 24</t>
  </si>
  <si>
    <t>01/05/2024 to 31/08/2024</t>
  </si>
  <si>
    <t>6th Aug 24</t>
  </si>
  <si>
    <t>01/09/2024 to 31/12/2024</t>
  </si>
  <si>
    <t>24th Dec 24</t>
  </si>
  <si>
    <t>Afer PM Visit</t>
  </si>
  <si>
    <t>01/01/2025 to 30/04/2025</t>
  </si>
  <si>
    <t>21st April 25</t>
  </si>
  <si>
    <t>01/05/2025 to 31/08/2025</t>
  </si>
  <si>
    <t>21st Aug 25</t>
  </si>
  <si>
    <t>01/09/2025 to 31/12/2025</t>
  </si>
  <si>
    <t>16th Dec 25</t>
  </si>
  <si>
    <t>01/01/2026 to 30/04/2026</t>
  </si>
  <si>
    <t>01/05/2026 to 31/08/2026</t>
  </si>
  <si>
    <t>01/09/2026 to 31/12/2026</t>
  </si>
  <si>
    <t>Saharanpur</t>
  </si>
  <si>
    <t>01/04/2024 to 31/07/2024</t>
  </si>
  <si>
    <t>29TH Jun 24</t>
  </si>
  <si>
    <t>01/08/2024 TO 30/11/2024</t>
  </si>
  <si>
    <t>01/12/2024 to 31/03/2025</t>
  </si>
  <si>
    <t>18th Feb 25</t>
  </si>
  <si>
    <t>Vinay/Nitin</t>
  </si>
  <si>
    <t>01/04/2025 to 31/07/2025</t>
  </si>
  <si>
    <t>16th june 25</t>
  </si>
  <si>
    <t>01/08/2025 TO 30/11/2025</t>
  </si>
  <si>
    <t>29th Nov 25</t>
  </si>
  <si>
    <t>01/12/2025 to 31/03/2026</t>
  </si>
  <si>
    <t>Afer PM Visit, CHECK WITH MANU BEFORE INVOICING</t>
  </si>
  <si>
    <t>Bharat Electronics Limited</t>
  </si>
  <si>
    <t>Kotdwara</t>
  </si>
  <si>
    <t>BEPO/KT2/4800080198</t>
  </si>
  <si>
    <t>30/05/2024 to 29/11/2024</t>
  </si>
  <si>
    <t>31st May 24</t>
  </si>
  <si>
    <t>30/11/2024 to 29/05/2025</t>
  </si>
  <si>
    <t>11th Dec 24</t>
  </si>
  <si>
    <t>30/05/2025 to 29/11/2025</t>
  </si>
  <si>
    <t>28th June 25</t>
  </si>
  <si>
    <t>30/11/2025 to 29/05/2026</t>
  </si>
  <si>
    <t>16th Mar 26</t>
  </si>
  <si>
    <t>Tata Motors Limited- Commercial</t>
  </si>
  <si>
    <t>Pimpri</t>
  </si>
  <si>
    <t>6th Jul 24</t>
  </si>
  <si>
    <t>23rd  Oct 24</t>
  </si>
  <si>
    <t>12th Mar 25</t>
  </si>
  <si>
    <t>19th July 25</t>
  </si>
  <si>
    <t>14th Mar 26</t>
  </si>
  <si>
    <t>Hindustan Aeronautics Ltd - AD</t>
  </si>
  <si>
    <t>MI044-313</t>
  </si>
  <si>
    <t>8th Oct 24</t>
  </si>
  <si>
    <t>5th June 25</t>
  </si>
  <si>
    <t>After PM Visit, completion of PM Period</t>
  </si>
  <si>
    <t>25th Feb 26</t>
  </si>
  <si>
    <t>Innomotics India Private Limited</t>
  </si>
  <si>
    <t>Mumbai</t>
  </si>
  <si>
    <t>12th Sep 24</t>
  </si>
  <si>
    <t>01/01/2025 to 31/03/2025</t>
  </si>
  <si>
    <t>01/04/2025 to 30/06/2025</t>
  </si>
  <si>
    <t>16th June 25</t>
  </si>
  <si>
    <t>Yogesh/Rahul</t>
  </si>
  <si>
    <t>17th Sep 25</t>
  </si>
  <si>
    <t>11th Dec 25</t>
  </si>
  <si>
    <t>01/01/2026 to 31/03/2026</t>
  </si>
  <si>
    <t>01/04/2026 to 30/06/2026</t>
  </si>
  <si>
    <t>Kolkata</t>
  </si>
  <si>
    <t>13th Sep 24</t>
  </si>
  <si>
    <t>2nd Feb 25</t>
  </si>
  <si>
    <t>23rd June 25</t>
  </si>
  <si>
    <t>1st Nov 25</t>
  </si>
  <si>
    <t>6th Feb 26</t>
  </si>
  <si>
    <t>01/02/2026 to 31/05/2026</t>
  </si>
  <si>
    <t>After PM Visit, Check with Manu before invoicing for quantity and amount</t>
  </si>
  <si>
    <t>01/06/2026 to 30/09/2026</t>
  </si>
  <si>
    <t>01/10/2026 to 31/01/2027</t>
  </si>
  <si>
    <t>01/02/2027 to 31/05/2027</t>
  </si>
  <si>
    <t>Trelleborg India Pvt.Ltd</t>
  </si>
  <si>
    <t>TMP240028</t>
  </si>
  <si>
    <t>01/10/2024 TO 31/01/2025</t>
  </si>
  <si>
    <t>4th Jan 2025</t>
  </si>
  <si>
    <t>3rd May 25</t>
  </si>
  <si>
    <t>01/06/2025 TO 30/09/2025</t>
  </si>
  <si>
    <t>25th Aug 25</t>
  </si>
  <si>
    <t>01/10/2025 TO 31/01/2026</t>
  </si>
  <si>
    <t>7th Jan 26</t>
  </si>
  <si>
    <t>01/06/2026 TO 30/09/2026</t>
  </si>
  <si>
    <t>Danfoss Power Solutions India Pvt Ltd</t>
  </si>
  <si>
    <t>01/08/2024 to 31/01/2025</t>
  </si>
  <si>
    <t>29th Jan 25</t>
  </si>
  <si>
    <t>01/02/2025 to 31/07/2025</t>
  </si>
  <si>
    <t>7th Aug 25</t>
  </si>
  <si>
    <t>01/08/2025 to 31/01/2026</t>
  </si>
  <si>
    <t>14th jan 26</t>
  </si>
  <si>
    <t>01/02/2026 to 31/07/2026</t>
  </si>
  <si>
    <t>01/08/2026 to 31/01/2027</t>
  </si>
  <si>
    <t>01/02/2027 to 31/07/2027</t>
  </si>
  <si>
    <t>6th Aug 25</t>
  </si>
  <si>
    <t>13th Jan 26</t>
  </si>
  <si>
    <t>8th Aug 25</t>
  </si>
  <si>
    <t>14th Jan 26</t>
  </si>
  <si>
    <t>Material Organisation</t>
  </si>
  <si>
    <t>Karwar</t>
  </si>
  <si>
    <t>GEMC-511687759324084</t>
  </si>
  <si>
    <t>Full Care</t>
  </si>
  <si>
    <t>yes</t>
  </si>
  <si>
    <t>15th Jan 25</t>
  </si>
  <si>
    <t>10th July 25</t>
  </si>
  <si>
    <t>17th Oct 25</t>
  </si>
  <si>
    <t>23rd Jan 26</t>
  </si>
  <si>
    <t>01/02/2026 to 30/04/2026</t>
  </si>
  <si>
    <t>22nd April 26</t>
  </si>
  <si>
    <t>01/05/2026 to 31/07/2026</t>
  </si>
  <si>
    <t>01/08/2026 to 31/10/2026</t>
  </si>
  <si>
    <t>Bharat Electronics Limited - MMF</t>
  </si>
  <si>
    <t>Bangalore</t>
  </si>
  <si>
    <t>BEPO/EP/4800082450</t>
  </si>
  <si>
    <t>11th Jan 25</t>
  </si>
  <si>
    <t>1st April 25</t>
  </si>
  <si>
    <t>16th July 25</t>
  </si>
  <si>
    <t>7th Oct 25</t>
  </si>
  <si>
    <t>After PM Visit &amp; completion of the PM Period</t>
  </si>
  <si>
    <t>17th Jan 26</t>
  </si>
  <si>
    <t>9th April 26</t>
  </si>
  <si>
    <t>01/11/2026 to 31/01/2027</t>
  </si>
  <si>
    <t>01/02/2027 to 30/04/2027</t>
  </si>
  <si>
    <t>01/05/2027 to 31/07/2027</t>
  </si>
  <si>
    <t>01/08/2027 to 31/10/2027</t>
  </si>
  <si>
    <t>Sansera Engineering Ltd Plant - 5</t>
  </si>
  <si>
    <t>01/10/2024 to 31/03/2025</t>
  </si>
  <si>
    <t>7th Jan 2025</t>
  </si>
  <si>
    <t>01/04/2025 to 30/09/2025</t>
  </si>
  <si>
    <t>25th Sep 25</t>
  </si>
  <si>
    <t>01/10/2025 to 31/03/2026</t>
  </si>
  <si>
    <t>28th Mar 26</t>
  </si>
  <si>
    <t>01/04/2026 to 30/09/2026</t>
  </si>
  <si>
    <t>Bharat petrolium corporation Ltd.</t>
  </si>
  <si>
    <t>Dec--25</t>
  </si>
  <si>
    <t>16/12/2024 to 15/03/2025</t>
  </si>
  <si>
    <t>24th Jan 25</t>
  </si>
  <si>
    <t>16/03/2025 to 15/06/2025</t>
  </si>
  <si>
    <t>29th May 25</t>
  </si>
  <si>
    <t>16/06/2025 to 15/09/2025</t>
  </si>
  <si>
    <t>26th Aug 25</t>
  </si>
  <si>
    <t>16/09/2025 to 15/12/2025</t>
  </si>
  <si>
    <t xml:space="preserve">6th Dec 25 </t>
  </si>
  <si>
    <t>Ashraf</t>
  </si>
  <si>
    <t>NEED TO MENTION INVOICE QNTY AS 0 , AFTER INVOICING</t>
  </si>
  <si>
    <t>Nayara Energy Ltd</t>
  </si>
  <si>
    <t>Dwarka</t>
  </si>
  <si>
    <t>01/01/2025 to 30/06/2025</t>
  </si>
  <si>
    <t>01/07/2025 to 31/12/2025</t>
  </si>
  <si>
    <t>24th Dec 25</t>
  </si>
  <si>
    <t>Minesh</t>
  </si>
  <si>
    <t xml:space="preserve">01/01/2026 to 30/06/2026 </t>
  </si>
  <si>
    <t>01/07/2025 to 31/12/2026</t>
  </si>
  <si>
    <t>01/01/2025 to 30/06/2027</t>
  </si>
  <si>
    <t>01/07/2025 to 31/12/2027</t>
  </si>
  <si>
    <t>ACE DESIGNER'S LTD</t>
  </si>
  <si>
    <t>7th Mar 25</t>
  </si>
  <si>
    <t>5th Sep 25</t>
  </si>
  <si>
    <t>2nd Dec 25</t>
  </si>
  <si>
    <t>UL</t>
  </si>
  <si>
    <t>3rd Mar 26</t>
  </si>
  <si>
    <t>01/07/2026 to 30/09/2026</t>
  </si>
  <si>
    <t>01/10/2026 to 31/12/2026</t>
  </si>
  <si>
    <t>01/01/2027 to 31/03/2027</t>
  </si>
  <si>
    <t>01/04/2027 to 30/06/2027</t>
  </si>
  <si>
    <t>01/07/2027 to 30/09/2027</t>
  </si>
  <si>
    <t>01/10/2027 to 31/12/2027</t>
  </si>
  <si>
    <t>Bosch Chassis Systems India Ltd</t>
  </si>
  <si>
    <t>0085375744</t>
  </si>
  <si>
    <t>13th May 25</t>
  </si>
  <si>
    <t>13th Aug 25</t>
  </si>
  <si>
    <t>25th Dec 25</t>
  </si>
  <si>
    <t>Yogesh</t>
  </si>
  <si>
    <t>Honda Motorcycle and Scooter India Pvt. Ltd</t>
  </si>
  <si>
    <t>Narsapura</t>
  </si>
  <si>
    <t>NSPR/6000079543</t>
  </si>
  <si>
    <t>10/01/2025 to 09/05/2025</t>
  </si>
  <si>
    <t>29th April 25</t>
  </si>
  <si>
    <t>10/05/2025 to 09/09/2025</t>
  </si>
  <si>
    <t>29th Aug 25,Inv generated</t>
  </si>
  <si>
    <t>10/09/2025 to 09/01/2026</t>
  </si>
  <si>
    <t>Inv generated,23rd Dec 25</t>
  </si>
  <si>
    <t>50% at the start of AMC Period, 50% in Jun 25 - Mention Qnty as 0.5</t>
  </si>
  <si>
    <t>Grundfos Pumps India Pvt Ltd</t>
  </si>
  <si>
    <t>Dantali</t>
  </si>
  <si>
    <t>Renewed</t>
  </si>
  <si>
    <t>8th Mar 25</t>
  </si>
  <si>
    <t>7th June 25, 1 machine pending AMC completed on 28th June 25</t>
  </si>
  <si>
    <t xml:space="preserve">01/07/2025 to 30/09/2025 </t>
  </si>
  <si>
    <t>24th Sep 25, 1 Mahcine pending AMC completed on 29th Sep 25</t>
  </si>
  <si>
    <t>6th Dec 25, 1 machine Dismantled and cx has  shipped to their chennai plant</t>
  </si>
  <si>
    <t>28th Feb 26</t>
  </si>
  <si>
    <t>Schaeffler India Limited</t>
  </si>
  <si>
    <t>13/01/2025 to 12/01/2026</t>
  </si>
  <si>
    <t>15/01/2025 to 14/01/2026</t>
  </si>
  <si>
    <t xml:space="preserve">Hindustan Aeronautics LTD </t>
  </si>
  <si>
    <t>13/01/2025 to 12/04/2025</t>
  </si>
  <si>
    <t>13/04/2025 to 12/07/2025</t>
  </si>
  <si>
    <t>13/07/2025 to 12/10/2025</t>
  </si>
  <si>
    <t>13/10/2025 to 12/01/2026</t>
  </si>
  <si>
    <t>Kochi</t>
  </si>
  <si>
    <t>18th Mar 25</t>
  </si>
  <si>
    <t>13th Oct 25</t>
  </si>
  <si>
    <t>Porabandhar</t>
  </si>
  <si>
    <t>3rd Oct 25, actually completed on 5th Nov 25</t>
  </si>
  <si>
    <t>Bhubaneshwar</t>
  </si>
  <si>
    <t>21st Mar 25</t>
  </si>
  <si>
    <t>6th nov 25</t>
  </si>
  <si>
    <t>12th jan 26</t>
  </si>
  <si>
    <t>Sansera Engineering Ltd</t>
  </si>
  <si>
    <t>Manesar</t>
  </si>
  <si>
    <t>13/01/2025 to 12/05/2025</t>
  </si>
  <si>
    <t>20th Feb 25</t>
  </si>
  <si>
    <t>13/05/2025 to 12/09/2025</t>
  </si>
  <si>
    <t>4th June 25</t>
  </si>
  <si>
    <t>13/09/2025 to 12/01/2026</t>
  </si>
  <si>
    <t>Nitin</t>
  </si>
  <si>
    <t>Coesia India Pvt.Ltd.</t>
  </si>
  <si>
    <t>CGT250008</t>
  </si>
  <si>
    <t xml:space="preserve">01/01/2025 to 30/04/2025 </t>
  </si>
  <si>
    <t>20th May 25</t>
  </si>
  <si>
    <t>23rd April 26</t>
  </si>
  <si>
    <t>Reitz India Pvt Limited</t>
  </si>
  <si>
    <t>Hyderabad</t>
  </si>
  <si>
    <t>24/25/P/S/0118</t>
  </si>
  <si>
    <t>31/01/2025 to 30/04/2025</t>
  </si>
  <si>
    <t>22nd April 25</t>
  </si>
  <si>
    <t>22nd July 25</t>
  </si>
  <si>
    <t>8th Oct 35</t>
  </si>
  <si>
    <t>01/11/2025 to 30/01/2026</t>
  </si>
  <si>
    <t>Lohia Corp Limited</t>
  </si>
  <si>
    <t>Kanpur</t>
  </si>
  <si>
    <t xml:space="preserve">01/02/2025 to 31/07/2025 </t>
  </si>
  <si>
    <t>Harman International (I) Pvt Ltd</t>
  </si>
  <si>
    <t>17/02/2025 to 16/06/2025</t>
  </si>
  <si>
    <t>10th June 25</t>
  </si>
  <si>
    <t>17/06/2025 to 16/10/2025</t>
  </si>
  <si>
    <t>17/10/2025 to 16/02/2026</t>
  </si>
  <si>
    <t>29th Jan 26</t>
  </si>
  <si>
    <t>17/02/2026 to 16/06/2026</t>
  </si>
  <si>
    <t>17/06/2026 to 16/10/2026</t>
  </si>
  <si>
    <t>17/10/2025 to 16/02/2027</t>
  </si>
  <si>
    <t>17/02/2027 to 16/06/2027</t>
  </si>
  <si>
    <t>17/06/2027 to 16/10/2027</t>
  </si>
  <si>
    <t>17/10/2025 to 16/02/2028</t>
  </si>
  <si>
    <t>Nilpeter India Pvt ltd</t>
  </si>
  <si>
    <t>Chengalpet</t>
  </si>
  <si>
    <t>27th Sep 25</t>
  </si>
  <si>
    <t>Visteon Electronics India Pvt ltd</t>
  </si>
  <si>
    <t>NCI00IDV</t>
  </si>
  <si>
    <t>31st Mar 25</t>
  </si>
  <si>
    <t>26th Jan 26</t>
  </si>
  <si>
    <t>ITW Engineering Pvt Ltd</t>
  </si>
  <si>
    <t>1st Dec 25</t>
  </si>
  <si>
    <t>Claas India Pvt. Ltd.</t>
  </si>
  <si>
    <t>Morinda</t>
  </si>
  <si>
    <t>10/02/2025 to 09/06/2025</t>
  </si>
  <si>
    <t>10/06/2025 to 09/10/2025</t>
  </si>
  <si>
    <t>10/10/2025 to 09/02/2026</t>
  </si>
  <si>
    <t>make invoice for yanmar , 13th Jan 26</t>
  </si>
  <si>
    <t>Bajaj Auto Ltd</t>
  </si>
  <si>
    <t>Akurdi</t>
  </si>
  <si>
    <t>20th Feb 26</t>
  </si>
  <si>
    <t>Firmenich Aerometics I Pvt.ltd.</t>
  </si>
  <si>
    <t>Baruch - Dahej</t>
  </si>
  <si>
    <t>14/02/2025 to 13/08/2025</t>
  </si>
  <si>
    <t>30th July 25</t>
  </si>
  <si>
    <t>14/08/2025 to 12/02/2026</t>
  </si>
  <si>
    <t>100% after 1st PM Visit</t>
  </si>
  <si>
    <t xml:space="preserve">Mylan Laboratories LTD </t>
  </si>
  <si>
    <t>Pithampur</t>
  </si>
  <si>
    <t>20th Dec 25</t>
  </si>
  <si>
    <t>01/01/2026 to 30/06/2026</t>
  </si>
  <si>
    <t>01/07/2026 to 31/12/2026</t>
  </si>
  <si>
    <t>ABB India Ltd</t>
  </si>
  <si>
    <t>12th April 25</t>
  </si>
  <si>
    <t>18th Aug 25</t>
  </si>
  <si>
    <t>18th Dec 25 ,submit your invoices by the 5th of every month</t>
  </si>
  <si>
    <t>ABB invoice deliverdy address is change , generate properly, submit your invoices by the 5th of every month</t>
  </si>
  <si>
    <t xml:space="preserve">Bosch Ltd </t>
  </si>
  <si>
    <t>0085385903</t>
  </si>
  <si>
    <t xml:space="preserve">Flex care </t>
  </si>
  <si>
    <t>12th Apr 25</t>
  </si>
  <si>
    <t>28th Nov 25</t>
  </si>
  <si>
    <t>Rahul</t>
  </si>
  <si>
    <t>Sinnar - Nashik</t>
  </si>
  <si>
    <t xml:space="preserve">01/01/2025 to 30/06/2025 </t>
  </si>
  <si>
    <t>3rd April 25</t>
  </si>
  <si>
    <t>6th Oct 25</t>
  </si>
  <si>
    <t>01/03/2025 to 31/08/2025</t>
  </si>
  <si>
    <t>01/09/2025 to 28/02/2026</t>
  </si>
  <si>
    <t>30th Jan 26</t>
  </si>
  <si>
    <t>100% payment in 45 days from Invoice date</t>
  </si>
  <si>
    <t>Bhavani Industries India LLP</t>
  </si>
  <si>
    <t>sanand</t>
  </si>
  <si>
    <t>POC/24-25/1763</t>
  </si>
  <si>
    <t>01/04/2025 to 31/03/2026</t>
  </si>
  <si>
    <t>6th Sep 25</t>
  </si>
  <si>
    <t>100% Advacne againt PI</t>
  </si>
  <si>
    <t>Rittal India Pvt Ltd</t>
  </si>
  <si>
    <t>15th Mar 25</t>
  </si>
  <si>
    <t>9th June 25</t>
  </si>
  <si>
    <t>1st Sep 25</t>
  </si>
  <si>
    <t>100% on Completion on work</t>
  </si>
  <si>
    <t>26th Feb 26</t>
  </si>
  <si>
    <t>Bharat Heavy Electricals Ltd.</t>
  </si>
  <si>
    <t>Varanasi</t>
  </si>
  <si>
    <t>GEMC-511687739281076</t>
  </si>
  <si>
    <t>Flex care</t>
  </si>
  <si>
    <t>4th Jan 26</t>
  </si>
  <si>
    <t xml:space="preserve">? </t>
  </si>
  <si>
    <t>01/04/2026 to 31/03/2027</t>
  </si>
  <si>
    <t>Sundaram Fastners P Ltd</t>
  </si>
  <si>
    <t>Pondicherry</t>
  </si>
  <si>
    <t>18th Sept 25</t>
  </si>
  <si>
    <t>7 days from the date of Invoice</t>
  </si>
  <si>
    <t>Qlar Technology India Private Limited</t>
  </si>
  <si>
    <t>7th May 25</t>
  </si>
  <si>
    <t>20th Jan 26</t>
  </si>
  <si>
    <t>Quaterly 30days from the date of Invocie</t>
  </si>
  <si>
    <t>GE India Industrial Pvt.Ltd.</t>
  </si>
  <si>
    <t>1st April 26</t>
  </si>
  <si>
    <t xml:space="preserve">30 days </t>
  </si>
  <si>
    <t xml:space="preserve">Mahindra &amp; Mahindra LTD </t>
  </si>
  <si>
    <t>ARP/3400771773</t>
  </si>
  <si>
    <t>2nd Sept 25</t>
  </si>
  <si>
    <t>5th Mar 25</t>
  </si>
  <si>
    <t>Full payment on completion of Job</t>
  </si>
  <si>
    <t>KSB Ltd</t>
  </si>
  <si>
    <t>Chinchwad Pune</t>
  </si>
  <si>
    <t>01/08/2025 to 30/11/2025</t>
  </si>
  <si>
    <t>19th Mar 26</t>
  </si>
  <si>
    <t>30 days</t>
  </si>
  <si>
    <t>Tata Cummins Pvt Ltd</t>
  </si>
  <si>
    <t>phaltan</t>
  </si>
  <si>
    <t>28th feb 26</t>
  </si>
  <si>
    <t>100% on 40 days from certification</t>
  </si>
  <si>
    <t>Bharat Electronics Ltd- NS1</t>
  </si>
  <si>
    <t>5th Dec 25</t>
  </si>
  <si>
    <t>01/01/2028 to 31/03/2028</t>
  </si>
  <si>
    <t>0085391856</t>
  </si>
  <si>
    <t>3rd June 25</t>
  </si>
  <si>
    <t>25th Oct 25</t>
  </si>
  <si>
    <t>After 1st PM visit 100&amp; Invoice shld be raised</t>
  </si>
  <si>
    <t xml:space="preserve">Hitachi Energy India Ltd </t>
  </si>
  <si>
    <t>Savli, Vadodara</t>
  </si>
  <si>
    <t>01/04/2025 t0 30/09/2025</t>
  </si>
  <si>
    <t>12th  Sep 25</t>
  </si>
  <si>
    <t>25th Feb 26,Check for the Billing address and shipping address,, lasttime Invoice it was changed.</t>
  </si>
  <si>
    <t>30days from the DOI after each PM visit</t>
  </si>
  <si>
    <t>Sandvik Coromant India Pvt Ltd</t>
  </si>
  <si>
    <t xml:space="preserve">3rd Sep 25 </t>
  </si>
  <si>
    <t>27th Dec 25</t>
  </si>
  <si>
    <t>21st April 26</t>
  </si>
  <si>
    <t>45 days after the bill</t>
  </si>
  <si>
    <t>5th  July 25</t>
  </si>
  <si>
    <t>10th nov 25</t>
  </si>
  <si>
    <t>30th March 26</t>
  </si>
  <si>
    <t>Jamshedpur</t>
  </si>
  <si>
    <t>12th Oct 25</t>
  </si>
  <si>
    <t>2nd April 26</t>
  </si>
  <si>
    <t>100% as per PO, Half yearly after PM visit mentioned in mail</t>
  </si>
  <si>
    <t>Inv Generated, 10th July 25</t>
  </si>
  <si>
    <t>5th nov 25</t>
  </si>
  <si>
    <t>2nd Mar 26,Inv raised already</t>
  </si>
  <si>
    <t>50% Immediately and balance after 6 months</t>
  </si>
  <si>
    <t>Maithon Power Limited</t>
  </si>
  <si>
    <t>Dhanbad</t>
  </si>
  <si>
    <t>Full care</t>
  </si>
  <si>
    <t>10/06/2025 to 09/08/2025</t>
  </si>
  <si>
    <t>12th aug 25</t>
  </si>
  <si>
    <t xml:space="preserve">10/08/2025 to 09/10/2025 </t>
  </si>
  <si>
    <t>30th Oct 25</t>
  </si>
  <si>
    <t>10/10/2025 to 09/12/2025</t>
  </si>
  <si>
    <t>18th Dec 25</t>
  </si>
  <si>
    <t>10/12/2025 to 09/02/2026</t>
  </si>
  <si>
    <t>10/02/2026 to 09/04/2026</t>
  </si>
  <si>
    <t>20th April 26</t>
  </si>
  <si>
    <t>10/04/2026 to 09/06/2026</t>
  </si>
  <si>
    <t xml:space="preserve">Check with Manu Before Invoicing </t>
  </si>
  <si>
    <t>Quaterly after visit</t>
  </si>
  <si>
    <t>Trelleborg India Pvt Ltd</t>
  </si>
  <si>
    <t xml:space="preserve">TLA250010 </t>
  </si>
  <si>
    <t>16th Oct 25</t>
  </si>
  <si>
    <t>3rd Feb 26</t>
  </si>
  <si>
    <t>30days from DOI</t>
  </si>
  <si>
    <t xml:space="preserve">TDA250012 </t>
  </si>
  <si>
    <t>12th June 25</t>
  </si>
  <si>
    <t>24th Oct 25</t>
  </si>
  <si>
    <t xml:space="preserve">TDI250051 </t>
  </si>
  <si>
    <t>11th June 25</t>
  </si>
  <si>
    <t>2nd Feb 26</t>
  </si>
  <si>
    <t>Toyota Kirloskar Motor Pvt Ltd</t>
  </si>
  <si>
    <t>10/03/2025 to 09/07/2025</t>
  </si>
  <si>
    <t>10/07/2025 to 09/11/2025</t>
  </si>
  <si>
    <t xml:space="preserve">1st Sep 25 </t>
  </si>
  <si>
    <t>10/11/2025 to 09/03/2026</t>
  </si>
  <si>
    <t>7th Feb 26</t>
  </si>
  <si>
    <t>100% payment after 1st PM visit</t>
  </si>
  <si>
    <t>Titan Company Limited - Watch Division</t>
  </si>
  <si>
    <t>6th April 26</t>
  </si>
  <si>
    <t xml:space="preserve">30days </t>
  </si>
  <si>
    <t xml:space="preserve">01/05/2026 to 31/08/2026 </t>
  </si>
  <si>
    <t>01/01/2027 to 30/04/2027</t>
  </si>
  <si>
    <t>AUTOMOTIVE AXEL PVT LTD</t>
  </si>
  <si>
    <t>Mysore</t>
  </si>
  <si>
    <t>26th April 25</t>
  </si>
  <si>
    <t>18th Oct 25</t>
  </si>
  <si>
    <t>30days</t>
  </si>
  <si>
    <t>HL Klemove India Pvt Ltd</t>
  </si>
  <si>
    <t>16/02/2025 to 15/08/2025</t>
  </si>
  <si>
    <t>16/08/2025 to 15/02/2026</t>
  </si>
  <si>
    <t>8th Jan 26</t>
  </si>
  <si>
    <t>100% from the DOI</t>
  </si>
  <si>
    <t>30th Sep 25</t>
  </si>
  <si>
    <t>16th Feb 26</t>
  </si>
  <si>
    <t xml:space="preserve">GKN Sinter Metals LTD </t>
  </si>
  <si>
    <t>Ahmednagar</t>
  </si>
  <si>
    <t>29th Aug 25</t>
  </si>
  <si>
    <t>21st Nov 25</t>
  </si>
  <si>
    <t>7 days from GR date</t>
  </si>
  <si>
    <t>Tata motors passenger vehicles Limted - Car Division</t>
  </si>
  <si>
    <t>chikhali</t>
  </si>
  <si>
    <t xml:space="preserve">01/04/2025 to 31/07/2025 </t>
  </si>
  <si>
    <t>7th July 25</t>
  </si>
  <si>
    <t>8th Nov 25</t>
  </si>
  <si>
    <t>AP03 - Payment on 45 days from GR based on acceptance</t>
  </si>
  <si>
    <t>J K Sales</t>
  </si>
  <si>
    <t>Mundhawa</t>
  </si>
  <si>
    <t>JK/PO/25-26/0041</t>
  </si>
  <si>
    <t>8th Dec 25</t>
  </si>
  <si>
    <t>Prasad Koch Technik Pvt Ltd</t>
  </si>
  <si>
    <t>Ahmedabad</t>
  </si>
  <si>
    <t xml:space="preserve">MECHANICAL/47 </t>
  </si>
  <si>
    <t>4th dec 25</t>
  </si>
  <si>
    <t>100% Advance</t>
  </si>
  <si>
    <t xml:space="preserve">Bharat Bijlee Ltd </t>
  </si>
  <si>
    <t>16th Sep 25</t>
  </si>
  <si>
    <t>26th mar 26</t>
  </si>
  <si>
    <t>30 days from the DOI</t>
  </si>
  <si>
    <t>Hero Moto Corp Ltd.</t>
  </si>
  <si>
    <t>Rewari - Dharuhera</t>
  </si>
  <si>
    <t>28th July 25</t>
  </si>
  <si>
    <t>100% Advance against invoice</t>
  </si>
  <si>
    <t>Epiroc Mining India Ltd (Atlas)</t>
  </si>
  <si>
    <t>17th Aug 25</t>
  </si>
  <si>
    <t>7th Dec 25</t>
  </si>
  <si>
    <t>4th April 26</t>
  </si>
  <si>
    <t>Skoda Auto Volkswagen India Pvt Ltd</t>
  </si>
  <si>
    <t>18th May 25</t>
  </si>
  <si>
    <t xml:space="preserve">01/05/2025 to 31/08/2025 </t>
  </si>
  <si>
    <t>2nd sept 25</t>
  </si>
  <si>
    <t>11th Dec 25, remaing 4 M/c report Done on 18th Dec 25</t>
  </si>
  <si>
    <t>yogesh</t>
  </si>
  <si>
    <t>Bosch Rexroth India Ltd</t>
  </si>
  <si>
    <t>Bangalore -Kengeri</t>
  </si>
  <si>
    <t>10th Oct 25</t>
  </si>
  <si>
    <t>4th Feb 26</t>
  </si>
  <si>
    <t>100 % After 1st PM visit</t>
  </si>
  <si>
    <t>04/10/2025 to 03/01/2026</t>
  </si>
  <si>
    <t>04/01/2026 to 03/04/2026</t>
  </si>
  <si>
    <t>04/04/2026 to 03/07/2026</t>
  </si>
  <si>
    <t>04/07/2026 to 03/10/2026</t>
  </si>
  <si>
    <t>10th April 26</t>
  </si>
  <si>
    <t>45 days</t>
  </si>
  <si>
    <t>Secure Meters Limited</t>
  </si>
  <si>
    <t>Sanand</t>
  </si>
  <si>
    <t>13th Sept 25</t>
  </si>
  <si>
    <t xml:space="preserve">27th Jan 26Raise Invoice as per the PO, check Qty amt , as per PO qty mentioned as amt  and amt mentioned as Qty check and do  the needfull , Before doing check with Minesh </t>
  </si>
  <si>
    <t>30 days after each PM visit</t>
  </si>
  <si>
    <t>Stabuli Tec Systems India Pt Ltd</t>
  </si>
  <si>
    <t>11th July 25</t>
  </si>
  <si>
    <t>3rd Oct 25</t>
  </si>
  <si>
    <t>4th mar 26</t>
  </si>
  <si>
    <t>Inductotherm India Pvt Ltd.</t>
  </si>
  <si>
    <t xml:space="preserve">PO-2526-002296  </t>
  </si>
  <si>
    <t>14th Aug 25</t>
  </si>
  <si>
    <t>Udaipur</t>
  </si>
  <si>
    <t>Check PO Qty and Amt , check with minesh before generating Invoice, 19th Sep 25</t>
  </si>
  <si>
    <t>Check PO Qty and Amt , check with minesh before generating Invoice, 10th Mar 26</t>
  </si>
  <si>
    <t>Check PO Qty and Amt , check with minesh before generating Invoice, 21st Sep 25</t>
  </si>
  <si>
    <t>Check PO Qty and Amt , check with minesh before generating Invoice,10th Mar 26</t>
  </si>
  <si>
    <t>Aurobindo Pharma Ltd</t>
  </si>
  <si>
    <t>Vishakapatnam</t>
  </si>
  <si>
    <t>13th Sep 25</t>
  </si>
  <si>
    <t>26th Mar 26</t>
  </si>
  <si>
    <t>50%  after 1 st Visit</t>
  </si>
  <si>
    <t>Bosch Automotive Electronics India Pvt Ltd</t>
  </si>
  <si>
    <t>Oragadam</t>
  </si>
  <si>
    <t>0085397065</t>
  </si>
  <si>
    <t>16/04/2025 to 15/10/2025</t>
  </si>
  <si>
    <t>9th Oct 25</t>
  </si>
  <si>
    <t>16/10/2025 to 15/04/2026</t>
  </si>
  <si>
    <t>6th Mar 26</t>
  </si>
  <si>
    <t>75 days</t>
  </si>
  <si>
    <t>JCB India Ltd.</t>
  </si>
  <si>
    <t>Ballabgarh</t>
  </si>
  <si>
    <t xml:space="preserve">01/02/2025 to 31/05/2025 </t>
  </si>
  <si>
    <t>17th Apr 25</t>
  </si>
  <si>
    <t>Vinay</t>
  </si>
  <si>
    <t>15 days</t>
  </si>
  <si>
    <t>Powerstatic Solutions India Pvt Ltd (GE Power Systems India Pvt Ltd)</t>
  </si>
  <si>
    <t xml:space="preserve">7100337783/0  </t>
  </si>
  <si>
    <t xml:space="preserve">01/04/2025 to 30/09/2025 </t>
  </si>
  <si>
    <t>13th Mar 26</t>
  </si>
  <si>
    <t>Truetzschler India Pvt Ltd</t>
  </si>
  <si>
    <t>Ahmadabad</t>
  </si>
  <si>
    <t xml:space="preserve">P2501819 </t>
  </si>
  <si>
    <t>9th July 25</t>
  </si>
  <si>
    <t>5th Mar 26</t>
  </si>
  <si>
    <t>Escorts Kubota Ltd (Formerly Escort Agri Ltd.)</t>
  </si>
  <si>
    <t>Faridabad</t>
  </si>
  <si>
    <t>01/05/2025 o 31/08/2025</t>
  </si>
  <si>
    <t>29th Oct 25</t>
  </si>
  <si>
    <t>50 invoice generated , bal 50% after 3rd PM. Qnty : 0.50</t>
  </si>
  <si>
    <t>Blue Star Limited</t>
  </si>
  <si>
    <t>13th jan 26</t>
  </si>
  <si>
    <t>Neemarana</t>
  </si>
  <si>
    <t>21st May 25</t>
  </si>
  <si>
    <t>11th Oct 25</t>
  </si>
  <si>
    <t>18th Mar 26</t>
  </si>
  <si>
    <t>2 invoices</t>
  </si>
  <si>
    <t>Syndicate Innovations International Ltd</t>
  </si>
  <si>
    <t>Ghaziabad</t>
  </si>
  <si>
    <t>SIIL/PO/2024/ADMIN/012</t>
  </si>
  <si>
    <t>15th April 25</t>
  </si>
  <si>
    <t>?</t>
  </si>
  <si>
    <t>Generate the Invocie once in 4 Months (quadrimester Scedule)</t>
  </si>
  <si>
    <t>Rieter India Pvt Ltd</t>
  </si>
  <si>
    <t>Satara</t>
  </si>
  <si>
    <t>2nd Jan 26</t>
  </si>
  <si>
    <t>NARASAPURA</t>
  </si>
  <si>
    <t xml:space="preserve">NSPR/6000081858  </t>
  </si>
  <si>
    <t>Inv Generated, AMC completed on 23rd Aug 25</t>
  </si>
  <si>
    <t>4th April 26,Inv raised</t>
  </si>
  <si>
    <t>50% at the start of AMC , remaining 50% in the month on Nov 25</t>
  </si>
  <si>
    <t>NSPR/6000081796</t>
  </si>
  <si>
    <t>2nd Aug 25</t>
  </si>
  <si>
    <t>6th Dec 25</t>
  </si>
  <si>
    <t>16th mar 26</t>
  </si>
  <si>
    <t>K.K Wind Solutions India Pvt Ltd (Formerly Vestas Wind Technology India Pvt Ltd)</t>
  </si>
  <si>
    <t>Dabaspet</t>
  </si>
  <si>
    <t xml:space="preserve">KKI00087/2025-26 </t>
  </si>
  <si>
    <t>23/04/2025 to 22/08/2025</t>
  </si>
  <si>
    <t>23/08/2025 to 22/12/2025</t>
  </si>
  <si>
    <t>12th Dec 25</t>
  </si>
  <si>
    <t>23/12/2025 to 22/04/2026</t>
  </si>
  <si>
    <t>11th April 26</t>
  </si>
  <si>
    <t>30 days From DOI</t>
  </si>
  <si>
    <t>Adugodi</t>
  </si>
  <si>
    <t>0085398342</t>
  </si>
  <si>
    <t>4th Sep 25</t>
  </si>
  <si>
    <t>01/02/2025 to 31/05/2026</t>
  </si>
  <si>
    <t>After 1st PM visit 100% generate invoice.</t>
  </si>
  <si>
    <t>Argo-Hytos Pvt Ltd</t>
  </si>
  <si>
    <t>Pollachi</t>
  </si>
  <si>
    <t>BEPO/NP/4800087571</t>
  </si>
  <si>
    <t xml:space="preserve">01/08/2025 to 31/10/2025 </t>
  </si>
  <si>
    <t>01/11/2027 to 31/01/2028</t>
  </si>
  <si>
    <t>01/02/2028 to 30/04/2028</t>
  </si>
  <si>
    <t>Pragati Engineering Belgaum Pvt Ltd</t>
  </si>
  <si>
    <t>Belgaum</t>
  </si>
  <si>
    <t xml:space="preserve">PIRB00020 </t>
  </si>
  <si>
    <t>24th Sep 25</t>
  </si>
  <si>
    <t>11th mar 26</t>
  </si>
  <si>
    <t xml:space="preserve"> Gurgaon</t>
  </si>
  <si>
    <t xml:space="preserve">01/08/2025 to 30/11/2025 </t>
  </si>
  <si>
    <t>12th Sep 25</t>
  </si>
  <si>
    <t>22nd Jan 26</t>
  </si>
  <si>
    <t>50% service invoice after 1st visit. remaining 50% after completion of work</t>
  </si>
  <si>
    <t>Subros Ltd.</t>
  </si>
  <si>
    <t>Noida</t>
  </si>
  <si>
    <t>3000171097/142</t>
  </si>
  <si>
    <t>22nd Aug 25</t>
  </si>
  <si>
    <t>21st Feb 26</t>
  </si>
  <si>
    <t>Rajkot</t>
  </si>
  <si>
    <t xml:space="preserve">POC/25-26/1163 </t>
  </si>
  <si>
    <t>Against PI</t>
  </si>
  <si>
    <t xml:space="preserve">NSPR/6000081949 </t>
  </si>
  <si>
    <t>15/05/2025 to 14/09/2025</t>
  </si>
  <si>
    <t>28th Aug 25</t>
  </si>
  <si>
    <t>15/09/2025 to 14/01/2026</t>
  </si>
  <si>
    <t>10th Dec 25</t>
  </si>
  <si>
    <t>15/01/2026 to 14/05/2026</t>
  </si>
  <si>
    <t>INV raised, 16th Mar 26</t>
  </si>
  <si>
    <t>50% basic + taxes as advance against submissionof tax invoice at the start of AMC period and 50% basic + taxes in Dec 2025</t>
  </si>
  <si>
    <t>Kaeser Compressor (I) Pvt Ltd</t>
  </si>
  <si>
    <t>Mulshi - Pune</t>
  </si>
  <si>
    <t>20th Aug 25</t>
  </si>
  <si>
    <t>30th April 26</t>
  </si>
  <si>
    <t>30days from the DOI</t>
  </si>
  <si>
    <t>General Industrial Controls Pvt Ltd</t>
  </si>
  <si>
    <t xml:space="preserve">  PO26-001160  </t>
  </si>
  <si>
    <t>20th July 25</t>
  </si>
  <si>
    <t>17th oct 25</t>
  </si>
  <si>
    <t>7th Mar 26</t>
  </si>
  <si>
    <t>Quarterly advance against the Tax Invoice and service done</t>
  </si>
  <si>
    <t>Bhosari - Pune</t>
  </si>
  <si>
    <t xml:space="preserve"> PO26-001159</t>
  </si>
  <si>
    <t>8th June 25</t>
  </si>
  <si>
    <t xml:space="preserve">Tecno Doors pvt Ltd </t>
  </si>
  <si>
    <t xml:space="preserve">2025/825 </t>
  </si>
  <si>
    <t>06/04/2025 to 05/10/2025</t>
  </si>
  <si>
    <t>06/10/2025 to 05/04/2026</t>
  </si>
  <si>
    <t>17th Mar 26</t>
  </si>
  <si>
    <t>Paiyanoor</t>
  </si>
  <si>
    <t>06/04/2025 to 05/08/2025</t>
  </si>
  <si>
    <t>25th June 25</t>
  </si>
  <si>
    <t>06/08/2025 to 05/12/2025</t>
  </si>
  <si>
    <t>11th Nov 25</t>
  </si>
  <si>
    <t>06/12/2025 to 05/04/2026</t>
  </si>
  <si>
    <t>21st Mar 26</t>
  </si>
  <si>
    <t>100% on completion of AMC</t>
  </si>
  <si>
    <t>Maruti Suzuki India Ltd</t>
  </si>
  <si>
    <t>Manesar - Gurgaon</t>
  </si>
  <si>
    <t>Shirawal Pune</t>
  </si>
  <si>
    <t>30th June 25</t>
  </si>
  <si>
    <t>21st Jan 26</t>
  </si>
  <si>
    <t>30days  - For billing refer table 2</t>
  </si>
  <si>
    <t xml:space="preserve">Bharat Forge LTD </t>
  </si>
  <si>
    <t>5th Aug 25</t>
  </si>
  <si>
    <t>15th Dec 25</t>
  </si>
  <si>
    <t>11th March 26</t>
  </si>
  <si>
    <t>1st August 25</t>
  </si>
  <si>
    <t>LMT Tools India Pvt Ltd</t>
  </si>
  <si>
    <t>24/05/2025 to 23/09/2025</t>
  </si>
  <si>
    <t>30th Aug 25</t>
  </si>
  <si>
    <t>24/09/2025 to 23/01/2026</t>
  </si>
  <si>
    <t>24/01/2026 to 23/05/2026</t>
  </si>
  <si>
    <t xml:space="preserve">Yogesh </t>
  </si>
  <si>
    <t>Tata Advanced Systems</t>
  </si>
  <si>
    <t>20th Sep 25</t>
  </si>
  <si>
    <t>22nd Nov 25</t>
  </si>
  <si>
    <t xml:space="preserve">South </t>
  </si>
  <si>
    <t>within 30 days 100% Against Invoice Submission</t>
  </si>
  <si>
    <t>Nagnathpura</t>
  </si>
  <si>
    <t>20/05/2025 to 19/09/2025</t>
  </si>
  <si>
    <t>20/09/2025 to 19/01/2026</t>
  </si>
  <si>
    <t>20/01/2026 to 19/05/2026</t>
  </si>
  <si>
    <t>After 1st PM visit 100% generate invoice</t>
  </si>
  <si>
    <t>International Tractors Ltd</t>
  </si>
  <si>
    <t>Hosiarpur-Punjab</t>
  </si>
  <si>
    <t>21/02/2025 to 20/06/2025</t>
  </si>
  <si>
    <t>21/06/2025 to 20/10/2025</t>
  </si>
  <si>
    <t>21/10/2025 to 20/02/2026</t>
  </si>
  <si>
    <t>17th Feb 26</t>
  </si>
  <si>
    <t>Payable immediately from MR Date</t>
  </si>
  <si>
    <t>Innovatec India Pvt ltd</t>
  </si>
  <si>
    <t xml:space="preserve">2025/67 </t>
  </si>
  <si>
    <t>Bidadi</t>
  </si>
  <si>
    <t>31st Dec 25</t>
  </si>
  <si>
    <t>2nd May 26</t>
  </si>
  <si>
    <t>Palam - Gurgaon</t>
  </si>
  <si>
    <t>May--25</t>
  </si>
  <si>
    <t>30th May 25</t>
  </si>
  <si>
    <t>Polycab India Ltd</t>
  </si>
  <si>
    <t>Halol - Gujrat</t>
  </si>
  <si>
    <t>100% Against PI</t>
  </si>
  <si>
    <t xml:space="preserve">NSPR/6000082589  </t>
  </si>
  <si>
    <t>22nd Dec 25</t>
  </si>
  <si>
    <t>Inv raised , 6th May 26</t>
  </si>
  <si>
    <t>50% basic + taxes as advance against submissionof tax invoice at the start of AMC period and 50% basic + taxes in Dec'2025</t>
  </si>
  <si>
    <t>Doddaballapura</t>
  </si>
  <si>
    <t>New</t>
  </si>
  <si>
    <t>20th Mar 26</t>
  </si>
  <si>
    <t>Chakan</t>
  </si>
  <si>
    <t>26th Dec 25</t>
  </si>
  <si>
    <t xml:space="preserve">Fiat india Automobiles Pvt. LTD </t>
  </si>
  <si>
    <t>5th Nov 25</t>
  </si>
  <si>
    <t>10/02/2026 to 09/06/2026</t>
  </si>
  <si>
    <t>After 1st PM visit, 100% generate the invoice</t>
  </si>
  <si>
    <t>GEMC-511687763086468</t>
  </si>
  <si>
    <t>30/08/2025 to 29/11/2025</t>
  </si>
  <si>
    <t>4th Oct 25, Signature pending of all reports follow up</t>
  </si>
  <si>
    <t>13th Feb 26</t>
  </si>
  <si>
    <t>28/02/2026 to 29/05/2026</t>
  </si>
  <si>
    <t>Endress Hauser Flowtec India Pvt ltd</t>
  </si>
  <si>
    <t>Aurangabad</t>
  </si>
  <si>
    <t>A02/1030297598</t>
  </si>
  <si>
    <t>Carraro India Pvt Limited</t>
  </si>
  <si>
    <t>31st July 25</t>
  </si>
  <si>
    <t>Nasik</t>
  </si>
  <si>
    <t>23rd July 25</t>
  </si>
  <si>
    <t>0085403230</t>
  </si>
  <si>
    <t>4th Mar 26</t>
  </si>
  <si>
    <t>100% Invocie after 1st visit</t>
  </si>
  <si>
    <t>VE Commercial Vehicles Limited</t>
  </si>
  <si>
    <t>pithampur</t>
  </si>
  <si>
    <t>100% Advance against PI</t>
  </si>
  <si>
    <t xml:space="preserve">Kirloskar Oil Engine LTD </t>
  </si>
  <si>
    <t>Kagal</t>
  </si>
  <si>
    <t>3rd Nov 25</t>
  </si>
  <si>
    <t>After PM</t>
  </si>
  <si>
    <t>After Pm visit</t>
  </si>
  <si>
    <t>Rudrapur</t>
  </si>
  <si>
    <t>27th Aug 25</t>
  </si>
  <si>
    <t>Dapodi</t>
  </si>
  <si>
    <t xml:space="preserve">Tata Motors LTD </t>
  </si>
  <si>
    <t>11th Sep 25</t>
  </si>
  <si>
    <t>30th Dec 25</t>
  </si>
  <si>
    <t xml:space="preserve"> 45 days</t>
  </si>
  <si>
    <t>Lucknow</t>
  </si>
  <si>
    <t xml:space="preserve">14 days </t>
  </si>
  <si>
    <t xml:space="preserve">0087517622 </t>
  </si>
  <si>
    <t>19th Sep 25</t>
  </si>
  <si>
    <t xml:space="preserve">full amt Invoice </t>
  </si>
  <si>
    <t xml:space="preserve">Rishabh Instruments LTD </t>
  </si>
  <si>
    <t>24th Feb 26</t>
  </si>
  <si>
    <t>Alfa Laval India LTD -HFH</t>
  </si>
  <si>
    <t>14th April 26</t>
  </si>
  <si>
    <t xml:space="preserve">Inv raised </t>
  </si>
  <si>
    <t>100 % Against receipt of material</t>
  </si>
  <si>
    <t xml:space="preserve">0087521421 </t>
  </si>
  <si>
    <t>100&amp; Invocie after 1st PM visit</t>
  </si>
  <si>
    <t>Ajax Engineering Pvt Limited</t>
  </si>
  <si>
    <t>8th April 26</t>
  </si>
  <si>
    <t>Machilipatnam</t>
  </si>
  <si>
    <t>BEPO/MC2/4800088634</t>
  </si>
  <si>
    <t>26/06/2025 to 25/10/2025</t>
  </si>
  <si>
    <t>10th Sep 25</t>
  </si>
  <si>
    <t>26/10/2025 to 25/02/2026</t>
  </si>
  <si>
    <t>14th Feb 26</t>
  </si>
  <si>
    <t>26/02/2026 to 25/06/2026</t>
  </si>
  <si>
    <t>0087519648</t>
  </si>
  <si>
    <t>17th Dec 25</t>
  </si>
  <si>
    <t>100% after 1st PM</t>
  </si>
  <si>
    <t xml:space="preserve">Vihan Engg Pvt Ltd </t>
  </si>
  <si>
    <t xml:space="preserve">Sandoz Pharmaciticals Ltd. </t>
  </si>
  <si>
    <t>Jabil Circuit India Pvt Ltd</t>
  </si>
  <si>
    <t xml:space="preserve">C-10003211431 </t>
  </si>
  <si>
    <t>5th Jan 26</t>
  </si>
  <si>
    <t xml:space="preserve">15 days </t>
  </si>
  <si>
    <t xml:space="preserve">0085407024 </t>
  </si>
  <si>
    <t>100% Generate after 1st PM</t>
  </si>
  <si>
    <t>Sandvik Mining and Rock Technology India Pvt Ltd</t>
  </si>
  <si>
    <t>Baramati- MCD 2</t>
  </si>
  <si>
    <t>01/07/2025 to 30/06/2026</t>
  </si>
  <si>
    <t>Baramati-MCD 3</t>
  </si>
  <si>
    <t>PHOENIX Contact India Pvt Ltd</t>
  </si>
  <si>
    <t>Haryana</t>
  </si>
  <si>
    <t>14th Nov 25</t>
  </si>
  <si>
    <t xml:space="preserve">50% against submission of 1st Original invoice and balance 50% after completion of 6 month </t>
  </si>
  <si>
    <t>01/05/2027 to 31/08/2027</t>
  </si>
  <si>
    <t>01/09/2027 to 31/12/2027</t>
  </si>
  <si>
    <t>Haridwar</t>
  </si>
  <si>
    <t>01/04/2026 to 31/07/2026</t>
  </si>
  <si>
    <t>BEPO/C1/4800088950</t>
  </si>
  <si>
    <t>15/07/2025 to 14/10/2025</t>
  </si>
  <si>
    <t>15/10/2025 to 14/01/2026</t>
  </si>
  <si>
    <t>15/01/2026 to 14/04/2026</t>
  </si>
  <si>
    <t>25th Mar 26</t>
  </si>
  <si>
    <t>15/04/2026 to 14/07/2026</t>
  </si>
  <si>
    <t>International Aerospace Manufacturing Pvt Ltd</t>
  </si>
  <si>
    <t>BANGALORE</t>
  </si>
  <si>
    <t xml:space="preserve">BLR-PO-1005150 </t>
  </si>
  <si>
    <t>18th July 25</t>
  </si>
  <si>
    <t>12th Nov 25</t>
  </si>
  <si>
    <t>10/03/2026 to 09/07/2026</t>
  </si>
  <si>
    <t>5th mar 26</t>
  </si>
  <si>
    <t>50% after 1st PM Visit, bal 50% after 3rd PM Visit. Mention qnty as 0.50</t>
  </si>
  <si>
    <t>Siemens Ltd.</t>
  </si>
  <si>
    <t>26th July 25</t>
  </si>
  <si>
    <t>27th Oct 25</t>
  </si>
  <si>
    <t>30 Days after GRN date</t>
  </si>
  <si>
    <t xml:space="preserve">3110015392  </t>
  </si>
  <si>
    <t>27th Mar 26</t>
  </si>
  <si>
    <t>Sterlite Infra Tech PVT LTD</t>
  </si>
  <si>
    <t xml:space="preserve">6550003687-0 </t>
  </si>
  <si>
    <t>Rotork Controls (India) Pvt.Ltd</t>
  </si>
  <si>
    <t xml:space="preserve">KQ092756 </t>
  </si>
  <si>
    <t>19th Jan 26</t>
  </si>
  <si>
    <t>Sulzer Pumps India Pvt Ltd</t>
  </si>
  <si>
    <t>Ambarnath</t>
  </si>
  <si>
    <t>01/08/2026 to 30/11/2026</t>
  </si>
  <si>
    <t>01/12/2026 to 31/03/2027</t>
  </si>
  <si>
    <t>01/04/2027 to 31/07/2027</t>
  </si>
  <si>
    <t xml:space="preserve">01/08/2027 to 30/11/2027 </t>
  </si>
  <si>
    <t>01/12/2027 to 31/03/2028</t>
  </si>
  <si>
    <t>Elgi Equipments Limited</t>
  </si>
  <si>
    <t>Coimbatore</t>
  </si>
  <si>
    <t>15th Mar 26</t>
  </si>
  <si>
    <t>50% After 1st PM Visit, balance 50% after 3rd PM Visit.</t>
  </si>
  <si>
    <t>Industrial Energy Limited</t>
  </si>
  <si>
    <t>Kalinganagar</t>
  </si>
  <si>
    <t>01/01/2027 to 30/06/2027</t>
  </si>
  <si>
    <t>Continental Automotive Components(India)Pvt Ltd</t>
  </si>
  <si>
    <t>30 day</t>
  </si>
  <si>
    <t>10th Nov 25</t>
  </si>
  <si>
    <t>50% after 1st PM Visit, balance 50% after 3rd PM Visit - Mention qnty as 1</t>
  </si>
  <si>
    <t xml:space="preserve">0085411668 </t>
  </si>
  <si>
    <t xml:space="preserve">01/06/2025 to 30/09/2025 </t>
  </si>
  <si>
    <t>18th Sep 25</t>
  </si>
  <si>
    <t>100% advance</t>
  </si>
  <si>
    <t>Syntegon Technology India Pvt Ltd (Formerly Bosch Ltd)</t>
  </si>
  <si>
    <t>Goa</t>
  </si>
  <si>
    <t xml:space="preserve">01/06/2025 to 31/08/2025 </t>
  </si>
  <si>
    <t>01/09/2025 to 30/11/2025</t>
  </si>
  <si>
    <t>13th Nov 25</t>
  </si>
  <si>
    <t>01/12/2025 to 28/02/2026</t>
  </si>
  <si>
    <t>01/03/2026 to 31/05/2026</t>
  </si>
  <si>
    <t>30days From DOI</t>
  </si>
  <si>
    <t>Hoshiarpur- Punjab</t>
  </si>
  <si>
    <t>pune</t>
  </si>
  <si>
    <t xml:space="preserve">BEPO/PN4/4800078064 </t>
  </si>
  <si>
    <t>15/04/2025 to 14/07/2025</t>
  </si>
  <si>
    <t>8th July 25</t>
  </si>
  <si>
    <t>28th Jan 26</t>
  </si>
  <si>
    <t>BEPO/NP/4800089189</t>
  </si>
  <si>
    <t>24/07/2025 to 23/11/2025</t>
  </si>
  <si>
    <t>20th Nov 23</t>
  </si>
  <si>
    <t>24/11/2025 to 23/03/2026</t>
  </si>
  <si>
    <t>24th Mar 26</t>
  </si>
  <si>
    <t>24/03/2026 to 23/07/2026</t>
  </si>
  <si>
    <t>24/07/2026 to 23/11/2026</t>
  </si>
  <si>
    <t>24/11/2026 to 23/03/2027</t>
  </si>
  <si>
    <t>24/03/2027 to 23/07/2027</t>
  </si>
  <si>
    <t>Sandvik Coromant India Pvt Ltd- Soft tools</t>
  </si>
  <si>
    <t>Asharf</t>
  </si>
  <si>
    <t>Hoshiarpur</t>
  </si>
  <si>
    <t>01/08/2025to 30/11/2025</t>
  </si>
  <si>
    <t>SKF India Ltd.</t>
  </si>
  <si>
    <t>Rovema India Pvt Ltd (Formerly Hassia Packaging Pvt Ltd)</t>
  </si>
  <si>
    <t xml:space="preserve">P250071 </t>
  </si>
  <si>
    <t xml:space="preserve">Kirloskar brothers LTD </t>
  </si>
  <si>
    <t>Kirloskarwadi-Sangli</t>
  </si>
  <si>
    <t xml:space="preserve">Yamazaki Mazak India PVT LTD </t>
  </si>
  <si>
    <t xml:space="preserve">PO25260547 </t>
  </si>
  <si>
    <t>23rd Feb 26</t>
  </si>
  <si>
    <t>02/03/2026 to 30/06/2026</t>
  </si>
  <si>
    <t>Baramati-MCD I</t>
  </si>
  <si>
    <t>BEPO/CS2/4800089417</t>
  </si>
  <si>
    <t>08/08/2025 to 07/11/2025</t>
  </si>
  <si>
    <t>08/11/2025 to 07/02/2026</t>
  </si>
  <si>
    <t>08/02/2026 to 07/05/2026</t>
  </si>
  <si>
    <t>15th April 26</t>
  </si>
  <si>
    <t>08/05/2026 to 07/08/2026</t>
  </si>
  <si>
    <t>south</t>
  </si>
  <si>
    <t>TDK India Pvt ltd</t>
  </si>
  <si>
    <t>12th Feb 26</t>
  </si>
  <si>
    <t>SEG Automotive India Pvt. Ltd.</t>
  </si>
  <si>
    <t xml:space="preserve">47397532-9YR </t>
  </si>
  <si>
    <t>15/07/2025 to 14/11/2025</t>
  </si>
  <si>
    <t>14th Oct 25</t>
  </si>
  <si>
    <t>15/11/2025 to 14/03/2026</t>
  </si>
  <si>
    <t>10th Feb 26</t>
  </si>
  <si>
    <t>15/03/2026 to 14/07/2026</t>
  </si>
  <si>
    <t xml:space="preserve">BEPO/C2/4800089566  </t>
  </si>
  <si>
    <t>05/08/2025 to 04/11/2025</t>
  </si>
  <si>
    <t>05/11/2025 to 04/02/2026</t>
  </si>
  <si>
    <t>05/02/2026 to 04/05/2026</t>
  </si>
  <si>
    <t>05/05/2026 to 04/08/2026</t>
  </si>
  <si>
    <t>Intas Pharmaceuticals Ltd- software contract only</t>
  </si>
  <si>
    <t>19th May 25</t>
  </si>
  <si>
    <t>Sreenadh</t>
  </si>
  <si>
    <t xml:space="preserve">NSPR/6000083834 </t>
  </si>
  <si>
    <t>09/08/2025 to 08/12/2025</t>
  </si>
  <si>
    <t>Inv Generated,18th Nov 25</t>
  </si>
  <si>
    <t>09/12/2025 to 08/04/2026</t>
  </si>
  <si>
    <t>09/04/2026 to 08/08/2026</t>
  </si>
  <si>
    <t>50% basic + taxes as advance against submissionof tax invoice at the start of AMC period and 50% basic + taxes in Feb'2026</t>
  </si>
  <si>
    <t>Bharat Forge LTD -MCD 2</t>
  </si>
  <si>
    <t>Pune - Mundwa</t>
  </si>
  <si>
    <t>14th aug 25</t>
  </si>
  <si>
    <t>27th Nov 25</t>
  </si>
  <si>
    <t xml:space="preserve">PMT Machines LTD </t>
  </si>
  <si>
    <t>01/03/2025 to 30/06/2026</t>
  </si>
  <si>
    <t>05/08/2025 to 04/02/2026</t>
  </si>
  <si>
    <t>05/02/2026 to 04/08/2026</t>
  </si>
  <si>
    <t>Otto Bilz(India) Pvt Ltd</t>
  </si>
  <si>
    <t xml:space="preserve">OBI/WRO/2025/00154 </t>
  </si>
  <si>
    <t>31st Jan 26</t>
  </si>
  <si>
    <t>Titan Enginnering and Automation Ltd</t>
  </si>
  <si>
    <t>KRISHNAGIRI - Hosur - 635126</t>
  </si>
  <si>
    <t>4th Dec 25</t>
  </si>
  <si>
    <t>Aug--25</t>
  </si>
  <si>
    <t>19th Aug 25</t>
  </si>
  <si>
    <t>Motherson Techno Tools Limited</t>
  </si>
  <si>
    <t>28/10/2025 to 27/02/2026</t>
  </si>
  <si>
    <t>28/02/2026 to 27/06/2026</t>
  </si>
  <si>
    <t>28/06/2026 to 27/10/2026</t>
  </si>
  <si>
    <t>15 days From DOI</t>
  </si>
  <si>
    <t xml:space="preserve">Tsugami Precision </t>
  </si>
  <si>
    <t>26th Nov 25</t>
  </si>
  <si>
    <t xml:space="preserve">100% advance </t>
  </si>
  <si>
    <t>18th Nov 25</t>
  </si>
  <si>
    <t xml:space="preserve">Rahul </t>
  </si>
  <si>
    <t xml:space="preserve">Kirloskar Ebara Pumps LTD </t>
  </si>
  <si>
    <t>Raina Engineering Pvt.Ltd.</t>
  </si>
  <si>
    <t>Patansai,Pune</t>
  </si>
  <si>
    <t xml:space="preserve">S-O-2526-321 </t>
  </si>
  <si>
    <t>Sandvik Coromant India Pvt Ltd-Round Tool Prod</t>
  </si>
  <si>
    <t>27th April 26</t>
  </si>
  <si>
    <t>Pimpri Pune</t>
  </si>
  <si>
    <t>18th Feb 26</t>
  </si>
  <si>
    <t>Wendt india</t>
  </si>
  <si>
    <t>HOSUR</t>
  </si>
  <si>
    <t>September</t>
  </si>
  <si>
    <t>23rd MAr 26</t>
  </si>
  <si>
    <t>Burckhardt Compression</t>
  </si>
  <si>
    <t xml:space="preserve">PO10192957 </t>
  </si>
  <si>
    <t>01/03/2026 to 31/08/2026</t>
  </si>
  <si>
    <t>Knorr-Bremse Systems for Commercial Vehicles</t>
  </si>
  <si>
    <t>Hinjewadi - Pune</t>
  </si>
  <si>
    <t>25th Nov 25</t>
  </si>
  <si>
    <t>13th April 26</t>
  </si>
  <si>
    <t>Rotomotive Powerdrives India Ltd</t>
  </si>
  <si>
    <t>Anand</t>
  </si>
  <si>
    <t xml:space="preserve">PON2/25/0812 </t>
  </si>
  <si>
    <t xml:space="preserve">BEPO/HD1/4800090188 </t>
  </si>
  <si>
    <t>01/06/2026 to 31/08/2026</t>
  </si>
  <si>
    <t>01/09/2026 to 30/11/2026</t>
  </si>
  <si>
    <t>01/12/2026 to 28/02/2027</t>
  </si>
  <si>
    <t>01/03/2027 to 31/05/2027</t>
  </si>
  <si>
    <t>01/06/2027 to 31/08/2027</t>
  </si>
  <si>
    <t>Danfoss Power solutions Pvt.ltd.</t>
  </si>
  <si>
    <t>90 days</t>
  </si>
  <si>
    <t>29th Dec 25</t>
  </si>
  <si>
    <t>31st Mar 26</t>
  </si>
  <si>
    <t>30 Days</t>
  </si>
  <si>
    <t xml:space="preserve">0042/7001057518 </t>
  </si>
  <si>
    <t>End of month, payment on 2nd of the following month</t>
  </si>
  <si>
    <t>19th sep 25</t>
  </si>
  <si>
    <t>01/04/2026  to 31/07/2026</t>
  </si>
  <si>
    <t>Navi Mumbai</t>
  </si>
  <si>
    <t>01/05/2028 to 31/07/2028</t>
  </si>
  <si>
    <t>Halol - Godhra</t>
  </si>
  <si>
    <t>15/09/2025 to 14/03/2026</t>
  </si>
  <si>
    <t>27th Feb 26</t>
  </si>
  <si>
    <t>15/03/2026 to 14/09/2026</t>
  </si>
  <si>
    <t>30 days from the date of invoice after each PM service</t>
  </si>
  <si>
    <t>Firmenich Aromatics I Pvt.ltd.</t>
  </si>
  <si>
    <t>45 Days After bill</t>
  </si>
  <si>
    <t xml:space="preserve">GEMC-511687758541654 </t>
  </si>
  <si>
    <t>10/10/2025 to 09/01/2026</t>
  </si>
  <si>
    <t>10/01/2026 to 09/04/2026</t>
  </si>
  <si>
    <t>10/04/2026 to 09/07/2026</t>
  </si>
  <si>
    <t>10/07/2026 to 09/10/2026</t>
  </si>
  <si>
    <t>After PM visit</t>
  </si>
  <si>
    <t>10/10/2026 to 09/01/2027</t>
  </si>
  <si>
    <t>10/01/2027 to 09/04/2027</t>
  </si>
  <si>
    <t>10/04/2027 to 09/07/2027</t>
  </si>
  <si>
    <t>10/07/2027 to 09/10/2027</t>
  </si>
  <si>
    <t>Bharat Electronics Ltd-Antenna Division</t>
  </si>
  <si>
    <t>BEPO/GA5/4800090227</t>
  </si>
  <si>
    <t>01/04/2028 to 30/06/2028</t>
  </si>
  <si>
    <t>01/07/2028 to 30/09/2028</t>
  </si>
  <si>
    <t>Qlar Technology India Private Limited- Software Upgrade</t>
  </si>
  <si>
    <t xml:space="preserve">Bangalore </t>
  </si>
  <si>
    <t>Yes, Software Upgrade Only</t>
  </si>
  <si>
    <t>AQ101425</t>
  </si>
  <si>
    <t>October</t>
  </si>
  <si>
    <t>17th OCt 25</t>
  </si>
  <si>
    <t>30th Mar 26</t>
  </si>
  <si>
    <t>ZF Wind Power Coimbatore Private Limited</t>
  </si>
  <si>
    <t>3rd May 26</t>
  </si>
  <si>
    <t xml:space="preserve">45 Days </t>
  </si>
  <si>
    <t>Rialto India Pvt Ltd</t>
  </si>
  <si>
    <t>50%Advance and balance after 6 months</t>
  </si>
  <si>
    <t>NSPR/6000084878</t>
  </si>
  <si>
    <t>Inv Raised ,23rd Dec 25</t>
  </si>
  <si>
    <t xml:space="preserve">24th Apri 26,Inv raised </t>
  </si>
  <si>
    <r>
      <rPr>
        <sz val="11"/>
        <color rgb="FF000000"/>
        <rFont val="Calibri"/>
        <family val="2"/>
        <scheme val="minor"/>
      </rPr>
      <t xml:space="preserve">50% of basic with Taxes as advance after start of AMC against submission of invoice </t>
    </r>
    <r>
      <rPr>
        <b/>
        <sz val="11"/>
        <color rgb="FFFF0000"/>
        <rFont val="Calibri"/>
        <family val="2"/>
        <scheme val="minor"/>
      </rPr>
      <t xml:space="preserve">and </t>
    </r>
    <r>
      <rPr>
        <sz val="11"/>
        <color rgb="FF000000"/>
        <rFont val="Calibri"/>
        <family val="2"/>
        <scheme val="minor"/>
      </rPr>
      <t>balance 50% basic with Taxes after completion of 6 months of AMC against submission of invoice)</t>
    </r>
  </si>
  <si>
    <t>Inspros Engineers Pvt. Ltd.</t>
  </si>
  <si>
    <t>Bhopal</t>
  </si>
  <si>
    <t>4800000096</t>
  </si>
  <si>
    <t xml:space="preserve">Prashant Ferber Logistics Automation Pvt Ltd </t>
  </si>
  <si>
    <t>SERVICE/31</t>
  </si>
  <si>
    <t>01/10/2025 to 30/09/2026</t>
  </si>
  <si>
    <t>100% PI</t>
  </si>
  <si>
    <t>Victura Technologies Pvt Ltd (Formerly know as Victora Auto Pvt Ltd)</t>
  </si>
  <si>
    <t>08/10/2025 to 07/02/2026</t>
  </si>
  <si>
    <t>17th Nov 25</t>
  </si>
  <si>
    <t>08/02/2026 to 07/06/2026</t>
  </si>
  <si>
    <t>6th mar 26</t>
  </si>
  <si>
    <t>08/06/2025 to 07/10/2026</t>
  </si>
  <si>
    <t xml:space="preserve">UL </t>
  </si>
  <si>
    <t>50% against Invoice and 50%after 6 months</t>
  </si>
  <si>
    <t>Tata Hitachi Construction Machinery Company Limited (THCM)</t>
  </si>
  <si>
    <t>Dharwad</t>
  </si>
  <si>
    <t>10th Mar 26</t>
  </si>
  <si>
    <t>01/05/2025 to 31/10/2026</t>
  </si>
  <si>
    <t>Cummins Technologis India Pvt Ltd,PHP</t>
  </si>
  <si>
    <t>Phaltan</t>
  </si>
  <si>
    <t>IND8246930</t>
  </si>
  <si>
    <t>40 days</t>
  </si>
  <si>
    <t>Kancheepuram</t>
  </si>
  <si>
    <t>MRVA/ST/3400820589</t>
  </si>
  <si>
    <t>31st MAr 26</t>
  </si>
  <si>
    <t>Quaterly on completion of PM visit</t>
  </si>
  <si>
    <t>9th Jan 26</t>
  </si>
  <si>
    <t xml:space="preserve">Ashraf </t>
  </si>
  <si>
    <t>Tetra Pak India Pvt Ltd</t>
  </si>
  <si>
    <t>As per MSME payment norm</t>
  </si>
  <si>
    <t>Intas Pharmaceuticals Ltd</t>
  </si>
  <si>
    <t>25/10/2025 to 24/10/2026</t>
  </si>
  <si>
    <t>Carborundum Universal Ltd</t>
  </si>
  <si>
    <t>CICSPO/000805/25</t>
  </si>
  <si>
    <t>20/10/2025 to 19/02/2026</t>
  </si>
  <si>
    <t>20/02/2026 to 19/06/2026</t>
  </si>
  <si>
    <t>20/06/2026 to 19/10/2026</t>
  </si>
  <si>
    <t>30 days Net</t>
  </si>
  <si>
    <t>Firmenich Aerometics I Pvt.ltd-Perfumes</t>
  </si>
  <si>
    <t>November</t>
  </si>
  <si>
    <t>11th Mar 26</t>
  </si>
  <si>
    <t>01/05/2026 to 31/10/2026</t>
  </si>
  <si>
    <t>KSPG Automotive India PVT LTD - Rheinmetall</t>
  </si>
  <si>
    <t>Budruk - Pune</t>
  </si>
  <si>
    <t>ACE Designers Ltd - Machining Center Division (Formerly ACE MANUFACTURING SYSTEMS LIMITED)</t>
  </si>
  <si>
    <t>6th jan 26</t>
  </si>
  <si>
    <t>01/07/2026 to 31/10/2026</t>
  </si>
  <si>
    <t>Quaterly</t>
  </si>
  <si>
    <t>Pragathi Automation ltd</t>
  </si>
  <si>
    <t>POR200027</t>
  </si>
  <si>
    <t xml:space="preserve">01/09/2025 to 30/11/2025 </t>
  </si>
  <si>
    <t>24th Nov 25</t>
  </si>
  <si>
    <t>3rd and 4th -1 Invoice</t>
  </si>
  <si>
    <t>5th and 6th -1Invocie</t>
  </si>
  <si>
    <t xml:space="preserve">6 months once </t>
  </si>
  <si>
    <t>Kabra Extrusiontechnik Ltd</t>
  </si>
  <si>
    <t>Daman</t>
  </si>
  <si>
    <t>02/10/2025 to 01/02/2026</t>
  </si>
  <si>
    <t>02/02/2026 to 01/06/2026</t>
  </si>
  <si>
    <t>02/06/2026 to 01/10/2026</t>
  </si>
  <si>
    <t>Ater PM visit</t>
  </si>
  <si>
    <t>Surya Nepal Pvt Ltd</t>
  </si>
  <si>
    <t>Nepal</t>
  </si>
  <si>
    <t>12/10/2025 to 11/04/2026</t>
  </si>
  <si>
    <t>12/04/2026 to 11/10/2026</t>
  </si>
  <si>
    <t>half yearly after PM visit</t>
  </si>
  <si>
    <t>Indic EMS Electronics Pvt LTD</t>
  </si>
  <si>
    <t>45 days from the DOI</t>
  </si>
  <si>
    <t>A02/1030265429</t>
  </si>
  <si>
    <t>NA</t>
  </si>
  <si>
    <t>BEPO/N6/4800091857</t>
  </si>
  <si>
    <t>18/11/2025 to 17/02/2026</t>
  </si>
  <si>
    <t>18/02/2026 to 17/05/2026</t>
  </si>
  <si>
    <t>18/05/2026 to 17/08/2026</t>
  </si>
  <si>
    <t>18/08/2026 to 17/11/2026</t>
  </si>
  <si>
    <t>13/10/2025 to 12/04/2026</t>
  </si>
  <si>
    <t>9th jan 26</t>
  </si>
  <si>
    <t>13/04/2025 to 12/10/2026</t>
  </si>
  <si>
    <t>Nov--25</t>
  </si>
  <si>
    <t>Bridgestone India Pvt.Ltd.</t>
  </si>
  <si>
    <t>20/11/2025 to 19/03/2026</t>
  </si>
  <si>
    <t>20/03/2026 to 19/07/2026</t>
  </si>
  <si>
    <t>20/07/2026 to 19/11/2026</t>
  </si>
  <si>
    <t>A002/A3P/3400825766</t>
  </si>
  <si>
    <t>Lupin Limited</t>
  </si>
  <si>
    <t>Nagpur</t>
  </si>
  <si>
    <t>01/08/2025 to 31/07/2026</t>
  </si>
  <si>
    <t xml:space="preserve">KSPG Automotive India PVT LTD </t>
  </si>
  <si>
    <t>01/11/2025 to 31/10/2026</t>
  </si>
  <si>
    <t>03rd Dec 25</t>
  </si>
  <si>
    <t>23rd Dec 25</t>
  </si>
  <si>
    <t>Taegutec India Pvt Ltd</t>
  </si>
  <si>
    <t xml:space="preserve">JP Extrusiontech Ltd </t>
  </si>
  <si>
    <t>Ankleshwar</t>
  </si>
  <si>
    <t>P2503180</t>
  </si>
  <si>
    <t>12/12/2025 to 11/06/2026</t>
  </si>
  <si>
    <t>12/06/2026 to 11/12/2026</t>
  </si>
  <si>
    <t>Centre for Development of Telematics</t>
  </si>
  <si>
    <t>PO2526BCPL00176</t>
  </si>
  <si>
    <t>27th mar 26</t>
  </si>
  <si>
    <t>01/10/2028 to 31/12/2028</t>
  </si>
  <si>
    <t>NSPR/6000086178</t>
  </si>
  <si>
    <t>20/12/2025 to 19/04/2026</t>
  </si>
  <si>
    <t>Inv raised, 13th Mar 26</t>
  </si>
  <si>
    <t>20/04/2026 to 19/08/2026</t>
  </si>
  <si>
    <t>raise in June</t>
  </si>
  <si>
    <t>20/08/2026 to 19/12/2026</t>
  </si>
  <si>
    <r>
      <rPr>
        <sz val="11"/>
        <color rgb="FF000000"/>
        <rFont val="Calibri"/>
        <family val="2"/>
      </rPr>
      <t xml:space="preserve">50% of basic with Taxes as advance after start of AMC against submission of invoice </t>
    </r>
    <r>
      <rPr>
        <sz val="11"/>
        <color rgb="FFFF0000"/>
        <rFont val="Calibri"/>
        <family val="2"/>
      </rPr>
      <t>and</t>
    </r>
    <r>
      <rPr>
        <sz val="11"/>
        <color rgb="FF000000"/>
        <rFont val="Calibri"/>
        <family val="2"/>
      </rPr>
      <t xml:space="preserve"> balance 50% basic with Taxes after completion of 6 months of AMC against submission of invoice (i.e July 2026)</t>
    </r>
  </si>
  <si>
    <t>23/12/2025 to 22/06/2026</t>
  </si>
  <si>
    <t>23/06/2026 to 22/12/2026</t>
  </si>
  <si>
    <t>30 days after each PM</t>
  </si>
  <si>
    <t>01/12/2025 to 30/11/2026</t>
  </si>
  <si>
    <t>GE BE PVT LTD</t>
  </si>
  <si>
    <t>G80010001674593</t>
  </si>
  <si>
    <t>4th March 26</t>
  </si>
  <si>
    <t>1st May 26</t>
  </si>
  <si>
    <t>01/06/2026 to 30/11/2026</t>
  </si>
  <si>
    <t>TMEIC Industrial Systems India Pvt Ltd</t>
  </si>
  <si>
    <t>Tumkur</t>
  </si>
  <si>
    <t>Sartorius Stedim India Pvt Ltd</t>
  </si>
  <si>
    <t>9th Mar 26</t>
  </si>
  <si>
    <t>Hyderabad - Jadcherla</t>
  </si>
  <si>
    <t>0085442515</t>
  </si>
  <si>
    <t>Mysore Rd -Bangalore - EDN</t>
  </si>
  <si>
    <t>GEMC-511687790604779</t>
  </si>
  <si>
    <t>12/12/2025 to 11/04/2026</t>
  </si>
  <si>
    <t>12/04/2026 to 11/08/2026</t>
  </si>
  <si>
    <t>12/08/2026 to 11/12/2026</t>
  </si>
  <si>
    <t>12/12/2026 to 11/04/2027</t>
  </si>
  <si>
    <t>12/04/2027 to 11/08/2027</t>
  </si>
  <si>
    <t>12/08/2027 to 11/12/2027</t>
  </si>
  <si>
    <t>ASB International</t>
  </si>
  <si>
    <t>ZPSC/4410000720</t>
  </si>
  <si>
    <t>100% after submission of Invocie</t>
  </si>
  <si>
    <t>20th Jan 25</t>
  </si>
  <si>
    <t>Weapon Organization</t>
  </si>
  <si>
    <t>GEMC-511687757556559</t>
  </si>
  <si>
    <t>12/01/2026 to 11/04/2026</t>
  </si>
  <si>
    <t>3rd April 26</t>
  </si>
  <si>
    <t>12/04/2026 to 11/07/2026</t>
  </si>
  <si>
    <t>12/07/2026 to 11/10/2026</t>
  </si>
  <si>
    <t>12/10/2026 to 11/01/2027</t>
  </si>
  <si>
    <t>0085440665</t>
  </si>
  <si>
    <t>100% Invoice after 1st PM</t>
  </si>
  <si>
    <t>1/02/2024</t>
  </si>
  <si>
    <t>01/08/2026 to 30/10/2026</t>
  </si>
  <si>
    <t>Milacron India Pvt Ltd</t>
  </si>
  <si>
    <t>30010283/O2/25132717</t>
  </si>
  <si>
    <t>30 days from the date on Invoice</t>
  </si>
  <si>
    <t>Firmenich Aerometics I Pvt.ltd.-Flavors</t>
  </si>
  <si>
    <t>Eagle Burgmann India Pvt Ltd</t>
  </si>
  <si>
    <t>02581400</t>
  </si>
  <si>
    <t>18th April 26</t>
  </si>
  <si>
    <t xml:space="preserve">Alfa Laval India LTD </t>
  </si>
  <si>
    <t>Danieli India Limited</t>
  </si>
  <si>
    <t>Sricity</t>
  </si>
  <si>
    <t>25948801 OB</t>
  </si>
  <si>
    <t>01/02/2026 to 30/05/2026</t>
  </si>
  <si>
    <t>13/01/2026 to 12/05/2026</t>
  </si>
  <si>
    <t>13/05/2026 to 12/09/2026</t>
  </si>
  <si>
    <t>13/09/2026 to 12/01/2027</t>
  </si>
  <si>
    <t>CICSPO/001117/25</t>
  </si>
  <si>
    <t>BEPO/E1/4800093040</t>
  </si>
  <si>
    <t>21/01/2026 to 20/04/2026</t>
  </si>
  <si>
    <t>21/04/2026 to 20/07/2026</t>
  </si>
  <si>
    <t>21/07/2026 to 20/10/2026</t>
  </si>
  <si>
    <t>21/10/2026 to 20/01/2027</t>
  </si>
  <si>
    <t>21/01/2027 to 20/04/2027</t>
  </si>
  <si>
    <t>21/04/2027 to 20/07/2027</t>
  </si>
  <si>
    <t>21/07/2027 to 20/10/2027</t>
  </si>
  <si>
    <t>21/10/2027 to 20/01/2028</t>
  </si>
  <si>
    <t>21/01/2028 to 20/04/2028</t>
  </si>
  <si>
    <t>21/04/2028 to 20/07/2028</t>
  </si>
  <si>
    <t>21/07/2028 to 20/10/2028</t>
  </si>
  <si>
    <t>21/10/2028 to 20/01/2029</t>
  </si>
  <si>
    <t>Knorr-Bremse India Ltd.</t>
  </si>
  <si>
    <t>Palwal</t>
  </si>
  <si>
    <t>12th mar 26</t>
  </si>
  <si>
    <t>0085444897</t>
  </si>
  <si>
    <t>0085446648</t>
  </si>
  <si>
    <t>0085445073</t>
  </si>
  <si>
    <t>ZPSV/6410000329</t>
  </si>
  <si>
    <t>Samvardhana Motherson Innovation Solutions Ltd</t>
  </si>
  <si>
    <t>Pondichery</t>
  </si>
  <si>
    <t>01/07/2027 to 31/12/2027</t>
  </si>
  <si>
    <t>Jaipur</t>
  </si>
  <si>
    <t>0085446920</t>
  </si>
  <si>
    <t>4th Feb2 6</t>
  </si>
  <si>
    <t>0085441842</t>
  </si>
  <si>
    <t>KHS Machinery Pvt Ltd</t>
  </si>
  <si>
    <t>100% against PI</t>
  </si>
  <si>
    <t>01/01/2028 to 30/06/2028</t>
  </si>
  <si>
    <t>01/07/2028 to 31/12/2028</t>
  </si>
  <si>
    <t xml:space="preserve"> Ghaziabad</t>
  </si>
  <si>
    <t xml:space="preserve"> GEMC-511687761421027</t>
  </si>
  <si>
    <t>Velan Valves India Pvt Ltd</t>
  </si>
  <si>
    <t>E10006394</t>
  </si>
  <si>
    <t>15 days GRN</t>
  </si>
  <si>
    <t xml:space="preserve">Book SO for the 1 visit , last visit </t>
  </si>
  <si>
    <t>BHARAT FRITZ WERNER LTD</t>
  </si>
  <si>
    <t>8000022731/0</t>
  </si>
  <si>
    <t>cancel the SO and Book the SO for last Visit</t>
  </si>
  <si>
    <t xml:space="preserve">Book So for last Visit </t>
  </si>
  <si>
    <t>Seco Tools India PVT LTD- Sinter Shop</t>
  </si>
  <si>
    <t>Seco Tools India PVT LTD- Blohm cell</t>
  </si>
  <si>
    <t>Seco Tools India PVT LTD- Press shop</t>
  </si>
  <si>
    <t>Seco Tools India PVT LTD- IGS shop</t>
  </si>
  <si>
    <t>Seco Tools India PVT LTD- Final Inspection</t>
  </si>
  <si>
    <t>Seco Tools India PVT LTD-Blank Storage</t>
  </si>
  <si>
    <t>Seco Tools India PVT LTD-EOU -DTA</t>
  </si>
  <si>
    <t>Seco Tools India PVT LTD-EOU -Doc/Tools</t>
  </si>
  <si>
    <t>Seco Tools India PVT LTD-Coating Shop</t>
  </si>
  <si>
    <t>25/26/P/S/0113</t>
  </si>
  <si>
    <t>31/01/2026 to 30/04/2026</t>
  </si>
  <si>
    <t>01/11/2026 to 30/01/2027</t>
  </si>
  <si>
    <t>Watson Pharma Pvt Ltd</t>
  </si>
  <si>
    <t>23/01/2026 to 22/05/2026</t>
  </si>
  <si>
    <t>17th April 26</t>
  </si>
  <si>
    <t>23/05/2026 to 22/09/2026</t>
  </si>
  <si>
    <t>23/09/2026 to 22/01/2027</t>
  </si>
  <si>
    <t>Cosmos Impex (I) Pvt Ltd</t>
  </si>
  <si>
    <t>100% Advance on PI</t>
  </si>
  <si>
    <t>Kalyani technoforge Ltd-Ambethan 1</t>
  </si>
  <si>
    <t>Kalyani technoforge Ltd-Khed</t>
  </si>
  <si>
    <t>01/03/2026 t0 30/06/2026</t>
  </si>
  <si>
    <t>3110016525 </t>
  </si>
  <si>
    <t>4th May 26</t>
  </si>
  <si>
    <t>01/05/2026 t0 31/08/2026</t>
  </si>
  <si>
    <t xml:space="preserve">Dont book SO , generate 1 Invocie for each quater with all location reports </t>
  </si>
  <si>
    <t>13/01/2026 to 12/04/2026</t>
  </si>
  <si>
    <t>13/04/2026 to 12/07/2026</t>
  </si>
  <si>
    <t>13/07/2026 to 12/10/2026</t>
  </si>
  <si>
    <t>13/10/2026 to 12/01/2027</t>
  </si>
  <si>
    <t>Telangana</t>
  </si>
  <si>
    <t>24th April 26</t>
  </si>
  <si>
    <t>01/03/2206 to 31/08/2026</t>
  </si>
  <si>
    <t>01/09/2026 to 28/02/2027</t>
  </si>
  <si>
    <t>sasikumar</t>
  </si>
  <si>
    <t>7 days from DOI</t>
  </si>
  <si>
    <t>Force Motors Ltd</t>
  </si>
  <si>
    <t>01/02/2026 to 31/01/2027</t>
  </si>
  <si>
    <t>100% againt PI</t>
  </si>
  <si>
    <t>Addison &amp; Co Ltd</t>
  </si>
  <si>
    <t>IGKPO/105409/2526</t>
  </si>
  <si>
    <t>50% Inv Raised- check PO for 2nd Invocie</t>
  </si>
  <si>
    <t>Need to raise another 50%</t>
  </si>
  <si>
    <t>50% advance and balance 50% after 6 months</t>
  </si>
  <si>
    <t>BEPO/B1/4800091003</t>
  </si>
  <si>
    <t>06/02/2026 to 05/05/2026</t>
  </si>
  <si>
    <t>06/05/2026 to 05/08/2026</t>
  </si>
  <si>
    <t>06/08/2026 to 05/11/2026</t>
  </si>
  <si>
    <t>06/11/2026 to 05/02/2027</t>
  </si>
  <si>
    <t>06/02/2027 to 05/05/2027</t>
  </si>
  <si>
    <t>06/05/2027 to 05/08/2027</t>
  </si>
  <si>
    <t>06/08/2027 to 05/11/2027</t>
  </si>
  <si>
    <t>06/11/2027 to 05/02/2028</t>
  </si>
  <si>
    <t>06/02/2028 to 05/05/2028</t>
  </si>
  <si>
    <t>06/05/2028 to 05/08/2028</t>
  </si>
  <si>
    <t>08/08/2028 to 05/11/2028</t>
  </si>
  <si>
    <t>06/11/2028 to 05/02/2029</t>
  </si>
  <si>
    <t>Seco Tools India PVT LTD</t>
  </si>
  <si>
    <t xml:space="preserve">01/01/2026 to 30/04/2026 </t>
  </si>
  <si>
    <t>Bharat Petrolium Corporation Ltd.</t>
  </si>
  <si>
    <t>16/12/2025 to 15/03/2026</t>
  </si>
  <si>
    <t>16/03/2026 to 15/06/2026</t>
  </si>
  <si>
    <t>16/06/2026 to 15/09/2026</t>
  </si>
  <si>
    <t>16/09/2026 to 15/12/2026</t>
  </si>
  <si>
    <t>Supa</t>
  </si>
  <si>
    <t>11/02/2026 to 10/08/2026</t>
  </si>
  <si>
    <t>11/08/2026 to 10/02/2027</t>
  </si>
  <si>
    <t>14/02/2026 to 13/08/2026</t>
  </si>
  <si>
    <t>Raise full amt after 1st PM</t>
  </si>
  <si>
    <t>14/08/2026 to 13/02/2027</t>
  </si>
  <si>
    <t>100% within 45 days</t>
  </si>
  <si>
    <t>Pulivalam</t>
  </si>
  <si>
    <t>After completion of work</t>
  </si>
  <si>
    <t>11/02/2026 to 10/06/2026</t>
  </si>
  <si>
    <t>11/06/2026 to 10/10/2026</t>
  </si>
  <si>
    <t>11/10/2026 to 10/02/2027</t>
  </si>
  <si>
    <t>MSME Norms</t>
  </si>
  <si>
    <t>Thane</t>
  </si>
  <si>
    <t xml:space="preserve">01/04/2026 to 31/07/2026 </t>
  </si>
  <si>
    <t>2nd Invoice generate in Nov</t>
  </si>
  <si>
    <t>Immediate from MR date</t>
  </si>
  <si>
    <t>0085448038</t>
  </si>
  <si>
    <t>75 days net</t>
  </si>
  <si>
    <t xml:space="preserve">Klug avalon mechatronics </t>
  </si>
  <si>
    <t>100% advance after material receipt</t>
  </si>
  <si>
    <t>Sedmac Mechatronics Ltd (Formerly Sedmac Mechatronics Pvt.Ltd)</t>
  </si>
  <si>
    <t xml:space="preserve">IP1/IP2011056 </t>
  </si>
  <si>
    <t xml:space="preserve">01/01/2027 to 30/06/2027 </t>
  </si>
  <si>
    <t>Cummins Technologis India Pvt Ltd</t>
  </si>
  <si>
    <t>IND8386302</t>
  </si>
  <si>
    <t>Bharat Forge LTD -Keshav Nagar</t>
  </si>
  <si>
    <t>Mundhwa</t>
  </si>
  <si>
    <t>20/10/2026 to 19/02/2027</t>
  </si>
  <si>
    <t>01/01/2026 to 31/12/2026</t>
  </si>
  <si>
    <t>Pfizer Healthcare India Pvt Ltd (Formerly Hospira Healthcare)</t>
  </si>
  <si>
    <t>9501188530/5205</t>
  </si>
  <si>
    <t>01/11/2026 to 28/02/2027</t>
  </si>
  <si>
    <t>01/03/2027 to 30/06/2027</t>
  </si>
  <si>
    <t>01/07/2027 to 31/10/2027</t>
  </si>
  <si>
    <t>01/11/2027 to 29/02/2028</t>
  </si>
  <si>
    <t>MYSORE</t>
  </si>
  <si>
    <t>28tth April 26</t>
  </si>
  <si>
    <t xml:space="preserve">YANMAR AGRICULTURAL MACHINERY INDIA PVT LTD (Formerly Claas India Pvt. Ltd.) </t>
  </si>
  <si>
    <t>MSME norms</t>
  </si>
  <si>
    <t>0085450616</t>
  </si>
  <si>
    <t>100% after  1 PM</t>
  </si>
  <si>
    <t>Innomotics India Pvt Ltd (Formerly Siemens Large Drives India Pvt Ltd)</t>
  </si>
  <si>
    <t>Navi-Mumbai</t>
  </si>
  <si>
    <t>Eastman Cast&amp;Forge Ltd.</t>
  </si>
  <si>
    <t>Ludhiana</t>
  </si>
  <si>
    <t>PO/25/FY25-26/151618</t>
  </si>
  <si>
    <t>10/07/2026 to 09/11/2026</t>
  </si>
  <si>
    <t>10/11/2026 to 09/03/2027</t>
  </si>
  <si>
    <t>Check with customer before billing may be 50% , 16th April 26</t>
  </si>
  <si>
    <t>Generate in Sep</t>
  </si>
  <si>
    <t>Each invoice should be for 50% of the total PO value, processed at six-month intervals.</t>
  </si>
  <si>
    <t>Jaiko Industries Ltd</t>
  </si>
  <si>
    <t>P251763</t>
  </si>
  <si>
    <t xml:space="preserve">West </t>
  </si>
  <si>
    <t>30 days after each invoice</t>
  </si>
  <si>
    <t>The Tata Power Company Limited</t>
  </si>
  <si>
    <t>01/03/2028 to 30/06/2028</t>
  </si>
  <si>
    <t>01/07/2028 to 31/10/2028</t>
  </si>
  <si>
    <t>01/11/2028 to 29/02/2029</t>
  </si>
  <si>
    <t>Timken India Manufacturing Pvt Ltd</t>
  </si>
  <si>
    <t>7 days</t>
  </si>
  <si>
    <t>Alfa Laval India LTD -PDL</t>
  </si>
  <si>
    <t>Check address , genrate in new BP code 467</t>
  </si>
  <si>
    <t>Kalwa Navi Mumbai</t>
  </si>
  <si>
    <t>Sandvik Coromant India Pvt Ltd- Main Store</t>
  </si>
  <si>
    <t>Sandvik Coromant India Pvt Ltd- Copper tools</t>
  </si>
  <si>
    <t>Bajaj Auto Ltd-MCD store</t>
  </si>
  <si>
    <t>01/10/2026 to 31/03/2027</t>
  </si>
  <si>
    <t>As per MSME</t>
  </si>
  <si>
    <t>GPV Lanka Pvt Ltd</t>
  </si>
  <si>
    <t>Srilanka</t>
  </si>
  <si>
    <t>P26-003094</t>
  </si>
  <si>
    <t>40 days after Bill</t>
  </si>
  <si>
    <t>Federal Mogul Goetze (India) Pvt Ltd</t>
  </si>
  <si>
    <t>29th April 26</t>
  </si>
  <si>
    <t>20 dys?</t>
  </si>
  <si>
    <t>19th April 26</t>
  </si>
  <si>
    <t>Alfa Laval India LTD -Decanter Stores</t>
  </si>
  <si>
    <t>01/11/2026 to 30/04/2027</t>
  </si>
  <si>
    <t>POC/25-26/2214</t>
  </si>
  <si>
    <t>P2601664</t>
  </si>
  <si>
    <t>30 days from date of each invoice</t>
  </si>
  <si>
    <t>PO-2526-040007</t>
  </si>
  <si>
    <t>Visteon Automotive Inida Systems Pvt Ltd [Visteon Electronics India Pvt ltd]</t>
  </si>
  <si>
    <t>NCI00LHY</t>
  </si>
  <si>
    <t>01/01/2026 ot 30/06/2026</t>
  </si>
  <si>
    <t>Payment immediately</t>
  </si>
  <si>
    <t>Cummins India Ltd -KEP</t>
  </si>
  <si>
    <t>IND8440035</t>
  </si>
  <si>
    <t>KSB Ltd-Supreme Serv</t>
  </si>
  <si>
    <t>Freudenberg Nok</t>
  </si>
  <si>
    <t>HARYANA</t>
  </si>
  <si>
    <t>20th April 26, 50% Invoice</t>
  </si>
  <si>
    <t>generate after 3rd PM</t>
  </si>
  <si>
    <t>50% against subission of 1st original Invoice , Balance 50% after completion of 6 Month against submission of final invoice</t>
  </si>
  <si>
    <t>50% Invoice</t>
  </si>
  <si>
    <t>Dec_25</t>
  </si>
  <si>
    <t>NSPR/6000086491</t>
  </si>
  <si>
    <t>10/01/2026 to 09/05/2026</t>
  </si>
  <si>
    <t>10/05/2026 to 09/09/2026</t>
  </si>
  <si>
    <t>50% of basic with Taxes as advance after start of AMC against submission of invoice andbalance 50% basic with Taxes after completion of 6 months of AMC against submission of invoice</t>
  </si>
  <si>
    <t>Merck Life Science Pvt Ltd</t>
  </si>
  <si>
    <t>Patalganga</t>
  </si>
  <si>
    <t>01/04/2026 to 15/08/2026</t>
  </si>
  <si>
    <t>16/08/2026 to 31/12/2026</t>
  </si>
  <si>
    <t>Sandvik Coromant India Pvt Ltd- PVD/CVD</t>
  </si>
  <si>
    <t>Sandvik Coromant India Pvt Ltd- Lapping</t>
  </si>
  <si>
    <t>50% invoice</t>
  </si>
  <si>
    <t>50% after 3rd PM</t>
  </si>
  <si>
    <t>Half yearly basis and 100% of the amount</t>
  </si>
  <si>
    <t>45 days after each PM visit</t>
  </si>
  <si>
    <t>30 dayst after each PM visit</t>
  </si>
  <si>
    <t>Easr</t>
  </si>
  <si>
    <t>Half year</t>
  </si>
  <si>
    <t>01/12/2026 to 31/05/2027</t>
  </si>
  <si>
    <t>TDI260061</t>
  </si>
  <si>
    <t>TDA260010</t>
  </si>
  <si>
    <t>TLA260008</t>
  </si>
  <si>
    <t>JK/PO/26-27/0087</t>
  </si>
  <si>
    <t>Central Ordance Depot</t>
  </si>
  <si>
    <t>AGRA</t>
  </si>
  <si>
    <t>GEMC-511687742441932</t>
  </si>
  <si>
    <t>24/04/2026 to 23/06/2026</t>
  </si>
  <si>
    <t>24/06/2026 to 23/08/2026</t>
  </si>
  <si>
    <t>24/08/2026 to 23/10/2026</t>
  </si>
  <si>
    <t>24/10/2026 to 23/12/2026</t>
  </si>
  <si>
    <t>24/12/2026 to 23/02/2027</t>
  </si>
  <si>
    <t>24/02/2027 to 23/04/2027</t>
  </si>
  <si>
    <t>7100357522/0</t>
  </si>
  <si>
    <t>22/05/2026 to 21/09/2026</t>
  </si>
  <si>
    <t>22/09/2026 to 21/01/2027</t>
  </si>
  <si>
    <t>22/01/2027 to 21/05/2027</t>
  </si>
  <si>
    <t>KKI00059/2026-27</t>
  </si>
  <si>
    <t>CNH Industrial (India) Pvt Ltd</t>
  </si>
  <si>
    <t>RG1016355</t>
  </si>
  <si>
    <t>23/10/2025 to 22/02/2026</t>
  </si>
  <si>
    <t>23/02/2026 to 22/06/2026</t>
  </si>
  <si>
    <t>23/06/2026 to 22/10/2026</t>
  </si>
  <si>
    <t>Advance payment</t>
  </si>
  <si>
    <t>POC/26-27/488</t>
  </si>
  <si>
    <t>01/04/2026 ro 31/03/2027</t>
  </si>
  <si>
    <t>Nilpeter India P ltd</t>
  </si>
  <si>
    <t>100% Advance payment</t>
  </si>
  <si>
    <t>D</t>
  </si>
  <si>
    <t>22nd May 26</t>
  </si>
  <si>
    <t>21st May 26</t>
  </si>
  <si>
    <t>27th May 26</t>
  </si>
  <si>
    <t>29th May 26</t>
  </si>
  <si>
    <t>26th  May 26</t>
  </si>
  <si>
    <t>1st June 26</t>
  </si>
  <si>
    <t>Due to Gate pass issue not carried out</t>
  </si>
  <si>
    <t>11th May 25</t>
  </si>
  <si>
    <t>13th May 26</t>
  </si>
  <si>
    <t>14th May 26</t>
  </si>
  <si>
    <t>26th May 26</t>
  </si>
  <si>
    <t>2nd June 26</t>
  </si>
  <si>
    <t>11th May 26</t>
  </si>
  <si>
    <t>15th May 26</t>
  </si>
  <si>
    <t>In raised</t>
  </si>
  <si>
    <t>11th may 26</t>
  </si>
  <si>
    <t>29th May 26,3rd and 4th -1 Invoice</t>
  </si>
  <si>
    <t>30th May 26</t>
  </si>
  <si>
    <t>9th MAy 26</t>
  </si>
  <si>
    <t>23rd May 26</t>
  </si>
  <si>
    <t>25th May 26</t>
  </si>
  <si>
    <t>Qty mention as 3.5 and unit price as 53000</t>
  </si>
  <si>
    <t>3rd June 26</t>
  </si>
  <si>
    <t>5th May 26</t>
  </si>
  <si>
    <t>spare part issue</t>
  </si>
  <si>
    <t>28th May 26</t>
  </si>
  <si>
    <t>16th May 26</t>
  </si>
  <si>
    <t>19th May 26</t>
  </si>
  <si>
    <t>Check address , genrate in new BP code 467, 8th MAy 26</t>
  </si>
  <si>
    <t>make it qty as .67 last line item</t>
  </si>
  <si>
    <t>12th May 26</t>
  </si>
  <si>
    <t>make qty as .67 in invoice</t>
  </si>
  <si>
    <t>01/08/2027 to 30/11/2027</t>
  </si>
  <si>
    <t>01/04/2028 to 31/07/2028</t>
  </si>
  <si>
    <t>01/08/2028 to 30/11/2028</t>
  </si>
  <si>
    <t>01/12/2028 to 31/03/2029</t>
  </si>
  <si>
    <t>BLUESTAR</t>
  </si>
  <si>
    <t>25th April 26</t>
  </si>
  <si>
    <t>not confirmed by cx</t>
  </si>
  <si>
    <t>Prasad Koch Technik Private Limited</t>
  </si>
  <si>
    <t>MECHANICAL/512</t>
  </si>
  <si>
    <t>100% aginst PI</t>
  </si>
  <si>
    <t>30 days from DOI</t>
  </si>
  <si>
    <t>15 day</t>
  </si>
  <si>
    <t>7 day</t>
  </si>
  <si>
    <t>01/05/2027 to 31/10/2027</t>
  </si>
  <si>
    <t>01/11/2027 to 30/04/2028</t>
  </si>
  <si>
    <t>BEPO/GR4/4800094454</t>
  </si>
  <si>
    <t>23/03/2026 to 22/06/2026</t>
  </si>
  <si>
    <t>23/06/2026 to 22/09/2026</t>
  </si>
  <si>
    <t>23/09/2026 to 22/12/2026</t>
  </si>
  <si>
    <t>23/12/2026 to 22/03/2027</t>
  </si>
  <si>
    <t>after PM Visit</t>
  </si>
  <si>
    <t>23/03/2027 to 22/06/2027</t>
  </si>
  <si>
    <t>23/06/2027 to 22/09/2027</t>
  </si>
  <si>
    <t>23/09/2027 to 22/12/2027</t>
  </si>
  <si>
    <t>23/12/2027 to 22/03/2028</t>
  </si>
  <si>
    <t>23/03/2028 to 22/06/2028</t>
  </si>
  <si>
    <t>23/06/2028 to 22/09/2028</t>
  </si>
  <si>
    <t>23/09/2028 to 22/12/2028</t>
  </si>
  <si>
    <t>23/12/2028 to 22/03/2029</t>
  </si>
  <si>
    <t>100% against PO</t>
  </si>
  <si>
    <t>45 Days</t>
  </si>
  <si>
    <t>0087575147</t>
  </si>
  <si>
    <t>11/05/2026 to 10/09/2026</t>
  </si>
  <si>
    <t>11/09/2026 to 10/01/2027</t>
  </si>
  <si>
    <t>11/01/2027 to 31/03/2027</t>
  </si>
  <si>
    <t>SIIL/PO/2026/ADMIN/02</t>
  </si>
  <si>
    <t>13th may 26</t>
  </si>
  <si>
    <t>Quateryly</t>
  </si>
  <si>
    <t>BEPO/H1/4800095156</t>
  </si>
  <si>
    <t>19/05/2026 to 18/08/2026</t>
  </si>
  <si>
    <t>19/08/2026 to 18/11/2026</t>
  </si>
  <si>
    <t>19/11/2026 to 18/02/2027</t>
  </si>
  <si>
    <t>19/02/2027 to 18/05/2027</t>
  </si>
  <si>
    <t>19/05/2027 to 18/08/2027</t>
  </si>
  <si>
    <t>19/08/2027 to 18/11/2027</t>
  </si>
  <si>
    <t>19/11/2027 to 18/02/2028</t>
  </si>
  <si>
    <t>19/02/2028 to 18/05/2028</t>
  </si>
  <si>
    <t>Himachal Pradesh</t>
  </si>
  <si>
    <t>16/05/2026 to 15/09/2026</t>
  </si>
  <si>
    <t>20th May 26</t>
  </si>
  <si>
    <t>16/09/2026 to 15/01/2027</t>
  </si>
  <si>
    <t>16/01/2027 to 15/05/2027</t>
  </si>
  <si>
    <t>100% against Delivery</t>
  </si>
  <si>
    <t>MSME payment</t>
  </si>
  <si>
    <t xml:space="preserve">Tata motors passenger vehicles Limted </t>
  </si>
  <si>
    <t>KSB MIL Controls Limited</t>
  </si>
  <si>
    <t>Kerala</t>
  </si>
  <si>
    <t>2605-06</t>
  </si>
  <si>
    <t>16/05/2026 to 15/11/2026</t>
  </si>
  <si>
    <t>16/11/2026 to 15/05/2027</t>
  </si>
  <si>
    <t>50% will be released as advance and balance 50% after 6 Months</t>
  </si>
  <si>
    <t>16/05/2027 to 15/11/2027</t>
  </si>
  <si>
    <t>16/11/2027 to 15/05/2028</t>
  </si>
  <si>
    <t>16/05/2028 to 15/11/2028</t>
  </si>
  <si>
    <t>16/11/2028 to 15/05/2029</t>
  </si>
  <si>
    <t>0085463064</t>
  </si>
  <si>
    <t>01/02/2027 ot 31/05/2027</t>
  </si>
  <si>
    <t>After 1st Visit , Generate 100% invoice</t>
  </si>
  <si>
    <t>Flash Electronics (India) Pvt Ltd, (Formerly Flash Viven Pvt.Ltd.)</t>
  </si>
  <si>
    <t>01/06/2027 to 30/09/2027</t>
  </si>
  <si>
    <t>01/10/2027 to 31/01/2028</t>
  </si>
  <si>
    <t>01/02/2028 to 31/05/2028</t>
  </si>
  <si>
    <t>01/06/2028 to 30/09/2028</t>
  </si>
  <si>
    <t>01/10/2028 to 31/01/2029</t>
  </si>
  <si>
    <t>Procam logistics Pvt ltd- (Siemens Energy)</t>
  </si>
  <si>
    <t>PLPL/MUM/1640/18498/047</t>
  </si>
  <si>
    <t>01/01/2028 to 30/04/2028</t>
  </si>
  <si>
    <t>01/05/2028 to 31/08/2028</t>
  </si>
  <si>
    <t>01/09/2028 to 31/12/2028</t>
  </si>
  <si>
    <t>Daimler India Commercial Vehicles Pvt Ltd</t>
  </si>
  <si>
    <t>09/10/2025 to 09/01/2026</t>
  </si>
  <si>
    <t>2.5 Qty</t>
  </si>
  <si>
    <t>Half Yearly advance</t>
  </si>
  <si>
    <t>rahul</t>
  </si>
  <si>
    <t>west</t>
  </si>
  <si>
    <t>0085464411</t>
  </si>
  <si>
    <t>16/04/206 to 15/10/2026</t>
  </si>
  <si>
    <t>16/10/2026 to 15/04/2027</t>
  </si>
  <si>
    <t>CG Power &amp; Industrial Solutions Ltd</t>
  </si>
  <si>
    <t>Ahliyanagar</t>
  </si>
  <si>
    <t>15/05/2026 to 14/09/2026</t>
  </si>
  <si>
    <t>15/09/2026 to 14/01/2027</t>
  </si>
  <si>
    <t>15/01/2027 to 14/05/2027</t>
  </si>
  <si>
    <t>0085462926</t>
  </si>
  <si>
    <t>After 1st visit , 100% generate full amoutn invoice</t>
  </si>
  <si>
    <t>Data Base</t>
  </si>
  <si>
    <t>Formula for Visit</t>
  </si>
  <si>
    <t>MC list</t>
  </si>
  <si>
    <t>Tata motors ecvery location reports send to manu</t>
  </si>
  <si>
    <t>Sub Initiative report</t>
  </si>
  <si>
    <t xml:space="preserve">Check with Sree on Software </t>
  </si>
  <si>
    <t>19th June 26</t>
  </si>
  <si>
    <t>17th June 26</t>
  </si>
  <si>
    <t>22nd June 26</t>
  </si>
  <si>
    <t>16th June 26</t>
  </si>
  <si>
    <t>4th June 26</t>
  </si>
  <si>
    <t xml:space="preserve">Cancel the 2nd SO not last one </t>
  </si>
  <si>
    <t>8th June 26</t>
  </si>
  <si>
    <t>18th June 26</t>
  </si>
  <si>
    <t xml:space="preserve">11th June 26,Check with Manu Before Invoicing </t>
  </si>
  <si>
    <t>5th June 26</t>
  </si>
  <si>
    <t>24th June 26</t>
  </si>
  <si>
    <t>6th June 26</t>
  </si>
  <si>
    <t>23rd June 26</t>
  </si>
  <si>
    <t>13th June 26</t>
  </si>
  <si>
    <t>10th June 26</t>
  </si>
  <si>
    <t>13th July 26</t>
  </si>
  <si>
    <t>9th June 26</t>
  </si>
  <si>
    <t>3 Line Item while billing</t>
  </si>
  <si>
    <r>
      <rPr>
        <sz val="11"/>
        <color rgb="FF000000"/>
        <rFont val="Calibri"/>
        <family val="2"/>
      </rPr>
      <t xml:space="preserve">50% of basic with Taxes as advance after start of AMC against submission of invoice </t>
    </r>
    <r>
      <rPr>
        <sz val="11"/>
        <color rgb="FFFF0000"/>
        <rFont val="Calibri"/>
        <family val="2"/>
      </rPr>
      <t xml:space="preserve">and </t>
    </r>
    <r>
      <rPr>
        <sz val="11"/>
        <color rgb="FF000000"/>
        <rFont val="Calibri"/>
        <family val="2"/>
      </rPr>
      <t>balance 50% basic with Taxes after completion of 6 months of AMC against submission of invoice)</t>
    </r>
  </si>
  <si>
    <t>29th June 26</t>
  </si>
  <si>
    <t>11th June 26</t>
  </si>
  <si>
    <t>raise in July</t>
  </si>
  <si>
    <t>28th June 26</t>
  </si>
  <si>
    <t>26th June 26</t>
  </si>
  <si>
    <t>27th June 26</t>
  </si>
  <si>
    <t>50% Inv Raised- 2nd June 26 check PO for 2nd Invocie</t>
  </si>
  <si>
    <t>25th June 26</t>
  </si>
  <si>
    <t>3rd june 26</t>
  </si>
  <si>
    <t>Qty mention any 1 SR as 0.66</t>
  </si>
  <si>
    <t>Dec</t>
  </si>
  <si>
    <t>Bharat Forge LTD -Aerospace</t>
  </si>
  <si>
    <t>20th June 26</t>
  </si>
  <si>
    <t>raise in Aug</t>
  </si>
  <si>
    <t>8th June 26, 50% invoice</t>
  </si>
  <si>
    <t>15th June 26</t>
  </si>
  <si>
    <t>12th June 26</t>
  </si>
  <si>
    <t>Already added in Schedule</t>
  </si>
  <si>
    <t>21/02/2026 to 20/06/2026</t>
  </si>
  <si>
    <t>21/06/2026 to 20/10/2026</t>
  </si>
  <si>
    <t>21/10/2026 to 20/02/2027</t>
  </si>
  <si>
    <t>Gurgaon</t>
  </si>
  <si>
    <t>After 3rd PM</t>
  </si>
  <si>
    <t>01/12/2025 to 31/03/2027</t>
  </si>
  <si>
    <t xml:space="preserve">50 % invoice after 1 st PM , Balance after 6 month, after 3rd PM visit </t>
  </si>
  <si>
    <t>Sandvik Coromant India Pvt Ltd-Round Tool Intertex</t>
  </si>
  <si>
    <t>Wirtgen India Pvt.Ltd.</t>
  </si>
  <si>
    <t>01/07/2026 to 31/12/2027</t>
  </si>
  <si>
    <t>HAL(NK)/FN/AM/24/6/AODSRV1008/729</t>
  </si>
  <si>
    <t>Sandvik Coromant India Pvt Ltd- Demo Centre</t>
  </si>
  <si>
    <t>Dapodi Pune</t>
  </si>
  <si>
    <t>Sasi</t>
  </si>
  <si>
    <t>100% completion of job</t>
  </si>
  <si>
    <t>0085466435</t>
  </si>
  <si>
    <t xml:space="preserve">100% invoice  after 1st Pm vist </t>
  </si>
  <si>
    <t>0082021592</t>
  </si>
  <si>
    <t xml:space="preserve">45 days </t>
  </si>
  <si>
    <t>NSPR/6000089537</t>
  </si>
  <si>
    <t>Inv raised</t>
  </si>
  <si>
    <t>Generate in Jan 27</t>
  </si>
  <si>
    <t xml:space="preserve">50% basic as advance after start of the AMC and balance 50% after completion of 6 months </t>
  </si>
  <si>
    <t>Fiat india Automobiles Pvt. LTD -SCM</t>
  </si>
  <si>
    <t>VSG/3400854311</t>
  </si>
  <si>
    <t>Immediate</t>
  </si>
  <si>
    <t>Generate after 3rd Pm visit</t>
  </si>
  <si>
    <t>Immediately 100%</t>
  </si>
  <si>
    <t>full payment on completion on job</t>
  </si>
  <si>
    <t>Bharat Forge LTD - Mundama-MCD II</t>
  </si>
  <si>
    <t>OBI/WRO/2026/00151</t>
  </si>
  <si>
    <t>Qlar Technology India Pvt Ltd (Schenk Process Solutions India Pvt Ltd)</t>
  </si>
  <si>
    <t>pradeep</t>
  </si>
  <si>
    <t>Jadecherla</t>
  </si>
  <si>
    <t>100% on completion of Job</t>
  </si>
  <si>
    <t>Marquardt India Pvt Ltd</t>
  </si>
  <si>
    <t>Talegoan, Pune</t>
  </si>
  <si>
    <t>0087581057</t>
  </si>
  <si>
    <t>Mahindra &amp; Mahindra LTD - Kandivali</t>
  </si>
  <si>
    <t>A002/A3P/3400866545</t>
  </si>
  <si>
    <t>Belgam</t>
  </si>
  <si>
    <t>PISB00035</t>
  </si>
  <si>
    <t>NSPR/6000089802</t>
  </si>
  <si>
    <t>Tata motors passenger vehicles Limted -Weld Shop</t>
  </si>
  <si>
    <t>PO27-003033</t>
  </si>
  <si>
    <t>BANGALORE - Kengeri</t>
  </si>
  <si>
    <t>100% After 1st PM visit</t>
  </si>
  <si>
    <t>PO27-002962</t>
  </si>
  <si>
    <t xml:space="preserve">SO Booked </t>
  </si>
  <si>
    <t>crrt</t>
  </si>
  <si>
    <t>Surya Nepal - Pick Other Territory While Invoicing,Customer will release 2 PO for 2 visit , 2 Invoice for 1st Visit for per machine, 2 invocie for 2nd visit per machine</t>
  </si>
  <si>
    <t>4220- tested Subsciprtion</t>
  </si>
  <si>
    <t>SO [Sale Order]</t>
  </si>
  <si>
    <t>Subsciption</t>
  </si>
  <si>
    <t xml:space="preserve">17th July 26, Cancel the 2nd SO not last one </t>
  </si>
  <si>
    <t>16th July 26</t>
  </si>
  <si>
    <t>17th July 26</t>
  </si>
  <si>
    <t>23rd July 26</t>
  </si>
  <si>
    <t>24th July 26</t>
  </si>
  <si>
    <t>BEPO/N4/4800086922</t>
  </si>
  <si>
    <t>1st July 26</t>
  </si>
  <si>
    <t>8th July 26</t>
  </si>
  <si>
    <t>10th June 26,generate after 3rd PM</t>
  </si>
  <si>
    <t>14th July 26</t>
  </si>
  <si>
    <t>2nd July 26</t>
  </si>
  <si>
    <t>20th July 26</t>
  </si>
  <si>
    <t>25th July 26</t>
  </si>
  <si>
    <t>9th July 26</t>
  </si>
  <si>
    <t>10th July 26</t>
  </si>
  <si>
    <t>3rd July 26</t>
  </si>
  <si>
    <t>3rd Aug 26</t>
  </si>
  <si>
    <t>01st July 26</t>
  </si>
  <si>
    <t>4th July 26</t>
  </si>
  <si>
    <t>15th July 26</t>
  </si>
  <si>
    <t>28th July 26</t>
  </si>
  <si>
    <t>7th July 26</t>
  </si>
  <si>
    <t>13/04/2026 to 12/10/2026</t>
  </si>
  <si>
    <t>8th April 26, Invoice raised for 10 Units</t>
  </si>
  <si>
    <t>14th July 26, invocie raised for 9 units (09005253/001 &amp; 10009149/001 Not included)</t>
  </si>
  <si>
    <t>6th July 26</t>
  </si>
  <si>
    <t>29th June 26, 2nd Invoice generate in Nov</t>
  </si>
  <si>
    <t xml:space="preserve">Cummins Technologis India Pvt Ltd-PCP 2 </t>
  </si>
  <si>
    <t>30th July 26</t>
  </si>
  <si>
    <t>30th June 26</t>
  </si>
  <si>
    <t>21st July 26</t>
  </si>
  <si>
    <t>12th July 26</t>
  </si>
  <si>
    <t>11th July 26</t>
  </si>
  <si>
    <t>2 invoice for 3 Visits</t>
  </si>
  <si>
    <t>After completing the 3rd PM please do generate the invocie for remaing 96000 for the last Invoice</t>
  </si>
  <si>
    <t>4898, 4899</t>
  </si>
  <si>
    <t>Generate in the month of Jan 27</t>
  </si>
  <si>
    <t>Check with cx befpre generating</t>
  </si>
  <si>
    <t>50 % at the statrt of AMC , balance after six month fomr the date of work order</t>
  </si>
  <si>
    <t>0085469025</t>
  </si>
  <si>
    <t>100% Invoice</t>
  </si>
  <si>
    <t xml:space="preserve">Vinay </t>
  </si>
  <si>
    <t>Chakan- Pune</t>
  </si>
  <si>
    <t>Added in MC schedule</t>
  </si>
  <si>
    <t>Garrett Motion Technoligies (Inida) Pvt Ltd</t>
  </si>
  <si>
    <t>5000416073-2</t>
  </si>
  <si>
    <t>BEPO/CS2/4800097440</t>
  </si>
  <si>
    <t>2 invoice for  3 PM visits</t>
  </si>
  <si>
    <t xml:space="preserve">22nd July 27 ,Mentioned 0.5 Qty </t>
  </si>
  <si>
    <t xml:space="preserve">Mentioned 0.5 Qty </t>
  </si>
  <si>
    <t>100% Against PO, after each PM visit</t>
  </si>
  <si>
    <t>Ajax Engineering Limited</t>
  </si>
  <si>
    <t>Bharat Forge LTD - MCD 3</t>
  </si>
  <si>
    <t>Baramati</t>
  </si>
  <si>
    <t>01/07/2026 to 30/06/2027</t>
  </si>
  <si>
    <t>Bharat Forge LTD - MCD 2</t>
  </si>
  <si>
    <t>Bharat Forge LTD - MCD 1</t>
  </si>
  <si>
    <t>2026/1775</t>
  </si>
  <si>
    <t>Witin 15 days</t>
  </si>
  <si>
    <t>0085473627</t>
  </si>
  <si>
    <t>2026/435</t>
  </si>
  <si>
    <t>30 days from each PM visit</t>
  </si>
  <si>
    <t>BEPO/PN4/4800096774</t>
  </si>
  <si>
    <t xml:space="preserve">30 days  </t>
  </si>
  <si>
    <t>Need to generate inv</t>
  </si>
  <si>
    <t>100% Invocie after 1st PM visit</t>
  </si>
  <si>
    <t>BEPO/MC2/4800097716</t>
  </si>
  <si>
    <t>27th July 26</t>
  </si>
  <si>
    <t>DHARAWAD</t>
  </si>
  <si>
    <t>IND8356706</t>
  </si>
  <si>
    <t>Immediate after MR date</t>
  </si>
  <si>
    <t>100 % advance</t>
  </si>
  <si>
    <t>Adverb Technologies Pvt Ltd</t>
  </si>
  <si>
    <t>Kolkota</t>
  </si>
  <si>
    <t>GE Oil &amp; Gas India Pvt Ltd</t>
  </si>
  <si>
    <t>Sandvik Coromant India Pvt Ltd- Soft Tools</t>
  </si>
  <si>
    <t>VE Commercial Vehicles Ltd</t>
  </si>
  <si>
    <t xml:space="preserve">Removed in the month of Aug </t>
  </si>
  <si>
    <t>18th Sep 26</t>
  </si>
  <si>
    <t>19th AUg 26</t>
  </si>
  <si>
    <t>18th Aug 26</t>
  </si>
  <si>
    <t>Check with Ashraf/Manu Before doing it,as 1st invoice was not accpeted by the cx.</t>
  </si>
  <si>
    <t>19th Sep 26</t>
  </si>
  <si>
    <t>17th Sep 26</t>
  </si>
  <si>
    <t>8th Sep 26</t>
  </si>
  <si>
    <t>25th AUg 26</t>
  </si>
  <si>
    <t>6th Aug 26</t>
  </si>
  <si>
    <t xml:space="preserve">Inv raised , as cx given other PO of total 8 machines where it covers exisiting machines hence PM not carried out </t>
  </si>
  <si>
    <t>Software</t>
  </si>
  <si>
    <t>JMF contract given service for 1 time only.</t>
  </si>
  <si>
    <t>16th Sep 26</t>
  </si>
  <si>
    <t>20th Aug 26</t>
  </si>
  <si>
    <t>29th Aug 26</t>
  </si>
  <si>
    <t>31st ug 26</t>
  </si>
  <si>
    <t>31st AUg 26</t>
  </si>
  <si>
    <t>10th AUg 26</t>
  </si>
  <si>
    <t>12th AUg 26</t>
  </si>
  <si>
    <t>27th Aug 26, 3 Line Item while billing</t>
  </si>
  <si>
    <t>11th Aug 26</t>
  </si>
  <si>
    <t>11th Sep 26</t>
  </si>
  <si>
    <t>12th Sep 26</t>
  </si>
  <si>
    <t>3rd Sep 26</t>
  </si>
  <si>
    <t>27th Aug 26</t>
  </si>
  <si>
    <t>5th Sep 26</t>
  </si>
  <si>
    <t>9th Sep 26</t>
  </si>
  <si>
    <t>13th Aug 26</t>
  </si>
  <si>
    <t>19th Aug 26</t>
  </si>
  <si>
    <t>14th Aug ,raise in July</t>
  </si>
  <si>
    <t>7th Sep 26</t>
  </si>
  <si>
    <t>12th Aug 26</t>
  </si>
  <si>
    <t>31st July 26</t>
  </si>
  <si>
    <t>8th Aug 26</t>
  </si>
  <si>
    <t>4th Sep 26</t>
  </si>
  <si>
    <t>21st Aug 26</t>
  </si>
  <si>
    <t>20th AUg 26</t>
  </si>
  <si>
    <t>10th Aug 26</t>
  </si>
  <si>
    <t>5th Aug 26</t>
  </si>
  <si>
    <t>25th Ag 26</t>
  </si>
  <si>
    <t xml:space="preserve">22nd Aug 26. </t>
  </si>
  <si>
    <t>No need for New SO go to the subscription</t>
  </si>
  <si>
    <t>14th Sep 26</t>
  </si>
  <si>
    <t>13th Sep 26</t>
  </si>
  <si>
    <t>25th Aug 26</t>
  </si>
  <si>
    <t>7th AUg 26</t>
  </si>
  <si>
    <t>14th Aug 26</t>
  </si>
  <si>
    <t>4th Aug 26</t>
  </si>
  <si>
    <t>1st Sep 26</t>
  </si>
  <si>
    <t>visteon</t>
  </si>
  <si>
    <t>24th Aug 26</t>
  </si>
  <si>
    <t>Need to Generate balance amt after com[pletion of 3rd Pm visit</t>
  </si>
  <si>
    <t>Before 15th we have to raise the bill, before 20th they shoukd receive the courier</t>
  </si>
  <si>
    <t>check with manu before generating invoice</t>
  </si>
  <si>
    <t>28th Aug 26</t>
  </si>
  <si>
    <t>9th Aug 26</t>
  </si>
  <si>
    <t>Mar-27</t>
  </si>
  <si>
    <t>12th Aug 26,generate after 3rd PM</t>
  </si>
  <si>
    <t>9th Sep 26,Inv Raised</t>
  </si>
  <si>
    <t>Inv Raised</t>
  </si>
  <si>
    <t>41223.06, less 10 rs from this amt while generating 2nd pm, check with Manu before generating</t>
  </si>
  <si>
    <t>2nd Sep 26</t>
  </si>
  <si>
    <t>6th AUg 26</t>
  </si>
  <si>
    <t>mention Qty as 0.5</t>
  </si>
  <si>
    <t>8th Sep 26 - 2.5 Qty</t>
  </si>
  <si>
    <t>10th Sep 26</t>
  </si>
  <si>
    <t>5th aug 26</t>
  </si>
  <si>
    <t>Billing 1 Line Item Done t make 2 Line Item as cx rejected 1st invocie for th2 Line Item</t>
  </si>
  <si>
    <t>Inv raised, 3rd Sep 26</t>
  </si>
  <si>
    <t xml:space="preserve">Mention 0.5 Qty </t>
  </si>
  <si>
    <t xml:space="preserve">Mention  0.5 Qty </t>
  </si>
  <si>
    <t>26th July 26</t>
  </si>
  <si>
    <t>Generater 2nd Inv after 3rd Pm</t>
  </si>
  <si>
    <t>15th Sep 26</t>
  </si>
  <si>
    <t>4702,03</t>
  </si>
  <si>
    <t>Need to generate inv after 1st Pm</t>
  </si>
  <si>
    <t>KQ093524</t>
  </si>
  <si>
    <t>7 days from Invoice</t>
  </si>
  <si>
    <t>BEPO/C1/4800098238</t>
  </si>
  <si>
    <t>Rajangaon, Pune</t>
  </si>
  <si>
    <t>C-10003703695</t>
  </si>
  <si>
    <t>Update in M/c Data base after 5th Oct 26</t>
  </si>
  <si>
    <t>BEPO/PK2/4800097474</t>
  </si>
  <si>
    <t xml:space="preserve">Vinay  </t>
  </si>
  <si>
    <t>Allison Transmission Private Limited</t>
  </si>
  <si>
    <t>0000364581</t>
  </si>
  <si>
    <t>Immediately Due Net</t>
  </si>
  <si>
    <t>BLR-PO-1007844</t>
  </si>
  <si>
    <t>100% Payment against delivery</t>
  </si>
  <si>
    <t>47403140-9YR</t>
  </si>
  <si>
    <t xml:space="preserve">Generate SC after exisiting contract ends </t>
  </si>
  <si>
    <t>0042/7001445146</t>
  </si>
  <si>
    <t>0042/7001440526</t>
  </si>
  <si>
    <t>Chinhwad - Pune</t>
  </si>
  <si>
    <t>Sandvik Coromant India Pvt Ltd-Grinding</t>
  </si>
  <si>
    <t>Flash Electronics (India) Pvt.Ltd-Forging</t>
  </si>
  <si>
    <t>100 % against Delivery</t>
  </si>
  <si>
    <t>Aumovio India Pvt Ltd (Continental Automotive Components(India)Pvt Ltd)</t>
  </si>
  <si>
    <t>BEPO/CS2/4800098214</t>
  </si>
  <si>
    <t>PO26270951</t>
  </si>
  <si>
    <t>100% after receiving of original invoice hard copy</t>
  </si>
  <si>
    <t>0000364855</t>
  </si>
  <si>
    <t>100% against delivery</t>
  </si>
  <si>
    <t>23/07/2026 to 24/07/2027</t>
  </si>
  <si>
    <t>Full payment on completion of job</t>
  </si>
  <si>
    <t>Payment after each PM visit</t>
  </si>
  <si>
    <t>Sep</t>
  </si>
  <si>
    <t>Punjab</t>
  </si>
  <si>
    <t>Firmenich Aromatics Pvt.ltd-Ingredients</t>
  </si>
  <si>
    <t>Bidaddi</t>
  </si>
  <si>
    <t>PON2/26/0906</t>
  </si>
  <si>
    <t>Sandvik Coromant India Pvt Ltd-Round Tools</t>
  </si>
  <si>
    <t>Ashaf</t>
  </si>
  <si>
    <t>O-O-2627-10135</t>
  </si>
  <si>
    <t>100%against PI</t>
  </si>
  <si>
    <t>P2600120</t>
  </si>
  <si>
    <t>10/06/2026 to 09/08/2026</t>
  </si>
  <si>
    <t>10/08/2026 to 09/10/2026</t>
  </si>
  <si>
    <t>10/10/2026 to 09/12/2026</t>
  </si>
  <si>
    <t>10/12/2026 to 09/02/2027</t>
  </si>
  <si>
    <t>10/02/2027 to 09/04/2027</t>
  </si>
  <si>
    <t>10/04/2027 to 09/06/2027</t>
  </si>
  <si>
    <t>10/06/2027 to 09/08/2027</t>
  </si>
  <si>
    <t>10/08/2027 to 09/10/2027</t>
  </si>
  <si>
    <t>10/10/2027 to 09/12/2027</t>
  </si>
  <si>
    <t>10/12/2027 to 09/02/2028</t>
  </si>
  <si>
    <t>10/02/2028 to 09/04/2028</t>
  </si>
  <si>
    <t>10/04/2028 to 09/06/2028</t>
  </si>
  <si>
    <t>KPT/SNC/26SNCAP-486/615</t>
  </si>
  <si>
    <t>After visit</t>
  </si>
  <si>
    <t>Qty 2.5</t>
  </si>
  <si>
    <t>TMP260048</t>
  </si>
  <si>
    <t xml:space="preserve">After PM visit </t>
  </si>
  <si>
    <t>31st Aug 26</t>
  </si>
  <si>
    <t xml:space="preserve">2nd Sep 26 ,Inv raised </t>
  </si>
  <si>
    <t xml:space="preserve">Need to generate full amt after 1st PM </t>
  </si>
  <si>
    <t>generate full amt after 1st Pm</t>
  </si>
  <si>
    <t>Added in MC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</si>
</sst>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[$-409]d\-mmm\-yyyy;@"/>
    <numFmt numFmtId="167" formatCode="[$-409]d\-mmm\-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rgb="FF242424"/>
      <name val="Aptos Narrow"/>
      <family val="2"/>
    </font>
    <font>
      <sz val="10"/>
      <color rgb="FF000000"/>
      <name val="Arial"/>
      <family val="2"/>
      <charset val="1"/>
    </font>
    <font>
      <sz val="12"/>
      <color rgb="FF242424"/>
      <name val="Aptos"/>
      <family val="2"/>
    </font>
    <font>
      <sz val="11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Roboto"/>
      <charset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sz val="11"/>
      <color theme="0"/>
      <name val="Calibri"/>
      <family val="2"/>
    </font>
    <font>
      <sz val="11"/>
      <color rgb="FF1F1F1F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5" tint="0.59999389629810485"/>
      <name val="Calibri"/>
      <family val="2"/>
    </font>
    <font>
      <sz val="11"/>
      <name val="Calibri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scheme val="minor"/>
    </font>
    <font>
      <b/>
      <i/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1C6C7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4B388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0">
      <alignment vertical="center"/>
    </xf>
  </cellStyleXfs>
  <cellXfs count="840">
    <xf numFmtId="0" fontId="0" fillId="0" borderId="0" xfId="0"/>
    <xf numFmtId="0" fontId="5" fillId="0" borderId="0" xfId="2" applyFont="1" applyAlignment="1">
      <alignment horizontal="left"/>
    </xf>
    <xf numFmtId="0" fontId="6" fillId="0" borderId="0" xfId="2" applyFont="1" applyAlignment="1">
      <alignment horizontal="center"/>
    </xf>
    <xf numFmtId="0" fontId="6" fillId="2" borderId="0" xfId="2" applyFont="1" applyFill="1"/>
    <xf numFmtId="0" fontId="6" fillId="3" borderId="0" xfId="2" applyFont="1" applyFill="1" applyAlignment="1">
      <alignment horizontal="center"/>
    </xf>
    <xf numFmtId="164" fontId="6" fillId="0" borderId="0" xfId="1" applyFont="1" applyFill="1" applyBorder="1"/>
    <xf numFmtId="43" fontId="6" fillId="0" borderId="0" xfId="2" applyNumberFormat="1" applyFont="1" applyAlignment="1">
      <alignment horizontal="center"/>
    </xf>
    <xf numFmtId="0" fontId="6" fillId="0" borderId="0" xfId="2" applyFont="1"/>
    <xf numFmtId="164" fontId="6" fillId="0" borderId="0" xfId="1" applyFont="1"/>
    <xf numFmtId="164" fontId="6" fillId="0" borderId="0" xfId="2" applyNumberFormat="1" applyFont="1" applyAlignment="1">
      <alignment horizontal="center"/>
    </xf>
    <xf numFmtId="43" fontId="6" fillId="0" borderId="0" xfId="2" applyNumberFormat="1" applyFont="1"/>
    <xf numFmtId="164" fontId="6" fillId="0" borderId="0" xfId="1" applyFont="1" applyAlignment="1">
      <alignment horizontal="center"/>
    </xf>
    <xf numFmtId="2" fontId="6" fillId="0" borderId="0" xfId="2" quotePrefix="1" applyNumberFormat="1" applyFont="1"/>
    <xf numFmtId="0" fontId="5" fillId="0" borderId="0" xfId="2" applyFont="1" applyAlignment="1">
      <alignment horizontal="center"/>
    </xf>
    <xf numFmtId="0" fontId="5" fillId="0" borderId="2" xfId="2" applyFont="1" applyBorder="1" applyAlignment="1">
      <alignment horizontal="center"/>
    </xf>
    <xf numFmtId="164" fontId="5" fillId="0" borderId="2" xfId="1" applyFont="1" applyFill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5" borderId="2" xfId="2" applyFont="1" applyFill="1" applyBorder="1"/>
    <xf numFmtId="0" fontId="6" fillId="0" borderId="2" xfId="2" applyFont="1" applyBorder="1"/>
    <xf numFmtId="164" fontId="6" fillId="0" borderId="2" xfId="1" applyFont="1" applyFill="1" applyBorder="1"/>
    <xf numFmtId="14" fontId="6" fillId="0" borderId="2" xfId="2" applyNumberFormat="1" applyFont="1" applyBorder="1"/>
    <xf numFmtId="0" fontId="6" fillId="6" borderId="2" xfId="2" applyFont="1" applyFill="1" applyBorder="1"/>
    <xf numFmtId="14" fontId="6" fillId="0" borderId="2" xfId="2" applyNumberFormat="1" applyFont="1" applyBorder="1" applyAlignment="1">
      <alignment horizontal="center"/>
    </xf>
    <xf numFmtId="0" fontId="6" fillId="0" borderId="2" xfId="2" quotePrefix="1" applyFont="1" applyBorder="1" applyAlignment="1">
      <alignment horizontal="center"/>
    </xf>
    <xf numFmtId="0" fontId="6" fillId="0" borderId="3" xfId="2" applyFont="1" applyBorder="1"/>
    <xf numFmtId="0" fontId="6" fillId="0" borderId="3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0" fontId="6" fillId="0" borderId="2" xfId="0" applyFont="1" applyBorder="1" applyAlignment="1" applyProtection="1">
      <alignment horizontal="center" vertical="center"/>
      <protection locked="0"/>
    </xf>
    <xf numFmtId="14" fontId="6" fillId="0" borderId="2" xfId="2" applyNumberFormat="1" applyFont="1" applyBorder="1" applyAlignment="1" applyProtection="1">
      <alignment horizontal="center"/>
      <protection locked="0"/>
    </xf>
    <xf numFmtId="0" fontId="6" fillId="0" borderId="2" xfId="2" applyFont="1" applyBorder="1" applyAlignment="1" applyProtection="1">
      <alignment horizontal="center"/>
      <protection locked="0"/>
    </xf>
    <xf numFmtId="0" fontId="5" fillId="0" borderId="0" xfId="2" applyFont="1"/>
    <xf numFmtId="14" fontId="6" fillId="0" borderId="3" xfId="2" applyNumberFormat="1" applyFont="1" applyBorder="1" applyAlignment="1">
      <alignment horizontal="center"/>
    </xf>
    <xf numFmtId="164" fontId="6" fillId="0" borderId="3" xfId="1" applyFont="1" applyFill="1" applyBorder="1"/>
    <xf numFmtId="14" fontId="6" fillId="0" borderId="3" xfId="2" applyNumberFormat="1" applyFont="1" applyBorder="1"/>
    <xf numFmtId="0" fontId="6" fillId="6" borderId="3" xfId="2" applyFont="1" applyFill="1" applyBorder="1"/>
    <xf numFmtId="0" fontId="5" fillId="0" borderId="2" xfId="2" applyFont="1" applyBorder="1"/>
    <xf numFmtId="0" fontId="6" fillId="0" borderId="2" xfId="0" applyFont="1" applyBorder="1" applyAlignment="1">
      <alignment vertical="center"/>
    </xf>
    <xf numFmtId="0" fontId="6" fillId="8" borderId="2" xfId="2" applyFont="1" applyFill="1" applyBorder="1" applyAlignment="1">
      <alignment horizontal="center"/>
    </xf>
    <xf numFmtId="0" fontId="6" fillId="0" borderId="6" xfId="0" applyFont="1" applyBorder="1" applyAlignment="1">
      <alignment vertical="center"/>
    </xf>
    <xf numFmtId="14" fontId="6" fillId="2" borderId="6" xfId="2" applyNumberFormat="1" applyFont="1" applyFill="1" applyBorder="1" applyAlignment="1">
      <alignment horizontal="center"/>
    </xf>
    <xf numFmtId="164" fontId="6" fillId="0" borderId="2" xfId="1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14" fontId="6" fillId="0" borderId="8" xfId="2" applyNumberFormat="1" applyFont="1" applyBorder="1" applyAlignment="1">
      <alignment horizontal="center"/>
    </xf>
    <xf numFmtId="0" fontId="6" fillId="0" borderId="8" xfId="2" applyFont="1" applyBorder="1" applyAlignment="1">
      <alignment horizontal="left"/>
    </xf>
    <xf numFmtId="0" fontId="4" fillId="0" borderId="2" xfId="2" applyBorder="1"/>
    <xf numFmtId="0" fontId="8" fillId="0" borderId="2" xfId="0" quotePrefix="1" applyFont="1" applyBorder="1" applyAlignment="1">
      <alignment horizontal="center"/>
    </xf>
    <xf numFmtId="166" fontId="6" fillId="0" borderId="2" xfId="2" applyNumberFormat="1" applyFont="1" applyBorder="1" applyAlignment="1">
      <alignment horizontal="center"/>
    </xf>
    <xf numFmtId="0" fontId="6" fillId="0" borderId="4" xfId="2" applyFont="1" applyBorder="1" applyAlignment="1" applyProtection="1">
      <alignment horizontal="center"/>
      <protection locked="0"/>
    </xf>
    <xf numFmtId="0" fontId="6" fillId="2" borderId="2" xfId="0" applyFont="1" applyFill="1" applyBorder="1" applyAlignment="1">
      <alignment vertical="center"/>
    </xf>
    <xf numFmtId="0" fontId="0" fillId="0" borderId="6" xfId="0" applyBorder="1" applyAlignment="1">
      <alignment horizontal="center"/>
    </xf>
    <xf numFmtId="14" fontId="6" fillId="0" borderId="7" xfId="2" applyNumberFormat="1" applyFont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6" fillId="0" borderId="6" xfId="2" applyFont="1" applyBorder="1" applyAlignment="1">
      <alignment horizontal="left"/>
    </xf>
    <xf numFmtId="14" fontId="6" fillId="0" borderId="6" xfId="2" applyNumberFormat="1" applyFont="1" applyBorder="1" applyAlignment="1">
      <alignment horizontal="center"/>
    </xf>
    <xf numFmtId="164" fontId="6" fillId="0" borderId="6" xfId="1" applyFont="1" applyFill="1" applyBorder="1"/>
    <xf numFmtId="14" fontId="6" fillId="0" borderId="6" xfId="2" applyNumberFormat="1" applyFont="1" applyBorder="1"/>
    <xf numFmtId="0" fontId="6" fillId="0" borderId="6" xfId="2" applyFont="1" applyBorder="1"/>
    <xf numFmtId="0" fontId="6" fillId="6" borderId="6" xfId="2" applyFont="1" applyFill="1" applyBorder="1"/>
    <xf numFmtId="14" fontId="6" fillId="2" borderId="8" xfId="2" applyNumberFormat="1" applyFont="1" applyFill="1" applyBorder="1" applyAlignment="1">
      <alignment horizontal="center"/>
    </xf>
    <xf numFmtId="164" fontId="6" fillId="0" borderId="8" xfId="1" applyFont="1" applyFill="1" applyBorder="1"/>
    <xf numFmtId="14" fontId="6" fillId="0" borderId="8" xfId="2" applyNumberFormat="1" applyFont="1" applyBorder="1"/>
    <xf numFmtId="0" fontId="6" fillId="0" borderId="8" xfId="2" applyFont="1" applyBorder="1"/>
    <xf numFmtId="0" fontId="6" fillId="6" borderId="8" xfId="2" applyFont="1" applyFill="1" applyBorder="1"/>
    <xf numFmtId="0" fontId="5" fillId="0" borderId="8" xfId="2" applyFont="1" applyBorder="1"/>
    <xf numFmtId="0" fontId="6" fillId="0" borderId="10" xfId="2" applyFont="1" applyBorder="1" applyAlignment="1">
      <alignment horizontal="center"/>
    </xf>
    <xf numFmtId="0" fontId="9" fillId="0" borderId="6" xfId="0" applyFont="1" applyBorder="1" applyAlignment="1">
      <alignment horizontal="center" vertical="center" readingOrder="1"/>
    </xf>
    <xf numFmtId="0" fontId="6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 readingOrder="1"/>
    </xf>
    <xf numFmtId="0" fontId="6" fillId="0" borderId="6" xfId="0" applyFont="1" applyBorder="1" applyAlignment="1">
      <alignment vertical="center" readingOrder="1"/>
    </xf>
    <xf numFmtId="0" fontId="6" fillId="0" borderId="12" xfId="2" applyFont="1" applyBorder="1" applyAlignment="1">
      <alignment horizontal="center"/>
    </xf>
    <xf numFmtId="164" fontId="6" fillId="0" borderId="6" xfId="1" applyFont="1" applyBorder="1"/>
    <xf numFmtId="0" fontId="6" fillId="0" borderId="12" xfId="2" applyFont="1" applyBorder="1"/>
    <xf numFmtId="0" fontId="6" fillId="2" borderId="6" xfId="0" applyFont="1" applyFill="1" applyBorder="1" applyAlignment="1">
      <alignment vertical="center"/>
    </xf>
    <xf numFmtId="164" fontId="5" fillId="0" borderId="6" xfId="1" applyFont="1" applyFill="1" applyBorder="1"/>
    <xf numFmtId="9" fontId="6" fillId="0" borderId="6" xfId="2" applyNumberFormat="1" applyFont="1" applyBorder="1"/>
    <xf numFmtId="0" fontId="6" fillId="0" borderId="13" xfId="2" applyFont="1" applyBorder="1" applyAlignment="1">
      <alignment horizontal="center"/>
    </xf>
    <xf numFmtId="0" fontId="6" fillId="2" borderId="6" xfId="2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5" fillId="0" borderId="2" xfId="2" applyFont="1" applyBorder="1" applyAlignment="1">
      <alignment wrapText="1"/>
    </xf>
    <xf numFmtId="0" fontId="6" fillId="0" borderId="8" xfId="0" applyFont="1" applyBorder="1" applyAlignment="1" applyProtection="1">
      <alignment horizontal="left" vertical="center" readingOrder="1"/>
      <protection locked="0"/>
    </xf>
    <xf numFmtId="0" fontId="6" fillId="0" borderId="14" xfId="2" applyFont="1" applyBorder="1" applyAlignment="1">
      <alignment horizontal="center"/>
    </xf>
    <xf numFmtId="0" fontId="6" fillId="0" borderId="14" xfId="2" applyFont="1" applyBorder="1"/>
    <xf numFmtId="0" fontId="0" fillId="0" borderId="8" xfId="0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0" fillId="0" borderId="14" xfId="0" applyBorder="1" applyAlignment="1">
      <alignment horizontal="center"/>
    </xf>
    <xf numFmtId="0" fontId="6" fillId="0" borderId="15" xfId="2" applyFont="1" applyBorder="1" applyAlignment="1">
      <alignment horizontal="center"/>
    </xf>
    <xf numFmtId="164" fontId="6" fillId="0" borderId="15" xfId="1" applyFont="1" applyFill="1" applyBorder="1"/>
    <xf numFmtId="14" fontId="6" fillId="0" borderId="15" xfId="2" applyNumberFormat="1" applyFont="1" applyBorder="1"/>
    <xf numFmtId="0" fontId="6" fillId="6" borderId="15" xfId="2" applyFont="1" applyFill="1" applyBorder="1"/>
    <xf numFmtId="0" fontId="6" fillId="0" borderId="15" xfId="2" applyFont="1" applyBorder="1"/>
    <xf numFmtId="0" fontId="10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vertical="center"/>
    </xf>
    <xf numFmtId="0" fontId="0" fillId="2" borderId="8" xfId="0" quotePrefix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6" fillId="2" borderId="14" xfId="0" applyFont="1" applyFill="1" applyBorder="1" applyAlignment="1">
      <alignment vertical="center"/>
    </xf>
    <xf numFmtId="0" fontId="0" fillId="2" borderId="10" xfId="0" applyFill="1" applyBorder="1" applyAlignment="1">
      <alignment horizontal="center"/>
    </xf>
    <xf numFmtId="0" fontId="10" fillId="2" borderId="8" xfId="0" applyFont="1" applyFill="1" applyBorder="1"/>
    <xf numFmtId="165" fontId="6" fillId="0" borderId="8" xfId="1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6" fillId="0" borderId="8" xfId="0" applyFont="1" applyBorder="1" applyAlignment="1">
      <alignment vertical="center" readingOrder="1"/>
    </xf>
    <xf numFmtId="0" fontId="6" fillId="2" borderId="8" xfId="2" applyFont="1" applyFill="1" applyBorder="1" applyAlignment="1">
      <alignment horizontal="center"/>
    </xf>
    <xf numFmtId="9" fontId="6" fillId="0" borderId="8" xfId="2" applyNumberFormat="1" applyFont="1" applyBorder="1"/>
    <xf numFmtId="164" fontId="6" fillId="2" borderId="8" xfId="1" applyFont="1" applyFill="1" applyBorder="1"/>
    <xf numFmtId="164" fontId="0" fillId="0" borderId="6" xfId="0" applyNumberFormat="1" applyBorder="1"/>
    <xf numFmtId="0" fontId="10" fillId="2" borderId="6" xfId="0" quotePrefix="1" applyFont="1" applyFill="1" applyBorder="1" applyAlignment="1">
      <alignment horizontal="center"/>
    </xf>
    <xf numFmtId="14" fontId="6" fillId="2" borderId="11" xfId="2" applyNumberFormat="1" applyFont="1" applyFill="1" applyBorder="1" applyAlignment="1">
      <alignment horizontal="center"/>
    </xf>
    <xf numFmtId="0" fontId="6" fillId="0" borderId="2" xfId="0" applyFont="1" applyBorder="1" applyAlignment="1">
      <alignment vertical="center" readingOrder="1"/>
    </xf>
    <xf numFmtId="14" fontId="6" fillId="0" borderId="1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6" fillId="0" borderId="12" xfId="2" applyNumberFormat="1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164" fontId="6" fillId="0" borderId="14" xfId="1" applyFont="1" applyFill="1" applyBorder="1"/>
    <xf numFmtId="0" fontId="6" fillId="3" borderId="8" xfId="2" applyFont="1" applyFill="1" applyBorder="1" applyAlignment="1">
      <alignment horizontal="center"/>
    </xf>
    <xf numFmtId="0" fontId="0" fillId="0" borderId="6" xfId="0" applyBorder="1"/>
    <xf numFmtId="16" fontId="6" fillId="0" borderId="7" xfId="2" applyNumberFormat="1" applyFont="1" applyBorder="1" applyAlignment="1">
      <alignment horizontal="center"/>
    </xf>
    <xf numFmtId="165" fontId="6" fillId="0" borderId="0" xfId="1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0" fillId="2" borderId="6" xfId="0" applyFill="1" applyBorder="1" applyAlignment="1">
      <alignment horizontal="center"/>
    </xf>
    <xf numFmtId="14" fontId="6" fillId="2" borderId="7" xfId="2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 applyProtection="1">
      <alignment horizontal="center" vertical="center"/>
      <protection locked="0"/>
    </xf>
    <xf numFmtId="9" fontId="6" fillId="0" borderId="6" xfId="2" applyNumberFormat="1" applyFont="1" applyBorder="1" applyAlignment="1">
      <alignment horizontal="left"/>
    </xf>
    <xf numFmtId="0" fontId="6" fillId="10" borderId="6" xfId="2" applyFont="1" applyFill="1" applyBorder="1" applyAlignment="1">
      <alignment horizontal="center"/>
    </xf>
    <xf numFmtId="0" fontId="6" fillId="11" borderId="6" xfId="0" applyFont="1" applyFill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>
      <alignment horizontal="left" vertical="center"/>
    </xf>
    <xf numFmtId="0" fontId="6" fillId="2" borderId="6" xfId="0" quotePrefix="1" applyFont="1" applyFill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left" vertical="center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11" borderId="8" xfId="0" applyFont="1" applyFill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14" fontId="6" fillId="0" borderId="10" xfId="2" applyNumberFormat="1" applyFont="1" applyBorder="1" applyAlignment="1">
      <alignment horizontal="center"/>
    </xf>
    <xf numFmtId="0" fontId="6" fillId="7" borderId="8" xfId="2" applyFont="1" applyFill="1" applyBorder="1"/>
    <xf numFmtId="0" fontId="0" fillId="0" borderId="15" xfId="0" applyBorder="1"/>
    <xf numFmtId="0" fontId="0" fillId="0" borderId="15" xfId="0" applyBorder="1" applyAlignment="1">
      <alignment horizontal="center"/>
    </xf>
    <xf numFmtId="14" fontId="6" fillId="0" borderId="15" xfId="2" applyNumberFormat="1" applyFont="1" applyBorder="1" applyAlignment="1">
      <alignment horizontal="center"/>
    </xf>
    <xf numFmtId="14" fontId="10" fillId="0" borderId="8" xfId="0" applyNumberFormat="1" applyFont="1" applyBorder="1" applyAlignment="1">
      <alignment horizontal="center"/>
    </xf>
    <xf numFmtId="0" fontId="0" fillId="0" borderId="8" xfId="0" applyBorder="1"/>
    <xf numFmtId="0" fontId="0" fillId="2" borderId="6" xfId="0" applyFill="1" applyBorder="1"/>
    <xf numFmtId="0" fontId="0" fillId="11" borderId="8" xfId="0" applyFill="1" applyBorder="1" applyAlignment="1">
      <alignment horizontal="center"/>
    </xf>
    <xf numFmtId="164" fontId="6" fillId="0" borderId="8" xfId="1" applyFont="1" applyFill="1" applyBorder="1" applyAlignment="1"/>
    <xf numFmtId="0" fontId="11" fillId="0" borderId="8" xfId="0" applyFont="1" applyBorder="1"/>
    <xf numFmtId="0" fontId="6" fillId="0" borderId="13" xfId="0" applyFont="1" applyBorder="1" applyAlignment="1">
      <alignment vertical="center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>
      <alignment horizontal="center"/>
    </xf>
    <xf numFmtId="0" fontId="12" fillId="0" borderId="8" xfId="0" applyFont="1" applyBorder="1"/>
    <xf numFmtId="14" fontId="5" fillId="0" borderId="10" xfId="2" applyNumberFormat="1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164" fontId="5" fillId="0" borderId="8" xfId="1" applyFont="1" applyFill="1" applyBorder="1"/>
    <xf numFmtId="14" fontId="5" fillId="0" borderId="8" xfId="2" applyNumberFormat="1" applyFont="1" applyBorder="1"/>
    <xf numFmtId="0" fontId="5" fillId="6" borderId="8" xfId="2" applyFont="1" applyFill="1" applyBorder="1"/>
    <xf numFmtId="0" fontId="6" fillId="0" borderId="6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0" fillId="0" borderId="8" xfId="0" quotePrefix="1" applyBorder="1" applyAlignment="1">
      <alignment horizontal="center"/>
    </xf>
    <xf numFmtId="0" fontId="6" fillId="2" borderId="8" xfId="0" applyFont="1" applyFill="1" applyBorder="1" applyAlignment="1">
      <alignment vertical="center" readingOrder="1"/>
    </xf>
    <xf numFmtId="14" fontId="6" fillId="6" borderId="6" xfId="2" applyNumberFormat="1" applyFont="1" applyFill="1" applyBorder="1"/>
    <xf numFmtId="0" fontId="6" fillId="0" borderId="8" xfId="2" applyFont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left" vertical="center" readingOrder="1"/>
      <protection locked="0"/>
    </xf>
    <xf numFmtId="0" fontId="6" fillId="2" borderId="8" xfId="0" quotePrefix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14" fontId="6" fillId="0" borderId="8" xfId="1" applyNumberFormat="1" applyFont="1" applyBorder="1"/>
    <xf numFmtId="0" fontId="6" fillId="2" borderId="10" xfId="2" quotePrefix="1" applyFont="1" applyFill="1" applyBorder="1" applyAlignment="1" applyProtection="1">
      <alignment horizontal="center"/>
      <protection locked="0"/>
    </xf>
    <xf numFmtId="14" fontId="6" fillId="6" borderId="8" xfId="2" applyNumberFormat="1" applyFont="1" applyFill="1" applyBorder="1"/>
    <xf numFmtId="0" fontId="0" fillId="0" borderId="10" xfId="0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64" fontId="6" fillId="0" borderId="6" xfId="1" applyFont="1" applyFill="1" applyBorder="1" applyAlignment="1"/>
    <xf numFmtId="9" fontId="6" fillId="0" borderId="8" xfId="2" applyNumberFormat="1" applyFont="1" applyBorder="1" applyAlignment="1">
      <alignment horizontal="left"/>
    </xf>
    <xf numFmtId="0" fontId="6" fillId="2" borderId="8" xfId="0" applyFont="1" applyFill="1" applyBorder="1" applyAlignment="1" applyProtection="1">
      <alignment horizontal="center" vertical="center" readingOrder="1"/>
      <protection locked="0"/>
    </xf>
    <xf numFmtId="0" fontId="6" fillId="0" borderId="8" xfId="0" applyFont="1" applyBorder="1" applyAlignment="1" applyProtection="1">
      <alignment horizontal="center" vertical="center" readingOrder="1"/>
      <protection locked="0"/>
    </xf>
    <xf numFmtId="0" fontId="6" fillId="0" borderId="8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8" xfId="2" applyFont="1" applyBorder="1" applyAlignment="1" applyProtection="1">
      <alignment horizontal="center"/>
      <protection locked="0"/>
    </xf>
    <xf numFmtId="0" fontId="6" fillId="4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14" fontId="6" fillId="2" borderId="10" xfId="2" applyNumberFormat="1" applyFont="1" applyFill="1" applyBorder="1" applyAlignment="1">
      <alignment horizontal="center"/>
    </xf>
    <xf numFmtId="0" fontId="14" fillId="0" borderId="8" xfId="0" applyFont="1" applyBorder="1"/>
    <xf numFmtId="0" fontId="0" fillId="0" borderId="5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164" fontId="6" fillId="0" borderId="8" xfId="1" applyFont="1" applyBorder="1" applyAlignment="1">
      <alignment horizontal="center"/>
    </xf>
    <xf numFmtId="2" fontId="6" fillId="0" borderId="6" xfId="2" applyNumberFormat="1" applyFont="1" applyBorder="1" applyAlignment="1">
      <alignment horizontal="center"/>
    </xf>
    <xf numFmtId="43" fontId="5" fillId="0" borderId="6" xfId="2" applyNumberFormat="1" applyFont="1" applyBorder="1" applyAlignment="1">
      <alignment horizontal="center"/>
    </xf>
    <xf numFmtId="0" fontId="6" fillId="3" borderId="10" xfId="2" applyFont="1" applyFill="1" applyBorder="1" applyAlignment="1">
      <alignment horizontal="center"/>
    </xf>
    <xf numFmtId="0" fontId="0" fillId="0" borderId="8" xfId="2" applyFont="1" applyBorder="1" applyAlignment="1">
      <alignment horizontal="center" vertical="center" readingOrder="1"/>
    </xf>
    <xf numFmtId="0" fontId="0" fillId="2" borderId="8" xfId="0" applyFill="1" applyBorder="1" applyAlignment="1">
      <alignment horizontal="center" vertical="center"/>
    </xf>
    <xf numFmtId="0" fontId="16" fillId="0" borderId="8" xfId="2" applyFont="1" applyBorder="1"/>
    <xf numFmtId="0" fontId="6" fillId="12" borderId="0" xfId="2" applyFont="1" applyFill="1"/>
    <xf numFmtId="14" fontId="6" fillId="6" borderId="2" xfId="2" applyNumberFormat="1" applyFont="1" applyFill="1" applyBorder="1"/>
    <xf numFmtId="164" fontId="6" fillId="7" borderId="2" xfId="1" applyFont="1" applyFill="1" applyBorder="1"/>
    <xf numFmtId="0" fontId="6" fillId="12" borderId="2" xfId="2" applyFont="1" applyFill="1" applyBorder="1"/>
    <xf numFmtId="0" fontId="0" fillId="6" borderId="2" xfId="2" applyFont="1" applyFill="1" applyBorder="1"/>
    <xf numFmtId="0" fontId="0" fillId="0" borderId="2" xfId="0" applyBorder="1" applyAlignment="1">
      <alignment horizontal="center"/>
    </xf>
    <xf numFmtId="0" fontId="6" fillId="2" borderId="13" xfId="0" applyFont="1" applyFill="1" applyBorder="1" applyAlignment="1">
      <alignment vertical="center"/>
    </xf>
    <xf numFmtId="0" fontId="0" fillId="2" borderId="13" xfId="0" quotePrefix="1" applyFill="1" applyBorder="1" applyAlignment="1">
      <alignment horizontal="center"/>
    </xf>
    <xf numFmtId="14" fontId="6" fillId="2" borderId="13" xfId="2" applyNumberFormat="1" applyFont="1" applyFill="1" applyBorder="1" applyAlignment="1">
      <alignment horizontal="center"/>
    </xf>
    <xf numFmtId="164" fontId="6" fillId="0" borderId="13" xfId="1" applyFont="1" applyFill="1" applyBorder="1"/>
    <xf numFmtId="14" fontId="6" fillId="0" borderId="13" xfId="2" applyNumberFormat="1" applyFont="1" applyBorder="1"/>
    <xf numFmtId="0" fontId="6" fillId="0" borderId="13" xfId="2" applyFont="1" applyBorder="1"/>
    <xf numFmtId="0" fontId="6" fillId="6" borderId="13" xfId="2" applyFont="1" applyFill="1" applyBorder="1"/>
    <xf numFmtId="0" fontId="6" fillId="0" borderId="17" xfId="2" applyFont="1" applyBorder="1" applyAlignment="1">
      <alignment horizontal="center"/>
    </xf>
    <xf numFmtId="0" fontId="6" fillId="0" borderId="17" xfId="2" applyFont="1" applyBorder="1"/>
    <xf numFmtId="0" fontId="6" fillId="13" borderId="2" xfId="0" applyFont="1" applyFill="1" applyBorder="1" applyAlignment="1">
      <alignment vertical="center"/>
    </xf>
    <xf numFmtId="16" fontId="6" fillId="0" borderId="8" xfId="2" applyNumberFormat="1" applyFont="1" applyBorder="1" applyAlignment="1">
      <alignment horizontal="center"/>
    </xf>
    <xf numFmtId="0" fontId="6" fillId="9" borderId="8" xfId="2" applyFont="1" applyFill="1" applyBorder="1" applyAlignment="1">
      <alignment horizontal="center"/>
    </xf>
    <xf numFmtId="0" fontId="6" fillId="9" borderId="2" xfId="2" applyFont="1" applyFill="1" applyBorder="1" applyAlignment="1">
      <alignment horizontal="center"/>
    </xf>
    <xf numFmtId="164" fontId="6" fillId="9" borderId="2" xfId="1" applyFont="1" applyFill="1" applyBorder="1"/>
    <xf numFmtId="14" fontId="6" fillId="9" borderId="2" xfId="2" applyNumberFormat="1" applyFont="1" applyFill="1" applyBorder="1"/>
    <xf numFmtId="0" fontId="6" fillId="9" borderId="8" xfId="2" applyFont="1" applyFill="1" applyBorder="1"/>
    <xf numFmtId="9" fontId="5" fillId="0" borderId="6" xfId="2" applyNumberFormat="1" applyFont="1" applyBorder="1" applyAlignment="1">
      <alignment horizontal="left"/>
    </xf>
    <xf numFmtId="0" fontId="6" fillId="10" borderId="6" xfId="2" applyFont="1" applyFill="1" applyBorder="1"/>
    <xf numFmtId="14" fontId="6" fillId="0" borderId="10" xfId="2" applyNumberFormat="1" applyFont="1" applyBorder="1"/>
    <xf numFmtId="0" fontId="6" fillId="10" borderId="8" xfId="2" applyFont="1" applyFill="1" applyBorder="1"/>
    <xf numFmtId="0" fontId="6" fillId="10" borderId="8" xfId="2" applyFont="1" applyFill="1" applyBorder="1" applyAlignment="1">
      <alignment horizontal="center"/>
    </xf>
    <xf numFmtId="14" fontId="6" fillId="2" borderId="8" xfId="2" applyNumberFormat="1" applyFont="1" applyFill="1" applyBorder="1"/>
    <xf numFmtId="1" fontId="0" fillId="0" borderId="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readingOrder="1"/>
    </xf>
    <xf numFmtId="0" fontId="0" fillId="0" borderId="8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 readingOrder="1"/>
    </xf>
    <xf numFmtId="0" fontId="6" fillId="0" borderId="0" xfId="2" applyFont="1" applyAlignment="1">
      <alignment horizontal="left"/>
    </xf>
    <xf numFmtId="0" fontId="5" fillId="0" borderId="2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4" fillId="0" borderId="2" xfId="2" applyBorder="1" applyAlignment="1">
      <alignment horizontal="left"/>
    </xf>
    <xf numFmtId="0" fontId="6" fillId="0" borderId="4" xfId="2" applyFont="1" applyBorder="1" applyAlignment="1">
      <alignment horizontal="left"/>
    </xf>
    <xf numFmtId="0" fontId="6" fillId="2" borderId="13" xfId="2" applyFont="1" applyFill="1" applyBorder="1" applyAlignment="1">
      <alignment horizontal="left"/>
    </xf>
    <xf numFmtId="0" fontId="6" fillId="2" borderId="6" xfId="2" applyFont="1" applyFill="1" applyBorder="1" applyAlignment="1">
      <alignment horizontal="left"/>
    </xf>
    <xf numFmtId="0" fontId="6" fillId="0" borderId="2" xfId="0" applyFont="1" applyBorder="1" applyAlignment="1" applyProtection="1">
      <alignment horizontal="left" vertical="center" readingOrder="1"/>
      <protection locked="0"/>
    </xf>
    <xf numFmtId="0" fontId="6" fillId="13" borderId="2" xfId="2" applyFont="1" applyFill="1" applyBorder="1" applyAlignment="1">
      <alignment horizontal="left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 applyProtection="1">
      <alignment horizontal="left" vertical="center" readingOrder="1"/>
      <protection locked="0"/>
    </xf>
    <xf numFmtId="0" fontId="6" fillId="2" borderId="8" xfId="2" applyFont="1" applyFill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2" borderId="14" xfId="2" applyFont="1" applyFill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14" xfId="2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>
      <alignment horizontal="left" vertical="center"/>
    </xf>
    <xf numFmtId="0" fontId="6" fillId="2" borderId="4" xfId="2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14" xfId="0" applyFont="1" applyBorder="1" applyAlignment="1" applyProtection="1">
      <alignment horizontal="left" vertical="center"/>
      <protection locked="0"/>
    </xf>
    <xf numFmtId="0" fontId="0" fillId="0" borderId="15" xfId="0" applyBorder="1" applyAlignment="1">
      <alignment horizontal="left"/>
    </xf>
    <xf numFmtId="0" fontId="0" fillId="2" borderId="8" xfId="0" applyFill="1" applyBorder="1" applyAlignment="1">
      <alignment horizontal="left"/>
    </xf>
    <xf numFmtId="0" fontId="6" fillId="0" borderId="14" xfId="0" applyFont="1" applyBorder="1" applyAlignment="1">
      <alignment horizontal="left" vertical="center"/>
    </xf>
    <xf numFmtId="0" fontId="6" fillId="10" borderId="6" xfId="2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6" fillId="0" borderId="8" xfId="0" applyFont="1" applyBorder="1" applyAlignment="1">
      <alignment horizontal="left" vertical="center" readingOrder="1"/>
    </xf>
    <xf numFmtId="0" fontId="6" fillId="2" borderId="8" xfId="0" applyFont="1" applyFill="1" applyBorder="1" applyAlignment="1">
      <alignment horizontal="left" vertical="center" readingOrder="1"/>
    </xf>
    <xf numFmtId="0" fontId="6" fillId="0" borderId="6" xfId="0" applyFont="1" applyBorder="1" applyAlignment="1">
      <alignment horizontal="left" vertical="center" readingOrder="1"/>
    </xf>
    <xf numFmtId="0" fontId="6" fillId="2" borderId="14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6" fillId="10" borderId="8" xfId="2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3" xfId="2" applyFont="1" applyBorder="1" applyAlignment="1">
      <alignment horizontal="left"/>
    </xf>
    <xf numFmtId="0" fontId="6" fillId="0" borderId="8" xfId="0" quotePrefix="1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64" fontId="6" fillId="0" borderId="0" xfId="2" applyNumberFormat="1" applyFont="1" applyAlignment="1">
      <alignment horizontal="left" vertical="top"/>
    </xf>
    <xf numFmtId="164" fontId="21" fillId="14" borderId="0" xfId="2" applyNumberFormat="1" applyFont="1" applyFill="1" applyAlignment="1">
      <alignment horizontal="center"/>
    </xf>
    <xf numFmtId="0" fontId="21" fillId="14" borderId="0" xfId="2" applyFont="1" applyFill="1" applyAlignment="1">
      <alignment horizontal="center"/>
    </xf>
    <xf numFmtId="0" fontId="22" fillId="14" borderId="0" xfId="2" applyFont="1" applyFill="1" applyAlignment="1">
      <alignment horizontal="center"/>
    </xf>
    <xf numFmtId="0" fontId="6" fillId="0" borderId="8" xfId="0" quotePrefix="1" applyFont="1" applyBorder="1" applyAlignment="1" applyProtection="1">
      <alignment horizontal="center" vertical="center"/>
      <protection locked="0"/>
    </xf>
    <xf numFmtId="0" fontId="6" fillId="0" borderId="6" xfId="2" applyFont="1" applyBorder="1" applyAlignment="1">
      <alignment horizontal="center" vertical="center"/>
    </xf>
    <xf numFmtId="0" fontId="6" fillId="0" borderId="8" xfId="2" quotePrefix="1" applyFont="1" applyBorder="1" applyAlignment="1">
      <alignment horizontal="center"/>
    </xf>
    <xf numFmtId="0" fontId="6" fillId="13" borderId="6" xfId="0" applyFont="1" applyFill="1" applyBorder="1" applyAlignment="1">
      <alignment vertical="center"/>
    </xf>
    <xf numFmtId="0" fontId="6" fillId="13" borderId="6" xfId="2" applyFont="1" applyFill="1" applyBorder="1" applyAlignment="1">
      <alignment horizontal="left"/>
    </xf>
    <xf numFmtId="0" fontId="5" fillId="15" borderId="0" xfId="2" applyFont="1" applyFill="1"/>
    <xf numFmtId="0" fontId="6" fillId="13" borderId="8" xfId="0" applyFont="1" applyFill="1" applyBorder="1" applyAlignment="1">
      <alignment vertical="center"/>
    </xf>
    <xf numFmtId="0" fontId="6" fillId="13" borderId="8" xfId="2" applyFont="1" applyFill="1" applyBorder="1" applyAlignment="1">
      <alignment horizontal="left"/>
    </xf>
    <xf numFmtId="0" fontId="0" fillId="2" borderId="8" xfId="0" applyFill="1" applyBorder="1"/>
    <xf numFmtId="14" fontId="6" fillId="0" borderId="6" xfId="2" applyNumberFormat="1" applyFont="1" applyBorder="1" applyAlignment="1">
      <alignment horizontal="right"/>
    </xf>
    <xf numFmtId="14" fontId="6" fillId="0" borderId="8" xfId="2" applyNumberFormat="1" applyFont="1" applyBorder="1" applyAlignment="1">
      <alignment horizontal="right"/>
    </xf>
    <xf numFmtId="0" fontId="6" fillId="7" borderId="2" xfId="2" applyFont="1" applyFill="1" applyBorder="1"/>
    <xf numFmtId="0" fontId="6" fillId="15" borderId="2" xfId="2" applyFont="1" applyFill="1" applyBorder="1" applyAlignment="1">
      <alignment horizontal="center"/>
    </xf>
    <xf numFmtId="0" fontId="6" fillId="15" borderId="2" xfId="2" applyFont="1" applyFill="1" applyBorder="1"/>
    <xf numFmtId="0" fontId="6" fillId="15" borderId="2" xfId="2" applyFont="1" applyFill="1" applyBorder="1" applyAlignment="1">
      <alignment horizontal="left"/>
    </xf>
    <xf numFmtId="14" fontId="6" fillId="15" borderId="2" xfId="2" applyNumberFormat="1" applyFont="1" applyFill="1" applyBorder="1" applyAlignment="1">
      <alignment horizontal="center"/>
    </xf>
    <xf numFmtId="0" fontId="0" fillId="2" borderId="8" xfId="0" quotePrefix="1" applyFill="1" applyBorder="1" applyAlignment="1">
      <alignment horizontal="center" vertical="center"/>
    </xf>
    <xf numFmtId="0" fontId="23" fillId="14" borderId="0" xfId="2" applyFont="1" applyFill="1" applyAlignment="1">
      <alignment horizontal="left"/>
    </xf>
    <xf numFmtId="0" fontId="6" fillId="12" borderId="8" xfId="0" applyFont="1" applyFill="1" applyBorder="1" applyAlignment="1" applyProtection="1">
      <alignment horizontal="left" vertical="center"/>
      <protection locked="0"/>
    </xf>
    <xf numFmtId="0" fontId="6" fillId="0" borderId="16" xfId="2" applyFont="1" applyBorder="1" applyAlignment="1">
      <alignment horizontal="left"/>
    </xf>
    <xf numFmtId="16" fontId="6" fillId="0" borderId="2" xfId="2" applyNumberFormat="1" applyFont="1" applyBorder="1" applyAlignment="1">
      <alignment horizontal="center"/>
    </xf>
    <xf numFmtId="0" fontId="6" fillId="0" borderId="0" xfId="2" applyFont="1" applyAlignment="1">
      <alignment horizontal="right"/>
    </xf>
    <xf numFmtId="0" fontId="6" fillId="0" borderId="0" xfId="1" applyNumberFormat="1" applyFont="1" applyFill="1" applyBorder="1" applyAlignment="1">
      <alignment horizontal="right"/>
    </xf>
    <xf numFmtId="0" fontId="0" fillId="16" borderId="8" xfId="0" applyFill="1" applyBorder="1" applyAlignment="1">
      <alignment horizontal="center" vertical="center"/>
    </xf>
    <xf numFmtId="0" fontId="6" fillId="16" borderId="8" xfId="0" applyFont="1" applyFill="1" applyBorder="1" applyAlignment="1" applyProtection="1">
      <alignment horizontal="center" vertical="center" readingOrder="1"/>
      <protection locked="0"/>
    </xf>
    <xf numFmtId="0" fontId="24" fillId="16" borderId="6" xfId="0" applyFont="1" applyFill="1" applyBorder="1" applyAlignment="1">
      <alignment horizontal="center" vertical="center"/>
    </xf>
    <xf numFmtId="0" fontId="6" fillId="16" borderId="8" xfId="2" applyFont="1" applyFill="1" applyBorder="1" applyAlignment="1">
      <alignment horizontal="center"/>
    </xf>
    <xf numFmtId="0" fontId="5" fillId="0" borderId="6" xfId="2" applyFont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  <protection locked="0"/>
    </xf>
    <xf numFmtId="164" fontId="6" fillId="0" borderId="0" xfId="2" applyNumberFormat="1" applyFont="1" applyAlignment="1">
      <alignment horizontal="right"/>
    </xf>
    <xf numFmtId="164" fontId="21" fillId="14" borderId="0" xfId="2" applyNumberFormat="1" applyFont="1" applyFill="1" applyAlignment="1">
      <alignment horizontal="right"/>
    </xf>
    <xf numFmtId="43" fontId="21" fillId="14" borderId="0" xfId="2" applyNumberFormat="1" applyFont="1" applyFill="1" applyAlignment="1">
      <alignment horizontal="right"/>
    </xf>
    <xf numFmtId="43" fontId="6" fillId="0" borderId="0" xfId="2" applyNumberFormat="1" applyFont="1" applyAlignment="1">
      <alignment horizontal="right"/>
    </xf>
    <xf numFmtId="0" fontId="5" fillId="0" borderId="2" xfId="2" applyFont="1" applyBorder="1" applyAlignment="1">
      <alignment horizontal="right"/>
    </xf>
    <xf numFmtId="16" fontId="6" fillId="0" borderId="6" xfId="2" applyNumberFormat="1" applyFont="1" applyBorder="1" applyAlignment="1">
      <alignment horizontal="center"/>
    </xf>
    <xf numFmtId="0" fontId="6" fillId="16" borderId="6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 readingOrder="1"/>
    </xf>
    <xf numFmtId="0" fontId="5" fillId="0" borderId="10" xfId="2" applyFont="1" applyBorder="1" applyAlignment="1">
      <alignment horizontal="center"/>
    </xf>
    <xf numFmtId="0" fontId="5" fillId="16" borderId="8" xfId="2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6" fillId="17" borderId="0" xfId="2" applyFont="1" applyFill="1"/>
    <xf numFmtId="0" fontId="6" fillId="2" borderId="8" xfId="2" quotePrefix="1" applyFont="1" applyFill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18" borderId="8" xfId="2" applyFont="1" applyFill="1" applyBorder="1" applyAlignment="1">
      <alignment horizontal="center"/>
    </xf>
    <xf numFmtId="164" fontId="6" fillId="0" borderId="2" xfId="2" applyNumberFormat="1" applyFont="1" applyBorder="1" applyAlignment="1">
      <alignment horizontal="center"/>
    </xf>
    <xf numFmtId="0" fontId="0" fillId="2" borderId="15" xfId="0" applyFill="1" applyBorder="1"/>
    <xf numFmtId="0" fontId="0" fillId="2" borderId="15" xfId="0" applyFill="1" applyBorder="1" applyAlignment="1">
      <alignment horizontal="left"/>
    </xf>
    <xf numFmtId="0" fontId="0" fillId="2" borderId="15" xfId="0" applyFill="1" applyBorder="1" applyAlignment="1">
      <alignment horizontal="center"/>
    </xf>
    <xf numFmtId="164" fontId="6" fillId="2" borderId="2" xfId="2" applyNumberFormat="1" applyFont="1" applyFill="1" applyBorder="1" applyAlignment="1">
      <alignment horizontal="center"/>
    </xf>
    <xf numFmtId="0" fontId="22" fillId="19" borderId="2" xfId="2" applyFont="1" applyFill="1" applyBorder="1" applyAlignment="1">
      <alignment horizontal="center"/>
    </xf>
    <xf numFmtId="164" fontId="6" fillId="0" borderId="6" xfId="2" applyNumberFormat="1" applyFont="1" applyBorder="1" applyAlignment="1">
      <alignment horizontal="center"/>
    </xf>
    <xf numFmtId="164" fontId="6" fillId="0" borderId="3" xfId="2" applyNumberFormat="1" applyFont="1" applyBorder="1" applyAlignment="1">
      <alignment horizontal="center"/>
    </xf>
    <xf numFmtId="164" fontId="6" fillId="0" borderId="8" xfId="2" applyNumberFormat="1" applyFont="1" applyBorder="1" applyAlignment="1">
      <alignment horizontal="center"/>
    </xf>
    <xf numFmtId="0" fontId="6" fillId="0" borderId="6" xfId="2" applyFont="1" applyBorder="1" applyAlignment="1" applyProtection="1">
      <alignment horizontal="center"/>
      <protection locked="0"/>
    </xf>
    <xf numFmtId="0" fontId="8" fillId="0" borderId="6" xfId="0" applyFont="1" applyBorder="1" applyAlignment="1">
      <alignment horizontal="center" vertical="center"/>
    </xf>
    <xf numFmtId="0" fontId="25" fillId="0" borderId="0" xfId="0" applyFont="1"/>
    <xf numFmtId="0" fontId="0" fillId="16" borderId="6" xfId="0" applyFill="1" applyBorder="1" applyAlignment="1">
      <alignment horizontal="center" vertical="center"/>
    </xf>
    <xf numFmtId="0" fontId="5" fillId="0" borderId="3" xfId="2" applyFont="1" applyBorder="1" applyAlignment="1">
      <alignment horizontal="center"/>
    </xf>
    <xf numFmtId="0" fontId="6" fillId="16" borderId="8" xfId="0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>
      <alignment horizontal="center" vertical="center" readingOrder="1"/>
    </xf>
    <xf numFmtId="0" fontId="0" fillId="9" borderId="8" xfId="0" applyFill="1" applyBorder="1" applyAlignment="1">
      <alignment horizontal="center"/>
    </xf>
    <xf numFmtId="0" fontId="6" fillId="0" borderId="10" xfId="2" applyFont="1" applyBorder="1"/>
    <xf numFmtId="0" fontId="6" fillId="0" borderId="5" xfId="2" applyFont="1" applyBorder="1"/>
    <xf numFmtId="0" fontId="6" fillId="0" borderId="18" xfId="2" applyFont="1" applyBorder="1"/>
    <xf numFmtId="0" fontId="6" fillId="0" borderId="11" xfId="2" applyFont="1" applyBorder="1"/>
    <xf numFmtId="0" fontId="6" fillId="0" borderId="19" xfId="2" applyFont="1" applyBorder="1"/>
    <xf numFmtId="14" fontId="6" fillId="0" borderId="6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14" fontId="6" fillId="0" borderId="8" xfId="0" applyNumberFormat="1" applyFont="1" applyBorder="1" applyAlignment="1">
      <alignment horizontal="center" vertical="center"/>
    </xf>
    <xf numFmtId="164" fontId="6" fillId="0" borderId="8" xfId="1" applyFont="1" applyBorder="1"/>
    <xf numFmtId="14" fontId="0" fillId="0" borderId="8" xfId="0" applyNumberFormat="1" applyBorder="1" applyAlignment="1">
      <alignment horizontal="right" vertical="center"/>
    </xf>
    <xf numFmtId="14" fontId="6" fillId="0" borderId="6" xfId="0" applyNumberFormat="1" applyFont="1" applyBorder="1" applyAlignment="1" applyProtection="1">
      <alignment horizontal="right" vertical="center"/>
      <protection locked="0"/>
    </xf>
    <xf numFmtId="0" fontId="0" fillId="0" borderId="8" xfId="0" applyBorder="1" applyAlignment="1">
      <alignment horizontal="left" vertical="center"/>
    </xf>
    <xf numFmtId="0" fontId="6" fillId="0" borderId="6" xfId="0" applyFont="1" applyBorder="1" applyAlignment="1" applyProtection="1">
      <alignment horizontal="left" vertical="center"/>
      <protection locked="0"/>
    </xf>
    <xf numFmtId="0" fontId="24" fillId="20" borderId="2" xfId="2" applyFont="1" applyFill="1" applyBorder="1" applyAlignment="1">
      <alignment horizontal="center"/>
    </xf>
    <xf numFmtId="14" fontId="6" fillId="0" borderId="0" xfId="2" applyNumberFormat="1" applyFont="1" applyAlignment="1">
      <alignment horizontal="right"/>
    </xf>
    <xf numFmtId="0" fontId="0" fillId="0" borderId="6" xfId="0" quotePrefix="1" applyBorder="1" applyAlignment="1">
      <alignment horizontal="center" vertical="center"/>
    </xf>
    <xf numFmtId="0" fontId="6" fillId="5" borderId="6" xfId="2" applyFont="1" applyFill="1" applyBorder="1"/>
    <xf numFmtId="0" fontId="6" fillId="0" borderId="16" xfId="2" applyFont="1" applyBorder="1" applyAlignment="1">
      <alignment horizontal="center"/>
    </xf>
    <xf numFmtId="0" fontId="6" fillId="0" borderId="2" xfId="1" applyNumberFormat="1" applyFont="1" applyBorder="1" applyAlignment="1">
      <alignment horizontal="center"/>
    </xf>
    <xf numFmtId="14" fontId="6" fillId="0" borderId="0" xfId="2" applyNumberFormat="1" applyFont="1"/>
    <xf numFmtId="0" fontId="24" fillId="0" borderId="6" xfId="0" applyFont="1" applyBorder="1" applyAlignment="1">
      <alignment horizontal="center" vertical="center" readingOrder="1"/>
    </xf>
    <xf numFmtId="0" fontId="6" fillId="6" borderId="0" xfId="2" applyFont="1" applyFill="1"/>
    <xf numFmtId="0" fontId="5" fillId="2" borderId="6" xfId="2" applyFont="1" applyFill="1" applyBorder="1" applyAlignment="1">
      <alignment horizontal="center"/>
    </xf>
    <xf numFmtId="0" fontId="6" fillId="0" borderId="6" xfId="2" quotePrefix="1" applyFont="1" applyBorder="1" applyAlignment="1">
      <alignment horizontal="center"/>
    </xf>
    <xf numFmtId="0" fontId="6" fillId="2" borderId="8" xfId="0" quotePrefix="1" applyFont="1" applyFill="1" applyBorder="1" applyAlignment="1" applyProtection="1">
      <alignment horizontal="center" vertical="center"/>
      <protection locked="0"/>
    </xf>
    <xf numFmtId="0" fontId="16" fillId="0" borderId="6" xfId="2" applyFont="1" applyBorder="1"/>
    <xf numFmtId="0" fontId="27" fillId="0" borderId="4" xfId="0" applyFont="1" applyBorder="1" applyAlignment="1">
      <alignment vertical="center"/>
    </xf>
    <xf numFmtId="0" fontId="16" fillId="2" borderId="0" xfId="2" applyFont="1" applyFill="1"/>
    <xf numFmtId="0" fontId="16" fillId="0" borderId="0" xfId="2" applyFont="1" applyAlignment="1">
      <alignment horizontal="left"/>
    </xf>
    <xf numFmtId="0" fontId="16" fillId="0" borderId="0" xfId="2" applyFont="1" applyAlignment="1">
      <alignment horizontal="center"/>
    </xf>
    <xf numFmtId="0" fontId="16" fillId="3" borderId="0" xfId="2" applyFont="1" applyFill="1" applyAlignment="1">
      <alignment horizontal="center"/>
    </xf>
    <xf numFmtId="0" fontId="16" fillId="0" borderId="0" xfId="2" applyFont="1" applyAlignment="1">
      <alignment horizontal="right"/>
    </xf>
    <xf numFmtId="164" fontId="16" fillId="0" borderId="0" xfId="2" applyNumberFormat="1" applyFont="1" applyAlignment="1">
      <alignment horizontal="center"/>
    </xf>
    <xf numFmtId="43" fontId="16" fillId="0" borderId="0" xfId="2" applyNumberFormat="1" applyFont="1" applyAlignment="1">
      <alignment horizontal="center"/>
    </xf>
    <xf numFmtId="164" fontId="16" fillId="0" borderId="0" xfId="2" applyNumberFormat="1" applyFont="1" applyAlignment="1">
      <alignment horizontal="right"/>
    </xf>
    <xf numFmtId="164" fontId="16" fillId="0" borderId="0" xfId="2" applyNumberFormat="1" applyFont="1" applyAlignment="1">
      <alignment horizontal="left" vertical="top"/>
    </xf>
    <xf numFmtId="14" fontId="16" fillId="0" borderId="0" xfId="2" applyNumberFormat="1" applyFont="1"/>
    <xf numFmtId="164" fontId="16" fillId="0" borderId="0" xfId="1" applyFont="1" applyBorder="1" applyAlignment="1">
      <alignment horizontal="center"/>
    </xf>
    <xf numFmtId="0" fontId="16" fillId="0" borderId="0" xfId="2" applyFont="1"/>
    <xf numFmtId="164" fontId="16" fillId="0" borderId="0" xfId="1" applyFont="1"/>
    <xf numFmtId="0" fontId="16" fillId="12" borderId="0" xfId="2" applyFont="1" applyFill="1"/>
    <xf numFmtId="0" fontId="16" fillId="0" borderId="0" xfId="1" applyNumberFormat="1" applyFont="1" applyFill="1" applyBorder="1" applyAlignment="1">
      <alignment horizontal="right"/>
    </xf>
    <xf numFmtId="0" fontId="16" fillId="0" borderId="6" xfId="2" applyFont="1" applyBorder="1" applyAlignment="1">
      <alignment horizontal="center"/>
    </xf>
    <xf numFmtId="14" fontId="16" fillId="0" borderId="6" xfId="2" applyNumberFormat="1" applyFont="1" applyBorder="1"/>
    <xf numFmtId="164" fontId="16" fillId="0" borderId="6" xfId="1" applyFont="1" applyBorder="1" applyAlignment="1">
      <alignment horizontal="center"/>
    </xf>
    <xf numFmtId="43" fontId="16" fillId="0" borderId="0" xfId="2" applyNumberFormat="1" applyFont="1" applyAlignment="1">
      <alignment horizontal="right"/>
    </xf>
    <xf numFmtId="164" fontId="16" fillId="0" borderId="0" xfId="1" applyFont="1" applyFill="1" applyBorder="1"/>
    <xf numFmtId="43" fontId="16" fillId="0" borderId="0" xfId="2" applyNumberFormat="1" applyFont="1"/>
    <xf numFmtId="0" fontId="16" fillId="0" borderId="6" xfId="2" applyFont="1" applyBorder="1" applyAlignment="1">
      <alignment horizontal="left"/>
    </xf>
    <xf numFmtId="14" fontId="16" fillId="0" borderId="6" xfId="2" applyNumberFormat="1" applyFont="1" applyBorder="1" applyAlignment="1">
      <alignment horizontal="center"/>
    </xf>
    <xf numFmtId="164" fontId="16" fillId="0" borderId="6" xfId="1" applyFont="1" applyFill="1" applyBorder="1"/>
    <xf numFmtId="164" fontId="16" fillId="0" borderId="6" xfId="2" applyNumberFormat="1" applyFont="1" applyBorder="1" applyAlignment="1">
      <alignment horizontal="center"/>
    </xf>
    <xf numFmtId="0" fontId="16" fillId="6" borderId="6" xfId="2" applyFont="1" applyFill="1" applyBorder="1"/>
    <xf numFmtId="164" fontId="16" fillId="2" borderId="6" xfId="2" applyNumberFormat="1" applyFont="1" applyFill="1" applyBorder="1" applyAlignment="1">
      <alignment horizontal="center"/>
    </xf>
    <xf numFmtId="0" fontId="16" fillId="12" borderId="6" xfId="2" applyFont="1" applyFill="1" applyBorder="1"/>
    <xf numFmtId="0" fontId="16" fillId="0" borderId="6" xfId="2" quotePrefix="1" applyFont="1" applyBorder="1" applyAlignment="1">
      <alignment horizontal="center"/>
    </xf>
    <xf numFmtId="14" fontId="16" fillId="6" borderId="6" xfId="2" applyNumberFormat="1" applyFont="1" applyFill="1" applyBorder="1"/>
    <xf numFmtId="164" fontId="16" fillId="7" borderId="6" xfId="1" applyFont="1" applyFill="1" applyBorder="1"/>
    <xf numFmtId="0" fontId="16" fillId="8" borderId="6" xfId="2" applyFont="1" applyFill="1" applyBorder="1" applyAlignment="1">
      <alignment horizontal="center"/>
    </xf>
    <xf numFmtId="0" fontId="16" fillId="0" borderId="6" xfId="2" applyFont="1" applyBorder="1" applyAlignment="1" applyProtection="1">
      <alignment horizontal="center"/>
      <protection locked="0"/>
    </xf>
    <xf numFmtId="0" fontId="16" fillId="15" borderId="6" xfId="2" applyFont="1" applyFill="1" applyBorder="1" applyAlignment="1">
      <alignment horizontal="center"/>
    </xf>
    <xf numFmtId="0" fontId="16" fillId="15" borderId="6" xfId="2" applyFont="1" applyFill="1" applyBorder="1"/>
    <xf numFmtId="0" fontId="16" fillId="15" borderId="6" xfId="2" applyFont="1" applyFill="1" applyBorder="1" applyAlignment="1">
      <alignment horizontal="left"/>
    </xf>
    <xf numFmtId="14" fontId="16" fillId="15" borderId="6" xfId="2" applyNumberFormat="1" applyFont="1" applyFill="1" applyBorder="1" applyAlignment="1">
      <alignment horizontal="center"/>
    </xf>
    <xf numFmtId="0" fontId="16" fillId="0" borderId="6" xfId="1" applyNumberFormat="1" applyFont="1" applyBorder="1" applyAlignment="1">
      <alignment horizontal="center"/>
    </xf>
    <xf numFmtId="0" fontId="16" fillId="7" borderId="6" xfId="2" applyFont="1" applyFill="1" applyBorder="1"/>
    <xf numFmtId="14" fontId="16" fillId="0" borderId="6" xfId="2" applyNumberFormat="1" applyFont="1" applyBorder="1" applyAlignment="1" applyProtection="1">
      <alignment horizontal="center"/>
      <protection locked="0"/>
    </xf>
    <xf numFmtId="0" fontId="17" fillId="0" borderId="6" xfId="0" quotePrefix="1" applyFont="1" applyBorder="1" applyAlignment="1">
      <alignment horizontal="center"/>
    </xf>
    <xf numFmtId="166" fontId="16" fillId="0" borderId="6" xfId="2" applyNumberFormat="1" applyFont="1" applyBorder="1" applyAlignment="1">
      <alignment horizontal="center"/>
    </xf>
    <xf numFmtId="0" fontId="16" fillId="3" borderId="6" xfId="2" applyFont="1" applyFill="1" applyBorder="1" applyAlignment="1">
      <alignment horizontal="center"/>
    </xf>
    <xf numFmtId="0" fontId="16" fillId="0" borderId="6" xfId="0" applyFont="1" applyBorder="1" applyAlignment="1" applyProtection="1">
      <alignment horizontal="center" vertical="center"/>
      <protection locked="0"/>
    </xf>
    <xf numFmtId="0" fontId="16" fillId="0" borderId="6" xfId="0" applyFont="1" applyBorder="1" applyAlignment="1">
      <alignment vertical="center"/>
    </xf>
    <xf numFmtId="16" fontId="16" fillId="0" borderId="6" xfId="2" applyNumberFormat="1" applyFont="1" applyBorder="1" applyAlignment="1">
      <alignment horizontal="center"/>
    </xf>
    <xf numFmtId="0" fontId="27" fillId="0" borderId="6" xfId="0" applyFont="1" applyBorder="1" applyAlignment="1">
      <alignment horizontal="center" vertical="center" readingOrder="1"/>
    </xf>
    <xf numFmtId="0" fontId="16" fillId="2" borderId="6" xfId="0" applyFont="1" applyFill="1" applyBorder="1" applyAlignment="1">
      <alignment vertical="center"/>
    </xf>
    <xf numFmtId="0" fontId="16" fillId="2" borderId="6" xfId="2" applyFont="1" applyFill="1" applyBorder="1" applyAlignment="1">
      <alignment horizontal="left"/>
    </xf>
    <xf numFmtId="0" fontId="27" fillId="2" borderId="6" xfId="0" quotePrefix="1" applyFont="1" applyFill="1" applyBorder="1" applyAlignment="1">
      <alignment horizontal="center"/>
    </xf>
    <xf numFmtId="14" fontId="16" fillId="2" borderId="6" xfId="2" applyNumberFormat="1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164" fontId="16" fillId="0" borderId="6" xfId="1" applyFont="1" applyBorder="1"/>
    <xf numFmtId="0" fontId="16" fillId="0" borderId="6" xfId="0" applyFont="1" applyBorder="1" applyAlignment="1" applyProtection="1">
      <alignment horizontal="left" vertical="center" readingOrder="1"/>
      <protection locked="0"/>
    </xf>
    <xf numFmtId="0" fontId="27" fillId="0" borderId="6" xfId="0" applyFont="1" applyBorder="1" applyAlignment="1">
      <alignment horizontal="center"/>
    </xf>
    <xf numFmtId="0" fontId="16" fillId="13" borderId="6" xfId="0" applyFont="1" applyFill="1" applyBorder="1" applyAlignment="1">
      <alignment vertical="center"/>
    </xf>
    <xf numFmtId="0" fontId="16" fillId="13" borderId="6" xfId="2" applyFont="1" applyFill="1" applyBorder="1" applyAlignment="1">
      <alignment horizontal="left"/>
    </xf>
    <xf numFmtId="0" fontId="16" fillId="5" borderId="6" xfId="2" applyFont="1" applyFill="1" applyBorder="1"/>
    <xf numFmtId="0" fontId="16" fillId="0" borderId="6" xfId="0" applyFont="1" applyBorder="1" applyAlignment="1">
      <alignment horizontal="left" vertical="center"/>
    </xf>
    <xf numFmtId="0" fontId="28" fillId="0" borderId="6" xfId="0" applyFont="1" applyBorder="1" applyAlignment="1">
      <alignment horizontal="center"/>
    </xf>
    <xf numFmtId="0" fontId="16" fillId="2" borderId="6" xfId="2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28" fillId="2" borderId="6" xfId="0" applyFont="1" applyFill="1" applyBorder="1"/>
    <xf numFmtId="165" fontId="16" fillId="0" borderId="6" xfId="1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 readingOrder="1"/>
    </xf>
    <xf numFmtId="0" fontId="27" fillId="0" borderId="6" xfId="0" applyFont="1" applyBorder="1"/>
    <xf numFmtId="9" fontId="16" fillId="0" borderId="6" xfId="2" applyNumberFormat="1" applyFont="1" applyBorder="1"/>
    <xf numFmtId="164" fontId="16" fillId="2" borderId="6" xfId="1" applyFont="1" applyFill="1" applyBorder="1"/>
    <xf numFmtId="0" fontId="27" fillId="6" borderId="6" xfId="2" applyFont="1" applyFill="1" applyBorder="1"/>
    <xf numFmtId="0" fontId="16" fillId="0" borderId="6" xfId="0" applyFont="1" applyBorder="1" applyAlignment="1" applyProtection="1">
      <alignment horizontal="left" vertical="center"/>
      <protection locked="0"/>
    </xf>
    <xf numFmtId="164" fontId="27" fillId="0" borderId="6" xfId="0" applyNumberFormat="1" applyFont="1" applyBorder="1"/>
    <xf numFmtId="0" fontId="28" fillId="2" borderId="6" xfId="0" quotePrefix="1" applyFont="1" applyFill="1" applyBorder="1" applyAlignment="1">
      <alignment horizontal="center"/>
    </xf>
    <xf numFmtId="0" fontId="16" fillId="2" borderId="6" xfId="0" applyFont="1" applyFill="1" applyBorder="1" applyAlignment="1">
      <alignment horizontal="left" vertical="center"/>
    </xf>
    <xf numFmtId="0" fontId="16" fillId="2" borderId="6" xfId="0" applyFont="1" applyFill="1" applyBorder="1" applyAlignment="1" applyProtection="1">
      <alignment horizontal="center" vertical="center"/>
      <protection locked="0"/>
    </xf>
    <xf numFmtId="0" fontId="16" fillId="9" borderId="6" xfId="2" applyFont="1" applyFill="1" applyBorder="1" applyAlignment="1">
      <alignment horizontal="center"/>
    </xf>
    <xf numFmtId="164" fontId="16" fillId="9" borderId="6" xfId="1" applyFont="1" applyFill="1" applyBorder="1"/>
    <xf numFmtId="14" fontId="16" fillId="9" borderId="6" xfId="2" applyNumberFormat="1" applyFont="1" applyFill="1" applyBorder="1"/>
    <xf numFmtId="0" fontId="16" fillId="9" borderId="6" xfId="2" applyFont="1" applyFill="1" applyBorder="1"/>
    <xf numFmtId="0" fontId="27" fillId="2" borderId="6" xfId="0" applyFont="1" applyFill="1" applyBorder="1"/>
    <xf numFmtId="0" fontId="27" fillId="2" borderId="6" xfId="0" applyFont="1" applyFill="1" applyBorder="1" applyAlignment="1">
      <alignment horizontal="left"/>
    </xf>
    <xf numFmtId="0" fontId="27" fillId="0" borderId="6" xfId="0" applyFont="1" applyBorder="1" applyAlignment="1">
      <alignment horizontal="left"/>
    </xf>
    <xf numFmtId="9" fontId="16" fillId="0" borderId="6" xfId="2" applyNumberFormat="1" applyFont="1" applyBorder="1" applyAlignment="1">
      <alignment horizontal="left"/>
    </xf>
    <xf numFmtId="0" fontId="16" fillId="2" borderId="6" xfId="0" quotePrefix="1" applyFont="1" applyFill="1" applyBorder="1" applyAlignment="1" applyProtection="1">
      <alignment horizontal="center" vertical="center"/>
      <protection locked="0"/>
    </xf>
    <xf numFmtId="14" fontId="28" fillId="0" borderId="6" xfId="0" applyNumberFormat="1" applyFont="1" applyBorder="1" applyAlignment="1">
      <alignment horizontal="center"/>
    </xf>
    <xf numFmtId="0" fontId="16" fillId="10" borderId="6" xfId="2" applyFont="1" applyFill="1" applyBorder="1"/>
    <xf numFmtId="0" fontId="16" fillId="10" borderId="6" xfId="2" applyFont="1" applyFill="1" applyBorder="1" applyAlignment="1">
      <alignment horizontal="left"/>
    </xf>
    <xf numFmtId="0" fontId="16" fillId="10" borderId="6" xfId="2" applyFont="1" applyFill="1" applyBorder="1" applyAlignment="1">
      <alignment horizontal="center"/>
    </xf>
    <xf numFmtId="164" fontId="16" fillId="0" borderId="6" xfId="1" applyFont="1" applyFill="1" applyBorder="1" applyAlignment="1"/>
    <xf numFmtId="0" fontId="17" fillId="0" borderId="6" xfId="0" applyFont="1" applyBorder="1"/>
    <xf numFmtId="0" fontId="16" fillId="0" borderId="6" xfId="2" applyFont="1" applyBorder="1" applyAlignment="1" applyProtection="1">
      <alignment horizontal="center" vertical="center" wrapText="1"/>
      <protection locked="0"/>
    </xf>
    <xf numFmtId="0" fontId="28" fillId="0" borderId="6" xfId="0" applyFont="1" applyBorder="1"/>
    <xf numFmtId="0" fontId="16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/>
    </xf>
    <xf numFmtId="0" fontId="16" fillId="0" borderId="6" xfId="0" applyFont="1" applyBorder="1" applyAlignment="1">
      <alignment horizontal="left" vertical="center" readingOrder="1"/>
    </xf>
    <xf numFmtId="0" fontId="27" fillId="0" borderId="6" xfId="0" quotePrefix="1" applyFont="1" applyBorder="1" applyAlignment="1">
      <alignment horizontal="center"/>
    </xf>
    <xf numFmtId="0" fontId="16" fillId="2" borderId="6" xfId="0" applyFont="1" applyFill="1" applyBorder="1" applyAlignment="1">
      <alignment vertical="center" readingOrder="1"/>
    </xf>
    <xf numFmtId="0" fontId="16" fillId="2" borderId="6" xfId="0" applyFont="1" applyFill="1" applyBorder="1" applyAlignment="1">
      <alignment horizontal="left" vertical="center" readingOrder="1"/>
    </xf>
    <xf numFmtId="0" fontId="16" fillId="0" borderId="6" xfId="2" applyFont="1" applyBorder="1" applyAlignment="1" applyProtection="1">
      <alignment horizontal="center" vertical="center"/>
      <protection locked="0"/>
    </xf>
    <xf numFmtId="0" fontId="16" fillId="2" borderId="6" xfId="0" applyFont="1" applyFill="1" applyBorder="1" applyAlignment="1" applyProtection="1">
      <alignment horizontal="left" vertical="center" readingOrder="1"/>
      <protection locked="0"/>
    </xf>
    <xf numFmtId="0" fontId="16" fillId="0" borderId="6" xfId="0" applyFont="1" applyBorder="1" applyAlignment="1">
      <alignment horizontal="center" vertical="center"/>
    </xf>
    <xf numFmtId="0" fontId="16" fillId="2" borderId="6" xfId="0" quotePrefix="1" applyFont="1" applyFill="1" applyBorder="1" applyAlignment="1">
      <alignment horizontal="center" vertical="center"/>
    </xf>
    <xf numFmtId="14" fontId="16" fillId="0" borderId="6" xfId="1" applyNumberFormat="1" applyFont="1" applyBorder="1"/>
    <xf numFmtId="0" fontId="16" fillId="2" borderId="6" xfId="2" quotePrefix="1" applyFont="1" applyFill="1" applyBorder="1" applyAlignment="1" applyProtection="1">
      <alignment horizontal="center"/>
      <protection locked="0"/>
    </xf>
    <xf numFmtId="0" fontId="27" fillId="0" borderId="6" xfId="0" applyFont="1" applyBorder="1" applyAlignment="1">
      <alignment horizontal="center" vertical="center"/>
    </xf>
    <xf numFmtId="0" fontId="16" fillId="0" borderId="5" xfId="2" applyFont="1" applyBorder="1"/>
    <xf numFmtId="0" fontId="16" fillId="2" borderId="6" xfId="0" applyFont="1" applyFill="1" applyBorder="1" applyAlignment="1" applyProtection="1">
      <alignment horizontal="center" vertical="center" readingOrder="1"/>
      <protection locked="0"/>
    </xf>
    <xf numFmtId="0" fontId="16" fillId="0" borderId="6" xfId="0" applyFont="1" applyBorder="1" applyAlignment="1" applyProtection="1">
      <alignment horizontal="center" vertical="center" readingOrder="1"/>
      <protection locked="0"/>
    </xf>
    <xf numFmtId="0" fontId="16" fillId="0" borderId="6" xfId="2" applyFont="1" applyBorder="1" applyAlignment="1">
      <alignment horizontal="center" vertical="center"/>
    </xf>
    <xf numFmtId="0" fontId="16" fillId="12" borderId="6" xfId="0" applyFont="1" applyFill="1" applyBorder="1" applyAlignment="1" applyProtection="1">
      <alignment horizontal="left" vertical="center"/>
      <protection locked="0"/>
    </xf>
    <xf numFmtId="0" fontId="16" fillId="4" borderId="6" xfId="0" applyFont="1" applyFill="1" applyBorder="1" applyAlignment="1">
      <alignment vertical="center"/>
    </xf>
    <xf numFmtId="0" fontId="16" fillId="2" borderId="6" xfId="0" applyFont="1" applyFill="1" applyBorder="1" applyAlignment="1">
      <alignment horizontal="center" vertical="center"/>
    </xf>
    <xf numFmtId="2" fontId="16" fillId="0" borderId="6" xfId="2" applyNumberFormat="1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27" fillId="2" borderId="6" xfId="0" applyFont="1" applyFill="1" applyBorder="1" applyAlignment="1">
      <alignment vertical="center"/>
    </xf>
    <xf numFmtId="0" fontId="17" fillId="2" borderId="6" xfId="0" quotePrefix="1" applyFont="1" applyFill="1" applyBorder="1" applyAlignment="1">
      <alignment horizontal="center"/>
    </xf>
    <xf numFmtId="0" fontId="27" fillId="2" borderId="6" xfId="0" applyFont="1" applyFill="1" applyBorder="1" applyAlignment="1">
      <alignment horizontal="left" vertical="center"/>
    </xf>
    <xf numFmtId="0" fontId="27" fillId="2" borderId="6" xfId="0" applyFont="1" applyFill="1" applyBorder="1" applyAlignment="1">
      <alignment horizontal="center" vertical="center"/>
    </xf>
    <xf numFmtId="0" fontId="27" fillId="0" borderId="6" xfId="0" applyFont="1" applyBorder="1" applyAlignment="1">
      <alignment vertical="center"/>
    </xf>
    <xf numFmtId="0" fontId="27" fillId="0" borderId="6" xfId="0" applyFont="1" applyBorder="1" applyAlignment="1">
      <alignment horizontal="left" vertical="center"/>
    </xf>
    <xf numFmtId="0" fontId="16" fillId="16" borderId="6" xfId="0" applyFont="1" applyFill="1" applyBorder="1" applyAlignment="1" applyProtection="1">
      <alignment horizontal="center" vertical="center"/>
      <protection locked="0"/>
    </xf>
    <xf numFmtId="0" fontId="16" fillId="10" borderId="6" xfId="0" applyFont="1" applyFill="1" applyBorder="1" applyAlignment="1">
      <alignment vertical="center"/>
    </xf>
    <xf numFmtId="0" fontId="16" fillId="10" borderId="6" xfId="0" applyFont="1" applyFill="1" applyBorder="1" applyAlignment="1">
      <alignment horizontal="left" vertical="center"/>
    </xf>
    <xf numFmtId="14" fontId="16" fillId="2" borderId="6" xfId="2" applyNumberFormat="1" applyFont="1" applyFill="1" applyBorder="1"/>
    <xf numFmtId="14" fontId="16" fillId="0" borderId="6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left" vertical="center" readingOrder="1"/>
    </xf>
    <xf numFmtId="0" fontId="27" fillId="0" borderId="6" xfId="2" applyFont="1" applyBorder="1" applyAlignment="1">
      <alignment horizontal="center" vertical="center" readingOrder="1"/>
    </xf>
    <xf numFmtId="0" fontId="27" fillId="16" borderId="6" xfId="0" applyFont="1" applyFill="1" applyBorder="1" applyAlignment="1">
      <alignment horizontal="center" vertical="center"/>
    </xf>
    <xf numFmtId="1" fontId="27" fillId="0" borderId="6" xfId="0" applyNumberFormat="1" applyFont="1" applyBorder="1" applyAlignment="1">
      <alignment horizontal="center" vertical="center"/>
    </xf>
    <xf numFmtId="0" fontId="16" fillId="16" borderId="6" xfId="2" applyFont="1" applyFill="1" applyBorder="1" applyAlignment="1">
      <alignment horizontal="center"/>
    </xf>
    <xf numFmtId="0" fontId="27" fillId="0" borderId="6" xfId="0" quotePrefix="1" applyFont="1" applyBorder="1" applyAlignment="1">
      <alignment horizontal="center" vertical="center"/>
    </xf>
    <xf numFmtId="0" fontId="27" fillId="2" borderId="6" xfId="0" quotePrefix="1" applyFont="1" applyFill="1" applyBorder="1" applyAlignment="1">
      <alignment horizontal="center" vertical="center"/>
    </xf>
    <xf numFmtId="14" fontId="16" fillId="2" borderId="6" xfId="0" applyNumberFormat="1" applyFont="1" applyFill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/>
    </xf>
    <xf numFmtId="0" fontId="16" fillId="16" borderId="6" xfId="0" applyFont="1" applyFill="1" applyBorder="1" applyAlignment="1" applyProtection="1">
      <alignment horizontal="center" vertical="center" readingOrder="1"/>
      <protection locked="0"/>
    </xf>
    <xf numFmtId="14" fontId="16" fillId="2" borderId="6" xfId="1" applyNumberFormat="1" applyFont="1" applyFill="1" applyBorder="1" applyAlignment="1">
      <alignment horizontal="center" vertical="center"/>
    </xf>
    <xf numFmtId="14" fontId="16" fillId="2" borderId="6" xfId="0" applyNumberFormat="1" applyFont="1" applyFill="1" applyBorder="1" applyAlignment="1" applyProtection="1">
      <alignment horizontal="center" vertical="center"/>
      <protection locked="0"/>
    </xf>
    <xf numFmtId="14" fontId="16" fillId="0" borderId="6" xfId="1" applyNumberFormat="1" applyFont="1" applyBorder="1" applyAlignment="1">
      <alignment horizontal="center" vertical="center"/>
    </xf>
    <xf numFmtId="0" fontId="16" fillId="0" borderId="6" xfId="0" quotePrefix="1" applyFont="1" applyBorder="1" applyAlignment="1" applyProtection="1">
      <alignment horizontal="center" vertical="center"/>
      <protection locked="0"/>
    </xf>
    <xf numFmtId="0" fontId="27" fillId="16" borderId="6" xfId="0" applyFont="1" applyFill="1" applyBorder="1" applyAlignment="1">
      <alignment horizontal="center" vertical="center" readingOrder="1"/>
    </xf>
    <xf numFmtId="14" fontId="27" fillId="0" borderId="6" xfId="0" applyNumberFormat="1" applyFont="1" applyBorder="1" applyAlignment="1">
      <alignment horizontal="right" vertical="center"/>
    </xf>
    <xf numFmtId="14" fontId="16" fillId="0" borderId="6" xfId="0" applyNumberFormat="1" applyFont="1" applyBorder="1" applyAlignment="1" applyProtection="1">
      <alignment horizontal="right" vertical="center"/>
      <protection locked="0"/>
    </xf>
    <xf numFmtId="0" fontId="16" fillId="16" borderId="6" xfId="0" applyFont="1" applyFill="1" applyBorder="1" applyAlignment="1">
      <alignment horizontal="center" vertical="center"/>
    </xf>
    <xf numFmtId="14" fontId="16" fillId="0" borderId="6" xfId="2" applyNumberFormat="1" applyFont="1" applyBorder="1" applyAlignment="1">
      <alignment horizontal="right"/>
    </xf>
    <xf numFmtId="14" fontId="16" fillId="0" borderId="6" xfId="0" applyNumberFormat="1" applyFont="1" applyBorder="1" applyAlignment="1" applyProtection="1">
      <alignment horizontal="center" vertical="center"/>
      <protection locked="0"/>
    </xf>
    <xf numFmtId="0" fontId="27" fillId="16" borderId="6" xfId="0" applyFont="1" applyFill="1" applyBorder="1" applyAlignment="1">
      <alignment horizontal="center"/>
    </xf>
    <xf numFmtId="0" fontId="27" fillId="2" borderId="6" xfId="0" applyFont="1" applyFill="1" applyBorder="1" applyAlignment="1">
      <alignment horizontal="left" vertical="center" readingOrder="1"/>
    </xf>
    <xf numFmtId="0" fontId="16" fillId="2" borderId="6" xfId="2" quotePrefix="1" applyFont="1" applyFill="1" applyBorder="1" applyAlignment="1">
      <alignment horizontal="center"/>
    </xf>
    <xf numFmtId="14" fontId="16" fillId="0" borderId="6" xfId="0" applyNumberFormat="1" applyFont="1" applyBorder="1" applyAlignment="1">
      <alignment horizontal="right" vertical="center"/>
    </xf>
    <xf numFmtId="14" fontId="27" fillId="0" borderId="6" xfId="0" applyNumberFormat="1" applyFont="1" applyBorder="1" applyAlignment="1">
      <alignment horizontal="right"/>
    </xf>
    <xf numFmtId="0" fontId="16" fillId="18" borderId="6" xfId="2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 vertical="center" readingOrder="1"/>
    </xf>
    <xf numFmtId="14" fontId="27" fillId="0" borderId="6" xfId="0" applyNumberFormat="1" applyFont="1" applyBorder="1" applyAlignment="1">
      <alignment vertical="center"/>
    </xf>
    <xf numFmtId="14" fontId="16" fillId="0" borderId="6" xfId="0" applyNumberFormat="1" applyFont="1" applyBorder="1" applyAlignment="1" applyProtection="1">
      <alignment vertical="center"/>
      <protection locked="0"/>
    </xf>
    <xf numFmtId="14" fontId="27" fillId="0" borderId="6" xfId="0" applyNumberFormat="1" applyFont="1" applyBorder="1" applyAlignment="1">
      <alignment horizontal="right" vertical="center" readingOrder="1"/>
    </xf>
    <xf numFmtId="14" fontId="27" fillId="0" borderId="6" xfId="1" applyNumberFormat="1" applyFont="1" applyBorder="1" applyAlignment="1">
      <alignment horizontal="center" vertical="center" wrapText="1"/>
    </xf>
    <xf numFmtId="0" fontId="16" fillId="0" borderId="6" xfId="2" quotePrefix="1" applyFont="1" applyBorder="1" applyAlignment="1" applyProtection="1">
      <alignment horizontal="center"/>
      <protection locked="0"/>
    </xf>
    <xf numFmtId="0" fontId="27" fillId="0" borderId="4" xfId="0" applyFont="1" applyBorder="1" applyAlignment="1">
      <alignment horizontal="left" vertical="center"/>
    </xf>
    <xf numFmtId="0" fontId="27" fillId="0" borderId="9" xfId="0" applyFont="1" applyBorder="1" applyAlignment="1">
      <alignment horizontal="center" vertical="center"/>
    </xf>
    <xf numFmtId="14" fontId="27" fillId="0" borderId="20" xfId="0" applyNumberFormat="1" applyFont="1" applyBorder="1" applyAlignment="1">
      <alignment vertical="center"/>
    </xf>
    <xf numFmtId="14" fontId="27" fillId="0" borderId="4" xfId="0" applyNumberFormat="1" applyFont="1" applyBorder="1" applyAlignment="1">
      <alignment vertical="center"/>
    </xf>
    <xf numFmtId="0" fontId="16" fillId="0" borderId="5" xfId="2" applyFont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164" fontId="29" fillId="14" borderId="0" xfId="2" applyNumberFormat="1" applyFont="1" applyFill="1" applyAlignment="1">
      <alignment horizontal="center"/>
    </xf>
    <xf numFmtId="164" fontId="29" fillId="14" borderId="0" xfId="2" applyNumberFormat="1" applyFont="1" applyFill="1" applyAlignment="1">
      <alignment horizontal="right"/>
    </xf>
    <xf numFmtId="43" fontId="29" fillId="14" borderId="0" xfId="2" applyNumberFormat="1" applyFont="1" applyFill="1" applyAlignment="1">
      <alignment horizontal="right"/>
    </xf>
    <xf numFmtId="0" fontId="29" fillId="14" borderId="0" xfId="2" applyFont="1" applyFill="1" applyAlignment="1">
      <alignment horizontal="center"/>
    </xf>
    <xf numFmtId="0" fontId="29" fillId="14" borderId="0" xfId="2" applyFont="1" applyFill="1" applyAlignment="1">
      <alignment horizontal="left"/>
    </xf>
    <xf numFmtId="164" fontId="16" fillId="0" borderId="6" xfId="1" applyFont="1" applyFill="1" applyBorder="1" applyAlignment="1">
      <alignment horizontal="center"/>
    </xf>
    <xf numFmtId="0" fontId="16" fillId="0" borderId="6" xfId="2" applyFont="1" applyBorder="1" applyAlignment="1">
      <alignment horizontal="right"/>
    </xf>
    <xf numFmtId="0" fontId="16" fillId="0" borderId="6" xfId="2" applyFont="1" applyBorder="1" applyAlignment="1">
      <alignment wrapText="1"/>
    </xf>
    <xf numFmtId="43" fontId="16" fillId="0" borderId="6" xfId="2" applyNumberFormat="1" applyFont="1" applyBorder="1" applyAlignment="1">
      <alignment horizontal="center"/>
    </xf>
    <xf numFmtId="0" fontId="16" fillId="15" borderId="0" xfId="2" applyFont="1" applyFill="1"/>
    <xf numFmtId="0" fontId="30" fillId="0" borderId="6" xfId="0" applyFont="1" applyBorder="1"/>
    <xf numFmtId="0" fontId="31" fillId="20" borderId="6" xfId="2" applyFont="1" applyFill="1" applyBorder="1" applyAlignment="1">
      <alignment horizontal="center"/>
    </xf>
    <xf numFmtId="0" fontId="16" fillId="0" borderId="8" xfId="2" applyFont="1" applyBorder="1" applyAlignment="1">
      <alignment horizontal="center"/>
    </xf>
    <xf numFmtId="0" fontId="6" fillId="17" borderId="6" xfId="0" applyFont="1" applyFill="1" applyBorder="1" applyAlignment="1" applyProtection="1">
      <alignment horizontal="center" vertical="center"/>
      <protection locked="0"/>
    </xf>
    <xf numFmtId="0" fontId="32" fillId="0" borderId="6" xfId="2" applyFont="1" applyBorder="1" applyAlignment="1">
      <alignment horizontal="center"/>
    </xf>
    <xf numFmtId="14" fontId="27" fillId="0" borderId="20" xfId="0" applyNumberFormat="1" applyFont="1" applyBorder="1" applyAlignment="1">
      <alignment horizontal="right" vertical="center"/>
    </xf>
    <xf numFmtId="14" fontId="27" fillId="0" borderId="4" xfId="0" applyNumberFormat="1" applyFont="1" applyBorder="1" applyAlignment="1">
      <alignment horizontal="right" vertical="center"/>
    </xf>
    <xf numFmtId="14" fontId="27" fillId="0" borderId="2" xfId="0" applyNumberFormat="1" applyFont="1" applyBorder="1" applyAlignment="1">
      <alignment horizontal="right"/>
    </xf>
    <xf numFmtId="0" fontId="0" fillId="0" borderId="6" xfId="0" quotePrefix="1" applyBorder="1" applyAlignment="1">
      <alignment horizontal="center" vertical="center" readingOrder="1"/>
    </xf>
    <xf numFmtId="0" fontId="16" fillId="0" borderId="6" xfId="2" applyFont="1" applyBorder="1" applyAlignment="1">
      <alignment vertical="center"/>
    </xf>
    <xf numFmtId="0" fontId="16" fillId="16" borderId="6" xfId="2" applyFont="1" applyFill="1" applyBorder="1" applyAlignment="1" applyProtection="1">
      <alignment horizontal="center" vertical="center"/>
      <protection locked="0"/>
    </xf>
    <xf numFmtId="164" fontId="16" fillId="0" borderId="8" xfId="1" applyFont="1" applyFill="1" applyBorder="1"/>
    <xf numFmtId="0" fontId="33" fillId="21" borderId="0" xfId="2" applyFont="1" applyFill="1" applyAlignment="1">
      <alignment horizontal="center"/>
    </xf>
    <xf numFmtId="0" fontId="27" fillId="22" borderId="6" xfId="0" applyFont="1" applyFill="1" applyBorder="1" applyAlignment="1">
      <alignment vertical="center"/>
    </xf>
    <xf numFmtId="0" fontId="27" fillId="22" borderId="6" xfId="0" applyFont="1" applyFill="1" applyBorder="1"/>
    <xf numFmtId="0" fontId="16" fillId="22" borderId="6" xfId="0" applyFont="1" applyFill="1" applyBorder="1" applyAlignment="1">
      <alignment vertical="center"/>
    </xf>
    <xf numFmtId="0" fontId="27" fillId="22" borderId="4" xfId="0" applyFont="1" applyFill="1" applyBorder="1" applyAlignment="1">
      <alignment vertical="center"/>
    </xf>
    <xf numFmtId="0" fontId="16" fillId="22" borderId="0" xfId="2" applyFont="1" applyFill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4" fontId="2" fillId="0" borderId="20" xfId="0" applyNumberFormat="1" applyFont="1" applyBorder="1" applyAlignment="1">
      <alignment horizontal="right" vertical="center"/>
    </xf>
    <xf numFmtId="14" fontId="2" fillId="0" borderId="4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 readingOrder="1"/>
    </xf>
    <xf numFmtId="0" fontId="2" fillId="0" borderId="2" xfId="0" applyFont="1" applyBorder="1"/>
    <xf numFmtId="0" fontId="2" fillId="0" borderId="6" xfId="0" applyFont="1" applyBorder="1" applyAlignment="1">
      <alignment horizontal="left" vertical="center" readingOrder="1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right" vertical="center"/>
    </xf>
    <xf numFmtId="0" fontId="2" fillId="22" borderId="6" xfId="0" applyFont="1" applyFill="1" applyBorder="1" applyAlignment="1">
      <alignment vertical="center"/>
    </xf>
    <xf numFmtId="14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/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left"/>
    </xf>
    <xf numFmtId="0" fontId="2" fillId="0" borderId="8" xfId="0" applyFont="1" applyBorder="1" applyAlignment="1">
      <alignment horizontal="left" vertical="center" readingOrder="1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14" fontId="2" fillId="0" borderId="8" xfId="0" applyNumberFormat="1" applyFont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 readingOrder="1"/>
    </xf>
    <xf numFmtId="0" fontId="2" fillId="17" borderId="8" xfId="0" applyFont="1" applyFill="1" applyBorder="1"/>
    <xf numFmtId="14" fontId="2" fillId="0" borderId="8" xfId="0" applyNumberFormat="1" applyFont="1" applyBorder="1" applyAlignment="1">
      <alignment horizontal="right"/>
    </xf>
    <xf numFmtId="0" fontId="2" fillId="17" borderId="8" xfId="0" applyFont="1" applyFill="1" applyBorder="1" applyAlignment="1">
      <alignment vertical="center"/>
    </xf>
    <xf numFmtId="14" fontId="2" fillId="0" borderId="6" xfId="0" applyNumberFormat="1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14" fontId="2" fillId="0" borderId="20" xfId="0" applyNumberFormat="1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 readingOrder="1"/>
    </xf>
    <xf numFmtId="0" fontId="16" fillId="0" borderId="0" xfId="1" applyNumberFormat="1" applyFont="1" applyFill="1" applyBorder="1" applyAlignment="1">
      <alignment horizontal="center"/>
    </xf>
    <xf numFmtId="0" fontId="6" fillId="22" borderId="2" xfId="0" applyFont="1" applyFill="1" applyBorder="1" applyAlignment="1">
      <alignment vertical="center"/>
    </xf>
    <xf numFmtId="0" fontId="6" fillId="17" borderId="2" xfId="0" applyFont="1" applyFill="1" applyBorder="1" applyAlignment="1">
      <alignment horizontal="left" vertical="center"/>
    </xf>
    <xf numFmtId="14" fontId="6" fillId="0" borderId="7" xfId="0" applyNumberFormat="1" applyFont="1" applyBorder="1" applyAlignment="1" applyProtection="1">
      <alignment horizontal="right" vertical="center"/>
      <protection locked="0"/>
    </xf>
    <xf numFmtId="14" fontId="6" fillId="0" borderId="2" xfId="0" applyNumberFormat="1" applyFont="1" applyBorder="1" applyAlignment="1" applyProtection="1">
      <alignment horizontal="right" vertical="center"/>
      <protection locked="0"/>
    </xf>
    <xf numFmtId="14" fontId="6" fillId="0" borderId="7" xfId="0" applyNumberFormat="1" applyFont="1" applyBorder="1" applyAlignment="1" applyProtection="1">
      <alignment vertical="center"/>
      <protection locked="0"/>
    </xf>
    <xf numFmtId="14" fontId="6" fillId="0" borderId="2" xfId="0" applyNumberFormat="1" applyFont="1" applyBorder="1" applyAlignment="1" applyProtection="1">
      <alignment vertical="center"/>
      <protection locked="0"/>
    </xf>
    <xf numFmtId="14" fontId="6" fillId="0" borderId="6" xfId="1" applyNumberFormat="1" applyFont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/>
    </xf>
    <xf numFmtId="0" fontId="6" fillId="10" borderId="8" xfId="0" applyFont="1" applyFill="1" applyBorder="1" applyAlignment="1">
      <alignment vertical="center"/>
    </xf>
    <xf numFmtId="0" fontId="6" fillId="10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14" fontId="6" fillId="2" borderId="8" xfId="0" applyNumberFormat="1" applyFont="1" applyFill="1" applyBorder="1" applyAlignment="1">
      <alignment horizontal="center"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 applyProtection="1">
      <alignment horizontal="center" vertical="center"/>
      <protection locked="0"/>
    </xf>
    <xf numFmtId="14" fontId="6" fillId="0" borderId="8" xfId="1" applyNumberFormat="1" applyFont="1" applyBorder="1" applyAlignment="1">
      <alignment horizontal="center" vertical="center"/>
    </xf>
    <xf numFmtId="14" fontId="6" fillId="0" borderId="8" xfId="0" applyNumberFormat="1" applyFont="1" applyBorder="1" applyAlignment="1" applyProtection="1">
      <alignment horizontal="right" vertical="center"/>
      <protection locked="0"/>
    </xf>
    <xf numFmtId="0" fontId="6" fillId="10" borderId="6" xfId="0" applyFont="1" applyFill="1" applyBorder="1" applyAlignment="1">
      <alignment vertical="center"/>
    </xf>
    <xf numFmtId="0" fontId="6" fillId="10" borderId="6" xfId="0" applyFont="1" applyFill="1" applyBorder="1" applyAlignment="1">
      <alignment horizontal="left" vertical="center"/>
    </xf>
    <xf numFmtId="14" fontId="6" fillId="0" borderId="8" xfId="0" applyNumberFormat="1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8" xfId="0" applyNumberFormat="1" applyFont="1" applyBorder="1" applyAlignment="1">
      <alignment horizontal="right" vertical="center"/>
    </xf>
    <xf numFmtId="0" fontId="6" fillId="17" borderId="6" xfId="0" applyFont="1" applyFill="1" applyBorder="1" applyAlignment="1">
      <alignment vertical="center"/>
    </xf>
    <xf numFmtId="0" fontId="6" fillId="17" borderId="8" xfId="0" applyFont="1" applyFill="1" applyBorder="1" applyAlignment="1">
      <alignment vertical="center"/>
    </xf>
    <xf numFmtId="14" fontId="6" fillId="0" borderId="6" xfId="0" applyNumberFormat="1" applyFont="1" applyBorder="1" applyAlignment="1" applyProtection="1">
      <alignment vertical="center"/>
      <protection locked="0"/>
    </xf>
    <xf numFmtId="14" fontId="6" fillId="0" borderId="8" xfId="0" applyNumberFormat="1" applyFont="1" applyBorder="1" applyAlignment="1" applyProtection="1">
      <alignment vertical="center"/>
      <protection locked="0"/>
    </xf>
    <xf numFmtId="14" fontId="6" fillId="0" borderId="5" xfId="1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14" fontId="6" fillId="0" borderId="22" xfId="0" applyNumberFormat="1" applyFont="1" applyBorder="1" applyAlignment="1" applyProtection="1">
      <alignment horizontal="right" vertical="center"/>
      <protection locked="0"/>
    </xf>
    <xf numFmtId="14" fontId="6" fillId="0" borderId="3" xfId="0" applyNumberFormat="1" applyFont="1" applyBorder="1" applyAlignment="1" applyProtection="1">
      <alignment horizontal="right" vertical="center"/>
      <protection locked="0"/>
    </xf>
    <xf numFmtId="0" fontId="34" fillId="0" borderId="6" xfId="0" applyFont="1" applyBorder="1" applyAlignment="1">
      <alignment horizontal="left" vertical="center"/>
    </xf>
    <xf numFmtId="14" fontId="34" fillId="0" borderId="6" xfId="0" applyNumberFormat="1" applyFont="1" applyBorder="1" applyAlignment="1" applyProtection="1">
      <alignment horizontal="right" vertical="center"/>
      <protection locked="0"/>
    </xf>
    <xf numFmtId="0" fontId="34" fillId="0" borderId="6" xfId="0" applyFont="1" applyBorder="1" applyAlignment="1" applyProtection="1">
      <alignment horizontal="left" vertical="center"/>
      <protection locked="0"/>
    </xf>
    <xf numFmtId="14" fontId="34" fillId="0" borderId="5" xfId="0" applyNumberFormat="1" applyFont="1" applyBorder="1" applyAlignment="1">
      <alignment horizontal="center" vertical="center"/>
    </xf>
    <xf numFmtId="0" fontId="16" fillId="0" borderId="14" xfId="2" applyFont="1" applyBorder="1" applyAlignment="1">
      <alignment horizontal="center"/>
    </xf>
    <xf numFmtId="164" fontId="29" fillId="19" borderId="0" xfId="2" applyNumberFormat="1" applyFont="1" applyFill="1" applyAlignment="1">
      <alignment horizontal="center"/>
    </xf>
    <xf numFmtId="164" fontId="29" fillId="19" borderId="0" xfId="2" applyNumberFormat="1" applyFont="1" applyFill="1" applyAlignment="1">
      <alignment horizontal="right"/>
    </xf>
    <xf numFmtId="43" fontId="29" fillId="19" borderId="0" xfId="2" applyNumberFormat="1" applyFont="1" applyFill="1" applyAlignment="1">
      <alignment horizontal="right"/>
    </xf>
    <xf numFmtId="0" fontId="29" fillId="19" borderId="0" xfId="2" applyFont="1" applyFill="1" applyAlignment="1">
      <alignment horizontal="center"/>
    </xf>
    <xf numFmtId="14" fontId="16" fillId="0" borderId="0" xfId="2" applyNumberFormat="1" applyFont="1" applyAlignment="1">
      <alignment horizontal="right"/>
    </xf>
    <xf numFmtId="14" fontId="34" fillId="0" borderId="6" xfId="1" applyNumberFormat="1" applyFont="1" applyBorder="1" applyAlignment="1">
      <alignment horizontal="center" vertical="center"/>
    </xf>
    <xf numFmtId="14" fontId="34" fillId="0" borderId="6" xfId="0" applyNumberFormat="1" applyFont="1" applyBorder="1" applyAlignment="1">
      <alignment horizontal="center" vertical="center"/>
    </xf>
    <xf numFmtId="0" fontId="34" fillId="22" borderId="6" xfId="0" applyFont="1" applyFill="1" applyBorder="1" applyAlignment="1">
      <alignment horizontal="left" vertical="center"/>
    </xf>
    <xf numFmtId="0" fontId="34" fillId="0" borderId="6" xfId="0" applyFont="1" applyBorder="1" applyAlignment="1" applyProtection="1">
      <alignment horizontal="left" vertical="center" readingOrder="1"/>
      <protection locked="0"/>
    </xf>
    <xf numFmtId="14" fontId="16" fillId="0" borderId="0" xfId="2" applyNumberFormat="1" applyFont="1" applyAlignment="1">
      <alignment horizontal="center"/>
    </xf>
    <xf numFmtId="164" fontId="16" fillId="0" borderId="11" xfId="1" applyFont="1" applyFill="1" applyBorder="1"/>
    <xf numFmtId="0" fontId="27" fillId="20" borderId="6" xfId="0" applyFont="1" applyFill="1" applyBorder="1" applyAlignment="1">
      <alignment vertical="center"/>
    </xf>
    <xf numFmtId="0" fontId="27" fillId="20" borderId="6" xfId="0" applyFont="1" applyFill="1" applyBorder="1" applyAlignment="1">
      <alignment horizontal="left" vertical="center"/>
    </xf>
    <xf numFmtId="0" fontId="27" fillId="20" borderId="6" xfId="0" applyFont="1" applyFill="1" applyBorder="1" applyAlignment="1">
      <alignment horizontal="center" vertical="center"/>
    </xf>
    <xf numFmtId="0" fontId="27" fillId="20" borderId="6" xfId="0" applyFont="1" applyFill="1" applyBorder="1" applyAlignment="1">
      <alignment horizontal="center" vertical="center" readingOrder="1"/>
    </xf>
    <xf numFmtId="0" fontId="16" fillId="20" borderId="0" xfId="2" applyFont="1" applyFill="1"/>
    <xf numFmtId="0" fontId="34" fillId="0" borderId="6" xfId="0" applyFont="1" applyBorder="1" applyAlignment="1" applyProtection="1">
      <alignment horizontal="center" vertical="center"/>
      <protection locked="0"/>
    </xf>
    <xf numFmtId="0" fontId="16" fillId="6" borderId="0" xfId="2" applyFont="1" applyFill="1"/>
    <xf numFmtId="0" fontId="16" fillId="0" borderId="0" xfId="2" applyFont="1" applyAlignment="1">
      <alignment wrapText="1"/>
    </xf>
    <xf numFmtId="14" fontId="34" fillId="0" borderId="6" xfId="0" applyNumberFormat="1" applyFont="1" applyBorder="1" applyAlignment="1" applyProtection="1">
      <alignment vertical="center"/>
      <protection locked="0"/>
    </xf>
    <xf numFmtId="14" fontId="16" fillId="0" borderId="5" xfId="0" applyNumberFormat="1" applyFont="1" applyBorder="1" applyAlignment="1" applyProtection="1">
      <alignment vertical="center"/>
      <protection locked="0"/>
    </xf>
    <xf numFmtId="14" fontId="27" fillId="0" borderId="4" xfId="0" applyNumberFormat="1" applyFont="1" applyBorder="1" applyAlignment="1">
      <alignment horizontal="right"/>
    </xf>
    <xf numFmtId="0" fontId="16" fillId="0" borderId="11" xfId="2" applyFont="1" applyBorder="1"/>
    <xf numFmtId="0" fontId="0" fillId="0" borderId="6" xfId="0" quotePrefix="1" applyBorder="1" applyAlignment="1">
      <alignment horizontal="center"/>
    </xf>
    <xf numFmtId="9" fontId="16" fillId="0" borderId="0" xfId="2" applyNumberFormat="1" applyFont="1" applyAlignment="1">
      <alignment horizontal="left"/>
    </xf>
    <xf numFmtId="0" fontId="16" fillId="0" borderId="0" xfId="2" applyFont="1" applyAlignment="1">
      <alignment vertical="center" indent="1"/>
    </xf>
    <xf numFmtId="0" fontId="29" fillId="19" borderId="0" xfId="2" applyFont="1" applyFill="1" applyAlignment="1">
      <alignment vertical="center" indent="1"/>
    </xf>
    <xf numFmtId="0" fontId="36" fillId="20" borderId="6" xfId="2" applyFont="1" applyFill="1" applyBorder="1" applyAlignment="1">
      <alignment vertical="center" indent="1"/>
    </xf>
    <xf numFmtId="0" fontId="16" fillId="0" borderId="6" xfId="2" applyFont="1" applyBorder="1" applyAlignment="1">
      <alignment vertical="center" indent="1"/>
    </xf>
    <xf numFmtId="0" fontId="16" fillId="9" borderId="6" xfId="2" applyFont="1" applyFill="1" applyBorder="1" applyAlignment="1">
      <alignment vertical="center" indent="1"/>
    </xf>
    <xf numFmtId="0" fontId="16" fillId="0" borderId="6" xfId="1" applyNumberFormat="1" applyFont="1" applyBorder="1" applyAlignment="1">
      <alignment vertical="center" indent="1"/>
    </xf>
    <xf numFmtId="0" fontId="16" fillId="2" borderId="6" xfId="2" applyFont="1" applyFill="1" applyBorder="1" applyAlignment="1">
      <alignment vertical="center" indent="1"/>
    </xf>
    <xf numFmtId="0" fontId="27" fillId="0" borderId="6" xfId="0" applyFont="1" applyBorder="1" applyAlignment="1">
      <alignment vertical="center" indent="1"/>
    </xf>
    <xf numFmtId="0" fontId="16" fillId="0" borderId="6" xfId="0" applyFont="1" applyBorder="1" applyAlignment="1" applyProtection="1">
      <alignment vertical="center" indent="1"/>
      <protection locked="0"/>
    </xf>
    <xf numFmtId="0" fontId="16" fillId="0" borderId="6" xfId="0" applyFont="1" applyBorder="1" applyAlignment="1">
      <alignment vertical="center" indent="1"/>
    </xf>
    <xf numFmtId="0" fontId="27" fillId="0" borderId="6" xfId="0" applyFont="1" applyBorder="1" applyAlignment="1">
      <alignment vertical="center" indent="1" readingOrder="1"/>
    </xf>
    <xf numFmtId="0" fontId="16" fillId="0" borderId="8" xfId="0" applyFont="1" applyBorder="1" applyAlignment="1" applyProtection="1">
      <alignment vertical="center" indent="1"/>
      <protection locked="0"/>
    </xf>
    <xf numFmtId="0" fontId="6" fillId="0" borderId="0" xfId="0" applyFont="1" applyAlignment="1" applyProtection="1">
      <alignment vertical="center" indent="1"/>
      <protection locked="0"/>
    </xf>
    <xf numFmtId="0" fontId="2" fillId="0" borderId="0" xfId="0" applyFont="1" applyAlignment="1">
      <alignment vertical="center" indent="1"/>
    </xf>
    <xf numFmtId="0" fontId="6" fillId="0" borderId="6" xfId="0" applyFont="1" applyBorder="1" applyAlignment="1" applyProtection="1">
      <alignment vertical="center" indent="1"/>
      <protection locked="0"/>
    </xf>
    <xf numFmtId="0" fontId="2" fillId="0" borderId="6" xfId="0" applyFont="1" applyBorder="1" applyAlignment="1">
      <alignment vertical="center" indent="1"/>
    </xf>
    <xf numFmtId="0" fontId="34" fillId="0" borderId="0" xfId="0" applyFont="1" applyAlignment="1" applyProtection="1">
      <alignment vertical="center" indent="1"/>
      <protection locked="0"/>
    </xf>
    <xf numFmtId="0" fontId="16" fillId="0" borderId="0" xfId="2" applyFont="1" applyAlignment="1">
      <alignment horizontal="center" vertical="center" indent="1"/>
    </xf>
    <xf numFmtId="0" fontId="29" fillId="19" borderId="0" xfId="2" applyFont="1" applyFill="1" applyAlignment="1">
      <alignment horizontal="center" vertical="center" indent="1"/>
    </xf>
    <xf numFmtId="0" fontId="36" fillId="20" borderId="6" xfId="2" applyFont="1" applyFill="1" applyBorder="1" applyAlignment="1">
      <alignment horizontal="center" vertical="center" indent="1"/>
    </xf>
    <xf numFmtId="0" fontId="16" fillId="0" borderId="6" xfId="2" applyFont="1" applyBorder="1" applyAlignment="1">
      <alignment horizontal="center" vertical="center" indent="1"/>
    </xf>
    <xf numFmtId="0" fontId="16" fillId="9" borderId="6" xfId="2" applyFont="1" applyFill="1" applyBorder="1" applyAlignment="1">
      <alignment horizontal="center" vertical="center" indent="1"/>
    </xf>
    <xf numFmtId="0" fontId="16" fillId="0" borderId="6" xfId="1" applyNumberFormat="1" applyFont="1" applyBorder="1" applyAlignment="1">
      <alignment horizontal="center" vertical="center" indent="1"/>
    </xf>
    <xf numFmtId="0" fontId="16" fillId="2" borderId="6" xfId="2" applyFont="1" applyFill="1" applyBorder="1" applyAlignment="1">
      <alignment horizontal="center" vertical="center" indent="1"/>
    </xf>
    <xf numFmtId="0" fontId="27" fillId="0" borderId="6" xfId="0" applyFont="1" applyBorder="1" applyAlignment="1">
      <alignment horizontal="center" vertical="center" indent="1"/>
    </xf>
    <xf numFmtId="0" fontId="16" fillId="0" borderId="6" xfId="0" applyFont="1" applyBorder="1" applyAlignment="1" applyProtection="1">
      <alignment horizontal="center" vertical="center" indent="1"/>
      <protection locked="0"/>
    </xf>
    <xf numFmtId="0" fontId="16" fillId="0" borderId="6" xfId="0" applyFont="1" applyBorder="1" applyAlignment="1">
      <alignment horizontal="center" vertical="center" indent="1"/>
    </xf>
    <xf numFmtId="0" fontId="27" fillId="0" borderId="6" xfId="0" applyFont="1" applyBorder="1" applyAlignment="1">
      <alignment horizontal="center" vertical="center" indent="1" readingOrder="1"/>
    </xf>
    <xf numFmtId="0" fontId="16" fillId="0" borderId="8" xfId="0" applyFont="1" applyBorder="1" applyAlignment="1" applyProtection="1">
      <alignment horizontal="center" vertical="center" indent="1"/>
      <protection locked="0"/>
    </xf>
    <xf numFmtId="0" fontId="6" fillId="0" borderId="0" xfId="0" applyFont="1" applyAlignment="1" applyProtection="1">
      <alignment horizontal="center" vertical="center" indent="1"/>
      <protection locked="0"/>
    </xf>
    <xf numFmtId="0" fontId="2" fillId="0" borderId="0" xfId="0" applyFont="1" applyAlignment="1">
      <alignment horizontal="center" vertical="center" indent="1"/>
    </xf>
    <xf numFmtId="0" fontId="6" fillId="0" borderId="6" xfId="0" applyFont="1" applyBorder="1" applyAlignment="1" applyProtection="1">
      <alignment horizontal="center" vertical="center" indent="1"/>
      <protection locked="0"/>
    </xf>
    <xf numFmtId="0" fontId="2" fillId="0" borderId="6" xfId="0" applyFont="1" applyBorder="1" applyAlignment="1">
      <alignment horizontal="center" vertical="center" indent="1"/>
    </xf>
    <xf numFmtId="0" fontId="34" fillId="0" borderId="0" xfId="0" applyFont="1" applyAlignment="1" applyProtection="1">
      <alignment horizontal="center" vertical="center" indent="1"/>
      <protection locked="0"/>
    </xf>
    <xf numFmtId="0" fontId="27" fillId="16" borderId="6" xfId="0" quotePrefix="1" applyFont="1" applyFill="1" applyBorder="1" applyAlignment="1">
      <alignment horizontal="center"/>
    </xf>
    <xf numFmtId="0" fontId="0" fillId="16" borderId="6" xfId="0" quotePrefix="1" applyFill="1" applyBorder="1" applyAlignment="1">
      <alignment horizontal="center" vertical="center" readingOrder="1"/>
    </xf>
    <xf numFmtId="0" fontId="34" fillId="0" borderId="5" xfId="0" applyFont="1" applyBorder="1" applyAlignment="1">
      <alignment horizontal="left" vertical="center"/>
    </xf>
    <xf numFmtId="14" fontId="34" fillId="0" borderId="8" xfId="0" applyNumberFormat="1" applyFont="1" applyBorder="1" applyAlignment="1">
      <alignment horizontal="center" vertical="center"/>
    </xf>
    <xf numFmtId="0" fontId="34" fillId="0" borderId="8" xfId="0" applyFont="1" applyBorder="1" applyAlignment="1" applyProtection="1">
      <alignment horizontal="center" vertical="center"/>
      <protection locked="0"/>
    </xf>
    <xf numFmtId="0" fontId="34" fillId="0" borderId="11" xfId="0" applyFont="1" applyBorder="1" applyAlignment="1">
      <alignment horizontal="left" vertical="center"/>
    </xf>
    <xf numFmtId="0" fontId="34" fillId="0" borderId="6" xfId="0" applyFont="1" applyBorder="1" applyAlignment="1" applyProtection="1">
      <alignment vertical="center"/>
      <protection locked="0"/>
    </xf>
    <xf numFmtId="0" fontId="37" fillId="0" borderId="6" xfId="0" quotePrefix="1" applyFont="1" applyBorder="1" applyAlignment="1">
      <alignment horizontal="center"/>
    </xf>
    <xf numFmtId="164" fontId="16" fillId="16" borderId="6" xfId="1" applyFont="1" applyFill="1" applyBorder="1"/>
    <xf numFmtId="0" fontId="31" fillId="0" borderId="6" xfId="0" applyFont="1" applyBorder="1" applyAlignment="1">
      <alignment horizontal="center" vertical="center"/>
    </xf>
    <xf numFmtId="164" fontId="16" fillId="0" borderId="6" xfId="1" applyFont="1" applyFill="1" applyBorder="1" applyAlignment="1">
      <alignment horizontal="left"/>
    </xf>
    <xf numFmtId="14" fontId="34" fillId="0" borderId="8" xfId="0" applyNumberFormat="1" applyFont="1" applyBorder="1" applyAlignment="1" applyProtection="1">
      <alignment horizontal="right" vertical="center"/>
      <protection locked="0"/>
    </xf>
    <xf numFmtId="14" fontId="16" fillId="0" borderId="8" xfId="2" applyNumberFormat="1" applyFont="1" applyBorder="1"/>
    <xf numFmtId="0" fontId="6" fillId="0" borderId="11" xfId="2" applyFont="1" applyBorder="1" applyAlignment="1">
      <alignment horizontal="left"/>
    </xf>
    <xf numFmtId="0" fontId="0" fillId="0" borderId="6" xfId="0" applyBorder="1" applyAlignment="1">
      <alignment horizontal="left" vertical="center" readingOrder="1"/>
    </xf>
    <xf numFmtId="0" fontId="16" fillId="0" borderId="6" xfId="1" applyNumberFormat="1" applyFont="1" applyFill="1" applyBorder="1"/>
    <xf numFmtId="0" fontId="16" fillId="7" borderId="6" xfId="2" applyFont="1" applyFill="1" applyBorder="1" applyAlignment="1">
      <alignment horizontal="center"/>
    </xf>
    <xf numFmtId="0" fontId="38" fillId="3" borderId="0" xfId="2" applyFont="1" applyFill="1" applyAlignment="1">
      <alignment horizontal="center"/>
    </xf>
    <xf numFmtId="0" fontId="38" fillId="0" borderId="0" xfId="1" applyNumberFormat="1" applyFont="1" applyFill="1" applyBorder="1" applyAlignment="1">
      <alignment horizontal="right"/>
    </xf>
    <xf numFmtId="0" fontId="38" fillId="0" borderId="0" xfId="2" applyFont="1" applyAlignment="1">
      <alignment horizontal="right"/>
    </xf>
    <xf numFmtId="0" fontId="6" fillId="0" borderId="13" xfId="2" applyFont="1" applyBorder="1" applyAlignment="1" applyProtection="1">
      <alignment horizontal="center"/>
      <protection locked="0"/>
    </xf>
    <xf numFmtId="0" fontId="34" fillId="0" borderId="6" xfId="2" applyFont="1" applyBorder="1" applyAlignment="1">
      <alignment horizontal="center" vertical="center"/>
    </xf>
    <xf numFmtId="0" fontId="34" fillId="0" borderId="6" xfId="2" applyFont="1" applyBorder="1" applyAlignment="1" applyProtection="1">
      <alignment horizontal="center"/>
      <protection locked="0"/>
    </xf>
    <xf numFmtId="0" fontId="38" fillId="0" borderId="0" xfId="2" applyFont="1" applyAlignment="1">
      <alignment horizontal="center"/>
    </xf>
    <xf numFmtId="164" fontId="16" fillId="0" borderId="6" xfId="1" applyFont="1" applyBorder="1" applyAlignment="1">
      <alignment horizontal="left"/>
    </xf>
    <xf numFmtId="49" fontId="16" fillId="0" borderId="6" xfId="2" applyNumberFormat="1" applyFont="1" applyBorder="1" applyAlignment="1">
      <alignment horizontal="center"/>
    </xf>
    <xf numFmtId="0" fontId="0" fillId="22" borderId="6" xfId="0" applyFill="1" applyBorder="1" applyAlignment="1">
      <alignment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vertical="center" indent="1"/>
    </xf>
    <xf numFmtId="0" fontId="0" fillId="0" borderId="6" xfId="0" applyBorder="1" applyAlignment="1">
      <alignment horizontal="center" vertical="center" indent="1"/>
    </xf>
    <xf numFmtId="0" fontId="31" fillId="0" borderId="6" xfId="0" applyFont="1" applyBorder="1" applyAlignment="1">
      <alignment horizontal="center"/>
    </xf>
    <xf numFmtId="0" fontId="16" fillId="2" borderId="6" xfId="2" applyFont="1" applyFill="1" applyBorder="1" applyAlignment="1">
      <alignment horizontal="center" vertical="center"/>
    </xf>
    <xf numFmtId="0" fontId="16" fillId="2" borderId="6" xfId="0" applyFont="1" applyFill="1" applyBorder="1" applyAlignment="1" applyProtection="1">
      <alignment horizontal="left" vertical="center"/>
      <protection locked="0"/>
    </xf>
    <xf numFmtId="0" fontId="6" fillId="16" borderId="6" xfId="0" applyFont="1" applyFill="1" applyBorder="1" applyAlignment="1" applyProtection="1">
      <alignment horizontal="center" vertical="center"/>
      <protection locked="0"/>
    </xf>
    <xf numFmtId="0" fontId="0" fillId="16" borderId="6" xfId="0" applyFill="1" applyBorder="1" applyAlignment="1">
      <alignment horizontal="center"/>
    </xf>
    <xf numFmtId="0" fontId="0" fillId="22" borderId="6" xfId="0" applyFill="1" applyBorder="1" applyAlignment="1">
      <alignment horizontal="center" vertical="center"/>
    </xf>
    <xf numFmtId="0" fontId="0" fillId="22" borderId="6" xfId="0" applyFill="1" applyBorder="1" applyAlignment="1">
      <alignment horizontal="left" vertical="center"/>
    </xf>
    <xf numFmtId="0" fontId="32" fillId="16" borderId="6" xfId="0" applyFont="1" applyFill="1" applyBorder="1" applyAlignment="1" applyProtection="1">
      <alignment horizontal="center" vertical="center"/>
      <protection locked="0"/>
    </xf>
    <xf numFmtId="0" fontId="6" fillId="22" borderId="6" xfId="0" applyFont="1" applyFill="1" applyBorder="1" applyAlignment="1" applyProtection="1">
      <alignment horizontal="center" vertical="center"/>
      <protection locked="0"/>
    </xf>
    <xf numFmtId="0" fontId="6" fillId="22" borderId="2" xfId="0" applyFont="1" applyFill="1" applyBorder="1" applyAlignment="1">
      <alignment horizontal="left" vertical="center"/>
    </xf>
    <xf numFmtId="0" fontId="34" fillId="0" borderId="6" xfId="0" applyFont="1" applyBorder="1" applyAlignment="1">
      <alignment vertical="center"/>
    </xf>
    <xf numFmtId="0" fontId="34" fillId="0" borderId="6" xfId="2" applyFont="1" applyBorder="1" applyAlignment="1">
      <alignment horizontal="center"/>
    </xf>
    <xf numFmtId="0" fontId="16" fillId="11" borderId="6" xfId="2" applyFont="1" applyFill="1" applyBorder="1"/>
    <xf numFmtId="0" fontId="0" fillId="16" borderId="6" xfId="0" quotePrefix="1" applyFill="1" applyBorder="1" applyAlignment="1">
      <alignment horizontal="center"/>
    </xf>
    <xf numFmtId="0" fontId="34" fillId="0" borderId="6" xfId="0" quotePrefix="1" applyFont="1" applyBorder="1" applyAlignment="1" applyProtection="1">
      <alignment horizontal="center" vertical="center"/>
      <protection locked="0"/>
    </xf>
    <xf numFmtId="0" fontId="34" fillId="0" borderId="6" xfId="0" applyFont="1" applyBorder="1" applyAlignment="1">
      <alignment horizontal="left" vertical="center" readingOrder="1"/>
    </xf>
    <xf numFmtId="20" fontId="16" fillId="0" borderId="0" xfId="1" applyNumberFormat="1" applyFont="1" applyFill="1" applyBorder="1" applyAlignment="1">
      <alignment horizontal="right"/>
    </xf>
    <xf numFmtId="20" fontId="16" fillId="0" borderId="0" xfId="2" applyNumberFormat="1" applyFont="1" applyAlignment="1">
      <alignment horizontal="right"/>
    </xf>
    <xf numFmtId="0" fontId="17" fillId="0" borderId="2" xfId="0" applyFont="1" applyBorder="1" applyAlignment="1">
      <alignment horizontal="left" vertical="center"/>
    </xf>
    <xf numFmtId="14" fontId="16" fillId="0" borderId="2" xfId="0" applyNumberFormat="1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14" fontId="16" fillId="0" borderId="23" xfId="0" applyNumberFormat="1" applyFont="1" applyBorder="1" applyAlignment="1">
      <alignment horizontal="left" vertical="center"/>
    </xf>
    <xf numFmtId="0" fontId="27" fillId="2" borderId="2" xfId="0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16" fillId="23" borderId="6" xfId="2" applyFont="1" applyFill="1" applyBorder="1"/>
    <xf numFmtId="0" fontId="16" fillId="0" borderId="23" xfId="0" applyFont="1" applyBorder="1" applyAlignment="1">
      <alignment horizontal="left"/>
    </xf>
    <xf numFmtId="0" fontId="16" fillId="0" borderId="23" xfId="0" applyFont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14" fontId="16" fillId="0" borderId="6" xfId="2" applyNumberFormat="1" applyFont="1" applyBorder="1" applyAlignment="1">
      <alignment horizontal="left"/>
    </xf>
    <xf numFmtId="14" fontId="16" fillId="15" borderId="6" xfId="2" applyNumberFormat="1" applyFont="1" applyFill="1" applyBorder="1" applyAlignment="1">
      <alignment horizontal="left"/>
    </xf>
    <xf numFmtId="14" fontId="16" fillId="0" borderId="6" xfId="2" applyNumberFormat="1" applyFont="1" applyBorder="1" applyAlignment="1" applyProtection="1">
      <alignment horizontal="left"/>
      <protection locked="0"/>
    </xf>
    <xf numFmtId="166" fontId="16" fillId="0" borderId="6" xfId="2" applyNumberFormat="1" applyFont="1" applyBorder="1" applyAlignment="1">
      <alignment horizontal="left"/>
    </xf>
    <xf numFmtId="14" fontId="16" fillId="2" borderId="6" xfId="2" applyNumberFormat="1" applyFont="1" applyFill="1" applyBorder="1" applyAlignment="1">
      <alignment horizontal="left"/>
    </xf>
    <xf numFmtId="16" fontId="16" fillId="0" borderId="6" xfId="2" applyNumberFormat="1" applyFont="1" applyBorder="1" applyAlignment="1">
      <alignment horizontal="left"/>
    </xf>
    <xf numFmtId="14" fontId="28" fillId="0" borderId="6" xfId="0" applyNumberFormat="1" applyFont="1" applyBorder="1" applyAlignment="1">
      <alignment horizontal="left"/>
    </xf>
    <xf numFmtId="14" fontId="16" fillId="0" borderId="6" xfId="0" applyNumberFormat="1" applyFont="1" applyBorder="1" applyAlignment="1">
      <alignment horizontal="left" vertical="center"/>
    </xf>
    <xf numFmtId="14" fontId="16" fillId="2" borderId="6" xfId="0" applyNumberFormat="1" applyFont="1" applyFill="1" applyBorder="1" applyAlignment="1">
      <alignment horizontal="left" vertical="center"/>
    </xf>
    <xf numFmtId="14" fontId="16" fillId="2" borderId="6" xfId="1" applyNumberFormat="1" applyFont="1" applyFill="1" applyBorder="1" applyAlignment="1">
      <alignment horizontal="left" vertical="center"/>
    </xf>
    <xf numFmtId="14" fontId="16" fillId="2" borderId="6" xfId="0" applyNumberFormat="1" applyFont="1" applyFill="1" applyBorder="1" applyAlignment="1" applyProtection="1">
      <alignment horizontal="left" vertical="center"/>
      <protection locked="0"/>
    </xf>
    <xf numFmtId="14" fontId="16" fillId="0" borderId="6" xfId="1" applyNumberFormat="1" applyFont="1" applyBorder="1" applyAlignment="1">
      <alignment horizontal="left" vertical="center"/>
    </xf>
    <xf numFmtId="14" fontId="27" fillId="0" borderId="6" xfId="1" applyNumberFormat="1" applyFont="1" applyBorder="1" applyAlignment="1">
      <alignment horizontal="left" vertical="center" wrapText="1"/>
    </xf>
    <xf numFmtId="14" fontId="6" fillId="0" borderId="6" xfId="0" applyNumberFormat="1" applyFont="1" applyBorder="1" applyAlignment="1">
      <alignment horizontal="left" vertical="center"/>
    </xf>
    <xf numFmtId="14" fontId="6" fillId="0" borderId="6" xfId="1" applyNumberFormat="1" applyFont="1" applyBorder="1" applyAlignment="1">
      <alignment horizontal="left" vertical="center"/>
    </xf>
    <xf numFmtId="14" fontId="16" fillId="0" borderId="0" xfId="2" applyNumberFormat="1" applyFont="1" applyAlignment="1">
      <alignment horizontal="left"/>
    </xf>
    <xf numFmtId="14" fontId="34" fillId="0" borderId="6" xfId="1" applyNumberFormat="1" applyFont="1" applyBorder="1" applyAlignment="1">
      <alignment horizontal="left" vertical="center"/>
    </xf>
    <xf numFmtId="14" fontId="34" fillId="0" borderId="6" xfId="0" applyNumberFormat="1" applyFont="1" applyBorder="1" applyAlignment="1">
      <alignment horizontal="left" vertical="center"/>
    </xf>
    <xf numFmtId="14" fontId="34" fillId="0" borderId="8" xfId="0" applyNumberFormat="1" applyFont="1" applyBorder="1" applyAlignment="1">
      <alignment horizontal="left" vertical="center"/>
    </xf>
    <xf numFmtId="14" fontId="16" fillId="0" borderId="2" xfId="0" applyNumberFormat="1" applyFont="1" applyBorder="1" applyAlignment="1">
      <alignment horizontal="center" vertical="center"/>
    </xf>
    <xf numFmtId="14" fontId="17" fillId="0" borderId="23" xfId="0" applyNumberFormat="1" applyFont="1" applyBorder="1" applyAlignment="1">
      <alignment horizontal="center" vertical="center"/>
    </xf>
    <xf numFmtId="14" fontId="16" fillId="0" borderId="23" xfId="0" applyNumberFormat="1" applyFont="1" applyBorder="1" applyAlignment="1">
      <alignment horizontal="center" vertical="center"/>
    </xf>
    <xf numFmtId="14" fontId="27" fillId="0" borderId="6" xfId="0" applyNumberFormat="1" applyFont="1" applyBorder="1" applyAlignment="1">
      <alignment horizontal="center" vertical="center"/>
    </xf>
    <xf numFmtId="14" fontId="27" fillId="0" borderId="6" xfId="0" applyNumberFormat="1" applyFont="1" applyBorder="1" applyAlignment="1">
      <alignment horizontal="center"/>
    </xf>
    <xf numFmtId="14" fontId="27" fillId="0" borderId="6" xfId="0" applyNumberFormat="1" applyFont="1" applyBorder="1" applyAlignment="1">
      <alignment horizontal="center" vertical="center" readingOrder="1"/>
    </xf>
    <xf numFmtId="14" fontId="27" fillId="0" borderId="20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14" fontId="2" fillId="0" borderId="20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 applyProtection="1">
      <alignment horizontal="center" vertical="center"/>
      <protection locked="0"/>
    </xf>
    <xf numFmtId="14" fontId="2" fillId="0" borderId="6" xfId="0" applyNumberFormat="1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14" fontId="34" fillId="0" borderId="6" xfId="0" applyNumberFormat="1" applyFont="1" applyBorder="1" applyAlignment="1" applyProtection="1">
      <alignment horizontal="center" vertical="center"/>
      <protection locked="0"/>
    </xf>
    <xf numFmtId="14" fontId="34" fillId="0" borderId="8" xfId="0" applyNumberFormat="1" applyFont="1" applyBorder="1" applyAlignment="1" applyProtection="1">
      <alignment horizontal="center" vertical="center"/>
      <protection locked="0"/>
    </xf>
    <xf numFmtId="14" fontId="6" fillId="0" borderId="0" xfId="2" applyNumberFormat="1" applyFont="1" applyAlignment="1">
      <alignment horizontal="center"/>
    </xf>
    <xf numFmtId="14" fontId="17" fillId="0" borderId="7" xfId="0" applyNumberFormat="1" applyFont="1" applyBorder="1" applyAlignment="1">
      <alignment horizontal="center" vertical="center"/>
    </xf>
    <xf numFmtId="14" fontId="17" fillId="0" borderId="24" xfId="0" applyNumberFormat="1" applyFont="1" applyBorder="1" applyAlignment="1">
      <alignment horizontal="center" vertical="center"/>
    </xf>
    <xf numFmtId="167" fontId="16" fillId="0" borderId="6" xfId="2" applyNumberFormat="1" applyFont="1" applyBorder="1" applyAlignment="1">
      <alignment horizontal="center"/>
    </xf>
    <xf numFmtId="43" fontId="29" fillId="19" borderId="0" xfId="2" applyNumberFormat="1" applyFont="1" applyFill="1" applyAlignment="1">
      <alignment horizontal="center" vertical="center"/>
    </xf>
    <xf numFmtId="164" fontId="16" fillId="0" borderId="0" xfId="2" applyNumberFormat="1" applyFont="1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16" fillId="3" borderId="5" xfId="2" applyFont="1" applyFill="1" applyBorder="1" applyAlignment="1">
      <alignment horizontal="center"/>
    </xf>
    <xf numFmtId="164" fontId="16" fillId="0" borderId="0" xfId="2" applyNumberFormat="1" applyFont="1" applyAlignment="1">
      <alignment horizontal="center" vertical="top"/>
    </xf>
    <xf numFmtId="14" fontId="16" fillId="0" borderId="6" xfId="1" applyNumberFormat="1" applyFont="1" applyBorder="1" applyAlignment="1">
      <alignment horizontal="center"/>
    </xf>
    <xf numFmtId="14" fontId="16" fillId="0" borderId="5" xfId="0" applyNumberFormat="1" applyFont="1" applyBorder="1" applyAlignment="1" applyProtection="1">
      <alignment horizontal="center" vertical="center"/>
      <protection locked="0"/>
    </xf>
    <xf numFmtId="14" fontId="27" fillId="0" borderId="4" xfId="0" applyNumberFormat="1" applyFont="1" applyBorder="1" applyAlignment="1">
      <alignment horizontal="center" vertical="center"/>
    </xf>
    <xf numFmtId="14" fontId="27" fillId="0" borderId="4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0" fontId="17" fillId="22" borderId="2" xfId="0" applyFont="1" applyFill="1" applyBorder="1" applyAlignment="1">
      <alignment horizontal="left" vertical="center"/>
    </xf>
    <xf numFmtId="0" fontId="16" fillId="0" borderId="0" xfId="2" applyFont="1" applyAlignment="1">
      <alignment vertical="top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14" fontId="1" fillId="0" borderId="6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indent="1"/>
    </xf>
    <xf numFmtId="0" fontId="1" fillId="0" borderId="0" xfId="0" applyFont="1" applyAlignment="1">
      <alignment horizontal="center" vertical="center" indent="1"/>
    </xf>
    <xf numFmtId="0" fontId="1" fillId="0" borderId="6" xfId="0" applyFont="1" applyBorder="1" applyAlignment="1">
      <alignment horizontal="left"/>
    </xf>
    <xf numFmtId="14" fontId="1" fillId="0" borderId="6" xfId="0" applyNumberFormat="1" applyFont="1" applyBorder="1" applyAlignment="1">
      <alignment horizontal="right"/>
    </xf>
    <xf numFmtId="0" fontId="1" fillId="22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16" borderId="6" xfId="0" quotePrefix="1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14" fontId="1" fillId="0" borderId="6" xfId="0" applyNumberFormat="1" applyFont="1" applyBorder="1"/>
    <xf numFmtId="0" fontId="1" fillId="0" borderId="6" xfId="0" applyFont="1" applyBorder="1" applyAlignment="1">
      <alignment horizontal="left" vertical="center" readingOrder="1"/>
    </xf>
    <xf numFmtId="0" fontId="1" fillId="0" borderId="8" xfId="0" applyFont="1" applyBorder="1" applyAlignment="1">
      <alignment horizontal="left" vertical="center" readingOrder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2" borderId="6" xfId="0" applyFont="1" applyFill="1" applyBorder="1" applyAlignment="1">
      <alignment horizontal="center"/>
    </xf>
    <xf numFmtId="14" fontId="1" fillId="0" borderId="6" xfId="0" applyNumberFormat="1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14" fontId="1" fillId="0" borderId="6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/>
    </xf>
    <xf numFmtId="0" fontId="1" fillId="2" borderId="6" xfId="0" quotePrefix="1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quotePrefix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/>
    </xf>
    <xf numFmtId="0" fontId="16" fillId="0" borderId="0" xfId="2" applyFont="1" applyAlignment="1">
      <alignment horizontal="right"/>
    </xf>
    <xf numFmtId="0" fontId="16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5" fillId="0" borderId="1" xfId="2" applyFont="1" applyBorder="1" applyAlignment="1">
      <alignment horizontal="right"/>
    </xf>
  </cellXfs>
  <cellStyles count="6">
    <cellStyle name="Comma" xfId="1" builtinId="3"/>
    <cellStyle name="Hyperlink 2" xfId="3" xr:uid="{70A6DE7A-FFE3-40ED-8BEE-9F9B5E3BFEC2}"/>
    <cellStyle name="Hyperlink 2 2" xfId="4" xr:uid="{0AFD70B7-DF74-4CA0-824B-CA68AD5902A3}"/>
    <cellStyle name="Normal" xfId="0" builtinId="0"/>
    <cellStyle name="Normal 2" xfId="2" xr:uid="{74C29855-E915-4756-A0F3-95D6562AB9E6}"/>
    <cellStyle name="Normal 3" xfId="5" xr:uid="{3CB66005-AA00-4843-B575-A7169E6F9604}"/>
  </cellStyles>
  <dxfs count="224"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</dxf>
    <dxf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Medium9"/>
  <colors>
    <mruColors>
      <color rgb="FFA4B388"/>
      <color rgb="FFA1C6C7"/>
      <color rgb="FF5F6C8B"/>
      <color rgb="FFFFFFFF"/>
      <color rgb="FF90B6B1"/>
      <color rgb="FF73694D"/>
      <color rgb="FFFCE4D6"/>
      <color rgb="FF077478"/>
      <color rgb="FF464742"/>
      <color rgb="FFFF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635</xdr:row>
      <xdr:rowOff>19050</xdr:rowOff>
    </xdr:from>
    <xdr:to>
      <xdr:col>2</xdr:col>
      <xdr:colOff>295275</xdr:colOff>
      <xdr:row>640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9C1697-18A7-41A2-B364-54F7880F9A33}"/>
            </a:ext>
          </a:extLst>
        </xdr:cNvPr>
        <xdr:cNvSpPr/>
      </xdr:nvSpPr>
      <xdr:spPr>
        <a:xfrm>
          <a:off x="0" y="120967500"/>
          <a:ext cx="2524125" cy="111442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1st 2nd Visit - 1 Invoice 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3rd  visit- 2 ,Invoice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4th 5th Visit- 3rd  Invoice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6th Visit - 4th Invoice 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Do the Invocie after AMC periof ends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505</xdr:row>
      <xdr:rowOff>76200</xdr:rowOff>
    </xdr:from>
    <xdr:to>
      <xdr:col>2</xdr:col>
      <xdr:colOff>485775</xdr:colOff>
      <xdr:row>510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20E5D4-4AC1-A670-4334-2D9256AC1132}"/>
            </a:ext>
          </a:extLst>
        </xdr:cNvPr>
        <xdr:cNvSpPr/>
      </xdr:nvSpPr>
      <xdr:spPr>
        <a:xfrm>
          <a:off x="666750" y="94030800"/>
          <a:ext cx="2047875" cy="92392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1st 2nd Visit - 1 Invoice 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3rd  visit- 2 ,Invoice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4th 5th Visit- 3rd  Invoice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6th Visit - 4th Invoice 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Do the Invocie after AMC periof ends 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505</xdr:row>
      <xdr:rowOff>76200</xdr:rowOff>
    </xdr:from>
    <xdr:to>
      <xdr:col>2</xdr:col>
      <xdr:colOff>485775</xdr:colOff>
      <xdr:row>510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F4823A6-974B-409A-94BC-F76E46CA3A46}"/>
            </a:ext>
          </a:extLst>
        </xdr:cNvPr>
        <xdr:cNvSpPr/>
      </xdr:nvSpPr>
      <xdr:spPr>
        <a:xfrm>
          <a:off x="666750" y="94078425"/>
          <a:ext cx="2047875" cy="92392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1st 2nd Visit - 1 Invoice 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3rd  visit- 2 ,Invoice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4th 5th Visit- 3rd  Invoice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6th Visit - 4th Invoice 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Do the Invocie after AMC periof ends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5FAA-7255-4B22-835B-594E7BFE84A1}">
  <sheetPr filterMode="1">
    <pageSetUpPr fitToPage="1"/>
  </sheetPr>
  <dimension ref="A1:AF524"/>
  <sheetViews>
    <sheetView topLeftCell="A2" workbookViewId="0">
      <selection activeCell="E381" sqref="E381"/>
    </sheetView>
  </sheetViews>
  <sheetFormatPr defaultColWidth="9.109375" defaultRowHeight="15" customHeight="1" x14ac:dyDescent="0.3"/>
  <cols>
    <col min="1" max="1" width="7.88671875" style="7" customWidth="1"/>
    <col min="2" max="2" width="25.5546875" style="2" customWidth="1"/>
    <col min="3" max="3" width="37.109375" style="7" customWidth="1"/>
    <col min="4" max="4" width="19.88671875" style="223" customWidth="1"/>
    <col min="5" max="5" width="37.88671875" style="2" customWidth="1"/>
    <col min="6" max="6" width="12.33203125" style="2" customWidth="1"/>
    <col min="7" max="7" width="16.44140625" style="2" customWidth="1"/>
    <col min="8" max="8" width="17.5546875" style="2" customWidth="1"/>
    <col min="9" max="9" width="16.5546875" style="5" customWidth="1"/>
    <col min="10" max="11" width="14.88671875" style="2" customWidth="1"/>
    <col min="12" max="12" width="13.5546875" style="295" customWidth="1"/>
    <col min="13" max="13" width="11.44140625" style="295" customWidth="1"/>
    <col min="14" max="14" width="20.88671875" style="7" customWidth="1"/>
    <col min="15" max="15" width="16.5546875" style="2" customWidth="1"/>
    <col min="16" max="16" width="22.33203125" style="2" customWidth="1"/>
    <col min="17" max="17" width="25.44140625" style="7" customWidth="1"/>
    <col min="18" max="18" width="15.88671875" style="7" customWidth="1"/>
    <col min="19" max="19" width="25.5546875" style="7" customWidth="1"/>
    <col min="20" max="20" width="19.6640625" style="7" customWidth="1"/>
    <col min="21" max="21" width="26" style="7" customWidth="1"/>
    <col min="22" max="22" width="18.6640625" style="7" customWidth="1"/>
    <col min="23" max="23" width="26.109375" style="7" customWidth="1"/>
    <col min="24" max="24" width="26.6640625" style="7" customWidth="1"/>
    <col min="25" max="25" width="23" style="7" customWidth="1"/>
    <col min="26" max="26" width="10.6640625" style="7" customWidth="1"/>
    <col min="27" max="28" width="24.5546875" style="7" customWidth="1"/>
    <col min="29" max="29" width="15.44140625" style="7" customWidth="1"/>
    <col min="30" max="30" width="9.5546875" style="2" customWidth="1"/>
    <col min="31" max="31" width="9.44140625" style="2" customWidth="1"/>
    <col min="32" max="32" width="63.88671875" style="7" customWidth="1"/>
    <col min="33" max="33" width="11.5546875" style="7" bestFit="1" customWidth="1"/>
    <col min="34" max="36" width="9.109375" style="7"/>
    <col min="37" max="37" width="11.6640625" style="7" bestFit="1" customWidth="1"/>
    <col min="38" max="16384" width="9.109375" style="7"/>
  </cols>
  <sheetData>
    <row r="1" spans="1:32" ht="14.4" customHeight="1" x14ac:dyDescent="0.3">
      <c r="A1" s="838" t="s">
        <v>15</v>
      </c>
      <c r="B1" s="838"/>
      <c r="C1" s="3"/>
      <c r="D1" s="223" t="s">
        <v>16</v>
      </c>
      <c r="E1" s="2">
        <v>1284</v>
      </c>
      <c r="F1" s="2">
        <v>1242</v>
      </c>
      <c r="G1" s="4"/>
      <c r="H1" s="5">
        <v>1283</v>
      </c>
      <c r="J1" s="6">
        <f>I1*18%</f>
        <v>0</v>
      </c>
      <c r="K1" s="306">
        <f>J1+I1</f>
        <v>0</v>
      </c>
      <c r="L1" s="306">
        <f>I1*2%</f>
        <v>0</v>
      </c>
      <c r="M1" s="270">
        <f>I1+L1</f>
        <v>0</v>
      </c>
      <c r="N1" s="270">
        <f>K1-L1</f>
        <v>0</v>
      </c>
      <c r="O1" s="9">
        <f>I1-L1</f>
        <v>0</v>
      </c>
      <c r="P1" s="2">
        <f>969-26</f>
        <v>943</v>
      </c>
      <c r="Q1" s="7">
        <v>329500</v>
      </c>
      <c r="R1" s="11">
        <v>1747</v>
      </c>
      <c r="S1" s="5">
        <v>808</v>
      </c>
      <c r="U1" s="8"/>
    </row>
    <row r="2" spans="1:32" ht="14.4" x14ac:dyDescent="0.3">
      <c r="A2" s="838" t="s">
        <v>17</v>
      </c>
      <c r="B2" s="838"/>
      <c r="C2" s="191"/>
      <c r="D2" s="1" t="s">
        <v>18</v>
      </c>
      <c r="E2" s="2">
        <v>73</v>
      </c>
      <c r="F2" s="2">
        <v>246</v>
      </c>
      <c r="G2" s="296" t="s">
        <v>19</v>
      </c>
      <c r="H2" s="5">
        <v>246</v>
      </c>
      <c r="J2" s="271" t="s">
        <v>20</v>
      </c>
      <c r="K2" s="307" t="s">
        <v>21</v>
      </c>
      <c r="L2" s="308" t="s">
        <v>22</v>
      </c>
      <c r="M2" s="272" t="s">
        <v>23</v>
      </c>
      <c r="N2" s="273" t="s">
        <v>24</v>
      </c>
      <c r="O2" s="291" t="s">
        <v>25</v>
      </c>
      <c r="Q2" s="7">
        <v>263333</v>
      </c>
      <c r="R2" s="11">
        <v>871</v>
      </c>
      <c r="S2" s="12">
        <f>S1-R3</f>
        <v>-68</v>
      </c>
    </row>
    <row r="3" spans="1:32" ht="14.4" x14ac:dyDescent="0.3">
      <c r="C3" s="317"/>
      <c r="D3" s="1" t="s">
        <v>26</v>
      </c>
      <c r="E3" s="2">
        <f>E1-E2</f>
        <v>1211</v>
      </c>
      <c r="F3" s="2">
        <f>F1-F2</f>
        <v>996</v>
      </c>
      <c r="G3" s="295"/>
      <c r="H3" s="5">
        <f>H1-H2</f>
        <v>1037</v>
      </c>
      <c r="J3" s="9"/>
      <c r="K3" s="9"/>
      <c r="L3" s="306"/>
      <c r="M3" s="309"/>
      <c r="Q3" s="7">
        <v>876216</v>
      </c>
      <c r="R3" s="11">
        <f>R1-R2</f>
        <v>876</v>
      </c>
      <c r="S3" s="5"/>
    </row>
    <row r="4" spans="1:32" ht="14.4" x14ac:dyDescent="0.3">
      <c r="E4" s="2">
        <f>1072-1043</f>
        <v>29</v>
      </c>
      <c r="F4" s="9"/>
      <c r="G4" s="295"/>
      <c r="H4" s="295"/>
      <c r="J4" s="9"/>
      <c r="K4" s="9"/>
      <c r="L4" s="306"/>
      <c r="M4" s="309"/>
      <c r="Q4" s="7">
        <v>2044635</v>
      </c>
    </row>
    <row r="5" spans="1:32" ht="14.4" x14ac:dyDescent="0.3">
      <c r="H5" s="6"/>
      <c r="J5" s="6"/>
      <c r="K5" s="6"/>
      <c r="L5" s="839"/>
      <c r="M5" s="839"/>
      <c r="N5" s="10"/>
      <c r="O5" s="13"/>
      <c r="P5" s="13"/>
    </row>
    <row r="6" spans="1:32" s="13" customFormat="1" ht="14.4" x14ac:dyDescent="0.3">
      <c r="B6" s="14" t="s">
        <v>27</v>
      </c>
      <c r="C6" s="14" t="s">
        <v>28</v>
      </c>
      <c r="D6" s="224" t="s">
        <v>29</v>
      </c>
      <c r="E6" s="14" t="s">
        <v>30</v>
      </c>
      <c r="F6" s="14" t="s">
        <v>31</v>
      </c>
      <c r="G6" s="14" t="s">
        <v>32</v>
      </c>
      <c r="H6" s="14" t="s">
        <v>33</v>
      </c>
      <c r="I6" s="15" t="s">
        <v>34</v>
      </c>
      <c r="J6" s="14" t="s">
        <v>35</v>
      </c>
      <c r="K6" s="326" t="s">
        <v>36</v>
      </c>
      <c r="L6" s="310" t="s">
        <v>37</v>
      </c>
      <c r="M6" s="310" t="s">
        <v>38</v>
      </c>
      <c r="N6" s="14" t="s">
        <v>39</v>
      </c>
      <c r="O6" s="14" t="s">
        <v>40</v>
      </c>
      <c r="P6" s="14" t="s">
        <v>41</v>
      </c>
      <c r="Q6" s="14" t="s">
        <v>42</v>
      </c>
      <c r="R6" s="14"/>
      <c r="S6" s="14" t="s">
        <v>43</v>
      </c>
      <c r="T6" s="14"/>
      <c r="U6" s="14" t="s">
        <v>44</v>
      </c>
      <c r="V6" s="14"/>
      <c r="W6" s="14" t="s">
        <v>45</v>
      </c>
      <c r="X6" s="14"/>
      <c r="Y6" s="14" t="s">
        <v>46</v>
      </c>
      <c r="Z6" s="14"/>
      <c r="AA6" s="14" t="s">
        <v>47</v>
      </c>
      <c r="AB6" s="14"/>
      <c r="AC6" s="14" t="s">
        <v>48</v>
      </c>
      <c r="AD6" s="14" t="s">
        <v>49</v>
      </c>
      <c r="AE6" s="14" t="s">
        <v>50</v>
      </c>
      <c r="AF6" s="13" t="s">
        <v>51</v>
      </c>
    </row>
    <row r="7" spans="1:32" ht="14.4" hidden="1" x14ac:dyDescent="0.3">
      <c r="B7" s="16" t="s">
        <v>14</v>
      </c>
      <c r="C7" s="18" t="s">
        <v>52</v>
      </c>
      <c r="D7" s="225" t="s">
        <v>53</v>
      </c>
      <c r="E7" s="16" t="s">
        <v>54</v>
      </c>
      <c r="F7" s="22">
        <v>44996</v>
      </c>
      <c r="G7" s="16" t="s">
        <v>55</v>
      </c>
      <c r="H7" s="16"/>
      <c r="I7" s="19">
        <v>91500</v>
      </c>
      <c r="J7" s="16">
        <v>3</v>
      </c>
      <c r="K7" s="321">
        <f>I7/J7</f>
        <v>30500</v>
      </c>
      <c r="L7" s="20">
        <v>44998</v>
      </c>
      <c r="M7" s="20">
        <v>45363</v>
      </c>
      <c r="N7" s="20"/>
      <c r="O7" s="22"/>
      <c r="P7" s="20"/>
      <c r="Q7" s="21" t="s">
        <v>56</v>
      </c>
      <c r="R7" s="18" t="s">
        <v>57</v>
      </c>
      <c r="S7" s="21" t="s">
        <v>58</v>
      </c>
      <c r="T7" s="18" t="s">
        <v>59</v>
      </c>
      <c r="U7" s="21" t="s">
        <v>60</v>
      </c>
      <c r="V7" s="18" t="s">
        <v>61</v>
      </c>
      <c r="W7" s="18"/>
      <c r="X7" s="18"/>
      <c r="Y7" s="18"/>
      <c r="Z7" s="18"/>
      <c r="AA7" s="18"/>
      <c r="AB7" s="18"/>
      <c r="AC7" s="18" t="s">
        <v>62</v>
      </c>
      <c r="AD7" s="16" t="s">
        <v>63</v>
      </c>
      <c r="AE7" s="16">
        <v>4</v>
      </c>
    </row>
    <row r="8" spans="1:32" ht="14.4" hidden="1" x14ac:dyDescent="0.3">
      <c r="B8" s="16" t="s">
        <v>14</v>
      </c>
      <c r="C8" s="18" t="s">
        <v>52</v>
      </c>
      <c r="D8" s="225" t="s">
        <v>53</v>
      </c>
      <c r="E8" s="16" t="s">
        <v>54</v>
      </c>
      <c r="F8" s="22">
        <v>44996</v>
      </c>
      <c r="G8" s="16" t="s">
        <v>55</v>
      </c>
      <c r="H8" s="16"/>
      <c r="I8" s="19">
        <v>91500</v>
      </c>
      <c r="J8" s="16">
        <v>3</v>
      </c>
      <c r="K8" s="321">
        <f t="shared" ref="K8:K71" si="0">I8/J8</f>
        <v>30500</v>
      </c>
      <c r="L8" s="20">
        <v>45364</v>
      </c>
      <c r="M8" s="20">
        <v>45728</v>
      </c>
      <c r="N8" s="18"/>
      <c r="O8" s="16"/>
      <c r="P8" s="18"/>
      <c r="Q8" s="21" t="s">
        <v>64</v>
      </c>
      <c r="R8" s="18" t="s">
        <v>65</v>
      </c>
      <c r="S8" s="21" t="s">
        <v>66</v>
      </c>
      <c r="T8" s="18" t="s">
        <v>67</v>
      </c>
      <c r="U8" s="21" t="s">
        <v>68</v>
      </c>
      <c r="V8" s="18" t="s">
        <v>69</v>
      </c>
      <c r="W8" s="18"/>
      <c r="X8" s="18"/>
      <c r="Y8" s="18"/>
      <c r="Z8" s="18"/>
      <c r="AA8" s="18"/>
      <c r="AB8" s="18"/>
      <c r="AC8" s="18" t="s">
        <v>62</v>
      </c>
      <c r="AD8" s="16" t="s">
        <v>63</v>
      </c>
      <c r="AE8" s="16">
        <v>4</v>
      </c>
    </row>
    <row r="9" spans="1:32" ht="14.4" hidden="1" x14ac:dyDescent="0.3">
      <c r="B9" s="16" t="s">
        <v>14</v>
      </c>
      <c r="C9" s="18" t="s">
        <v>52</v>
      </c>
      <c r="D9" s="225" t="s">
        <v>53</v>
      </c>
      <c r="E9" s="16" t="s">
        <v>54</v>
      </c>
      <c r="F9" s="22">
        <v>44996</v>
      </c>
      <c r="G9" s="16" t="s">
        <v>55</v>
      </c>
      <c r="H9" s="16">
        <v>1</v>
      </c>
      <c r="I9" s="19">
        <v>99000</v>
      </c>
      <c r="J9" s="16">
        <v>3</v>
      </c>
      <c r="K9" s="321">
        <f t="shared" si="0"/>
        <v>33000</v>
      </c>
      <c r="L9" s="20">
        <v>45729</v>
      </c>
      <c r="M9" s="20">
        <v>46093</v>
      </c>
      <c r="N9" s="18" t="s">
        <v>19</v>
      </c>
      <c r="O9" s="16" t="s">
        <v>3</v>
      </c>
      <c r="P9" s="18"/>
      <c r="Q9" s="21" t="s">
        <v>70</v>
      </c>
      <c r="R9" s="18" t="s">
        <v>71</v>
      </c>
      <c r="S9" s="21" t="s">
        <v>72</v>
      </c>
      <c r="T9" s="18" t="s">
        <v>73</v>
      </c>
      <c r="U9" s="21" t="s">
        <v>74</v>
      </c>
      <c r="V9" s="18" t="s">
        <v>75</v>
      </c>
      <c r="W9" s="18"/>
      <c r="X9" s="18"/>
      <c r="Y9" s="18"/>
      <c r="Z9" s="18"/>
      <c r="AA9" s="18"/>
      <c r="AB9" s="18"/>
      <c r="AC9" s="18" t="s">
        <v>62</v>
      </c>
      <c r="AD9" s="16" t="s">
        <v>63</v>
      </c>
      <c r="AE9" s="16">
        <v>4</v>
      </c>
    </row>
    <row r="10" spans="1:32" ht="14.4" hidden="1" x14ac:dyDescent="0.3">
      <c r="B10" s="16" t="s">
        <v>14</v>
      </c>
      <c r="C10" s="18" t="s">
        <v>76</v>
      </c>
      <c r="D10" s="225" t="s">
        <v>77</v>
      </c>
      <c r="E10" s="16">
        <v>6700004761</v>
      </c>
      <c r="F10" s="22">
        <v>45678</v>
      </c>
      <c r="G10" s="16" t="s">
        <v>55</v>
      </c>
      <c r="H10" s="16">
        <v>1</v>
      </c>
      <c r="I10" s="19">
        <v>77001</v>
      </c>
      <c r="J10" s="16">
        <v>3</v>
      </c>
      <c r="K10" s="321">
        <f t="shared" si="0"/>
        <v>25667</v>
      </c>
      <c r="L10" s="20">
        <v>45689</v>
      </c>
      <c r="M10" s="20">
        <v>46053</v>
      </c>
      <c r="N10" s="18" t="s">
        <v>19</v>
      </c>
      <c r="O10" s="16" t="s">
        <v>78</v>
      </c>
      <c r="P10" s="18"/>
      <c r="Q10" s="21" t="s">
        <v>79</v>
      </c>
      <c r="R10" s="18" t="s">
        <v>80</v>
      </c>
      <c r="S10" s="21" t="s">
        <v>81</v>
      </c>
      <c r="T10" s="18" t="s">
        <v>82</v>
      </c>
      <c r="U10" s="21" t="s">
        <v>83</v>
      </c>
      <c r="V10" s="18" t="s">
        <v>84</v>
      </c>
      <c r="W10" s="18"/>
      <c r="X10" s="18"/>
      <c r="Y10" s="18"/>
      <c r="Z10" s="18"/>
      <c r="AA10" s="18"/>
      <c r="AB10" s="18"/>
      <c r="AC10" s="18" t="s">
        <v>62</v>
      </c>
      <c r="AD10" s="16" t="s">
        <v>63</v>
      </c>
      <c r="AE10" s="16">
        <v>3</v>
      </c>
    </row>
    <row r="11" spans="1:32" ht="14.4" hidden="1" x14ac:dyDescent="0.3">
      <c r="B11" s="16" t="s">
        <v>14</v>
      </c>
      <c r="C11" s="18" t="s">
        <v>85</v>
      </c>
      <c r="D11" s="225" t="s">
        <v>86</v>
      </c>
      <c r="E11" s="16" t="s">
        <v>87</v>
      </c>
      <c r="F11" s="22">
        <v>45045</v>
      </c>
      <c r="G11" s="16" t="s">
        <v>55</v>
      </c>
      <c r="H11" s="16"/>
      <c r="I11" s="19">
        <v>58000</v>
      </c>
      <c r="J11" s="16">
        <v>4</v>
      </c>
      <c r="K11" s="321">
        <f t="shared" si="0"/>
        <v>14500</v>
      </c>
      <c r="L11" s="20">
        <v>45065</v>
      </c>
      <c r="M11" s="20">
        <v>45430</v>
      </c>
      <c r="N11" s="18"/>
      <c r="O11" s="16"/>
      <c r="P11" s="18"/>
      <c r="Q11" s="21" t="s">
        <v>88</v>
      </c>
      <c r="R11" s="18" t="s">
        <v>89</v>
      </c>
      <c r="S11" s="21" t="s">
        <v>90</v>
      </c>
      <c r="T11" s="18" t="s">
        <v>91</v>
      </c>
      <c r="U11" s="21" t="s">
        <v>92</v>
      </c>
      <c r="V11" s="18" t="s">
        <v>93</v>
      </c>
      <c r="W11" s="21" t="s">
        <v>94</v>
      </c>
      <c r="X11" s="18" t="s">
        <v>95</v>
      </c>
      <c r="Y11" s="18"/>
      <c r="Z11" s="18"/>
      <c r="AA11" s="18"/>
      <c r="AB11" s="18"/>
      <c r="AC11" s="18" t="s">
        <v>96</v>
      </c>
      <c r="AD11" s="16" t="s">
        <v>97</v>
      </c>
      <c r="AE11" s="16" t="s">
        <v>98</v>
      </c>
    </row>
    <row r="12" spans="1:32" ht="14.4" hidden="1" x14ac:dyDescent="0.3">
      <c r="B12" s="16" t="s">
        <v>14</v>
      </c>
      <c r="C12" s="18" t="s">
        <v>85</v>
      </c>
      <c r="D12" s="225" t="s">
        <v>86</v>
      </c>
      <c r="E12" s="16" t="s">
        <v>87</v>
      </c>
      <c r="F12" s="22">
        <v>45045</v>
      </c>
      <c r="G12" s="16" t="s">
        <v>55</v>
      </c>
      <c r="H12" s="16">
        <v>1</v>
      </c>
      <c r="I12" s="19">
        <v>58000</v>
      </c>
      <c r="J12" s="16">
        <v>4</v>
      </c>
      <c r="K12" s="321">
        <f t="shared" si="0"/>
        <v>14500</v>
      </c>
      <c r="L12" s="20">
        <v>45431</v>
      </c>
      <c r="M12" s="20">
        <v>45795</v>
      </c>
      <c r="N12" s="18"/>
      <c r="O12" s="16"/>
      <c r="P12" s="18"/>
      <c r="Q12" s="21" t="s">
        <v>99</v>
      </c>
      <c r="R12" s="18" t="s">
        <v>100</v>
      </c>
      <c r="S12" s="21" t="s">
        <v>101</v>
      </c>
      <c r="T12" s="18" t="s">
        <v>102</v>
      </c>
      <c r="U12" s="21" t="s">
        <v>103</v>
      </c>
      <c r="V12" s="18" t="s">
        <v>104</v>
      </c>
      <c r="W12" s="21" t="s">
        <v>105</v>
      </c>
      <c r="X12" s="18" t="s">
        <v>106</v>
      </c>
      <c r="Y12" s="18"/>
      <c r="Z12" s="18"/>
      <c r="AA12" s="18"/>
      <c r="AB12" s="18"/>
      <c r="AC12" s="18" t="s">
        <v>96</v>
      </c>
      <c r="AD12" s="16" t="s">
        <v>97</v>
      </c>
      <c r="AE12" s="16" t="s">
        <v>98</v>
      </c>
    </row>
    <row r="13" spans="1:32" ht="14.4" hidden="1" x14ac:dyDescent="0.3">
      <c r="B13" s="16" t="s">
        <v>14</v>
      </c>
      <c r="C13" s="18" t="s">
        <v>85</v>
      </c>
      <c r="D13" s="225" t="s">
        <v>86</v>
      </c>
      <c r="E13" s="16" t="s">
        <v>87</v>
      </c>
      <c r="F13" s="22">
        <v>45045</v>
      </c>
      <c r="G13" s="16" t="s">
        <v>55</v>
      </c>
      <c r="H13" s="16"/>
      <c r="I13" s="19">
        <v>58000</v>
      </c>
      <c r="J13" s="16">
        <v>4</v>
      </c>
      <c r="K13" s="325">
        <f t="shared" si="0"/>
        <v>14500</v>
      </c>
      <c r="L13" s="20">
        <v>45796</v>
      </c>
      <c r="M13" s="20">
        <v>46160</v>
      </c>
      <c r="N13" s="18" t="s">
        <v>19</v>
      </c>
      <c r="O13" s="16" t="s">
        <v>6</v>
      </c>
      <c r="P13" s="18"/>
      <c r="Q13" s="21" t="s">
        <v>107</v>
      </c>
      <c r="R13" s="18" t="s">
        <v>108</v>
      </c>
      <c r="S13" s="21" t="s">
        <v>109</v>
      </c>
      <c r="T13" s="18" t="s">
        <v>110</v>
      </c>
      <c r="U13" s="21" t="s">
        <v>111</v>
      </c>
      <c r="V13" s="18" t="s">
        <v>112</v>
      </c>
      <c r="W13" s="21" t="s">
        <v>113</v>
      </c>
      <c r="X13" s="18" t="s">
        <v>114</v>
      </c>
      <c r="Y13" s="18"/>
      <c r="Z13" s="18"/>
      <c r="AA13" s="18"/>
      <c r="AB13" s="18"/>
      <c r="AC13" s="18" t="s">
        <v>96</v>
      </c>
      <c r="AD13" s="16" t="s">
        <v>97</v>
      </c>
      <c r="AE13" s="16" t="s">
        <v>98</v>
      </c>
    </row>
    <row r="14" spans="1:32" ht="14.4" hidden="1" x14ac:dyDescent="0.3">
      <c r="B14" s="16" t="s">
        <v>14</v>
      </c>
      <c r="C14" s="18" t="s">
        <v>52</v>
      </c>
      <c r="D14" s="225" t="s">
        <v>115</v>
      </c>
      <c r="E14" s="16" t="s">
        <v>116</v>
      </c>
      <c r="F14" s="22">
        <v>45006</v>
      </c>
      <c r="G14" s="16" t="s">
        <v>55</v>
      </c>
      <c r="H14" s="16">
        <v>3</v>
      </c>
      <c r="I14" s="19">
        <v>1313415</v>
      </c>
      <c r="J14" s="16">
        <v>6</v>
      </c>
      <c r="K14" s="325">
        <f t="shared" si="0"/>
        <v>218902.5</v>
      </c>
      <c r="L14" s="20">
        <v>45078</v>
      </c>
      <c r="M14" s="20">
        <v>46173</v>
      </c>
      <c r="N14" s="18"/>
      <c r="O14" s="16"/>
      <c r="P14" s="18"/>
      <c r="Q14" s="21" t="s">
        <v>117</v>
      </c>
      <c r="R14" s="18" t="s">
        <v>118</v>
      </c>
      <c r="S14" s="21" t="s">
        <v>119</v>
      </c>
      <c r="T14" s="18" t="s">
        <v>120</v>
      </c>
      <c r="U14" s="21" t="s">
        <v>121</v>
      </c>
      <c r="V14" s="18" t="s">
        <v>122</v>
      </c>
      <c r="W14" s="21" t="s">
        <v>123</v>
      </c>
      <c r="X14" s="18" t="s">
        <v>124</v>
      </c>
      <c r="Y14" s="21" t="s">
        <v>125</v>
      </c>
      <c r="Z14" s="18" t="s">
        <v>126</v>
      </c>
      <c r="AA14" s="18" t="s">
        <v>127</v>
      </c>
      <c r="AB14" s="18"/>
      <c r="AC14" s="18" t="s">
        <v>128</v>
      </c>
      <c r="AD14" s="16" t="s">
        <v>129</v>
      </c>
      <c r="AE14" s="16" t="s">
        <v>98</v>
      </c>
    </row>
    <row r="15" spans="1:32" ht="14.4" hidden="1" x14ac:dyDescent="0.3">
      <c r="B15" s="16" t="s">
        <v>14</v>
      </c>
      <c r="C15" s="18" t="s">
        <v>130</v>
      </c>
      <c r="D15" s="225" t="s">
        <v>131</v>
      </c>
      <c r="E15" s="16">
        <v>6800037118</v>
      </c>
      <c r="F15" s="22">
        <v>45096</v>
      </c>
      <c r="G15" s="16" t="s">
        <v>55</v>
      </c>
      <c r="H15" s="16"/>
      <c r="I15" s="19">
        <f>258000/3</f>
        <v>86000</v>
      </c>
      <c r="J15" s="16">
        <v>3</v>
      </c>
      <c r="K15" s="321">
        <f t="shared" si="0"/>
        <v>28666.666666666668</v>
      </c>
      <c r="L15" s="20">
        <v>45096</v>
      </c>
      <c r="M15" s="20">
        <v>45461</v>
      </c>
      <c r="N15" s="18"/>
      <c r="O15" s="16"/>
      <c r="P15" s="18"/>
      <c r="Q15" s="21" t="s">
        <v>132</v>
      </c>
      <c r="R15" s="18" t="s">
        <v>133</v>
      </c>
      <c r="S15" s="21" t="s">
        <v>134</v>
      </c>
      <c r="T15" s="18" t="s">
        <v>135</v>
      </c>
      <c r="U15" s="21" t="s">
        <v>136</v>
      </c>
      <c r="V15" s="18" t="s">
        <v>61</v>
      </c>
      <c r="W15" s="18"/>
      <c r="X15" s="18"/>
      <c r="Y15" s="18"/>
      <c r="Z15" s="18"/>
      <c r="AA15" s="18"/>
      <c r="AB15" s="18"/>
      <c r="AC15" s="18" t="s">
        <v>137</v>
      </c>
      <c r="AD15" s="16" t="s">
        <v>63</v>
      </c>
      <c r="AE15" s="16">
        <v>2</v>
      </c>
    </row>
    <row r="16" spans="1:32" ht="14.4" hidden="1" x14ac:dyDescent="0.3">
      <c r="B16" s="16" t="s">
        <v>14</v>
      </c>
      <c r="C16" s="18" t="s">
        <v>130</v>
      </c>
      <c r="D16" s="225" t="s">
        <v>131</v>
      </c>
      <c r="E16" s="16">
        <v>6800037118</v>
      </c>
      <c r="F16" s="22">
        <v>45096</v>
      </c>
      <c r="G16" s="16" t="s">
        <v>55</v>
      </c>
      <c r="H16" s="16"/>
      <c r="I16" s="19">
        <f>258000/3</f>
        <v>86000</v>
      </c>
      <c r="J16" s="16">
        <v>3</v>
      </c>
      <c r="K16" s="321">
        <f t="shared" si="0"/>
        <v>28666.666666666668</v>
      </c>
      <c r="L16" s="20">
        <v>45462</v>
      </c>
      <c r="M16" s="20">
        <v>45826</v>
      </c>
      <c r="N16" s="18"/>
      <c r="O16" s="16"/>
      <c r="P16" s="18"/>
      <c r="Q16" s="21" t="s">
        <v>138</v>
      </c>
      <c r="R16" s="18" t="s">
        <v>139</v>
      </c>
      <c r="S16" s="21" t="s">
        <v>140</v>
      </c>
      <c r="T16" s="18" t="s">
        <v>141</v>
      </c>
      <c r="U16" s="21" t="s">
        <v>142</v>
      </c>
      <c r="V16" s="18" t="s">
        <v>143</v>
      </c>
      <c r="W16" s="18"/>
      <c r="X16" s="18"/>
      <c r="Y16" s="18"/>
      <c r="Z16" s="18"/>
      <c r="AA16" s="18"/>
      <c r="AB16" s="18"/>
      <c r="AC16" s="18" t="s">
        <v>137</v>
      </c>
      <c r="AD16" s="16" t="s">
        <v>63</v>
      </c>
      <c r="AE16" s="16">
        <v>2</v>
      </c>
    </row>
    <row r="17" spans="2:31" ht="14.4" hidden="1" x14ac:dyDescent="0.3">
      <c r="B17" s="16" t="s">
        <v>14</v>
      </c>
      <c r="C17" s="18" t="s">
        <v>130</v>
      </c>
      <c r="D17" s="225" t="s">
        <v>131</v>
      </c>
      <c r="E17" s="16">
        <v>6800037118</v>
      </c>
      <c r="F17" s="22">
        <v>45096</v>
      </c>
      <c r="G17" s="16" t="s">
        <v>55</v>
      </c>
      <c r="H17" s="16">
        <v>1</v>
      </c>
      <c r="I17" s="19">
        <f>258000/3</f>
        <v>86000</v>
      </c>
      <c r="J17" s="16">
        <v>3</v>
      </c>
      <c r="K17" s="321">
        <f t="shared" si="0"/>
        <v>28666.666666666668</v>
      </c>
      <c r="L17" s="20">
        <v>45827</v>
      </c>
      <c r="M17" s="20">
        <v>46191</v>
      </c>
      <c r="N17" s="18" t="s">
        <v>19</v>
      </c>
      <c r="O17" s="16" t="s">
        <v>9</v>
      </c>
      <c r="P17" s="18"/>
      <c r="Q17" s="21" t="s">
        <v>144</v>
      </c>
      <c r="R17" s="18" t="s">
        <v>145</v>
      </c>
      <c r="S17" s="21" t="s">
        <v>146</v>
      </c>
      <c r="T17" s="18" t="s">
        <v>147</v>
      </c>
      <c r="U17" s="21" t="s">
        <v>148</v>
      </c>
      <c r="V17" s="18" t="s">
        <v>149</v>
      </c>
      <c r="W17" s="18"/>
      <c r="X17" s="18"/>
      <c r="Y17" s="18"/>
      <c r="Z17" s="18"/>
      <c r="AA17" s="18"/>
      <c r="AB17" s="18"/>
      <c r="AC17" s="18" t="s">
        <v>137</v>
      </c>
      <c r="AD17" s="16" t="s">
        <v>63</v>
      </c>
      <c r="AE17" s="16">
        <v>2</v>
      </c>
    </row>
    <row r="18" spans="2:31" ht="14.4" hidden="1" x14ac:dyDescent="0.3">
      <c r="B18" s="16" t="s">
        <v>14</v>
      </c>
      <c r="C18" s="194" t="s">
        <v>150</v>
      </c>
      <c r="D18" s="225" t="s">
        <v>151</v>
      </c>
      <c r="E18" s="16">
        <v>4200258422</v>
      </c>
      <c r="F18" s="22">
        <v>45126</v>
      </c>
      <c r="G18" s="16" t="s">
        <v>55</v>
      </c>
      <c r="H18" s="16"/>
      <c r="I18" s="19">
        <v>91728</v>
      </c>
      <c r="J18" s="16">
        <v>4</v>
      </c>
      <c r="K18" s="321">
        <f t="shared" si="0"/>
        <v>22932</v>
      </c>
      <c r="L18" s="20">
        <v>45108</v>
      </c>
      <c r="M18" s="20">
        <v>45473</v>
      </c>
      <c r="N18" s="18"/>
      <c r="O18" s="16"/>
      <c r="P18" s="18"/>
      <c r="Q18" s="21" t="s">
        <v>152</v>
      </c>
      <c r="R18" s="18" t="s">
        <v>153</v>
      </c>
      <c r="S18" s="21" t="s">
        <v>154</v>
      </c>
      <c r="T18" s="18" t="s">
        <v>155</v>
      </c>
      <c r="U18" s="21" t="s">
        <v>156</v>
      </c>
      <c r="V18" s="18" t="s">
        <v>157</v>
      </c>
      <c r="W18" s="21" t="s">
        <v>158</v>
      </c>
      <c r="X18" s="18" t="s">
        <v>159</v>
      </c>
      <c r="Y18" s="18"/>
      <c r="Z18" s="18"/>
      <c r="AA18" s="18"/>
      <c r="AB18" s="18"/>
      <c r="AC18" s="18" t="s">
        <v>62</v>
      </c>
      <c r="AD18" s="16" t="s">
        <v>63</v>
      </c>
      <c r="AE18" s="16">
        <v>4</v>
      </c>
    </row>
    <row r="19" spans="2:31" ht="14.4" hidden="1" x14ac:dyDescent="0.3">
      <c r="B19" s="16" t="s">
        <v>14</v>
      </c>
      <c r="C19" s="194" t="s">
        <v>150</v>
      </c>
      <c r="D19" s="225" t="s">
        <v>151</v>
      </c>
      <c r="E19" s="16">
        <v>4200258422</v>
      </c>
      <c r="F19" s="22">
        <v>45126</v>
      </c>
      <c r="G19" s="16" t="s">
        <v>55</v>
      </c>
      <c r="H19" s="16">
        <v>1</v>
      </c>
      <c r="I19" s="19">
        <v>96313</v>
      </c>
      <c r="J19" s="16">
        <v>4</v>
      </c>
      <c r="K19" s="321">
        <f t="shared" si="0"/>
        <v>24078.25</v>
      </c>
      <c r="L19" s="20">
        <v>45474</v>
      </c>
      <c r="M19" s="20">
        <v>45838</v>
      </c>
      <c r="N19" s="18"/>
      <c r="O19" s="16"/>
      <c r="P19" s="18"/>
      <c r="Q19" s="21" t="s">
        <v>160</v>
      </c>
      <c r="R19" s="18" t="s">
        <v>161</v>
      </c>
      <c r="S19" s="21" t="s">
        <v>162</v>
      </c>
      <c r="T19" s="18" t="s">
        <v>163</v>
      </c>
      <c r="U19" s="21" t="s">
        <v>164</v>
      </c>
      <c r="V19" s="18" t="s">
        <v>165</v>
      </c>
      <c r="W19" s="21" t="s">
        <v>166</v>
      </c>
      <c r="X19" s="18" t="s">
        <v>167</v>
      </c>
      <c r="Y19" s="18"/>
      <c r="Z19" s="18"/>
      <c r="AA19" s="18"/>
      <c r="AB19" s="18"/>
      <c r="AC19" s="18" t="s">
        <v>62</v>
      </c>
      <c r="AD19" s="16" t="s">
        <v>63</v>
      </c>
      <c r="AE19" s="16">
        <v>4</v>
      </c>
    </row>
    <row r="20" spans="2:31" ht="14.4" hidden="1" x14ac:dyDescent="0.3">
      <c r="B20" s="16" t="s">
        <v>14</v>
      </c>
      <c r="C20" s="194" t="s">
        <v>150</v>
      </c>
      <c r="D20" s="225" t="s">
        <v>151</v>
      </c>
      <c r="E20" s="16">
        <v>4200258422</v>
      </c>
      <c r="F20" s="22">
        <v>45126</v>
      </c>
      <c r="G20" s="16" t="s">
        <v>55</v>
      </c>
      <c r="H20" s="16"/>
      <c r="I20" s="19">
        <v>96313</v>
      </c>
      <c r="J20" s="16">
        <v>4</v>
      </c>
      <c r="K20" s="321">
        <f t="shared" si="0"/>
        <v>24078.25</v>
      </c>
      <c r="L20" s="20">
        <v>45839</v>
      </c>
      <c r="M20" s="20">
        <v>46203</v>
      </c>
      <c r="N20" s="18"/>
      <c r="O20" s="16"/>
      <c r="P20" s="18"/>
      <c r="Q20" s="21" t="s">
        <v>168</v>
      </c>
      <c r="R20" s="18" t="s">
        <v>169</v>
      </c>
      <c r="S20" s="21" t="s">
        <v>170</v>
      </c>
      <c r="T20" s="18" t="s">
        <v>171</v>
      </c>
      <c r="U20" s="21" t="s">
        <v>172</v>
      </c>
      <c r="V20" s="18" t="s">
        <v>173</v>
      </c>
      <c r="W20" s="18" t="s">
        <v>174</v>
      </c>
      <c r="X20" s="18"/>
      <c r="Y20" s="18"/>
      <c r="Z20" s="18"/>
      <c r="AA20" s="18"/>
      <c r="AB20" s="18"/>
      <c r="AC20" s="18" t="s">
        <v>62</v>
      </c>
      <c r="AD20" s="16" t="s">
        <v>63</v>
      </c>
      <c r="AE20" s="16">
        <v>4</v>
      </c>
    </row>
    <row r="21" spans="2:31" ht="14.4" hidden="1" x14ac:dyDescent="0.3">
      <c r="B21" s="16" t="s">
        <v>14</v>
      </c>
      <c r="C21" s="18" t="s">
        <v>175</v>
      </c>
      <c r="D21" s="225" t="s">
        <v>176</v>
      </c>
      <c r="E21" s="23" t="s">
        <v>177</v>
      </c>
      <c r="F21" s="22">
        <v>45184</v>
      </c>
      <c r="G21" s="16" t="s">
        <v>55</v>
      </c>
      <c r="H21" s="16"/>
      <c r="I21" s="19">
        <v>88500</v>
      </c>
      <c r="J21" s="16">
        <v>3</v>
      </c>
      <c r="K21" s="321">
        <f t="shared" si="0"/>
        <v>29500</v>
      </c>
      <c r="L21" s="20">
        <v>45108</v>
      </c>
      <c r="M21" s="20">
        <v>45473</v>
      </c>
      <c r="N21" s="18"/>
      <c r="O21" s="16"/>
      <c r="P21" s="18"/>
      <c r="Q21" s="21" t="s">
        <v>178</v>
      </c>
      <c r="R21" s="18"/>
      <c r="S21" s="21" t="s">
        <v>179</v>
      </c>
      <c r="T21" s="18" t="s">
        <v>180</v>
      </c>
      <c r="U21" s="21" t="s">
        <v>181</v>
      </c>
      <c r="V21" s="18" t="s">
        <v>182</v>
      </c>
      <c r="W21" s="18"/>
      <c r="X21" s="18"/>
      <c r="Y21" s="18"/>
      <c r="Z21" s="18"/>
      <c r="AA21" s="18"/>
      <c r="AB21" s="18"/>
      <c r="AC21" s="18" t="s">
        <v>183</v>
      </c>
      <c r="AD21" s="16" t="s">
        <v>97</v>
      </c>
      <c r="AE21" s="16"/>
    </row>
    <row r="22" spans="2:31" ht="14.4" hidden="1" x14ac:dyDescent="0.3">
      <c r="B22" s="16" t="s">
        <v>14</v>
      </c>
      <c r="C22" s="18" t="s">
        <v>175</v>
      </c>
      <c r="D22" s="225" t="s">
        <v>176</v>
      </c>
      <c r="E22" s="23" t="s">
        <v>177</v>
      </c>
      <c r="F22" s="22">
        <v>45184</v>
      </c>
      <c r="G22" s="16" t="s">
        <v>55</v>
      </c>
      <c r="H22" s="16">
        <v>1</v>
      </c>
      <c r="I22" s="19">
        <v>88500</v>
      </c>
      <c r="J22" s="16">
        <v>3</v>
      </c>
      <c r="K22" s="321">
        <f t="shared" si="0"/>
        <v>29500</v>
      </c>
      <c r="L22" s="20">
        <v>45474</v>
      </c>
      <c r="M22" s="20">
        <v>45838</v>
      </c>
      <c r="N22" s="18"/>
      <c r="O22" s="16"/>
      <c r="P22" s="18"/>
      <c r="Q22" s="21" t="s">
        <v>184</v>
      </c>
      <c r="R22" s="18" t="s">
        <v>185</v>
      </c>
      <c r="S22" s="21" t="s">
        <v>186</v>
      </c>
      <c r="T22" s="18" t="s">
        <v>187</v>
      </c>
      <c r="U22" s="21" t="s">
        <v>188</v>
      </c>
      <c r="V22" s="18" t="s">
        <v>189</v>
      </c>
      <c r="W22" s="18"/>
      <c r="X22" s="18"/>
      <c r="Y22" s="18"/>
      <c r="Z22" s="18"/>
      <c r="AA22" s="18"/>
      <c r="AB22" s="18"/>
      <c r="AC22" s="18" t="s">
        <v>183</v>
      </c>
      <c r="AD22" s="16" t="s">
        <v>97</v>
      </c>
      <c r="AE22" s="16"/>
    </row>
    <row r="23" spans="2:31" ht="14.4" hidden="1" x14ac:dyDescent="0.3">
      <c r="B23" s="16" t="s">
        <v>14</v>
      </c>
      <c r="C23" s="18" t="s">
        <v>175</v>
      </c>
      <c r="D23" s="225" t="s">
        <v>176</v>
      </c>
      <c r="E23" s="23" t="s">
        <v>177</v>
      </c>
      <c r="F23" s="22">
        <v>45184</v>
      </c>
      <c r="G23" s="2" t="s">
        <v>55</v>
      </c>
      <c r="H23" s="16"/>
      <c r="I23" s="19">
        <v>88500</v>
      </c>
      <c r="J23" s="16">
        <v>3</v>
      </c>
      <c r="K23" s="321">
        <f t="shared" si="0"/>
        <v>29500</v>
      </c>
      <c r="L23" s="20">
        <v>45839</v>
      </c>
      <c r="M23" s="20">
        <v>46203</v>
      </c>
      <c r="N23" s="18"/>
      <c r="O23" s="16"/>
      <c r="P23" s="18"/>
      <c r="Q23" s="21" t="s">
        <v>190</v>
      </c>
      <c r="R23" s="18" t="s">
        <v>191</v>
      </c>
      <c r="S23" s="21" t="s">
        <v>192</v>
      </c>
      <c r="T23" s="18" t="s">
        <v>193</v>
      </c>
      <c r="U23" s="18" t="s">
        <v>194</v>
      </c>
      <c r="V23" s="18"/>
      <c r="W23" s="18"/>
      <c r="X23" s="18"/>
      <c r="Y23" s="18"/>
      <c r="Z23" s="18"/>
      <c r="AA23" s="18"/>
      <c r="AB23" s="18"/>
      <c r="AC23" s="18" t="s">
        <v>183</v>
      </c>
      <c r="AD23" s="16" t="s">
        <v>97</v>
      </c>
      <c r="AE23" s="16"/>
    </row>
    <row r="24" spans="2:31" ht="14.4" hidden="1" x14ac:dyDescent="0.3">
      <c r="B24" s="16" t="s">
        <v>14</v>
      </c>
      <c r="C24" s="18" t="s">
        <v>195</v>
      </c>
      <c r="D24" s="225" t="s">
        <v>196</v>
      </c>
      <c r="E24" s="23" t="s">
        <v>197</v>
      </c>
      <c r="F24" s="22">
        <v>45210</v>
      </c>
      <c r="G24" s="16" t="s">
        <v>55</v>
      </c>
      <c r="H24" s="16"/>
      <c r="I24" s="19">
        <v>741000</v>
      </c>
      <c r="J24" s="16">
        <v>4</v>
      </c>
      <c r="K24" s="321">
        <f t="shared" si="0"/>
        <v>185250</v>
      </c>
      <c r="L24" s="20">
        <v>45203</v>
      </c>
      <c r="M24" s="20">
        <v>45568</v>
      </c>
      <c r="N24" s="18"/>
      <c r="O24" s="16"/>
      <c r="P24" s="18"/>
      <c r="Q24" s="21" t="s">
        <v>198</v>
      </c>
      <c r="R24" s="18" t="s">
        <v>199</v>
      </c>
      <c r="S24" s="192" t="s">
        <v>200</v>
      </c>
      <c r="T24" s="18" t="s">
        <v>201</v>
      </c>
      <c r="U24" s="21" t="s">
        <v>202</v>
      </c>
      <c r="V24" s="18" t="s">
        <v>203</v>
      </c>
      <c r="W24" s="21" t="s">
        <v>204</v>
      </c>
      <c r="X24" s="18" t="s">
        <v>205</v>
      </c>
      <c r="Y24" s="18"/>
      <c r="Z24" s="18"/>
      <c r="AA24" s="18"/>
      <c r="AB24" s="18"/>
      <c r="AC24" s="18" t="s">
        <v>206</v>
      </c>
      <c r="AD24" s="16" t="s">
        <v>207</v>
      </c>
      <c r="AE24" s="16">
        <v>39</v>
      </c>
    </row>
    <row r="25" spans="2:31" ht="14.4" hidden="1" x14ac:dyDescent="0.3">
      <c r="B25" s="16" t="s">
        <v>14</v>
      </c>
      <c r="C25" s="18" t="s">
        <v>195</v>
      </c>
      <c r="D25" s="225" t="s">
        <v>196</v>
      </c>
      <c r="E25" s="23" t="s">
        <v>197</v>
      </c>
      <c r="F25" s="22">
        <v>45210</v>
      </c>
      <c r="G25" s="16" t="s">
        <v>55</v>
      </c>
      <c r="H25" s="16">
        <v>13</v>
      </c>
      <c r="I25" s="19">
        <v>741000</v>
      </c>
      <c r="J25" s="16">
        <v>4</v>
      </c>
      <c r="K25" s="321">
        <f t="shared" si="0"/>
        <v>185250</v>
      </c>
      <c r="L25" s="20">
        <v>45569</v>
      </c>
      <c r="M25" s="20">
        <v>45933</v>
      </c>
      <c r="N25" s="18"/>
      <c r="O25" s="16"/>
      <c r="P25" s="18"/>
      <c r="Q25" s="21" t="s">
        <v>208</v>
      </c>
      <c r="R25" s="18" t="s">
        <v>209</v>
      </c>
      <c r="S25" s="192" t="s">
        <v>210</v>
      </c>
      <c r="T25" s="18" t="s">
        <v>211</v>
      </c>
      <c r="U25" s="21" t="s">
        <v>212</v>
      </c>
      <c r="V25" s="18" t="s">
        <v>213</v>
      </c>
      <c r="W25" s="21" t="s">
        <v>214</v>
      </c>
      <c r="X25" s="18" t="s">
        <v>169</v>
      </c>
      <c r="Y25" s="18"/>
      <c r="Z25" s="18"/>
      <c r="AA25" s="18"/>
      <c r="AB25" s="18"/>
      <c r="AC25" s="18" t="s">
        <v>206</v>
      </c>
      <c r="AD25" s="16" t="s">
        <v>207</v>
      </c>
      <c r="AE25" s="16">
        <v>39</v>
      </c>
    </row>
    <row r="26" spans="2:31" ht="14.4" hidden="1" x14ac:dyDescent="0.3">
      <c r="B26" s="16" t="s">
        <v>14</v>
      </c>
      <c r="C26" s="18" t="s">
        <v>85</v>
      </c>
      <c r="D26" s="225" t="s">
        <v>86</v>
      </c>
      <c r="E26" s="23" t="s">
        <v>215</v>
      </c>
      <c r="F26" s="22">
        <v>45204</v>
      </c>
      <c r="G26" s="16" t="s">
        <v>55</v>
      </c>
      <c r="H26" s="16"/>
      <c r="I26" s="19">
        <f>696000/3</f>
        <v>232000</v>
      </c>
      <c r="J26" s="16">
        <v>4</v>
      </c>
      <c r="K26" s="321">
        <f t="shared" si="0"/>
        <v>58000</v>
      </c>
      <c r="L26" s="20">
        <v>45200</v>
      </c>
      <c r="M26" s="20">
        <v>45565</v>
      </c>
      <c r="N26" s="18"/>
      <c r="O26" s="16"/>
      <c r="P26" s="18"/>
      <c r="Q26" s="21" t="s">
        <v>216</v>
      </c>
      <c r="R26" s="18" t="s">
        <v>217</v>
      </c>
      <c r="S26" s="21" t="s">
        <v>156</v>
      </c>
      <c r="T26" s="18" t="s">
        <v>218</v>
      </c>
      <c r="U26" s="21" t="s">
        <v>158</v>
      </c>
      <c r="V26" s="18" t="s">
        <v>219</v>
      </c>
      <c r="W26" s="21" t="s">
        <v>220</v>
      </c>
      <c r="X26" s="18" t="s">
        <v>221</v>
      </c>
      <c r="Y26" s="18"/>
      <c r="Z26" s="18"/>
      <c r="AA26" s="18"/>
      <c r="AB26" s="18"/>
      <c r="AC26" s="18" t="s">
        <v>96</v>
      </c>
      <c r="AD26" s="16" t="s">
        <v>97</v>
      </c>
      <c r="AE26" s="16" t="s">
        <v>98</v>
      </c>
    </row>
    <row r="27" spans="2:31" ht="14.4" hidden="1" x14ac:dyDescent="0.3">
      <c r="B27" s="16" t="s">
        <v>14</v>
      </c>
      <c r="C27" s="18" t="s">
        <v>85</v>
      </c>
      <c r="D27" s="225" t="s">
        <v>86</v>
      </c>
      <c r="E27" s="23" t="s">
        <v>215</v>
      </c>
      <c r="F27" s="22">
        <v>45204</v>
      </c>
      <c r="G27" s="16" t="s">
        <v>55</v>
      </c>
      <c r="H27" s="16">
        <v>4</v>
      </c>
      <c r="I27" s="19">
        <f>696000/3</f>
        <v>232000</v>
      </c>
      <c r="J27" s="16">
        <v>4</v>
      </c>
      <c r="K27" s="321">
        <f t="shared" si="0"/>
        <v>58000</v>
      </c>
      <c r="L27" s="20">
        <v>45566</v>
      </c>
      <c r="M27" s="20">
        <v>45930</v>
      </c>
      <c r="N27" s="18"/>
      <c r="O27" s="16"/>
      <c r="P27" s="18"/>
      <c r="Q27" s="21" t="s">
        <v>222</v>
      </c>
      <c r="R27" s="18" t="s">
        <v>223</v>
      </c>
      <c r="S27" s="21" t="s">
        <v>164</v>
      </c>
      <c r="T27" s="18" t="s">
        <v>224</v>
      </c>
      <c r="U27" s="21" t="s">
        <v>166</v>
      </c>
      <c r="V27" s="18" t="s">
        <v>225</v>
      </c>
      <c r="W27" s="21" t="s">
        <v>226</v>
      </c>
      <c r="X27" s="18" t="s">
        <v>227</v>
      </c>
      <c r="Y27" s="18"/>
      <c r="Z27" s="18"/>
      <c r="AA27" s="18"/>
      <c r="AB27" s="18"/>
      <c r="AC27" s="18" t="s">
        <v>96</v>
      </c>
      <c r="AD27" s="16" t="s">
        <v>97</v>
      </c>
      <c r="AE27" s="16" t="s">
        <v>98</v>
      </c>
    </row>
    <row r="28" spans="2:31" ht="14.4" hidden="1" x14ac:dyDescent="0.3">
      <c r="B28" s="16" t="s">
        <v>14</v>
      </c>
      <c r="C28" s="18" t="s">
        <v>85</v>
      </c>
      <c r="D28" s="225" t="s">
        <v>86</v>
      </c>
      <c r="E28" s="23" t="s">
        <v>215</v>
      </c>
      <c r="F28" s="22">
        <v>45204</v>
      </c>
      <c r="G28" s="16" t="s">
        <v>55</v>
      </c>
      <c r="H28" s="16"/>
      <c r="I28" s="193">
        <f>696000/3</f>
        <v>232000</v>
      </c>
      <c r="J28" s="16">
        <v>4</v>
      </c>
      <c r="K28" s="321">
        <f t="shared" si="0"/>
        <v>58000</v>
      </c>
      <c r="L28" s="20">
        <v>45931</v>
      </c>
      <c r="M28" s="20">
        <v>46295</v>
      </c>
      <c r="N28" s="18"/>
      <c r="O28" s="16"/>
      <c r="P28" s="18"/>
      <c r="Q28" s="21" t="s">
        <v>228</v>
      </c>
      <c r="R28" s="18" t="s">
        <v>229</v>
      </c>
      <c r="S28" s="21" t="s">
        <v>172</v>
      </c>
      <c r="T28" s="18" t="s">
        <v>230</v>
      </c>
      <c r="U28" s="18" t="s">
        <v>174</v>
      </c>
      <c r="V28" s="18"/>
      <c r="W28" s="18" t="s">
        <v>231</v>
      </c>
      <c r="X28" s="18"/>
      <c r="Y28" s="18"/>
      <c r="Z28" s="18"/>
      <c r="AA28" s="18"/>
      <c r="AB28" s="18"/>
      <c r="AC28" s="18" t="s">
        <v>96</v>
      </c>
      <c r="AD28" s="16" t="s">
        <v>97</v>
      </c>
      <c r="AE28" s="16" t="s">
        <v>98</v>
      </c>
    </row>
    <row r="29" spans="2:31" ht="14.4" hidden="1" x14ac:dyDescent="0.3">
      <c r="B29" s="16" t="s">
        <v>14</v>
      </c>
      <c r="C29" s="18" t="s">
        <v>232</v>
      </c>
      <c r="D29" s="225" t="s">
        <v>86</v>
      </c>
      <c r="E29" s="16">
        <v>115885</v>
      </c>
      <c r="F29" s="22">
        <v>45269</v>
      </c>
      <c r="G29" s="16" t="s">
        <v>55</v>
      </c>
      <c r="H29" s="16"/>
      <c r="I29" s="19">
        <f>432000/3</f>
        <v>144000</v>
      </c>
      <c r="J29" s="16">
        <v>4</v>
      </c>
      <c r="K29" s="321">
        <f t="shared" si="0"/>
        <v>36000</v>
      </c>
      <c r="L29" s="20">
        <v>45261</v>
      </c>
      <c r="M29" s="20">
        <v>45626</v>
      </c>
      <c r="N29" s="18"/>
      <c r="O29" s="16"/>
      <c r="P29" s="18"/>
      <c r="Q29" s="21" t="s">
        <v>233</v>
      </c>
      <c r="R29" s="18" t="s">
        <v>234</v>
      </c>
      <c r="S29" s="21" t="s">
        <v>235</v>
      </c>
      <c r="T29" s="18" t="s">
        <v>203</v>
      </c>
      <c r="U29" s="21" t="s">
        <v>236</v>
      </c>
      <c r="V29" s="18" t="s">
        <v>237</v>
      </c>
      <c r="W29" s="21" t="s">
        <v>238</v>
      </c>
      <c r="X29" s="18" t="s">
        <v>239</v>
      </c>
      <c r="Y29" s="18"/>
      <c r="Z29" s="18"/>
      <c r="AA29" s="18"/>
      <c r="AB29" s="18"/>
      <c r="AC29" s="18" t="s">
        <v>96</v>
      </c>
      <c r="AD29" s="16" t="s">
        <v>97</v>
      </c>
      <c r="AE29" s="16" t="s">
        <v>98</v>
      </c>
    </row>
    <row r="30" spans="2:31" ht="14.4" hidden="1" x14ac:dyDescent="0.3">
      <c r="B30" s="16" t="s">
        <v>14</v>
      </c>
      <c r="C30" s="18" t="s">
        <v>232</v>
      </c>
      <c r="D30" s="225" t="s">
        <v>86</v>
      </c>
      <c r="E30" s="16">
        <v>115885</v>
      </c>
      <c r="F30" s="22">
        <v>45269</v>
      </c>
      <c r="G30" s="16" t="s">
        <v>55</v>
      </c>
      <c r="H30" s="16">
        <v>2</v>
      </c>
      <c r="I30" s="19">
        <f>432000/3</f>
        <v>144000</v>
      </c>
      <c r="J30" s="16">
        <v>4</v>
      </c>
      <c r="K30" s="321">
        <f t="shared" si="0"/>
        <v>36000</v>
      </c>
      <c r="L30" s="20">
        <v>45627</v>
      </c>
      <c r="M30" s="20">
        <v>45991</v>
      </c>
      <c r="N30" s="18"/>
      <c r="O30" s="16"/>
      <c r="P30" s="18"/>
      <c r="Q30" s="21" t="s">
        <v>240</v>
      </c>
      <c r="R30" s="18" t="s">
        <v>241</v>
      </c>
      <c r="S30" s="21" t="s">
        <v>242</v>
      </c>
      <c r="T30" s="18" t="s">
        <v>243</v>
      </c>
      <c r="U30" s="21" t="s">
        <v>244</v>
      </c>
      <c r="V30" s="18" t="s">
        <v>245</v>
      </c>
      <c r="W30" s="21" t="s">
        <v>246</v>
      </c>
      <c r="X30" s="18" t="s">
        <v>247</v>
      </c>
      <c r="Y30" s="18"/>
      <c r="Z30" s="18"/>
      <c r="AA30" s="18"/>
      <c r="AB30" s="18"/>
      <c r="AC30" s="18" t="s">
        <v>96</v>
      </c>
      <c r="AD30" s="16" t="s">
        <v>97</v>
      </c>
      <c r="AE30" s="16" t="s">
        <v>98</v>
      </c>
    </row>
    <row r="31" spans="2:31" ht="14.4" hidden="1" x14ac:dyDescent="0.3">
      <c r="B31" s="16" t="s">
        <v>14</v>
      </c>
      <c r="C31" s="18" t="s">
        <v>232</v>
      </c>
      <c r="D31" s="225" t="s">
        <v>86</v>
      </c>
      <c r="E31" s="16">
        <v>115885</v>
      </c>
      <c r="F31" s="22">
        <v>45269</v>
      </c>
      <c r="G31" s="16" t="s">
        <v>55</v>
      </c>
      <c r="H31" s="16"/>
      <c r="I31" s="19">
        <f>432000/3</f>
        <v>144000</v>
      </c>
      <c r="J31" s="16">
        <v>4</v>
      </c>
      <c r="K31" s="325">
        <f t="shared" si="0"/>
        <v>36000</v>
      </c>
      <c r="L31" s="20">
        <v>45992</v>
      </c>
      <c r="M31" s="20">
        <v>46356</v>
      </c>
      <c r="N31" s="18"/>
      <c r="O31" s="16"/>
      <c r="P31" s="18"/>
      <c r="Q31" s="21" t="s">
        <v>248</v>
      </c>
      <c r="R31" s="18" t="s">
        <v>249</v>
      </c>
      <c r="S31" s="21" t="s">
        <v>250</v>
      </c>
      <c r="T31" s="18" t="s">
        <v>251</v>
      </c>
      <c r="U31" s="18" t="s">
        <v>252</v>
      </c>
      <c r="V31" s="18"/>
      <c r="W31" s="18" t="s">
        <v>253</v>
      </c>
      <c r="X31" s="18"/>
      <c r="Y31" s="18"/>
      <c r="Z31" s="18"/>
      <c r="AA31" s="18"/>
      <c r="AB31" s="18"/>
      <c r="AC31" s="18" t="s">
        <v>96</v>
      </c>
      <c r="AD31" s="16" t="s">
        <v>97</v>
      </c>
      <c r="AE31" s="16" t="s">
        <v>98</v>
      </c>
    </row>
    <row r="32" spans="2:31" ht="14.4" hidden="1" x14ac:dyDescent="0.3">
      <c r="B32" s="16" t="s">
        <v>14</v>
      </c>
      <c r="C32" s="18" t="s">
        <v>254</v>
      </c>
      <c r="D32" s="225" t="s">
        <v>86</v>
      </c>
      <c r="E32" s="16" t="s">
        <v>255</v>
      </c>
      <c r="F32" s="22">
        <v>45323</v>
      </c>
      <c r="G32" s="16" t="s">
        <v>55</v>
      </c>
      <c r="H32" s="16"/>
      <c r="I32" s="19">
        <f>354000/2</f>
        <v>177000</v>
      </c>
      <c r="J32" s="16">
        <v>4</v>
      </c>
      <c r="K32" s="321">
        <f t="shared" si="0"/>
        <v>44250</v>
      </c>
      <c r="L32" s="20">
        <v>45323</v>
      </c>
      <c r="M32" s="20">
        <v>45688</v>
      </c>
      <c r="N32" s="18"/>
      <c r="O32" s="16"/>
      <c r="P32" s="16"/>
      <c r="Q32" s="21" t="s">
        <v>256</v>
      </c>
      <c r="R32" s="18" t="s">
        <v>257</v>
      </c>
      <c r="S32" s="21" t="s">
        <v>258</v>
      </c>
      <c r="T32" s="18" t="s">
        <v>259</v>
      </c>
      <c r="U32" s="21" t="s">
        <v>260</v>
      </c>
      <c r="V32" s="18" t="s">
        <v>261</v>
      </c>
      <c r="W32" s="21" t="s">
        <v>262</v>
      </c>
      <c r="X32" s="21" t="s">
        <v>263</v>
      </c>
      <c r="Y32" s="18"/>
      <c r="Z32" s="18"/>
      <c r="AA32" s="18"/>
      <c r="AB32" s="18"/>
      <c r="AC32" s="18" t="s">
        <v>96</v>
      </c>
      <c r="AD32" s="16" t="s">
        <v>97</v>
      </c>
      <c r="AE32" s="16" t="s">
        <v>98</v>
      </c>
    </row>
    <row r="33" spans="2:32" ht="14.4" hidden="1" x14ac:dyDescent="0.3">
      <c r="B33" s="16" t="s">
        <v>14</v>
      </c>
      <c r="C33" s="18" t="s">
        <v>254</v>
      </c>
      <c r="D33" s="225" t="s">
        <v>86</v>
      </c>
      <c r="E33" s="16" t="s">
        <v>255</v>
      </c>
      <c r="F33" s="22">
        <v>45323</v>
      </c>
      <c r="G33" s="16" t="s">
        <v>55</v>
      </c>
      <c r="H33" s="16">
        <v>3</v>
      </c>
      <c r="I33" s="19">
        <f>354000/2</f>
        <v>177000</v>
      </c>
      <c r="J33" s="16">
        <v>4</v>
      </c>
      <c r="K33" s="321">
        <f t="shared" si="0"/>
        <v>44250</v>
      </c>
      <c r="L33" s="20">
        <v>45689</v>
      </c>
      <c r="M33" s="20">
        <v>46053</v>
      </c>
      <c r="N33" s="18"/>
      <c r="O33" s="16"/>
      <c r="P33" s="16"/>
      <c r="Q33" s="21" t="s">
        <v>264</v>
      </c>
      <c r="R33" s="18" t="s">
        <v>265</v>
      </c>
      <c r="S33" s="21" t="s">
        <v>266</v>
      </c>
      <c r="T33" s="18" t="s">
        <v>145</v>
      </c>
      <c r="U33" s="21" t="s">
        <v>267</v>
      </c>
      <c r="V33" s="18" t="s">
        <v>268</v>
      </c>
      <c r="W33" s="21" t="s">
        <v>269</v>
      </c>
      <c r="X33" s="18" t="s">
        <v>270</v>
      </c>
      <c r="Y33" s="18"/>
      <c r="Z33" s="18"/>
      <c r="AA33" s="18"/>
      <c r="AB33" s="18"/>
      <c r="AC33" s="18" t="s">
        <v>96</v>
      </c>
      <c r="AD33" s="16" t="s">
        <v>97</v>
      </c>
      <c r="AE33" s="16" t="s">
        <v>98</v>
      </c>
    </row>
    <row r="34" spans="2:32" ht="14.4" hidden="1" x14ac:dyDescent="0.3">
      <c r="B34" s="16" t="s">
        <v>14</v>
      </c>
      <c r="C34" s="18" t="s">
        <v>271</v>
      </c>
      <c r="D34" s="225" t="s">
        <v>86</v>
      </c>
      <c r="E34" s="16" t="s">
        <v>272</v>
      </c>
      <c r="F34" s="22">
        <v>45260</v>
      </c>
      <c r="G34" s="16" t="s">
        <v>55</v>
      </c>
      <c r="H34" s="16"/>
      <c r="I34" s="19">
        <v>186960</v>
      </c>
      <c r="J34" s="16">
        <v>4</v>
      </c>
      <c r="K34" s="321">
        <f t="shared" si="0"/>
        <v>46740</v>
      </c>
      <c r="L34" s="20">
        <v>45260</v>
      </c>
      <c r="M34" s="20">
        <v>45625</v>
      </c>
      <c r="N34" s="18"/>
      <c r="O34" s="16"/>
      <c r="P34" s="16"/>
      <c r="Q34" s="21" t="s">
        <v>273</v>
      </c>
      <c r="R34" s="18" t="s">
        <v>274</v>
      </c>
      <c r="S34" s="21" t="s">
        <v>275</v>
      </c>
      <c r="T34" s="18" t="s">
        <v>276</v>
      </c>
      <c r="U34" s="21" t="s">
        <v>277</v>
      </c>
      <c r="V34" s="18" t="s">
        <v>278</v>
      </c>
      <c r="W34" s="21" t="s">
        <v>279</v>
      </c>
      <c r="X34" s="18" t="s">
        <v>280</v>
      </c>
      <c r="Y34" s="18"/>
      <c r="Z34" s="18"/>
      <c r="AA34" s="18"/>
      <c r="AB34" s="18"/>
      <c r="AC34" s="18" t="s">
        <v>281</v>
      </c>
      <c r="AD34" s="16" t="s">
        <v>97</v>
      </c>
      <c r="AE34" s="16" t="s">
        <v>98</v>
      </c>
    </row>
    <row r="35" spans="2:32" ht="14.4" hidden="1" x14ac:dyDescent="0.3">
      <c r="B35" s="16" t="s">
        <v>14</v>
      </c>
      <c r="C35" s="18" t="s">
        <v>271</v>
      </c>
      <c r="D35" s="225" t="s">
        <v>86</v>
      </c>
      <c r="E35" s="16" t="s">
        <v>272</v>
      </c>
      <c r="F35" s="22">
        <v>45260</v>
      </c>
      <c r="G35" s="16" t="s">
        <v>55</v>
      </c>
      <c r="H35" s="16">
        <v>2</v>
      </c>
      <c r="I35" s="19">
        <v>186960</v>
      </c>
      <c r="J35" s="16">
        <v>4</v>
      </c>
      <c r="K35" s="321">
        <f t="shared" si="0"/>
        <v>46740</v>
      </c>
      <c r="L35" s="20">
        <v>45626</v>
      </c>
      <c r="M35" s="20">
        <v>45990</v>
      </c>
      <c r="N35" s="18"/>
      <c r="O35" s="16"/>
      <c r="P35" s="16"/>
      <c r="Q35" s="21" t="s">
        <v>282</v>
      </c>
      <c r="R35" s="18" t="s">
        <v>283</v>
      </c>
      <c r="S35" s="21" t="s">
        <v>284</v>
      </c>
      <c r="T35" s="18" t="s">
        <v>285</v>
      </c>
      <c r="U35" s="21" t="s">
        <v>286</v>
      </c>
      <c r="V35" s="18" t="s">
        <v>287</v>
      </c>
      <c r="W35" s="21" t="s">
        <v>288</v>
      </c>
      <c r="X35" s="18" t="s">
        <v>289</v>
      </c>
      <c r="Y35" s="18"/>
      <c r="Z35" s="18"/>
      <c r="AA35" s="18"/>
      <c r="AB35" s="18"/>
      <c r="AC35" s="18" t="s">
        <v>281</v>
      </c>
      <c r="AD35" s="16" t="s">
        <v>97</v>
      </c>
      <c r="AE35" s="16" t="s">
        <v>98</v>
      </c>
    </row>
    <row r="36" spans="2:32" ht="14.4" hidden="1" x14ac:dyDescent="0.3">
      <c r="B36" s="16" t="s">
        <v>14</v>
      </c>
      <c r="C36" s="18" t="s">
        <v>271</v>
      </c>
      <c r="D36" s="225" t="s">
        <v>86</v>
      </c>
      <c r="E36" s="16" t="s">
        <v>272</v>
      </c>
      <c r="F36" s="22">
        <v>45260</v>
      </c>
      <c r="G36" s="16" t="s">
        <v>55</v>
      </c>
      <c r="H36" s="16"/>
      <c r="I36" s="19">
        <v>186960</v>
      </c>
      <c r="J36" s="16">
        <v>4</v>
      </c>
      <c r="K36" s="325">
        <f t="shared" si="0"/>
        <v>46740</v>
      </c>
      <c r="L36" s="20">
        <v>45991</v>
      </c>
      <c r="M36" s="20">
        <v>46355</v>
      </c>
      <c r="N36" s="18"/>
      <c r="O36" s="16"/>
      <c r="P36" s="16"/>
      <c r="Q36" s="21" t="s">
        <v>290</v>
      </c>
      <c r="R36" s="18" t="s">
        <v>291</v>
      </c>
      <c r="S36" s="18" t="s">
        <v>292</v>
      </c>
      <c r="T36" s="18"/>
      <c r="U36" s="18" t="s">
        <v>293</v>
      </c>
      <c r="V36" s="18"/>
      <c r="W36" s="18" t="s">
        <v>294</v>
      </c>
      <c r="X36" s="18"/>
      <c r="Y36" s="18"/>
      <c r="Z36" s="18"/>
      <c r="AA36" s="18"/>
      <c r="AB36" s="18"/>
      <c r="AC36" s="18" t="s">
        <v>281</v>
      </c>
      <c r="AD36" s="16" t="s">
        <v>97</v>
      </c>
      <c r="AE36" s="16" t="s">
        <v>98</v>
      </c>
    </row>
    <row r="37" spans="2:32" ht="14.4" hidden="1" x14ac:dyDescent="0.3">
      <c r="B37" s="16" t="s">
        <v>14</v>
      </c>
      <c r="C37" s="18" t="s">
        <v>295</v>
      </c>
      <c r="D37" s="225" t="s">
        <v>296</v>
      </c>
      <c r="E37" s="16" t="s">
        <v>297</v>
      </c>
      <c r="F37" s="22">
        <v>45337</v>
      </c>
      <c r="G37" s="16" t="s">
        <v>55</v>
      </c>
      <c r="H37" s="16"/>
      <c r="I37" s="19">
        <v>898776</v>
      </c>
      <c r="J37" s="16">
        <v>3</v>
      </c>
      <c r="K37" s="321">
        <f t="shared" si="0"/>
        <v>299592</v>
      </c>
      <c r="L37" s="20">
        <v>45352</v>
      </c>
      <c r="M37" s="20">
        <v>45716</v>
      </c>
      <c r="N37" s="18"/>
      <c r="O37" s="16"/>
      <c r="P37" s="16"/>
      <c r="Q37" s="21" t="s">
        <v>298</v>
      </c>
      <c r="R37" s="18" t="s">
        <v>299</v>
      </c>
      <c r="S37" s="21" t="s">
        <v>300</v>
      </c>
      <c r="T37" s="18" t="s">
        <v>122</v>
      </c>
      <c r="U37" s="21" t="s">
        <v>301</v>
      </c>
      <c r="V37" s="18" t="s">
        <v>302</v>
      </c>
      <c r="W37" s="18"/>
      <c r="X37" s="18"/>
      <c r="Y37" s="18"/>
      <c r="Z37" s="18"/>
      <c r="AA37" s="18"/>
      <c r="AB37" s="18"/>
      <c r="AC37" s="18" t="s">
        <v>281</v>
      </c>
      <c r="AD37" s="16" t="s">
        <v>97</v>
      </c>
      <c r="AE37" s="16">
        <f>9*3</f>
        <v>27</v>
      </c>
    </row>
    <row r="38" spans="2:32" ht="14.4" hidden="1" x14ac:dyDescent="0.3">
      <c r="B38" s="16" t="s">
        <v>14</v>
      </c>
      <c r="C38" s="18" t="s">
        <v>295</v>
      </c>
      <c r="D38" s="225" t="s">
        <v>296</v>
      </c>
      <c r="E38" s="16" t="s">
        <v>297</v>
      </c>
      <c r="F38" s="22">
        <v>45337</v>
      </c>
      <c r="G38" s="16" t="s">
        <v>55</v>
      </c>
      <c r="H38" s="16">
        <v>9</v>
      </c>
      <c r="I38" s="19">
        <v>898776</v>
      </c>
      <c r="J38" s="16">
        <v>3</v>
      </c>
      <c r="K38" s="321">
        <f t="shared" si="0"/>
        <v>299592</v>
      </c>
      <c r="L38" s="20">
        <v>45717</v>
      </c>
      <c r="M38" s="20">
        <v>46081</v>
      </c>
      <c r="N38" s="18" t="s">
        <v>19</v>
      </c>
      <c r="O38" s="16" t="s">
        <v>2</v>
      </c>
      <c r="P38" s="16"/>
      <c r="Q38" s="21" t="s">
        <v>303</v>
      </c>
      <c r="R38" s="18" t="s">
        <v>304</v>
      </c>
      <c r="S38" s="21" t="s">
        <v>305</v>
      </c>
      <c r="T38" s="18" t="s">
        <v>306</v>
      </c>
      <c r="U38" s="21" t="s">
        <v>307</v>
      </c>
      <c r="V38" s="18" t="s">
        <v>193</v>
      </c>
      <c r="W38" s="18"/>
      <c r="X38" s="18"/>
      <c r="Y38" s="18"/>
      <c r="Z38" s="18"/>
      <c r="AA38" s="18"/>
      <c r="AB38" s="18"/>
      <c r="AC38" s="18" t="s">
        <v>281</v>
      </c>
      <c r="AD38" s="16" t="s">
        <v>97</v>
      </c>
      <c r="AE38" s="16">
        <f>9*3</f>
        <v>27</v>
      </c>
    </row>
    <row r="39" spans="2:32" ht="14.4" hidden="1" x14ac:dyDescent="0.3">
      <c r="B39" s="16" t="s">
        <v>14</v>
      </c>
      <c r="C39" s="18" t="s">
        <v>76</v>
      </c>
      <c r="D39" s="225" t="s">
        <v>151</v>
      </c>
      <c r="E39" s="16">
        <v>4700004976</v>
      </c>
      <c r="F39" s="22">
        <v>45097</v>
      </c>
      <c r="G39" s="16" t="s">
        <v>55</v>
      </c>
      <c r="H39" s="16"/>
      <c r="I39" s="19">
        <f>261000/3</f>
        <v>87000</v>
      </c>
      <c r="J39" s="16">
        <v>3</v>
      </c>
      <c r="K39" s="321">
        <f t="shared" si="0"/>
        <v>29000</v>
      </c>
      <c r="L39" s="20">
        <v>45078</v>
      </c>
      <c r="M39" s="20">
        <v>45443</v>
      </c>
      <c r="N39" s="18"/>
      <c r="O39" s="16"/>
      <c r="P39" s="16"/>
      <c r="Q39" s="21" t="s">
        <v>308</v>
      </c>
      <c r="R39" s="18" t="s">
        <v>309</v>
      </c>
      <c r="S39" s="21" t="s">
        <v>310</v>
      </c>
      <c r="T39" s="18" t="s">
        <v>311</v>
      </c>
      <c r="U39" s="21" t="s">
        <v>312</v>
      </c>
      <c r="V39" s="18" t="s">
        <v>313</v>
      </c>
      <c r="W39" s="18"/>
      <c r="X39" s="18"/>
      <c r="Y39" s="18"/>
      <c r="Z39" s="18"/>
      <c r="AA39" s="18"/>
      <c r="AB39" s="18"/>
      <c r="AC39" s="18" t="s">
        <v>62</v>
      </c>
      <c r="AD39" s="16" t="s">
        <v>63</v>
      </c>
      <c r="AE39" s="16"/>
    </row>
    <row r="40" spans="2:32" ht="14.4" hidden="1" x14ac:dyDescent="0.3">
      <c r="B40" s="16" t="s">
        <v>14</v>
      </c>
      <c r="C40" s="18" t="s">
        <v>76</v>
      </c>
      <c r="D40" s="225" t="s">
        <v>151</v>
      </c>
      <c r="E40" s="16">
        <v>4700004976</v>
      </c>
      <c r="F40" s="22">
        <v>45097</v>
      </c>
      <c r="G40" s="16" t="s">
        <v>55</v>
      </c>
      <c r="H40" s="16"/>
      <c r="I40" s="19">
        <f>261000/3</f>
        <v>87000</v>
      </c>
      <c r="J40" s="16">
        <v>3</v>
      </c>
      <c r="K40" s="321">
        <f t="shared" si="0"/>
        <v>29000</v>
      </c>
      <c r="L40" s="20">
        <v>45444</v>
      </c>
      <c r="M40" s="20">
        <v>45808</v>
      </c>
      <c r="N40" s="18"/>
      <c r="O40" s="16"/>
      <c r="P40" s="16"/>
      <c r="Q40" s="21" t="s">
        <v>314</v>
      </c>
      <c r="R40" s="18" t="s">
        <v>315</v>
      </c>
      <c r="S40" s="21" t="s">
        <v>316</v>
      </c>
      <c r="T40" s="18" t="s">
        <v>317</v>
      </c>
      <c r="U40" s="21" t="s">
        <v>318</v>
      </c>
      <c r="V40" s="18" t="s">
        <v>319</v>
      </c>
      <c r="W40" s="18"/>
      <c r="X40" s="18"/>
      <c r="Y40" s="18"/>
      <c r="Z40" s="18"/>
      <c r="AA40" s="18"/>
      <c r="AB40" s="18"/>
      <c r="AC40" s="18" t="s">
        <v>62</v>
      </c>
      <c r="AD40" s="16" t="s">
        <v>63</v>
      </c>
      <c r="AE40" s="16"/>
    </row>
    <row r="41" spans="2:32" ht="14.4" hidden="1" x14ac:dyDescent="0.3">
      <c r="B41" s="16" t="s">
        <v>14</v>
      </c>
      <c r="C41" s="18" t="s">
        <v>76</v>
      </c>
      <c r="D41" s="225" t="s">
        <v>151</v>
      </c>
      <c r="E41" s="16">
        <v>4700004976</v>
      </c>
      <c r="F41" s="22">
        <v>45097</v>
      </c>
      <c r="G41" s="16" t="s">
        <v>55</v>
      </c>
      <c r="H41" s="16">
        <v>1</v>
      </c>
      <c r="I41" s="19">
        <f>261000/3</f>
        <v>87000</v>
      </c>
      <c r="J41" s="16">
        <v>3</v>
      </c>
      <c r="K41" s="325">
        <f t="shared" si="0"/>
        <v>29000</v>
      </c>
      <c r="L41" s="20">
        <v>45809</v>
      </c>
      <c r="M41" s="20">
        <v>46173</v>
      </c>
      <c r="N41" s="18"/>
      <c r="O41" s="16"/>
      <c r="P41" s="16"/>
      <c r="Q41" s="21" t="s">
        <v>81</v>
      </c>
      <c r="R41" s="18" t="s">
        <v>82</v>
      </c>
      <c r="S41" s="21" t="s">
        <v>83</v>
      </c>
      <c r="T41" s="18" t="s">
        <v>320</v>
      </c>
      <c r="U41" s="18" t="s">
        <v>321</v>
      </c>
      <c r="V41" s="18"/>
      <c r="W41" s="18"/>
      <c r="X41" s="18"/>
      <c r="Y41" s="18"/>
      <c r="Z41" s="18"/>
      <c r="AA41" s="18"/>
      <c r="AB41" s="18"/>
      <c r="AC41" s="18" t="s">
        <v>62</v>
      </c>
      <c r="AD41" s="16" t="s">
        <v>63</v>
      </c>
      <c r="AE41" s="16"/>
    </row>
    <row r="42" spans="2:32" ht="14.4" hidden="1" x14ac:dyDescent="0.3">
      <c r="B42" s="16" t="s">
        <v>14</v>
      </c>
      <c r="C42" s="18" t="s">
        <v>322</v>
      </c>
      <c r="D42" s="225" t="s">
        <v>323</v>
      </c>
      <c r="E42" s="14">
        <v>401186595</v>
      </c>
      <c r="F42" s="22">
        <v>45357</v>
      </c>
      <c r="G42" s="16" t="s">
        <v>55</v>
      </c>
      <c r="H42" s="16">
        <v>2</v>
      </c>
      <c r="I42" s="19">
        <v>380004</v>
      </c>
      <c r="J42" s="16">
        <v>4</v>
      </c>
      <c r="K42" s="321">
        <f t="shared" si="0"/>
        <v>95001</v>
      </c>
      <c r="L42" s="20">
        <v>45413</v>
      </c>
      <c r="M42" s="20">
        <v>46142</v>
      </c>
      <c r="N42" s="18" t="s">
        <v>19</v>
      </c>
      <c r="O42" s="16" t="s">
        <v>5</v>
      </c>
      <c r="P42" s="16"/>
      <c r="Q42" s="21" t="s">
        <v>324</v>
      </c>
      <c r="R42" s="18" t="s">
        <v>325</v>
      </c>
      <c r="S42" s="21" t="s">
        <v>326</v>
      </c>
      <c r="T42" s="18" t="s">
        <v>327</v>
      </c>
      <c r="U42" s="21" t="s">
        <v>328</v>
      </c>
      <c r="V42" s="18" t="s">
        <v>329</v>
      </c>
      <c r="W42" s="21" t="s">
        <v>330</v>
      </c>
      <c r="X42" s="18" t="s">
        <v>331</v>
      </c>
      <c r="Y42" s="18"/>
      <c r="Z42" s="18"/>
      <c r="AA42" s="18"/>
      <c r="AB42" s="18"/>
      <c r="AC42" s="18" t="s">
        <v>96</v>
      </c>
      <c r="AD42" s="16" t="s">
        <v>97</v>
      </c>
      <c r="AE42" s="16">
        <v>16</v>
      </c>
      <c r="AF42" s="18" t="s">
        <v>332</v>
      </c>
    </row>
    <row r="43" spans="2:32" ht="14.4" hidden="1" x14ac:dyDescent="0.3">
      <c r="B43" s="16" t="s">
        <v>14</v>
      </c>
      <c r="C43" s="18" t="s">
        <v>333</v>
      </c>
      <c r="D43" s="225" t="s">
        <v>151</v>
      </c>
      <c r="E43" s="16">
        <v>8163932</v>
      </c>
      <c r="F43" s="22">
        <v>45418</v>
      </c>
      <c r="G43" s="16" t="s">
        <v>55</v>
      </c>
      <c r="H43" s="16"/>
      <c r="I43" s="19">
        <f>232497/3</f>
        <v>77499</v>
      </c>
      <c r="J43" s="16">
        <v>3</v>
      </c>
      <c r="K43" s="321">
        <f t="shared" si="0"/>
        <v>25833</v>
      </c>
      <c r="L43" s="20">
        <v>45292</v>
      </c>
      <c r="M43" s="20">
        <v>45657</v>
      </c>
      <c r="N43" s="18"/>
      <c r="O43" s="16"/>
      <c r="P43" s="16"/>
      <c r="Q43" s="21" t="s">
        <v>334</v>
      </c>
      <c r="R43" s="18" t="s">
        <v>335</v>
      </c>
      <c r="S43" s="21" t="s">
        <v>336</v>
      </c>
      <c r="T43" s="18" t="s">
        <v>337</v>
      </c>
      <c r="U43" s="21" t="s">
        <v>338</v>
      </c>
      <c r="V43" s="18" t="s">
        <v>339</v>
      </c>
      <c r="W43" s="18"/>
      <c r="X43" s="18"/>
      <c r="Y43" s="18"/>
      <c r="Z43" s="18"/>
      <c r="AA43" s="18"/>
      <c r="AB43" s="18"/>
      <c r="AC43" s="18" t="s">
        <v>62</v>
      </c>
      <c r="AD43" s="16" t="s">
        <v>63</v>
      </c>
      <c r="AE43" s="16">
        <v>3</v>
      </c>
      <c r="AF43" s="18" t="s">
        <v>340</v>
      </c>
    </row>
    <row r="44" spans="2:32" ht="14.4" hidden="1" x14ac:dyDescent="0.3">
      <c r="B44" s="16" t="s">
        <v>14</v>
      </c>
      <c r="C44" s="18" t="s">
        <v>333</v>
      </c>
      <c r="D44" s="225" t="s">
        <v>151</v>
      </c>
      <c r="E44" s="16">
        <v>8163932</v>
      </c>
      <c r="F44" s="22">
        <v>45418</v>
      </c>
      <c r="G44" s="16" t="s">
        <v>55</v>
      </c>
      <c r="H44" s="16">
        <v>1</v>
      </c>
      <c r="I44" s="19">
        <f>232497/3</f>
        <v>77499</v>
      </c>
      <c r="J44" s="16">
        <v>3</v>
      </c>
      <c r="K44" s="321">
        <f t="shared" si="0"/>
        <v>25833</v>
      </c>
      <c r="L44" s="20">
        <v>45658</v>
      </c>
      <c r="M44" s="20">
        <v>46022</v>
      </c>
      <c r="N44" s="18"/>
      <c r="O44" s="16"/>
      <c r="P44" s="16"/>
      <c r="Q44" s="21" t="s">
        <v>341</v>
      </c>
      <c r="R44" s="18" t="s">
        <v>342</v>
      </c>
      <c r="S44" s="21" t="s">
        <v>343</v>
      </c>
      <c r="T44" s="18" t="s">
        <v>344</v>
      </c>
      <c r="U44" s="21" t="s">
        <v>345</v>
      </c>
      <c r="V44" s="18" t="s">
        <v>346</v>
      </c>
      <c r="W44" s="18"/>
      <c r="X44" s="18"/>
      <c r="Y44" s="18"/>
      <c r="Z44" s="18"/>
      <c r="AA44" s="18"/>
      <c r="AB44" s="18"/>
      <c r="AC44" s="18" t="s">
        <v>62</v>
      </c>
      <c r="AD44" s="16" t="s">
        <v>63</v>
      </c>
      <c r="AE44" s="16">
        <v>3</v>
      </c>
      <c r="AF44" s="18" t="s">
        <v>340</v>
      </c>
    </row>
    <row r="45" spans="2:32" ht="14.4" hidden="1" x14ac:dyDescent="0.3">
      <c r="B45" s="16" t="s">
        <v>14</v>
      </c>
      <c r="C45" s="18" t="s">
        <v>333</v>
      </c>
      <c r="D45" s="225" t="s">
        <v>151</v>
      </c>
      <c r="E45" s="16">
        <v>8163932</v>
      </c>
      <c r="F45" s="22">
        <v>45418</v>
      </c>
      <c r="G45" s="16" t="s">
        <v>55</v>
      </c>
      <c r="H45" s="16"/>
      <c r="I45" s="19">
        <f>232497/3</f>
        <v>77499</v>
      </c>
      <c r="J45" s="16">
        <v>3</v>
      </c>
      <c r="K45" s="321">
        <f t="shared" si="0"/>
        <v>25833</v>
      </c>
      <c r="L45" s="20">
        <v>46023</v>
      </c>
      <c r="M45" s="20">
        <v>46387</v>
      </c>
      <c r="N45" s="18"/>
      <c r="O45" s="16"/>
      <c r="P45" s="16"/>
      <c r="Q45" s="18" t="s">
        <v>347</v>
      </c>
      <c r="R45" s="18"/>
      <c r="S45" s="18" t="s">
        <v>348</v>
      </c>
      <c r="T45" s="18"/>
      <c r="U45" s="18" t="s">
        <v>349</v>
      </c>
      <c r="V45" s="18"/>
      <c r="W45" s="18"/>
      <c r="X45" s="18"/>
      <c r="Y45" s="18"/>
      <c r="Z45" s="18"/>
      <c r="AA45" s="18"/>
      <c r="AB45" s="18"/>
      <c r="AC45" s="18" t="s">
        <v>62</v>
      </c>
      <c r="AD45" s="16" t="s">
        <v>63</v>
      </c>
      <c r="AE45" s="16">
        <v>3</v>
      </c>
      <c r="AF45" s="18" t="s">
        <v>340</v>
      </c>
    </row>
    <row r="46" spans="2:32" ht="14.4" hidden="1" x14ac:dyDescent="0.3">
      <c r="B46" s="16" t="s">
        <v>14</v>
      </c>
      <c r="C46" s="194" t="s">
        <v>150</v>
      </c>
      <c r="D46" s="225" t="s">
        <v>350</v>
      </c>
      <c r="E46" s="16">
        <v>4200269912</v>
      </c>
      <c r="F46" s="22">
        <v>45355</v>
      </c>
      <c r="G46" s="16" t="s">
        <v>55</v>
      </c>
      <c r="H46" s="16"/>
      <c r="I46" s="19">
        <v>117500</v>
      </c>
      <c r="J46" s="16">
        <v>3</v>
      </c>
      <c r="K46" s="321">
        <f t="shared" si="0"/>
        <v>39166.666666666664</v>
      </c>
      <c r="L46" s="20">
        <v>45383</v>
      </c>
      <c r="M46" s="20">
        <v>45747</v>
      </c>
      <c r="N46" s="18"/>
      <c r="O46" s="16"/>
      <c r="P46" s="16"/>
      <c r="Q46" s="21" t="s">
        <v>351</v>
      </c>
      <c r="R46" s="18" t="s">
        <v>352</v>
      </c>
      <c r="S46" s="21" t="s">
        <v>353</v>
      </c>
      <c r="T46" s="18" t="s">
        <v>102</v>
      </c>
      <c r="U46" s="21" t="s">
        <v>354</v>
      </c>
      <c r="V46" s="18" t="s">
        <v>355</v>
      </c>
      <c r="W46" s="18"/>
      <c r="X46" s="18"/>
      <c r="Y46" s="18"/>
      <c r="Z46" s="18"/>
      <c r="AA46" s="18"/>
      <c r="AB46" s="18"/>
      <c r="AC46" s="18" t="s">
        <v>356</v>
      </c>
      <c r="AD46" s="16" t="s">
        <v>207</v>
      </c>
      <c r="AE46" s="16">
        <v>2</v>
      </c>
      <c r="AF46" s="18" t="s">
        <v>340</v>
      </c>
    </row>
    <row r="47" spans="2:32" ht="14.4" hidden="1" x14ac:dyDescent="0.3">
      <c r="B47" s="16" t="s">
        <v>14</v>
      </c>
      <c r="C47" s="194" t="s">
        <v>150</v>
      </c>
      <c r="D47" s="225" t="s">
        <v>350</v>
      </c>
      <c r="E47" s="16">
        <v>4200269912</v>
      </c>
      <c r="F47" s="22">
        <v>45355</v>
      </c>
      <c r="G47" s="16" t="s">
        <v>55</v>
      </c>
      <c r="H47" s="16">
        <v>1</v>
      </c>
      <c r="I47" s="19">
        <v>117500</v>
      </c>
      <c r="J47" s="16">
        <v>3</v>
      </c>
      <c r="K47" s="321">
        <f t="shared" si="0"/>
        <v>39166.666666666664</v>
      </c>
      <c r="L47" s="20">
        <v>45748</v>
      </c>
      <c r="M47" s="20">
        <v>46112</v>
      </c>
      <c r="N47" s="18" t="s">
        <v>19</v>
      </c>
      <c r="O47" s="16" t="s">
        <v>3</v>
      </c>
      <c r="P47" s="16"/>
      <c r="Q47" s="21" t="s">
        <v>357</v>
      </c>
      <c r="R47" s="18" t="s">
        <v>358</v>
      </c>
      <c r="S47" s="21" t="s">
        <v>359</v>
      </c>
      <c r="T47" s="18" t="s">
        <v>360</v>
      </c>
      <c r="U47" s="21" t="s">
        <v>361</v>
      </c>
      <c r="V47" s="18" t="s">
        <v>173</v>
      </c>
      <c r="W47" s="18"/>
      <c r="X47" s="18"/>
      <c r="Y47" s="18"/>
      <c r="Z47" s="18"/>
      <c r="AA47" s="18"/>
      <c r="AB47" s="18"/>
      <c r="AC47" s="18" t="s">
        <v>356</v>
      </c>
      <c r="AD47" s="16" t="s">
        <v>207</v>
      </c>
      <c r="AE47" s="16">
        <v>2</v>
      </c>
      <c r="AF47" s="36" t="s">
        <v>362</v>
      </c>
    </row>
    <row r="48" spans="2:32" ht="14.4" hidden="1" x14ac:dyDescent="0.3">
      <c r="B48" s="16" t="s">
        <v>14</v>
      </c>
      <c r="C48" s="18" t="s">
        <v>363</v>
      </c>
      <c r="D48" s="225" t="s">
        <v>364</v>
      </c>
      <c r="E48" s="16" t="s">
        <v>365</v>
      </c>
      <c r="F48" s="22">
        <v>45442</v>
      </c>
      <c r="G48" s="16" t="s">
        <v>55</v>
      </c>
      <c r="H48" s="16">
        <v>6</v>
      </c>
      <c r="I48" s="19">
        <v>362880</v>
      </c>
      <c r="J48" s="16">
        <v>2</v>
      </c>
      <c r="K48" s="321">
        <f t="shared" si="0"/>
        <v>181440</v>
      </c>
      <c r="L48" s="20">
        <v>45442</v>
      </c>
      <c r="M48" s="20">
        <v>45806</v>
      </c>
      <c r="N48" s="18"/>
      <c r="O48" s="16"/>
      <c r="P48" s="16"/>
      <c r="Q48" s="21" t="s">
        <v>366</v>
      </c>
      <c r="R48" s="18" t="s">
        <v>367</v>
      </c>
      <c r="S48" s="21" t="s">
        <v>368</v>
      </c>
      <c r="T48" s="18" t="s">
        <v>369</v>
      </c>
      <c r="U48" s="18"/>
      <c r="V48" s="18"/>
      <c r="W48" s="18"/>
      <c r="X48" s="18"/>
      <c r="Y48" s="18"/>
      <c r="Z48" s="18"/>
      <c r="AA48" s="18"/>
      <c r="AB48" s="18"/>
      <c r="AC48" s="18" t="s">
        <v>356</v>
      </c>
      <c r="AD48" s="16" t="s">
        <v>207</v>
      </c>
      <c r="AE48" s="16">
        <v>12</v>
      </c>
      <c r="AF48" s="18" t="s">
        <v>340</v>
      </c>
    </row>
    <row r="49" spans="2:32" ht="14.4" hidden="1" x14ac:dyDescent="0.3">
      <c r="B49" s="16" t="s">
        <v>14</v>
      </c>
      <c r="C49" s="18" t="s">
        <v>363</v>
      </c>
      <c r="D49" s="225" t="s">
        <v>364</v>
      </c>
      <c r="E49" s="16" t="s">
        <v>365</v>
      </c>
      <c r="F49" s="22">
        <v>45442</v>
      </c>
      <c r="G49" s="16" t="s">
        <v>55</v>
      </c>
      <c r="H49" s="16"/>
      <c r="I49" s="19">
        <v>362880</v>
      </c>
      <c r="J49" s="16">
        <v>2</v>
      </c>
      <c r="K49" s="321">
        <f t="shared" si="0"/>
        <v>181440</v>
      </c>
      <c r="L49" s="20">
        <v>45807</v>
      </c>
      <c r="M49" s="20">
        <v>46171</v>
      </c>
      <c r="N49" s="18" t="s">
        <v>19</v>
      </c>
      <c r="O49" s="16" t="s">
        <v>6</v>
      </c>
      <c r="P49" s="16"/>
      <c r="Q49" s="21" t="s">
        <v>370</v>
      </c>
      <c r="R49" s="18" t="s">
        <v>371</v>
      </c>
      <c r="S49" s="21" t="s">
        <v>372</v>
      </c>
      <c r="T49" s="18" t="s">
        <v>373</v>
      </c>
      <c r="U49" s="18"/>
      <c r="V49" s="18"/>
      <c r="W49" s="18"/>
      <c r="X49" s="18"/>
      <c r="Y49" s="18"/>
      <c r="Z49" s="18"/>
      <c r="AA49" s="18"/>
      <c r="AB49" s="18"/>
      <c r="AC49" s="18" t="s">
        <v>356</v>
      </c>
      <c r="AD49" s="16" t="s">
        <v>207</v>
      </c>
      <c r="AE49" s="16">
        <v>12</v>
      </c>
      <c r="AF49" s="18" t="s">
        <v>340</v>
      </c>
    </row>
    <row r="50" spans="2:32" ht="14.4" hidden="1" x14ac:dyDescent="0.3">
      <c r="B50" s="16" t="s">
        <v>14</v>
      </c>
      <c r="C50" s="18" t="s">
        <v>374</v>
      </c>
      <c r="D50" s="225" t="s">
        <v>375</v>
      </c>
      <c r="E50" s="16">
        <v>2260058861</v>
      </c>
      <c r="F50" s="22">
        <v>45450</v>
      </c>
      <c r="G50" s="16" t="s">
        <v>55</v>
      </c>
      <c r="H50" s="16"/>
      <c r="I50" s="19">
        <f>607992/2</f>
        <v>303996</v>
      </c>
      <c r="J50" s="16">
        <v>3</v>
      </c>
      <c r="K50" s="321">
        <f t="shared" si="0"/>
        <v>101332</v>
      </c>
      <c r="L50" s="20">
        <v>45383</v>
      </c>
      <c r="M50" s="20">
        <v>45747</v>
      </c>
      <c r="N50" s="18"/>
      <c r="O50" s="16"/>
      <c r="P50" s="16"/>
      <c r="Q50" s="21" t="s">
        <v>351</v>
      </c>
      <c r="R50" s="18" t="s">
        <v>376</v>
      </c>
      <c r="S50" s="21" t="s">
        <v>353</v>
      </c>
      <c r="T50" s="18" t="s">
        <v>377</v>
      </c>
      <c r="U50" s="21" t="s">
        <v>354</v>
      </c>
      <c r="V50" s="18" t="s">
        <v>378</v>
      </c>
      <c r="W50" s="18"/>
      <c r="X50" s="18"/>
      <c r="Y50" s="18"/>
      <c r="Z50" s="18"/>
      <c r="AA50" s="18"/>
      <c r="AB50" s="18"/>
      <c r="AC50" s="18" t="s">
        <v>62</v>
      </c>
      <c r="AD50" s="16" t="s">
        <v>63</v>
      </c>
      <c r="AE50" s="16">
        <v>12</v>
      </c>
      <c r="AF50" s="18" t="s">
        <v>340</v>
      </c>
    </row>
    <row r="51" spans="2:32" ht="14.4" hidden="1" x14ac:dyDescent="0.3">
      <c r="B51" s="16" t="s">
        <v>14</v>
      </c>
      <c r="C51" s="18" t="s">
        <v>374</v>
      </c>
      <c r="D51" s="225" t="s">
        <v>375</v>
      </c>
      <c r="E51" s="38">
        <v>2260058861</v>
      </c>
      <c r="F51" s="22">
        <v>45450</v>
      </c>
      <c r="G51" s="16" t="s">
        <v>55</v>
      </c>
      <c r="H51" s="16">
        <v>4</v>
      </c>
      <c r="I51" s="19">
        <f>607992/2</f>
        <v>303996</v>
      </c>
      <c r="J51" s="16">
        <v>3</v>
      </c>
      <c r="K51" s="321">
        <f t="shared" si="0"/>
        <v>101332</v>
      </c>
      <c r="L51" s="20">
        <v>45748</v>
      </c>
      <c r="M51" s="20">
        <v>46112</v>
      </c>
      <c r="N51" s="18" t="s">
        <v>19</v>
      </c>
      <c r="O51" s="16" t="s">
        <v>3</v>
      </c>
      <c r="P51" s="16"/>
      <c r="Q51" s="21" t="s">
        <v>357</v>
      </c>
      <c r="R51" s="18" t="s">
        <v>379</v>
      </c>
      <c r="S51" s="21" t="s">
        <v>359</v>
      </c>
      <c r="T51" s="18" t="s">
        <v>289</v>
      </c>
      <c r="U51" s="21" t="s">
        <v>361</v>
      </c>
      <c r="V51" s="18" t="s">
        <v>380</v>
      </c>
      <c r="W51" s="18"/>
      <c r="X51" s="18"/>
      <c r="Y51" s="18"/>
      <c r="Z51" s="18"/>
      <c r="AA51" s="18"/>
      <c r="AB51" s="18"/>
      <c r="AC51" s="18" t="s">
        <v>62</v>
      </c>
      <c r="AD51" s="16" t="s">
        <v>63</v>
      </c>
      <c r="AE51" s="16">
        <v>12</v>
      </c>
      <c r="AF51" s="18" t="s">
        <v>340</v>
      </c>
    </row>
    <row r="52" spans="2:32" ht="14.4" hidden="1" x14ac:dyDescent="0.3">
      <c r="B52" s="16" t="s">
        <v>14</v>
      </c>
      <c r="C52" s="18" t="s">
        <v>381</v>
      </c>
      <c r="D52" s="225" t="s">
        <v>86</v>
      </c>
      <c r="E52" s="30" t="s">
        <v>382</v>
      </c>
      <c r="F52" s="22">
        <v>45467</v>
      </c>
      <c r="G52" s="16" t="s">
        <v>55</v>
      </c>
      <c r="H52" s="16">
        <v>26</v>
      </c>
      <c r="I52" s="19">
        <f>3582696/2</f>
        <v>1791348</v>
      </c>
      <c r="J52" s="16">
        <v>3</v>
      </c>
      <c r="K52" s="321">
        <f t="shared" si="0"/>
        <v>597116</v>
      </c>
      <c r="L52" s="20">
        <v>45474</v>
      </c>
      <c r="M52" s="20">
        <v>45838</v>
      </c>
      <c r="N52" s="18"/>
      <c r="O52" s="16"/>
      <c r="P52" s="16"/>
      <c r="Q52" s="21" t="s">
        <v>184</v>
      </c>
      <c r="R52" s="18" t="s">
        <v>383</v>
      </c>
      <c r="S52" s="21" t="s">
        <v>186</v>
      </c>
      <c r="T52" s="18" t="s">
        <v>104</v>
      </c>
      <c r="U52" s="21" t="s">
        <v>188</v>
      </c>
      <c r="V52" s="18" t="s">
        <v>384</v>
      </c>
      <c r="W52" s="18"/>
      <c r="X52" s="18"/>
      <c r="Y52" s="18"/>
      <c r="Z52" s="18"/>
      <c r="AA52" s="18"/>
      <c r="AB52" s="18"/>
      <c r="AC52" s="18" t="s">
        <v>96</v>
      </c>
      <c r="AD52" s="16" t="s">
        <v>97</v>
      </c>
      <c r="AE52" s="16" t="s">
        <v>98</v>
      </c>
      <c r="AF52" s="18" t="s">
        <v>385</v>
      </c>
    </row>
    <row r="53" spans="2:32" ht="14.4" hidden="1" x14ac:dyDescent="0.3">
      <c r="B53" s="16" t="s">
        <v>14</v>
      </c>
      <c r="C53" s="18" t="s">
        <v>381</v>
      </c>
      <c r="D53" s="225" t="s">
        <v>86</v>
      </c>
      <c r="E53" s="30" t="s">
        <v>382</v>
      </c>
      <c r="F53" s="22">
        <v>45467</v>
      </c>
      <c r="G53" s="16" t="s">
        <v>55</v>
      </c>
      <c r="H53" s="16"/>
      <c r="I53" s="19">
        <f>3582696/2</f>
        <v>1791348</v>
      </c>
      <c r="J53" s="16">
        <v>3</v>
      </c>
      <c r="K53" s="321">
        <f t="shared" si="0"/>
        <v>597116</v>
      </c>
      <c r="L53" s="20">
        <v>45839</v>
      </c>
      <c r="M53" s="20">
        <v>46203</v>
      </c>
      <c r="N53" s="18"/>
      <c r="O53" s="16"/>
      <c r="P53" s="16"/>
      <c r="Q53" s="21" t="s">
        <v>190</v>
      </c>
      <c r="R53" s="18" t="s">
        <v>110</v>
      </c>
      <c r="S53" s="21" t="s">
        <v>192</v>
      </c>
      <c r="T53" s="18" t="s">
        <v>386</v>
      </c>
      <c r="U53" s="18" t="s">
        <v>194</v>
      </c>
      <c r="V53" s="18"/>
      <c r="W53" s="18"/>
      <c r="X53" s="18"/>
      <c r="Y53" s="18"/>
      <c r="Z53" s="18"/>
      <c r="AA53" s="18"/>
      <c r="AB53" s="18"/>
      <c r="AC53" s="18" t="s">
        <v>96</v>
      </c>
      <c r="AD53" s="16" t="s">
        <v>97</v>
      </c>
      <c r="AE53" s="16" t="s">
        <v>98</v>
      </c>
      <c r="AF53" s="18" t="s">
        <v>385</v>
      </c>
    </row>
    <row r="54" spans="2:32" ht="14.4" hidden="1" x14ac:dyDescent="0.3">
      <c r="B54" s="16" t="s">
        <v>14</v>
      </c>
      <c r="C54" s="18" t="s">
        <v>387</v>
      </c>
      <c r="D54" s="225" t="s">
        <v>388</v>
      </c>
      <c r="E54" s="16">
        <v>4500023979</v>
      </c>
      <c r="F54" s="22">
        <v>45488</v>
      </c>
      <c r="G54" s="16" t="s">
        <v>55</v>
      </c>
      <c r="H54" s="16">
        <v>1</v>
      </c>
      <c r="I54" s="19">
        <v>67651</v>
      </c>
      <c r="J54" s="16">
        <v>4</v>
      </c>
      <c r="K54" s="321">
        <f t="shared" si="0"/>
        <v>16912.75</v>
      </c>
      <c r="L54" s="20">
        <v>45474</v>
      </c>
      <c r="M54" s="20">
        <v>45838</v>
      </c>
      <c r="N54" s="18"/>
      <c r="O54" s="16"/>
      <c r="P54" s="16"/>
      <c r="Q54" s="21" t="s">
        <v>160</v>
      </c>
      <c r="R54" s="18" t="s">
        <v>389</v>
      </c>
      <c r="S54" s="21" t="s">
        <v>222</v>
      </c>
      <c r="T54" s="18" t="s">
        <v>163</v>
      </c>
      <c r="U54" s="21" t="s">
        <v>390</v>
      </c>
      <c r="V54" s="18" t="s">
        <v>378</v>
      </c>
      <c r="W54" s="21" t="s">
        <v>391</v>
      </c>
      <c r="X54" s="18" t="s">
        <v>392</v>
      </c>
      <c r="Y54" s="18"/>
      <c r="Z54" s="18"/>
      <c r="AA54" s="18"/>
      <c r="AB54" s="18"/>
      <c r="AC54" s="18" t="s">
        <v>393</v>
      </c>
      <c r="AD54" s="16" t="s">
        <v>63</v>
      </c>
      <c r="AE54" s="16">
        <v>4</v>
      </c>
      <c r="AF54" s="18" t="s">
        <v>332</v>
      </c>
    </row>
    <row r="55" spans="2:32" ht="14.4" hidden="1" x14ac:dyDescent="0.3">
      <c r="B55" s="286" t="s">
        <v>14</v>
      </c>
      <c r="C55" s="287" t="s">
        <v>387</v>
      </c>
      <c r="D55" s="288" t="s">
        <v>388</v>
      </c>
      <c r="E55" s="286">
        <v>4500023979</v>
      </c>
      <c r="F55" s="289">
        <v>45488</v>
      </c>
      <c r="G55" s="16" t="s">
        <v>55</v>
      </c>
      <c r="H55" s="41"/>
      <c r="I55" s="19">
        <v>67651</v>
      </c>
      <c r="J55" s="16">
        <v>4</v>
      </c>
      <c r="K55" s="321">
        <f t="shared" si="0"/>
        <v>16912.75</v>
      </c>
      <c r="L55" s="20">
        <v>45839</v>
      </c>
      <c r="M55" s="20">
        <v>46203</v>
      </c>
      <c r="N55" s="18"/>
      <c r="O55" s="16"/>
      <c r="P55" s="16"/>
      <c r="Q55" s="21" t="s">
        <v>168</v>
      </c>
      <c r="R55" s="18" t="s">
        <v>394</v>
      </c>
      <c r="S55" s="21" t="s">
        <v>228</v>
      </c>
      <c r="T55" s="18" t="s">
        <v>395</v>
      </c>
      <c r="U55" s="285" t="s">
        <v>396</v>
      </c>
      <c r="V55" s="18"/>
      <c r="W55" s="285" t="s">
        <v>397</v>
      </c>
      <c r="X55" s="18"/>
      <c r="Y55" s="18"/>
      <c r="Z55" s="18"/>
      <c r="AA55" s="18"/>
      <c r="AB55" s="18"/>
      <c r="AC55" s="18" t="s">
        <v>393</v>
      </c>
      <c r="AD55" s="16" t="s">
        <v>63</v>
      </c>
      <c r="AE55" s="16">
        <v>4</v>
      </c>
      <c r="AF55" s="18" t="s">
        <v>332</v>
      </c>
    </row>
    <row r="56" spans="2:32" ht="14.4" hidden="1" x14ac:dyDescent="0.3">
      <c r="B56" s="16" t="s">
        <v>14</v>
      </c>
      <c r="C56" s="194" t="s">
        <v>150</v>
      </c>
      <c r="D56" s="225" t="s">
        <v>398</v>
      </c>
      <c r="E56" s="16">
        <v>4200280308</v>
      </c>
      <c r="F56" s="22">
        <v>45443</v>
      </c>
      <c r="G56" s="16" t="s">
        <v>55</v>
      </c>
      <c r="H56" s="16">
        <v>2</v>
      </c>
      <c r="I56" s="19">
        <v>117600</v>
      </c>
      <c r="J56" s="16">
        <v>3</v>
      </c>
      <c r="K56" s="321">
        <f t="shared" si="0"/>
        <v>39200</v>
      </c>
      <c r="L56" s="20">
        <v>45444</v>
      </c>
      <c r="M56" s="20">
        <v>45808</v>
      </c>
      <c r="N56" s="18"/>
      <c r="O56" s="16"/>
      <c r="P56" s="16"/>
      <c r="Q56" s="21" t="s">
        <v>314</v>
      </c>
      <c r="R56" s="18" t="s">
        <v>399</v>
      </c>
      <c r="S56" s="21" t="s">
        <v>316</v>
      </c>
      <c r="T56" s="18" t="s">
        <v>400</v>
      </c>
      <c r="U56" s="21" t="s">
        <v>79</v>
      </c>
      <c r="V56" s="18" t="s">
        <v>401</v>
      </c>
      <c r="W56" s="18"/>
      <c r="X56" s="18"/>
      <c r="Y56" s="18"/>
      <c r="Z56" s="18"/>
      <c r="AA56" s="18"/>
      <c r="AB56" s="18"/>
      <c r="AC56" s="18" t="s">
        <v>128</v>
      </c>
      <c r="AD56" s="16" t="s">
        <v>129</v>
      </c>
      <c r="AE56" s="16">
        <v>4</v>
      </c>
      <c r="AF56" s="18"/>
    </row>
    <row r="57" spans="2:32" ht="14.4" hidden="1" x14ac:dyDescent="0.3">
      <c r="B57" s="16" t="s">
        <v>14</v>
      </c>
      <c r="C57" s="194" t="s">
        <v>150</v>
      </c>
      <c r="D57" s="225" t="s">
        <v>398</v>
      </c>
      <c r="E57" s="16">
        <v>4200280308</v>
      </c>
      <c r="F57" s="22">
        <v>45443</v>
      </c>
      <c r="G57" s="16" t="s">
        <v>55</v>
      </c>
      <c r="H57" s="16"/>
      <c r="I57" s="19">
        <v>123480</v>
      </c>
      <c r="J57" s="16">
        <v>3</v>
      </c>
      <c r="K57" s="325">
        <f t="shared" si="0"/>
        <v>41160</v>
      </c>
      <c r="L57" s="20">
        <v>45809</v>
      </c>
      <c r="M57" s="20">
        <v>46173</v>
      </c>
      <c r="N57" s="18"/>
      <c r="O57" s="16"/>
      <c r="P57" s="16"/>
      <c r="Q57" s="21" t="s">
        <v>81</v>
      </c>
      <c r="R57" s="18" t="s">
        <v>402</v>
      </c>
      <c r="S57" s="21" t="s">
        <v>83</v>
      </c>
      <c r="T57" s="18" t="s">
        <v>403</v>
      </c>
      <c r="U57" s="18" t="s">
        <v>404</v>
      </c>
      <c r="V57" s="18"/>
      <c r="W57" s="18"/>
      <c r="X57" s="18"/>
      <c r="Y57" s="18"/>
      <c r="Z57" s="18"/>
      <c r="AA57" s="18"/>
      <c r="AB57" s="18"/>
      <c r="AC57" s="18" t="s">
        <v>128</v>
      </c>
      <c r="AD57" s="16" t="s">
        <v>129</v>
      </c>
      <c r="AE57" s="16">
        <v>4</v>
      </c>
      <c r="AF57" s="18" t="s">
        <v>405</v>
      </c>
    </row>
    <row r="58" spans="2:32" ht="14.4" hidden="1" x14ac:dyDescent="0.3">
      <c r="B58" s="16" t="s">
        <v>14</v>
      </c>
      <c r="C58" s="194" t="s">
        <v>150</v>
      </c>
      <c r="D58" s="225" t="s">
        <v>398</v>
      </c>
      <c r="E58" s="16">
        <v>4200280308</v>
      </c>
      <c r="F58" s="22">
        <v>45443</v>
      </c>
      <c r="G58" s="16" t="s">
        <v>55</v>
      </c>
      <c r="H58" s="16"/>
      <c r="I58" s="19">
        <v>129654</v>
      </c>
      <c r="J58" s="16">
        <v>3</v>
      </c>
      <c r="K58" s="321">
        <f t="shared" si="0"/>
        <v>43218</v>
      </c>
      <c r="L58" s="20">
        <v>46174</v>
      </c>
      <c r="M58" s="20">
        <v>46538</v>
      </c>
      <c r="N58" s="18"/>
      <c r="O58" s="16"/>
      <c r="P58" s="16"/>
      <c r="Q58" s="18" t="s">
        <v>406</v>
      </c>
      <c r="R58" s="18"/>
      <c r="S58" s="18" t="s">
        <v>407</v>
      </c>
      <c r="T58" s="18"/>
      <c r="U58" s="18" t="s">
        <v>408</v>
      </c>
      <c r="V58" s="18"/>
      <c r="W58" s="18"/>
      <c r="X58" s="18"/>
      <c r="Y58" s="18"/>
      <c r="Z58" s="18"/>
      <c r="AA58" s="18"/>
      <c r="AB58" s="18"/>
      <c r="AC58" s="18" t="s">
        <v>128</v>
      </c>
      <c r="AD58" s="16" t="s">
        <v>129</v>
      </c>
      <c r="AE58" s="16">
        <v>4</v>
      </c>
      <c r="AF58" s="18" t="s">
        <v>405</v>
      </c>
    </row>
    <row r="59" spans="2:32" ht="14.4" hidden="1" x14ac:dyDescent="0.3">
      <c r="B59" s="16" t="s">
        <v>14</v>
      </c>
      <c r="C59" s="18" t="s">
        <v>409</v>
      </c>
      <c r="D59" s="225" t="s">
        <v>86</v>
      </c>
      <c r="E59" s="30" t="s">
        <v>410</v>
      </c>
      <c r="F59" s="29">
        <v>45558</v>
      </c>
      <c r="G59" s="16" t="s">
        <v>55</v>
      </c>
      <c r="H59" s="16">
        <v>2</v>
      </c>
      <c r="I59" s="19">
        <f>290488/2</f>
        <v>145244</v>
      </c>
      <c r="J59" s="16">
        <v>3</v>
      </c>
      <c r="K59" s="321">
        <f t="shared" si="0"/>
        <v>48414.666666666664</v>
      </c>
      <c r="L59" s="20">
        <v>45566</v>
      </c>
      <c r="M59" s="20">
        <v>45930</v>
      </c>
      <c r="N59" s="18"/>
      <c r="O59" s="16"/>
      <c r="P59" s="16"/>
      <c r="Q59" s="21" t="s">
        <v>411</v>
      </c>
      <c r="R59" s="18" t="s">
        <v>412</v>
      </c>
      <c r="S59" s="21" t="s">
        <v>318</v>
      </c>
      <c r="T59" s="18" t="s">
        <v>413</v>
      </c>
      <c r="U59" s="21" t="s">
        <v>414</v>
      </c>
      <c r="V59" s="18" t="s">
        <v>415</v>
      </c>
      <c r="W59" s="18"/>
      <c r="X59" s="18"/>
      <c r="Y59" s="18"/>
      <c r="Z59" s="18"/>
      <c r="AA59" s="18"/>
      <c r="AB59" s="18"/>
      <c r="AC59" s="18" t="s">
        <v>281</v>
      </c>
      <c r="AD59" s="16" t="s">
        <v>97</v>
      </c>
      <c r="AE59" s="16">
        <v>6</v>
      </c>
      <c r="AF59" s="18" t="s">
        <v>332</v>
      </c>
    </row>
    <row r="60" spans="2:32" ht="14.4" hidden="1" x14ac:dyDescent="0.3">
      <c r="B60" s="16" t="s">
        <v>14</v>
      </c>
      <c r="C60" s="18" t="s">
        <v>409</v>
      </c>
      <c r="D60" s="225" t="s">
        <v>86</v>
      </c>
      <c r="E60" s="48" t="s">
        <v>410</v>
      </c>
      <c r="F60" s="29">
        <v>45558</v>
      </c>
      <c r="G60" s="16" t="s">
        <v>55</v>
      </c>
      <c r="H60" s="16"/>
      <c r="I60" s="19">
        <f>290488/2</f>
        <v>145244</v>
      </c>
      <c r="J60" s="16">
        <v>3</v>
      </c>
      <c r="K60" s="325">
        <f t="shared" si="0"/>
        <v>48414.666666666664</v>
      </c>
      <c r="L60" s="20">
        <v>45931</v>
      </c>
      <c r="M60" s="20">
        <v>46295</v>
      </c>
      <c r="N60" s="18"/>
      <c r="O60" s="16"/>
      <c r="P60" s="16"/>
      <c r="Q60" s="21" t="s">
        <v>416</v>
      </c>
      <c r="R60" s="18" t="s">
        <v>417</v>
      </c>
      <c r="S60" s="18" t="s">
        <v>321</v>
      </c>
      <c r="T60" s="18"/>
      <c r="U60" s="18" t="s">
        <v>418</v>
      </c>
      <c r="V60" s="18"/>
      <c r="W60" s="18"/>
      <c r="X60" s="18"/>
      <c r="Y60" s="18"/>
      <c r="Z60" s="18"/>
      <c r="AA60" s="18"/>
      <c r="AB60" s="18"/>
      <c r="AC60" s="18" t="s">
        <v>281</v>
      </c>
      <c r="AD60" s="16" t="s">
        <v>97</v>
      </c>
      <c r="AE60" s="16">
        <v>6</v>
      </c>
      <c r="AF60" s="18" t="s">
        <v>332</v>
      </c>
    </row>
    <row r="61" spans="2:32" ht="14.4" hidden="1" x14ac:dyDescent="0.3">
      <c r="B61" s="16" t="s">
        <v>14</v>
      </c>
      <c r="C61" s="18" t="s">
        <v>419</v>
      </c>
      <c r="D61" s="225" t="s">
        <v>151</v>
      </c>
      <c r="E61" s="16">
        <v>4508706140</v>
      </c>
      <c r="F61" s="22">
        <v>45566</v>
      </c>
      <c r="G61" s="16" t="s">
        <v>55</v>
      </c>
      <c r="H61" s="16">
        <v>3</v>
      </c>
      <c r="I61" s="19">
        <f>59400+59400+54000+32000</f>
        <v>204800</v>
      </c>
      <c r="J61" s="16">
        <v>2</v>
      </c>
      <c r="K61" s="321">
        <f t="shared" si="0"/>
        <v>102400</v>
      </c>
      <c r="L61" s="20">
        <v>45505</v>
      </c>
      <c r="M61" s="20">
        <v>45869</v>
      </c>
      <c r="N61" s="18"/>
      <c r="O61" s="16"/>
      <c r="P61" s="16" t="s">
        <v>1</v>
      </c>
      <c r="Q61" s="21" t="s">
        <v>420</v>
      </c>
      <c r="R61" s="18" t="s">
        <v>421</v>
      </c>
      <c r="S61" s="21" t="s">
        <v>422</v>
      </c>
      <c r="T61" s="18" t="s">
        <v>423</v>
      </c>
      <c r="U61" s="18"/>
      <c r="V61" s="18"/>
      <c r="W61" s="18"/>
      <c r="X61" s="18"/>
      <c r="Y61" s="18"/>
      <c r="Z61" s="18"/>
      <c r="AA61" s="18"/>
      <c r="AB61" s="18"/>
      <c r="AC61" s="18" t="s">
        <v>62</v>
      </c>
      <c r="AD61" s="16" t="s">
        <v>63</v>
      </c>
      <c r="AE61" s="16">
        <v>9</v>
      </c>
      <c r="AF61" s="18" t="s">
        <v>332</v>
      </c>
    </row>
    <row r="62" spans="2:32" ht="14.4" hidden="1" x14ac:dyDescent="0.3">
      <c r="B62" s="16" t="s">
        <v>14</v>
      </c>
      <c r="C62" s="18" t="s">
        <v>419</v>
      </c>
      <c r="D62" s="225" t="s">
        <v>151</v>
      </c>
      <c r="E62" s="16">
        <v>4508706140</v>
      </c>
      <c r="F62" s="22">
        <v>45566</v>
      </c>
      <c r="G62" s="16" t="s">
        <v>55</v>
      </c>
      <c r="H62" s="16"/>
      <c r="I62" s="19">
        <f>59400+59400+54000+32000</f>
        <v>204800</v>
      </c>
      <c r="J62" s="16">
        <v>2</v>
      </c>
      <c r="K62" s="321">
        <f t="shared" si="0"/>
        <v>102400</v>
      </c>
      <c r="L62" s="20">
        <v>45870</v>
      </c>
      <c r="M62" s="20">
        <v>46234</v>
      </c>
      <c r="N62" s="18"/>
      <c r="O62" s="16"/>
      <c r="P62" s="16" t="s">
        <v>1</v>
      </c>
      <c r="Q62" s="21" t="s">
        <v>424</v>
      </c>
      <c r="R62" s="18" t="s">
        <v>425</v>
      </c>
      <c r="S62" s="18" t="s">
        <v>426</v>
      </c>
      <c r="T62" s="18"/>
      <c r="U62" s="18"/>
      <c r="V62" s="18"/>
      <c r="W62" s="18"/>
      <c r="X62" s="18"/>
      <c r="Y62" s="18"/>
      <c r="Z62" s="18"/>
      <c r="AA62" s="18"/>
      <c r="AB62" s="18"/>
      <c r="AC62" s="18" t="s">
        <v>62</v>
      </c>
      <c r="AD62" s="16" t="s">
        <v>63</v>
      </c>
      <c r="AE62" s="16">
        <v>9</v>
      </c>
      <c r="AF62" s="18" t="s">
        <v>332</v>
      </c>
    </row>
    <row r="63" spans="2:32" ht="14.4" hidden="1" x14ac:dyDescent="0.3">
      <c r="B63" s="16" t="s">
        <v>14</v>
      </c>
      <c r="C63" s="18" t="s">
        <v>419</v>
      </c>
      <c r="D63" s="225" t="s">
        <v>151</v>
      </c>
      <c r="E63" s="16">
        <v>4508706140</v>
      </c>
      <c r="F63" s="22">
        <v>45566</v>
      </c>
      <c r="G63" s="16" t="s">
        <v>55</v>
      </c>
      <c r="H63" s="16"/>
      <c r="I63" s="19">
        <f>59400+59400+54000+32000</f>
        <v>204800</v>
      </c>
      <c r="J63" s="16">
        <v>2</v>
      </c>
      <c r="K63" s="321">
        <f t="shared" si="0"/>
        <v>102400</v>
      </c>
      <c r="L63" s="20">
        <v>46235</v>
      </c>
      <c r="M63" s="20">
        <v>46599</v>
      </c>
      <c r="N63" s="18"/>
      <c r="O63" s="16"/>
      <c r="P63" s="16" t="s">
        <v>1</v>
      </c>
      <c r="Q63" s="18" t="s">
        <v>427</v>
      </c>
      <c r="R63" s="18"/>
      <c r="S63" s="18" t="s">
        <v>428</v>
      </c>
      <c r="T63" s="18"/>
      <c r="U63" s="18"/>
      <c r="V63" s="18"/>
      <c r="W63" s="18"/>
      <c r="X63" s="18"/>
      <c r="Y63" s="18"/>
      <c r="Z63" s="18"/>
      <c r="AA63" s="18"/>
      <c r="AB63" s="18"/>
      <c r="AC63" s="18" t="s">
        <v>62</v>
      </c>
      <c r="AD63" s="16" t="s">
        <v>63</v>
      </c>
      <c r="AE63" s="16">
        <v>9</v>
      </c>
      <c r="AF63" s="18" t="s">
        <v>332</v>
      </c>
    </row>
    <row r="64" spans="2:32" ht="14.4" hidden="1" x14ac:dyDescent="0.3">
      <c r="B64" s="16" t="s">
        <v>14</v>
      </c>
      <c r="C64" s="18" t="s">
        <v>419</v>
      </c>
      <c r="D64" s="225" t="s">
        <v>151</v>
      </c>
      <c r="E64" s="16">
        <v>4508706120</v>
      </c>
      <c r="F64" s="22">
        <v>45566</v>
      </c>
      <c r="G64" s="16" t="s">
        <v>55</v>
      </c>
      <c r="H64" s="16">
        <v>2</v>
      </c>
      <c r="I64" s="19">
        <f t="shared" ref="I64:I69" si="1">54000+54000+32000</f>
        <v>140000</v>
      </c>
      <c r="J64" s="16">
        <v>2</v>
      </c>
      <c r="K64" s="321">
        <f t="shared" si="0"/>
        <v>70000</v>
      </c>
      <c r="L64" s="20">
        <v>45505</v>
      </c>
      <c r="M64" s="20">
        <v>45869</v>
      </c>
      <c r="N64" s="18"/>
      <c r="O64" s="16"/>
      <c r="P64" s="16" t="s">
        <v>1</v>
      </c>
      <c r="Q64" s="21" t="s">
        <v>420</v>
      </c>
      <c r="R64" s="18" t="s">
        <v>421</v>
      </c>
      <c r="S64" s="21" t="s">
        <v>422</v>
      </c>
      <c r="T64" s="18" t="s">
        <v>429</v>
      </c>
      <c r="U64" s="18"/>
      <c r="V64" s="18"/>
      <c r="W64" s="18"/>
      <c r="X64" s="18"/>
      <c r="Y64" s="18"/>
      <c r="Z64" s="18"/>
      <c r="AA64" s="18"/>
      <c r="AB64" s="18"/>
      <c r="AC64" s="18" t="s">
        <v>62</v>
      </c>
      <c r="AD64" s="16" t="s">
        <v>63</v>
      </c>
      <c r="AE64" s="16">
        <v>9</v>
      </c>
      <c r="AF64" s="18" t="s">
        <v>332</v>
      </c>
    </row>
    <row r="65" spans="2:32" ht="14.4" hidden="1" x14ac:dyDescent="0.3">
      <c r="B65" s="16" t="s">
        <v>14</v>
      </c>
      <c r="C65" s="18" t="s">
        <v>419</v>
      </c>
      <c r="D65" s="225" t="s">
        <v>151</v>
      </c>
      <c r="E65" s="16">
        <v>4508706120</v>
      </c>
      <c r="F65" s="22">
        <v>45566</v>
      </c>
      <c r="G65" s="16" t="s">
        <v>55</v>
      </c>
      <c r="H65" s="16"/>
      <c r="I65" s="19">
        <f t="shared" si="1"/>
        <v>140000</v>
      </c>
      <c r="J65" s="16">
        <v>2</v>
      </c>
      <c r="K65" s="321">
        <f t="shared" si="0"/>
        <v>70000</v>
      </c>
      <c r="L65" s="20">
        <v>45870</v>
      </c>
      <c r="M65" s="20">
        <v>46234</v>
      </c>
      <c r="N65" s="18"/>
      <c r="O65" s="16"/>
      <c r="P65" s="16" t="s">
        <v>1</v>
      </c>
      <c r="Q65" s="21" t="s">
        <v>424</v>
      </c>
      <c r="R65" s="18" t="s">
        <v>430</v>
      </c>
      <c r="S65" s="18" t="s">
        <v>426</v>
      </c>
      <c r="T65" s="18"/>
      <c r="U65" s="18"/>
      <c r="V65" s="18"/>
      <c r="W65" s="18"/>
      <c r="X65" s="18"/>
      <c r="Y65" s="18"/>
      <c r="Z65" s="18"/>
      <c r="AA65" s="18"/>
      <c r="AB65" s="18"/>
      <c r="AC65" s="18" t="s">
        <v>62</v>
      </c>
      <c r="AD65" s="16" t="s">
        <v>63</v>
      </c>
      <c r="AE65" s="16">
        <v>9</v>
      </c>
      <c r="AF65" s="18" t="s">
        <v>332</v>
      </c>
    </row>
    <row r="66" spans="2:32" ht="14.4" hidden="1" x14ac:dyDescent="0.3">
      <c r="B66" s="16" t="s">
        <v>14</v>
      </c>
      <c r="C66" s="18" t="s">
        <v>419</v>
      </c>
      <c r="D66" s="225" t="s">
        <v>151</v>
      </c>
      <c r="E66" s="16">
        <v>4508706120</v>
      </c>
      <c r="F66" s="22">
        <v>45566</v>
      </c>
      <c r="G66" s="16" t="s">
        <v>55</v>
      </c>
      <c r="H66" s="16"/>
      <c r="I66" s="19">
        <f t="shared" si="1"/>
        <v>140000</v>
      </c>
      <c r="J66" s="16">
        <v>2</v>
      </c>
      <c r="K66" s="321">
        <f t="shared" si="0"/>
        <v>70000</v>
      </c>
      <c r="L66" s="20">
        <v>46235</v>
      </c>
      <c r="M66" s="20">
        <v>46599</v>
      </c>
      <c r="N66" s="18"/>
      <c r="O66" s="16"/>
      <c r="P66" s="16" t="s">
        <v>1</v>
      </c>
      <c r="Q66" s="18" t="s">
        <v>427</v>
      </c>
      <c r="R66" s="18"/>
      <c r="S66" s="18" t="s">
        <v>428</v>
      </c>
      <c r="T66" s="18"/>
      <c r="U66" s="18"/>
      <c r="V66" s="18"/>
      <c r="W66" s="18"/>
      <c r="X66" s="18"/>
      <c r="Y66" s="18"/>
      <c r="Z66" s="18"/>
      <c r="AA66" s="18"/>
      <c r="AB66" s="18"/>
      <c r="AC66" s="18" t="s">
        <v>62</v>
      </c>
      <c r="AD66" s="16" t="s">
        <v>63</v>
      </c>
      <c r="AE66" s="16">
        <v>9</v>
      </c>
      <c r="AF66" s="18" t="s">
        <v>332</v>
      </c>
    </row>
    <row r="67" spans="2:32" ht="14.4" hidden="1" x14ac:dyDescent="0.3">
      <c r="B67" s="16" t="s">
        <v>14</v>
      </c>
      <c r="C67" s="18" t="s">
        <v>419</v>
      </c>
      <c r="D67" s="225" t="s">
        <v>151</v>
      </c>
      <c r="E67" s="16">
        <v>4508706133</v>
      </c>
      <c r="F67" s="22">
        <v>45566</v>
      </c>
      <c r="G67" s="16" t="s">
        <v>55</v>
      </c>
      <c r="H67" s="16">
        <v>2</v>
      </c>
      <c r="I67" s="19">
        <f t="shared" si="1"/>
        <v>140000</v>
      </c>
      <c r="J67" s="16">
        <v>2</v>
      </c>
      <c r="K67" s="321">
        <f t="shared" si="0"/>
        <v>70000</v>
      </c>
      <c r="L67" s="20">
        <v>45505</v>
      </c>
      <c r="M67" s="20">
        <v>45869</v>
      </c>
      <c r="N67" s="18"/>
      <c r="O67" s="16"/>
      <c r="P67" s="16" t="s">
        <v>1</v>
      </c>
      <c r="Q67" s="21" t="s">
        <v>420</v>
      </c>
      <c r="R67" s="18" t="s">
        <v>421</v>
      </c>
      <c r="S67" s="21" t="s">
        <v>422</v>
      </c>
      <c r="T67" s="18" t="s">
        <v>431</v>
      </c>
      <c r="U67" s="18"/>
      <c r="V67" s="18"/>
      <c r="W67" s="18"/>
      <c r="X67" s="18"/>
      <c r="Y67" s="18"/>
      <c r="Z67" s="18"/>
      <c r="AA67" s="18"/>
      <c r="AB67" s="18"/>
      <c r="AC67" s="18" t="s">
        <v>62</v>
      </c>
      <c r="AD67" s="16" t="s">
        <v>63</v>
      </c>
      <c r="AE67" s="16">
        <v>9</v>
      </c>
      <c r="AF67" s="18" t="s">
        <v>332</v>
      </c>
    </row>
    <row r="68" spans="2:32" ht="14.4" hidden="1" x14ac:dyDescent="0.3">
      <c r="B68" s="16" t="s">
        <v>14</v>
      </c>
      <c r="C68" s="18" t="s">
        <v>419</v>
      </c>
      <c r="D68" s="225" t="s">
        <v>151</v>
      </c>
      <c r="E68" s="16">
        <v>4508706133</v>
      </c>
      <c r="F68" s="22">
        <v>45566</v>
      </c>
      <c r="G68" s="16" t="s">
        <v>55</v>
      </c>
      <c r="H68" s="16"/>
      <c r="I68" s="19">
        <f t="shared" si="1"/>
        <v>140000</v>
      </c>
      <c r="J68" s="16">
        <v>2</v>
      </c>
      <c r="K68" s="321">
        <f t="shared" si="0"/>
        <v>70000</v>
      </c>
      <c r="L68" s="20">
        <v>45870</v>
      </c>
      <c r="M68" s="20">
        <v>46234</v>
      </c>
      <c r="N68" s="18"/>
      <c r="O68" s="16"/>
      <c r="P68" s="16" t="s">
        <v>1</v>
      </c>
      <c r="Q68" s="21" t="s">
        <v>424</v>
      </c>
      <c r="R68" s="18" t="s">
        <v>432</v>
      </c>
      <c r="S68" s="18" t="s">
        <v>426</v>
      </c>
      <c r="T68" s="18"/>
      <c r="U68" s="18"/>
      <c r="V68" s="18"/>
      <c r="W68" s="18"/>
      <c r="X68" s="18"/>
      <c r="Y68" s="18"/>
      <c r="Z68" s="18"/>
      <c r="AA68" s="18"/>
      <c r="AB68" s="18"/>
      <c r="AC68" s="18" t="s">
        <v>62</v>
      </c>
      <c r="AD68" s="16" t="s">
        <v>63</v>
      </c>
      <c r="AE68" s="16">
        <v>9</v>
      </c>
      <c r="AF68" s="18" t="s">
        <v>332</v>
      </c>
    </row>
    <row r="69" spans="2:32" ht="14.4" hidden="1" x14ac:dyDescent="0.3">
      <c r="B69" s="16" t="s">
        <v>14</v>
      </c>
      <c r="C69" s="18" t="s">
        <v>419</v>
      </c>
      <c r="D69" s="225" t="s">
        <v>151</v>
      </c>
      <c r="E69" s="16">
        <v>4508706133</v>
      </c>
      <c r="F69" s="22">
        <v>45566</v>
      </c>
      <c r="G69" s="16" t="s">
        <v>55</v>
      </c>
      <c r="H69" s="16"/>
      <c r="I69" s="19">
        <f t="shared" si="1"/>
        <v>140000</v>
      </c>
      <c r="J69" s="16">
        <v>2</v>
      </c>
      <c r="K69" s="321">
        <f t="shared" si="0"/>
        <v>70000</v>
      </c>
      <c r="L69" s="20">
        <v>46235</v>
      </c>
      <c r="M69" s="20">
        <v>46599</v>
      </c>
      <c r="N69" s="18"/>
      <c r="O69" s="16"/>
      <c r="P69" s="16" t="s">
        <v>1</v>
      </c>
      <c r="Q69" s="18" t="s">
        <v>427</v>
      </c>
      <c r="R69" s="18"/>
      <c r="S69" s="18" t="s">
        <v>428</v>
      </c>
      <c r="T69" s="18"/>
      <c r="U69" s="18"/>
      <c r="V69" s="18"/>
      <c r="W69" s="18"/>
      <c r="X69" s="18"/>
      <c r="Y69" s="18"/>
      <c r="Z69" s="18"/>
      <c r="AA69" s="18"/>
      <c r="AB69" s="18"/>
      <c r="AC69" s="18" t="s">
        <v>62</v>
      </c>
      <c r="AD69" s="16" t="s">
        <v>63</v>
      </c>
      <c r="AE69" s="16">
        <v>9</v>
      </c>
      <c r="AF69" s="18" t="s">
        <v>332</v>
      </c>
    </row>
    <row r="70" spans="2:32" ht="14.4" hidden="1" x14ac:dyDescent="0.3">
      <c r="B70" s="16" t="s">
        <v>14</v>
      </c>
      <c r="C70" s="45" t="s">
        <v>433</v>
      </c>
      <c r="D70" s="226" t="s">
        <v>434</v>
      </c>
      <c r="E70" s="46" t="s">
        <v>435</v>
      </c>
      <c r="F70" s="47">
        <v>45581</v>
      </c>
      <c r="G70" s="27" t="s">
        <v>436</v>
      </c>
      <c r="H70" s="16">
        <v>10</v>
      </c>
      <c r="I70" s="19">
        <f>(6572290/118*100)/2</f>
        <v>2784868.6440677969</v>
      </c>
      <c r="J70" s="16">
        <v>4</v>
      </c>
      <c r="K70" s="321">
        <f t="shared" si="0"/>
        <v>696217.16101694922</v>
      </c>
      <c r="L70" s="20">
        <v>45597</v>
      </c>
      <c r="M70" s="20">
        <v>45961</v>
      </c>
      <c r="N70" s="18"/>
      <c r="O70" s="16"/>
      <c r="P70" s="16" t="s">
        <v>437</v>
      </c>
      <c r="Q70" s="21" t="s">
        <v>262</v>
      </c>
      <c r="R70" s="18" t="s">
        <v>438</v>
      </c>
      <c r="S70" s="21" t="s">
        <v>264</v>
      </c>
      <c r="T70" s="18" t="s">
        <v>124</v>
      </c>
      <c r="U70" s="21" t="s">
        <v>266</v>
      </c>
      <c r="V70" s="18" t="s">
        <v>439</v>
      </c>
      <c r="W70" s="21" t="s">
        <v>267</v>
      </c>
      <c r="X70" s="18" t="s">
        <v>440</v>
      </c>
      <c r="Y70" s="18"/>
      <c r="Z70" s="18"/>
      <c r="AA70" s="18"/>
      <c r="AB70" s="18"/>
      <c r="AC70" s="18" t="s">
        <v>281</v>
      </c>
      <c r="AD70" s="16" t="s">
        <v>97</v>
      </c>
      <c r="AE70" s="16" t="s">
        <v>98</v>
      </c>
      <c r="AF70" s="18" t="s">
        <v>332</v>
      </c>
    </row>
    <row r="71" spans="2:32" ht="14.4" hidden="1" x14ac:dyDescent="0.3">
      <c r="B71" s="16" t="s">
        <v>14</v>
      </c>
      <c r="C71" s="45" t="s">
        <v>433</v>
      </c>
      <c r="D71" s="226" t="s">
        <v>434</v>
      </c>
      <c r="E71" s="46" t="s">
        <v>435</v>
      </c>
      <c r="F71" s="47">
        <v>45581</v>
      </c>
      <c r="G71" s="27" t="s">
        <v>436</v>
      </c>
      <c r="H71" s="16"/>
      <c r="I71" s="19">
        <f>(6572290/118*100)/2</f>
        <v>2784868.6440677969</v>
      </c>
      <c r="J71" s="16">
        <v>4</v>
      </c>
      <c r="K71" s="321">
        <f t="shared" si="0"/>
        <v>696217.16101694922</v>
      </c>
      <c r="L71" s="20">
        <v>45962</v>
      </c>
      <c r="M71" s="20">
        <v>46326</v>
      </c>
      <c r="N71" s="18"/>
      <c r="O71" s="16"/>
      <c r="P71" s="16" t="s">
        <v>437</v>
      </c>
      <c r="Q71" s="21" t="s">
        <v>269</v>
      </c>
      <c r="R71" s="18" t="s">
        <v>441</v>
      </c>
      <c r="S71" s="21" t="s">
        <v>442</v>
      </c>
      <c r="T71" s="18" t="s">
        <v>443</v>
      </c>
      <c r="U71" s="18" t="s">
        <v>444</v>
      </c>
      <c r="V71" s="18"/>
      <c r="W71" s="18" t="s">
        <v>445</v>
      </c>
      <c r="X71" s="18"/>
      <c r="Y71" s="18"/>
      <c r="Z71" s="18"/>
      <c r="AA71" s="18"/>
      <c r="AB71" s="18"/>
      <c r="AC71" s="18" t="s">
        <v>281</v>
      </c>
      <c r="AD71" s="16" t="s">
        <v>97</v>
      </c>
      <c r="AE71" s="16" t="s">
        <v>98</v>
      </c>
      <c r="AF71" s="18" t="s">
        <v>332</v>
      </c>
    </row>
    <row r="72" spans="2:32" ht="14.4" hidden="1" x14ac:dyDescent="0.3">
      <c r="B72" s="16" t="s">
        <v>14</v>
      </c>
      <c r="C72" s="18" t="s">
        <v>446</v>
      </c>
      <c r="D72" s="225" t="s">
        <v>447</v>
      </c>
      <c r="E72" s="46" t="s">
        <v>448</v>
      </c>
      <c r="F72" s="47">
        <v>45589</v>
      </c>
      <c r="G72" s="16" t="s">
        <v>55</v>
      </c>
      <c r="H72" s="16">
        <v>3</v>
      </c>
      <c r="I72" s="19">
        <f>44887.5*4</f>
        <v>179550</v>
      </c>
      <c r="J72" s="16">
        <v>4</v>
      </c>
      <c r="K72" s="321">
        <f t="shared" ref="K72:K135" si="2">I72/J72</f>
        <v>44887.5</v>
      </c>
      <c r="L72" s="20">
        <v>45597</v>
      </c>
      <c r="M72" s="20">
        <v>45961</v>
      </c>
      <c r="N72" s="18"/>
      <c r="O72" s="16"/>
      <c r="P72" s="16"/>
      <c r="Q72" s="21" t="s">
        <v>262</v>
      </c>
      <c r="R72" s="21" t="s">
        <v>449</v>
      </c>
      <c r="S72" s="21" t="s">
        <v>264</v>
      </c>
      <c r="T72" s="18" t="s">
        <v>450</v>
      </c>
      <c r="U72" s="21" t="s">
        <v>266</v>
      </c>
      <c r="V72" s="18" t="s">
        <v>451</v>
      </c>
      <c r="W72" s="21" t="s">
        <v>267</v>
      </c>
      <c r="X72" s="18" t="s">
        <v>452</v>
      </c>
      <c r="Y72" s="18"/>
      <c r="Z72" s="18"/>
      <c r="AA72" s="18"/>
      <c r="AB72" s="18"/>
      <c r="AC72" s="18" t="s">
        <v>96</v>
      </c>
      <c r="AD72" s="16" t="s">
        <v>97</v>
      </c>
      <c r="AE72" s="16" t="s">
        <v>98</v>
      </c>
      <c r="AF72" s="18" t="s">
        <v>453</v>
      </c>
    </row>
    <row r="73" spans="2:32" ht="14.4" hidden="1" x14ac:dyDescent="0.3">
      <c r="B73" s="16" t="s">
        <v>14</v>
      </c>
      <c r="C73" s="18" t="s">
        <v>446</v>
      </c>
      <c r="D73" s="225" t="s">
        <v>447</v>
      </c>
      <c r="E73" s="46" t="s">
        <v>448</v>
      </c>
      <c r="F73" s="47">
        <v>45589</v>
      </c>
      <c r="G73" s="16" t="s">
        <v>55</v>
      </c>
      <c r="H73" s="16"/>
      <c r="I73" s="19">
        <f>47133.75*4</f>
        <v>188535</v>
      </c>
      <c r="J73" s="16">
        <v>4</v>
      </c>
      <c r="K73" s="321">
        <f t="shared" si="2"/>
        <v>47133.75</v>
      </c>
      <c r="L73" s="20">
        <v>45962</v>
      </c>
      <c r="M73" s="20">
        <v>46326</v>
      </c>
      <c r="N73" s="18"/>
      <c r="O73" s="16"/>
      <c r="P73" s="16"/>
      <c r="Q73" s="21" t="s">
        <v>269</v>
      </c>
      <c r="R73" s="18" t="s">
        <v>454</v>
      </c>
      <c r="S73" s="21" t="s">
        <v>442</v>
      </c>
      <c r="T73" s="18" t="s">
        <v>455</v>
      </c>
      <c r="U73" s="18" t="s">
        <v>444</v>
      </c>
      <c r="V73" s="18"/>
      <c r="W73" s="18" t="s">
        <v>445</v>
      </c>
      <c r="X73" s="18"/>
      <c r="Y73" s="18"/>
      <c r="Z73" s="18"/>
      <c r="AA73" s="18"/>
      <c r="AB73" s="18"/>
      <c r="AC73" s="18" t="s">
        <v>96</v>
      </c>
      <c r="AD73" s="16" t="s">
        <v>97</v>
      </c>
      <c r="AE73" s="16" t="s">
        <v>98</v>
      </c>
      <c r="AF73" s="18" t="s">
        <v>453</v>
      </c>
    </row>
    <row r="74" spans="2:32" ht="14.4" hidden="1" x14ac:dyDescent="0.3">
      <c r="B74" s="16" t="s">
        <v>14</v>
      </c>
      <c r="C74" s="18" t="s">
        <v>446</v>
      </c>
      <c r="D74" s="225" t="s">
        <v>447</v>
      </c>
      <c r="E74" s="46" t="s">
        <v>448</v>
      </c>
      <c r="F74" s="47">
        <v>45589</v>
      </c>
      <c r="G74" s="16" t="s">
        <v>55</v>
      </c>
      <c r="H74" s="16"/>
      <c r="I74" s="19">
        <f>49488.75*4</f>
        <v>197955</v>
      </c>
      <c r="J74" s="16">
        <v>4</v>
      </c>
      <c r="K74" s="321">
        <f t="shared" si="2"/>
        <v>49488.75</v>
      </c>
      <c r="L74" s="20">
        <v>46327</v>
      </c>
      <c r="M74" s="20">
        <v>46691</v>
      </c>
      <c r="N74" s="18"/>
      <c r="O74" s="16"/>
      <c r="P74" s="16"/>
      <c r="Q74" s="18" t="s">
        <v>456</v>
      </c>
      <c r="R74" s="18"/>
      <c r="S74" s="18" t="s">
        <v>457</v>
      </c>
      <c r="T74" s="18"/>
      <c r="U74" s="18" t="s">
        <v>458</v>
      </c>
      <c r="V74" s="18"/>
      <c r="W74" s="18" t="s">
        <v>459</v>
      </c>
      <c r="X74" s="18"/>
      <c r="Y74" s="18"/>
      <c r="Z74" s="18"/>
      <c r="AA74" s="18"/>
      <c r="AB74" s="18"/>
      <c r="AC74" s="18" t="s">
        <v>96</v>
      </c>
      <c r="AD74" s="16" t="s">
        <v>97</v>
      </c>
      <c r="AE74" s="16" t="s">
        <v>98</v>
      </c>
      <c r="AF74" s="18" t="s">
        <v>453</v>
      </c>
    </row>
    <row r="75" spans="2:32" ht="14.4" hidden="1" x14ac:dyDescent="0.3">
      <c r="B75" s="16" t="s">
        <v>14</v>
      </c>
      <c r="C75" s="18" t="s">
        <v>460</v>
      </c>
      <c r="D75" s="225" t="s">
        <v>151</v>
      </c>
      <c r="E75" s="28">
        <v>1240038765</v>
      </c>
      <c r="F75" s="22">
        <v>45591</v>
      </c>
      <c r="G75" s="16" t="s">
        <v>55</v>
      </c>
      <c r="H75" s="16">
        <v>1</v>
      </c>
      <c r="I75" s="19">
        <v>150000</v>
      </c>
      <c r="J75" s="16">
        <v>4</v>
      </c>
      <c r="K75" s="321">
        <f t="shared" si="2"/>
        <v>37500</v>
      </c>
      <c r="L75" s="20">
        <v>45566</v>
      </c>
      <c r="M75" s="20">
        <v>46295</v>
      </c>
      <c r="N75" s="18"/>
      <c r="O75" s="16"/>
      <c r="P75" s="16"/>
      <c r="Q75" s="21" t="s">
        <v>461</v>
      </c>
      <c r="R75" s="18" t="s">
        <v>462</v>
      </c>
      <c r="S75" s="21" t="s">
        <v>463</v>
      </c>
      <c r="T75" s="18" t="s">
        <v>464</v>
      </c>
      <c r="U75" s="21" t="s">
        <v>465</v>
      </c>
      <c r="V75" s="18" t="s">
        <v>466</v>
      </c>
      <c r="W75" s="18" t="s">
        <v>467</v>
      </c>
      <c r="X75" s="18"/>
      <c r="Y75" s="18"/>
      <c r="Z75" s="18"/>
      <c r="AA75" s="18"/>
      <c r="AB75" s="18"/>
      <c r="AC75" s="18" t="s">
        <v>62</v>
      </c>
      <c r="AD75" s="16" t="s">
        <v>63</v>
      </c>
      <c r="AE75" s="16">
        <v>6</v>
      </c>
      <c r="AF75" s="18" t="s">
        <v>332</v>
      </c>
    </row>
    <row r="76" spans="2:32" s="31" customFormat="1" ht="14.4" hidden="1" x14ac:dyDescent="0.3">
      <c r="B76" s="16" t="s">
        <v>14</v>
      </c>
      <c r="C76" s="37" t="s">
        <v>468</v>
      </c>
      <c r="D76" s="227" t="s">
        <v>388</v>
      </c>
      <c r="E76" s="16">
        <v>4510640616</v>
      </c>
      <c r="F76" s="51">
        <v>45660</v>
      </c>
      <c r="G76" s="16" t="s">
        <v>55</v>
      </c>
      <c r="H76" s="16">
        <v>3</v>
      </c>
      <c r="I76" s="19">
        <v>755305</v>
      </c>
      <c r="J76" s="16">
        <v>4</v>
      </c>
      <c r="K76" s="321">
        <f t="shared" si="2"/>
        <v>188826.25</v>
      </c>
      <c r="L76" s="20">
        <v>45642</v>
      </c>
      <c r="M76" s="20">
        <v>46006</v>
      </c>
      <c r="N76" s="18" t="s">
        <v>19</v>
      </c>
      <c r="O76" s="294" t="s">
        <v>469</v>
      </c>
      <c r="P76" s="16"/>
      <c r="Q76" s="21" t="s">
        <v>470</v>
      </c>
      <c r="R76" s="18" t="s">
        <v>471</v>
      </c>
      <c r="S76" s="21" t="s">
        <v>472</v>
      </c>
      <c r="T76" s="18" t="s">
        <v>473</v>
      </c>
      <c r="U76" s="21" t="s">
        <v>474</v>
      </c>
      <c r="V76" s="18" t="s">
        <v>475</v>
      </c>
      <c r="W76" s="21" t="s">
        <v>476</v>
      </c>
      <c r="X76" s="18" t="s">
        <v>477</v>
      </c>
      <c r="Y76" s="18"/>
      <c r="Z76" s="18"/>
      <c r="AA76" s="18"/>
      <c r="AB76" s="18"/>
      <c r="AC76" s="18" t="s">
        <v>478</v>
      </c>
      <c r="AD76" s="16" t="s">
        <v>63</v>
      </c>
      <c r="AE76" s="16">
        <v>3</v>
      </c>
      <c r="AF76" s="31" t="s">
        <v>479</v>
      </c>
    </row>
    <row r="77" spans="2:32" s="31" customFormat="1" ht="14.4" hidden="1" x14ac:dyDescent="0.3">
      <c r="B77" s="16" t="s">
        <v>14</v>
      </c>
      <c r="C77" s="37" t="s">
        <v>480</v>
      </c>
      <c r="D77" s="225" t="s">
        <v>481</v>
      </c>
      <c r="E77" s="66">
        <v>5300005783</v>
      </c>
      <c r="F77" s="43">
        <v>45467</v>
      </c>
      <c r="G77" s="42" t="s">
        <v>55</v>
      </c>
      <c r="H77" s="42">
        <v>3</v>
      </c>
      <c r="I77" s="61">
        <f>882000/3</f>
        <v>294000</v>
      </c>
      <c r="J77" s="42">
        <v>2</v>
      </c>
      <c r="K77" s="321">
        <f t="shared" si="2"/>
        <v>147000</v>
      </c>
      <c r="L77" s="62">
        <v>45658</v>
      </c>
      <c r="M77" s="62">
        <v>46022</v>
      </c>
      <c r="N77" s="63"/>
      <c r="O77" s="42"/>
      <c r="P77" s="42" t="s">
        <v>1</v>
      </c>
      <c r="Q77" s="64" t="s">
        <v>482</v>
      </c>
      <c r="R77" s="63" t="s">
        <v>189</v>
      </c>
      <c r="S77" s="64" t="s">
        <v>483</v>
      </c>
      <c r="T77" s="63" t="s">
        <v>484</v>
      </c>
      <c r="U77" s="63"/>
      <c r="V77" s="63"/>
      <c r="W77" s="63"/>
      <c r="X77" s="63"/>
      <c r="Y77" s="63"/>
      <c r="Z77" s="63"/>
      <c r="AA77" s="63"/>
      <c r="AB77" s="63"/>
      <c r="AC77" s="63" t="s">
        <v>485</v>
      </c>
      <c r="AD77" s="16" t="s">
        <v>63</v>
      </c>
      <c r="AE77" s="42">
        <v>6</v>
      </c>
      <c r="AF77" s="65" t="s">
        <v>332</v>
      </c>
    </row>
    <row r="78" spans="2:32" s="31" customFormat="1" ht="14.4" hidden="1" x14ac:dyDescent="0.3">
      <c r="B78" s="16" t="s">
        <v>14</v>
      </c>
      <c r="C78" s="37" t="s">
        <v>480</v>
      </c>
      <c r="D78" s="225" t="s">
        <v>481</v>
      </c>
      <c r="E78" s="314">
        <v>5300005783</v>
      </c>
      <c r="F78" s="43">
        <v>45467</v>
      </c>
      <c r="G78" s="42" t="s">
        <v>55</v>
      </c>
      <c r="H78" s="42"/>
      <c r="I78" s="61">
        <f>882000/3</f>
        <v>294000</v>
      </c>
      <c r="J78" s="42">
        <v>2</v>
      </c>
      <c r="K78" s="321">
        <f t="shared" si="2"/>
        <v>147000</v>
      </c>
      <c r="L78" s="62">
        <v>46023</v>
      </c>
      <c r="M78" s="62">
        <v>46387</v>
      </c>
      <c r="N78" s="63"/>
      <c r="O78" s="42"/>
      <c r="P78" s="42" t="s">
        <v>1</v>
      </c>
      <c r="Q78" s="63" t="s">
        <v>486</v>
      </c>
      <c r="R78" s="63"/>
      <c r="S78" s="63" t="s">
        <v>487</v>
      </c>
      <c r="T78" s="63"/>
      <c r="U78" s="63"/>
      <c r="V78" s="63"/>
      <c r="W78" s="63"/>
      <c r="X78" s="63"/>
      <c r="Y78" s="63"/>
      <c r="Z78" s="63"/>
      <c r="AA78" s="63"/>
      <c r="AB78" s="63"/>
      <c r="AC78" s="63" t="s">
        <v>485</v>
      </c>
      <c r="AD78" s="16" t="s">
        <v>63</v>
      </c>
      <c r="AE78" s="42">
        <v>6</v>
      </c>
      <c r="AF78" s="65" t="s">
        <v>332</v>
      </c>
    </row>
    <row r="79" spans="2:32" s="31" customFormat="1" ht="14.4" hidden="1" x14ac:dyDescent="0.3">
      <c r="B79" s="16" t="s">
        <v>14</v>
      </c>
      <c r="C79" s="37" t="s">
        <v>480</v>
      </c>
      <c r="D79" s="225" t="s">
        <v>481</v>
      </c>
      <c r="E79" s="66">
        <v>5300005783</v>
      </c>
      <c r="F79" s="43">
        <v>45467</v>
      </c>
      <c r="G79" s="42" t="s">
        <v>55</v>
      </c>
      <c r="H79" s="42"/>
      <c r="I79" s="61">
        <f>882000/3</f>
        <v>294000</v>
      </c>
      <c r="J79" s="42">
        <v>2</v>
      </c>
      <c r="K79" s="321">
        <f t="shared" si="2"/>
        <v>147000</v>
      </c>
      <c r="L79" s="62">
        <v>46388</v>
      </c>
      <c r="M79" s="62">
        <v>46752</v>
      </c>
      <c r="N79" s="63"/>
      <c r="O79" s="42"/>
      <c r="P79" s="42" t="s">
        <v>1</v>
      </c>
      <c r="Q79" s="63" t="s">
        <v>488</v>
      </c>
      <c r="R79" s="63"/>
      <c r="S79" s="63" t="s">
        <v>489</v>
      </c>
      <c r="T79" s="63"/>
      <c r="U79" s="63"/>
      <c r="V79" s="63"/>
      <c r="W79" s="63"/>
      <c r="X79" s="63"/>
      <c r="Y79" s="63"/>
      <c r="Z79" s="63"/>
      <c r="AA79" s="63"/>
      <c r="AB79" s="63"/>
      <c r="AC79" s="63" t="s">
        <v>485</v>
      </c>
      <c r="AD79" s="16" t="s">
        <v>63</v>
      </c>
      <c r="AE79" s="42">
        <v>6</v>
      </c>
      <c r="AF79" s="65" t="s">
        <v>332</v>
      </c>
    </row>
    <row r="80" spans="2:32" s="31" customFormat="1" ht="14.4" hidden="1" x14ac:dyDescent="0.3">
      <c r="B80" s="16" t="s">
        <v>14</v>
      </c>
      <c r="C80" s="39" t="s">
        <v>490</v>
      </c>
      <c r="D80" s="54" t="s">
        <v>447</v>
      </c>
      <c r="E80" s="67">
        <v>1000036136</v>
      </c>
      <c r="F80" s="55">
        <v>45644</v>
      </c>
      <c r="G80" s="26" t="s">
        <v>55</v>
      </c>
      <c r="H80" s="26">
        <v>4</v>
      </c>
      <c r="I80" s="56">
        <f>68706.75*4</f>
        <v>274827</v>
      </c>
      <c r="J80" s="26">
        <v>4</v>
      </c>
      <c r="K80" s="321">
        <f t="shared" si="2"/>
        <v>68706.75</v>
      </c>
      <c r="L80" s="57">
        <v>45658</v>
      </c>
      <c r="M80" s="57">
        <v>46022</v>
      </c>
      <c r="N80" s="58"/>
      <c r="O80" s="26"/>
      <c r="P80" s="26"/>
      <c r="Q80" s="59" t="s">
        <v>390</v>
      </c>
      <c r="R80" s="58" t="s">
        <v>491</v>
      </c>
      <c r="S80" s="59" t="s">
        <v>391</v>
      </c>
      <c r="T80" s="58" t="s">
        <v>384</v>
      </c>
      <c r="U80" s="59" t="s">
        <v>168</v>
      </c>
      <c r="V80" s="58" t="s">
        <v>492</v>
      </c>
      <c r="W80" s="59" t="s">
        <v>228</v>
      </c>
      <c r="X80" s="58" t="s">
        <v>493</v>
      </c>
      <c r="Y80" s="58"/>
      <c r="Z80" s="58"/>
      <c r="AA80" s="58"/>
      <c r="AB80" s="58"/>
      <c r="AC80" s="58" t="s">
        <v>281</v>
      </c>
      <c r="AD80" s="26" t="s">
        <v>97</v>
      </c>
      <c r="AE80" s="26" t="s">
        <v>494</v>
      </c>
      <c r="AF80" s="58"/>
    </row>
    <row r="81" spans="2:32" s="31" customFormat="1" ht="14.4" hidden="1" x14ac:dyDescent="0.3">
      <c r="B81" s="16" t="s">
        <v>14</v>
      </c>
      <c r="C81" s="39" t="s">
        <v>490</v>
      </c>
      <c r="D81" s="54" t="s">
        <v>447</v>
      </c>
      <c r="E81" s="67">
        <v>1000036136</v>
      </c>
      <c r="F81" s="55">
        <v>45644</v>
      </c>
      <c r="G81" s="26" t="s">
        <v>55</v>
      </c>
      <c r="H81" s="26"/>
      <c r="I81" s="56">
        <f>68706.75*4</f>
        <v>274827</v>
      </c>
      <c r="J81" s="26">
        <v>4</v>
      </c>
      <c r="K81" s="321">
        <f t="shared" si="2"/>
        <v>68706.75</v>
      </c>
      <c r="L81" s="57">
        <v>46023</v>
      </c>
      <c r="M81" s="57">
        <v>46387</v>
      </c>
      <c r="N81" s="58"/>
      <c r="O81" s="26"/>
      <c r="P81" s="26"/>
      <c r="Q81" s="59" t="s">
        <v>396</v>
      </c>
      <c r="R81" s="58" t="s">
        <v>495</v>
      </c>
      <c r="S81" s="58" t="s">
        <v>397</v>
      </c>
      <c r="T81" s="58"/>
      <c r="U81" s="58" t="s">
        <v>496</v>
      </c>
      <c r="V81" s="58"/>
      <c r="W81" s="58" t="s">
        <v>497</v>
      </c>
      <c r="X81" s="58"/>
      <c r="Y81" s="58"/>
      <c r="Z81" s="58"/>
      <c r="AA81" s="58"/>
      <c r="AB81" s="58"/>
      <c r="AC81" s="58" t="s">
        <v>281</v>
      </c>
      <c r="AD81" s="26" t="s">
        <v>97</v>
      </c>
      <c r="AE81" s="26" t="s">
        <v>494</v>
      </c>
      <c r="AF81" s="58"/>
    </row>
    <row r="82" spans="2:32" s="31" customFormat="1" ht="14.4" hidden="1" x14ac:dyDescent="0.3">
      <c r="B82" s="16" t="s">
        <v>14</v>
      </c>
      <c r="C82" s="68" t="s">
        <v>490</v>
      </c>
      <c r="D82" s="44" t="s">
        <v>447</v>
      </c>
      <c r="E82" s="69">
        <v>1000036136</v>
      </c>
      <c r="F82" s="55">
        <v>45644</v>
      </c>
      <c r="G82" s="26" t="s">
        <v>55</v>
      </c>
      <c r="H82" s="42"/>
      <c r="I82" s="56">
        <f>68706.75*4</f>
        <v>274827</v>
      </c>
      <c r="J82" s="42">
        <v>4</v>
      </c>
      <c r="K82" s="321">
        <f t="shared" si="2"/>
        <v>68706.75</v>
      </c>
      <c r="L82" s="62">
        <v>46388</v>
      </c>
      <c r="M82" s="62">
        <v>46752</v>
      </c>
      <c r="N82" s="58"/>
      <c r="O82" s="26"/>
      <c r="P82" s="26"/>
      <c r="Q82" s="58" t="s">
        <v>498</v>
      </c>
      <c r="R82" s="58"/>
      <c r="S82" s="58" t="s">
        <v>499</v>
      </c>
      <c r="T82" s="58"/>
      <c r="U82" s="58" t="s">
        <v>500</v>
      </c>
      <c r="V82" s="58"/>
      <c r="W82" s="58" t="s">
        <v>501</v>
      </c>
      <c r="X82" s="58"/>
      <c r="Y82" s="58"/>
      <c r="Z82" s="58"/>
      <c r="AA82" s="58"/>
      <c r="AB82" s="63"/>
      <c r="AC82" s="63" t="s">
        <v>281</v>
      </c>
      <c r="AD82" s="42" t="s">
        <v>97</v>
      </c>
      <c r="AE82" s="42" t="s">
        <v>494</v>
      </c>
      <c r="AF82" s="63"/>
    </row>
    <row r="83" spans="2:32" ht="14.4" hidden="1" x14ac:dyDescent="0.3">
      <c r="B83" s="16" t="s">
        <v>14</v>
      </c>
      <c r="C83" s="197" t="s">
        <v>502</v>
      </c>
      <c r="D83" s="228" t="s">
        <v>151</v>
      </c>
      <c r="E83" s="198" t="s">
        <v>503</v>
      </c>
      <c r="F83" s="199">
        <v>45658</v>
      </c>
      <c r="G83" s="77" t="s">
        <v>55</v>
      </c>
      <c r="H83" s="77">
        <v>1</v>
      </c>
      <c r="I83" s="200">
        <v>73500</v>
      </c>
      <c r="J83" s="77">
        <v>3</v>
      </c>
      <c r="K83" s="321">
        <f t="shared" si="2"/>
        <v>24500</v>
      </c>
      <c r="L83" s="201">
        <v>45658</v>
      </c>
      <c r="M83" s="201">
        <v>46022</v>
      </c>
      <c r="N83" s="202" t="s">
        <v>19</v>
      </c>
      <c r="O83" s="294" t="s">
        <v>469</v>
      </c>
      <c r="P83" s="77"/>
      <c r="Q83" s="203" t="s">
        <v>341</v>
      </c>
      <c r="R83" s="202" t="s">
        <v>504</v>
      </c>
      <c r="S83" s="203" t="s">
        <v>343</v>
      </c>
      <c r="T83" s="202" t="s">
        <v>505</v>
      </c>
      <c r="U83" s="203" t="s">
        <v>345</v>
      </c>
      <c r="V83" s="202" t="s">
        <v>506</v>
      </c>
      <c r="W83" s="202"/>
      <c r="X83" s="202"/>
      <c r="Y83" s="202"/>
      <c r="Z83" s="202"/>
      <c r="AA83" s="202"/>
      <c r="AB83" s="202"/>
      <c r="AC83" s="202" t="s">
        <v>507</v>
      </c>
      <c r="AD83" s="16" t="s">
        <v>63</v>
      </c>
      <c r="AE83" s="77">
        <v>3</v>
      </c>
      <c r="AF83" s="202"/>
    </row>
    <row r="84" spans="2:32" ht="14.4" hidden="1" x14ac:dyDescent="0.3">
      <c r="B84" s="16" t="s">
        <v>14</v>
      </c>
      <c r="C84" s="74" t="s">
        <v>508</v>
      </c>
      <c r="D84" s="229" t="s">
        <v>509</v>
      </c>
      <c r="E84" s="79" t="s">
        <v>510</v>
      </c>
      <c r="F84" s="40">
        <v>45661</v>
      </c>
      <c r="G84" s="71" t="s">
        <v>55</v>
      </c>
      <c r="H84" s="26">
        <v>1</v>
      </c>
      <c r="I84" s="72">
        <v>89000</v>
      </c>
      <c r="J84" s="26">
        <v>3</v>
      </c>
      <c r="K84" s="321">
        <f t="shared" si="2"/>
        <v>29666.666666666668</v>
      </c>
      <c r="L84" s="57">
        <v>45667</v>
      </c>
      <c r="M84" s="57">
        <v>46031</v>
      </c>
      <c r="N84" s="73" t="s">
        <v>19</v>
      </c>
      <c r="O84" s="26" t="s">
        <v>0</v>
      </c>
      <c r="P84" s="26"/>
      <c r="Q84" s="59" t="s">
        <v>511</v>
      </c>
      <c r="R84" s="58" t="s">
        <v>512</v>
      </c>
      <c r="S84" s="59" t="s">
        <v>513</v>
      </c>
      <c r="T84" s="58" t="s">
        <v>514</v>
      </c>
      <c r="U84" s="59" t="s">
        <v>515</v>
      </c>
      <c r="V84" s="58" t="s">
        <v>516</v>
      </c>
      <c r="W84" s="58"/>
      <c r="X84" s="58"/>
      <c r="Y84" s="58"/>
      <c r="Z84" s="58"/>
      <c r="AA84" s="58"/>
      <c r="AB84" s="58"/>
      <c r="AC84" s="58" t="s">
        <v>96</v>
      </c>
      <c r="AD84" s="26" t="s">
        <v>97</v>
      </c>
      <c r="AE84" s="26" t="s">
        <v>494</v>
      </c>
      <c r="AF84" s="80" t="s">
        <v>517</v>
      </c>
    </row>
    <row r="85" spans="2:32" ht="14.4" hidden="1" x14ac:dyDescent="0.3">
      <c r="B85" s="16" t="s">
        <v>14</v>
      </c>
      <c r="C85" s="68" t="s">
        <v>518</v>
      </c>
      <c r="D85" s="81" t="s">
        <v>519</v>
      </c>
      <c r="E85" s="82">
        <v>4516924874</v>
      </c>
      <c r="F85" s="43">
        <v>45660</v>
      </c>
      <c r="G85" s="204" t="s">
        <v>55</v>
      </c>
      <c r="H85" s="42"/>
      <c r="I85" s="61">
        <v>219500</v>
      </c>
      <c r="J85" s="42">
        <v>4</v>
      </c>
      <c r="K85" s="321">
        <f t="shared" si="2"/>
        <v>54875</v>
      </c>
      <c r="L85" s="62">
        <v>45658</v>
      </c>
      <c r="M85" s="62">
        <v>46022</v>
      </c>
      <c r="N85" s="205" t="s">
        <v>520</v>
      </c>
      <c r="O85" s="42" t="s">
        <v>0</v>
      </c>
      <c r="P85" s="42"/>
      <c r="Q85" s="64" t="s">
        <v>390</v>
      </c>
      <c r="R85" s="63" t="s">
        <v>521</v>
      </c>
      <c r="S85" s="64" t="s">
        <v>391</v>
      </c>
      <c r="T85" s="63" t="s">
        <v>522</v>
      </c>
      <c r="U85" s="64" t="s">
        <v>523</v>
      </c>
      <c r="V85" s="63" t="s">
        <v>524</v>
      </c>
      <c r="W85" s="64" t="s">
        <v>228</v>
      </c>
      <c r="X85" s="63" t="s">
        <v>525</v>
      </c>
      <c r="Y85" s="63"/>
      <c r="Z85" s="63"/>
      <c r="AA85" s="63"/>
      <c r="AB85" s="63"/>
      <c r="AC85" s="63" t="s">
        <v>485</v>
      </c>
      <c r="AD85" s="16" t="s">
        <v>63</v>
      </c>
      <c r="AE85" s="42">
        <f>6</f>
        <v>6</v>
      </c>
      <c r="AF85" s="63"/>
    </row>
    <row r="86" spans="2:32" ht="14.4" hidden="1" x14ac:dyDescent="0.3">
      <c r="B86" s="16" t="s">
        <v>14</v>
      </c>
      <c r="C86" s="37" t="s">
        <v>518</v>
      </c>
      <c r="D86" s="230" t="s">
        <v>519</v>
      </c>
      <c r="E86" s="16">
        <v>4516924874</v>
      </c>
      <c r="F86" s="22">
        <v>45660</v>
      </c>
      <c r="G86" s="16" t="s">
        <v>55</v>
      </c>
      <c r="H86" s="16">
        <v>2</v>
      </c>
      <c r="I86" s="19">
        <v>142300</v>
      </c>
      <c r="J86" s="16">
        <v>4</v>
      </c>
      <c r="K86" s="321">
        <f t="shared" si="2"/>
        <v>35575</v>
      </c>
      <c r="L86" s="20">
        <v>46023</v>
      </c>
      <c r="M86" s="20">
        <v>46387</v>
      </c>
      <c r="N86" s="18" t="s">
        <v>520</v>
      </c>
      <c r="O86" s="16" t="s">
        <v>0</v>
      </c>
      <c r="P86" s="16"/>
      <c r="Q86" s="192" t="s">
        <v>396</v>
      </c>
      <c r="R86" s="18" t="s">
        <v>526</v>
      </c>
      <c r="S86" s="18" t="s">
        <v>397</v>
      </c>
      <c r="T86" s="18"/>
      <c r="U86" s="18" t="s">
        <v>496</v>
      </c>
      <c r="V86" s="18"/>
      <c r="W86" s="18" t="s">
        <v>497</v>
      </c>
      <c r="X86" s="18"/>
      <c r="Y86" s="18"/>
      <c r="Z86" s="18"/>
      <c r="AA86" s="18"/>
      <c r="AB86" s="18"/>
      <c r="AC86" s="18" t="s">
        <v>485</v>
      </c>
      <c r="AD86" s="16" t="s">
        <v>63</v>
      </c>
      <c r="AE86" s="16">
        <v>6</v>
      </c>
      <c r="AF86" s="18"/>
    </row>
    <row r="87" spans="2:32" ht="14.4" hidden="1" x14ac:dyDescent="0.3">
      <c r="B87" s="16" t="s">
        <v>14</v>
      </c>
      <c r="C87" s="37" t="s">
        <v>527</v>
      </c>
      <c r="D87" s="227" t="s">
        <v>151</v>
      </c>
      <c r="E87" s="50">
        <v>38369028</v>
      </c>
      <c r="F87" s="51">
        <v>45664</v>
      </c>
      <c r="G87" s="16" t="s">
        <v>55</v>
      </c>
      <c r="H87" s="16">
        <v>1</v>
      </c>
      <c r="I87" s="19">
        <v>67000</v>
      </c>
      <c r="J87" s="16">
        <v>1</v>
      </c>
      <c r="K87" s="321">
        <f t="shared" si="2"/>
        <v>67000</v>
      </c>
      <c r="L87" s="20">
        <v>45670</v>
      </c>
      <c r="M87" s="20">
        <v>46034</v>
      </c>
      <c r="N87" s="18" t="s">
        <v>19</v>
      </c>
      <c r="O87" s="16" t="s">
        <v>0</v>
      </c>
      <c r="P87" s="16"/>
      <c r="Q87" s="21" t="s">
        <v>528</v>
      </c>
      <c r="R87" s="18" t="s">
        <v>451</v>
      </c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 t="s">
        <v>507</v>
      </c>
      <c r="AD87" s="16" t="s">
        <v>63</v>
      </c>
      <c r="AE87" s="16">
        <v>2</v>
      </c>
      <c r="AF87" s="18"/>
    </row>
    <row r="88" spans="2:32" ht="14.4" hidden="1" x14ac:dyDescent="0.3">
      <c r="B88" s="16" t="s">
        <v>14</v>
      </c>
      <c r="C88" s="37" t="s">
        <v>527</v>
      </c>
      <c r="D88" s="227" t="s">
        <v>151</v>
      </c>
      <c r="E88" s="84">
        <v>38414491</v>
      </c>
      <c r="F88" s="51">
        <v>45671</v>
      </c>
      <c r="G88" s="16" t="s">
        <v>55</v>
      </c>
      <c r="H88" s="16">
        <v>1</v>
      </c>
      <c r="I88" s="19">
        <v>67000</v>
      </c>
      <c r="J88" s="16">
        <v>1</v>
      </c>
      <c r="K88" s="321">
        <f t="shared" si="2"/>
        <v>67000</v>
      </c>
      <c r="L88" s="20">
        <v>45672</v>
      </c>
      <c r="M88" s="20">
        <v>46036</v>
      </c>
      <c r="N88" s="18" t="s">
        <v>19</v>
      </c>
      <c r="O88" s="16" t="s">
        <v>0</v>
      </c>
      <c r="P88" s="16"/>
      <c r="Q88" s="21" t="s">
        <v>529</v>
      </c>
      <c r="R88" s="18" t="s">
        <v>451</v>
      </c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 t="s">
        <v>507</v>
      </c>
      <c r="AD88" s="16" t="s">
        <v>63</v>
      </c>
      <c r="AE88" s="16">
        <v>2</v>
      </c>
      <c r="AF88" s="18"/>
    </row>
    <row r="89" spans="2:32" ht="14.4" hidden="1" x14ac:dyDescent="0.3">
      <c r="B89" s="16" t="s">
        <v>14</v>
      </c>
      <c r="C89" s="206" t="s">
        <v>530</v>
      </c>
      <c r="D89" s="231" t="s">
        <v>176</v>
      </c>
      <c r="E89" s="16">
        <v>16882528</v>
      </c>
      <c r="F89" s="22">
        <v>45670</v>
      </c>
      <c r="G89" s="16" t="s">
        <v>55</v>
      </c>
      <c r="H89" s="16"/>
      <c r="I89" s="19">
        <f>568000/4</f>
        <v>142000</v>
      </c>
      <c r="J89" s="16">
        <v>4</v>
      </c>
      <c r="K89" s="321">
        <f t="shared" si="2"/>
        <v>35500</v>
      </c>
      <c r="L89" s="20">
        <v>45670</v>
      </c>
      <c r="M89" s="20">
        <v>46764</v>
      </c>
      <c r="N89" s="18" t="s">
        <v>520</v>
      </c>
      <c r="O89" s="16" t="s">
        <v>0</v>
      </c>
      <c r="P89" s="16"/>
      <c r="Q89" s="17" t="s">
        <v>531</v>
      </c>
      <c r="R89" s="18"/>
      <c r="S89" s="17" t="s">
        <v>532</v>
      </c>
      <c r="T89" s="18"/>
      <c r="U89" s="17" t="s">
        <v>533</v>
      </c>
      <c r="V89" s="18"/>
      <c r="W89" s="17" t="s">
        <v>534</v>
      </c>
      <c r="X89" s="18"/>
      <c r="Y89" s="18"/>
      <c r="Z89" s="18"/>
      <c r="AA89" s="18"/>
      <c r="AB89" s="18"/>
      <c r="AC89" s="18" t="s">
        <v>183</v>
      </c>
      <c r="AD89" s="16" t="s">
        <v>97</v>
      </c>
      <c r="AE89" s="16">
        <v>4</v>
      </c>
      <c r="AF89" s="18"/>
    </row>
    <row r="90" spans="2:32" ht="14.4" hidden="1" x14ac:dyDescent="0.3">
      <c r="B90" s="16" t="s">
        <v>14</v>
      </c>
      <c r="C90" s="206" t="s">
        <v>530</v>
      </c>
      <c r="D90" s="231" t="s">
        <v>535</v>
      </c>
      <c r="E90" s="16">
        <v>16882528</v>
      </c>
      <c r="F90" s="22">
        <v>45670</v>
      </c>
      <c r="G90" s="16" t="s">
        <v>55</v>
      </c>
      <c r="H90" s="16"/>
      <c r="I90" s="19">
        <f>568000/4</f>
        <v>142000</v>
      </c>
      <c r="J90" s="16">
        <v>4</v>
      </c>
      <c r="K90" s="321">
        <f t="shared" si="2"/>
        <v>35500</v>
      </c>
      <c r="L90" s="20">
        <v>45670</v>
      </c>
      <c r="M90" s="20">
        <v>46764</v>
      </c>
      <c r="N90" s="18" t="s">
        <v>520</v>
      </c>
      <c r="O90" s="16" t="s">
        <v>0</v>
      </c>
      <c r="P90" s="16"/>
      <c r="Q90" s="21" t="s">
        <v>531</v>
      </c>
      <c r="R90" s="18" t="s">
        <v>536</v>
      </c>
      <c r="S90" s="21" t="s">
        <v>532</v>
      </c>
      <c r="T90" s="18" t="s">
        <v>439</v>
      </c>
      <c r="U90" s="21" t="s">
        <v>533</v>
      </c>
      <c r="V90" s="18" t="s">
        <v>537</v>
      </c>
      <c r="W90" s="21" t="s">
        <v>534</v>
      </c>
      <c r="X90" s="18" t="s">
        <v>320</v>
      </c>
      <c r="Y90" s="18"/>
      <c r="Z90" s="18"/>
      <c r="AA90" s="18"/>
      <c r="AB90" s="18"/>
      <c r="AC90" s="18" t="s">
        <v>183</v>
      </c>
      <c r="AD90" s="16" t="s">
        <v>97</v>
      </c>
      <c r="AE90" s="16">
        <v>4</v>
      </c>
      <c r="AF90" s="18"/>
    </row>
    <row r="91" spans="2:32" ht="14.4" hidden="1" x14ac:dyDescent="0.3">
      <c r="B91" s="16" t="s">
        <v>14</v>
      </c>
      <c r="C91" s="206" t="s">
        <v>530</v>
      </c>
      <c r="D91" s="231" t="s">
        <v>538</v>
      </c>
      <c r="E91" s="16">
        <v>16882528</v>
      </c>
      <c r="F91" s="22">
        <v>45670</v>
      </c>
      <c r="G91" s="16" t="s">
        <v>55</v>
      </c>
      <c r="H91" s="16"/>
      <c r="I91" s="19">
        <f>568000/4</f>
        <v>142000</v>
      </c>
      <c r="J91" s="16">
        <v>4</v>
      </c>
      <c r="K91" s="321">
        <f t="shared" si="2"/>
        <v>35500</v>
      </c>
      <c r="L91" s="20">
        <v>45670</v>
      </c>
      <c r="M91" s="20">
        <v>46764</v>
      </c>
      <c r="N91" s="18" t="s">
        <v>520</v>
      </c>
      <c r="O91" s="16" t="s">
        <v>0</v>
      </c>
      <c r="P91" s="16"/>
      <c r="Q91" s="21" t="s">
        <v>531</v>
      </c>
      <c r="R91" s="18" t="s">
        <v>241</v>
      </c>
      <c r="S91" s="21" t="s">
        <v>532</v>
      </c>
      <c r="T91" s="18" t="s">
        <v>439</v>
      </c>
      <c r="U91" s="21" t="s">
        <v>533</v>
      </c>
      <c r="V91" s="18" t="s">
        <v>539</v>
      </c>
      <c r="W91" s="21" t="s">
        <v>534</v>
      </c>
      <c r="X91" s="18" t="s">
        <v>417</v>
      </c>
      <c r="Y91" s="18"/>
      <c r="Z91" s="18"/>
      <c r="AA91" s="18"/>
      <c r="AB91" s="18"/>
      <c r="AC91" s="18" t="s">
        <v>485</v>
      </c>
      <c r="AD91" s="16" t="s">
        <v>63</v>
      </c>
      <c r="AE91" s="16">
        <v>4</v>
      </c>
      <c r="AF91" s="18"/>
    </row>
    <row r="92" spans="2:32" ht="14.4" hidden="1" x14ac:dyDescent="0.3">
      <c r="B92" s="16" t="s">
        <v>14</v>
      </c>
      <c r="C92" s="206" t="s">
        <v>530</v>
      </c>
      <c r="D92" s="231" t="s">
        <v>540</v>
      </c>
      <c r="E92" s="25">
        <v>16882528</v>
      </c>
      <c r="F92" s="32">
        <v>45670</v>
      </c>
      <c r="G92" s="16" t="s">
        <v>55</v>
      </c>
      <c r="H92" s="25"/>
      <c r="I92" s="33">
        <f>568000/4</f>
        <v>142000</v>
      </c>
      <c r="J92" s="25">
        <v>4</v>
      </c>
      <c r="K92" s="321">
        <f t="shared" si="2"/>
        <v>35500</v>
      </c>
      <c r="L92" s="34">
        <v>45670</v>
      </c>
      <c r="M92" s="34">
        <v>46764</v>
      </c>
      <c r="N92" s="24" t="s">
        <v>520</v>
      </c>
      <c r="O92" s="25" t="s">
        <v>0</v>
      </c>
      <c r="P92" s="25"/>
      <c r="Q92" s="21" t="s">
        <v>531</v>
      </c>
      <c r="R92" s="18" t="s">
        <v>541</v>
      </c>
      <c r="S92" s="21" t="s">
        <v>532</v>
      </c>
      <c r="T92" s="18" t="s">
        <v>439</v>
      </c>
      <c r="U92" s="21" t="s">
        <v>533</v>
      </c>
      <c r="V92" s="18" t="s">
        <v>542</v>
      </c>
      <c r="W92" s="21" t="s">
        <v>534</v>
      </c>
      <c r="X92" s="24" t="s">
        <v>543</v>
      </c>
      <c r="Y92" s="24"/>
      <c r="Z92" s="24"/>
      <c r="AA92" s="24"/>
      <c r="AB92" s="24"/>
      <c r="AC92" s="24" t="s">
        <v>128</v>
      </c>
      <c r="AD92" s="25" t="s">
        <v>129</v>
      </c>
      <c r="AE92" s="25">
        <v>4</v>
      </c>
      <c r="AF92" s="24"/>
    </row>
    <row r="93" spans="2:32" ht="14.4" hidden="1" x14ac:dyDescent="0.3">
      <c r="B93" s="16" t="s">
        <v>14</v>
      </c>
      <c r="C93" s="39" t="s">
        <v>544</v>
      </c>
      <c r="D93" s="232" t="s">
        <v>545</v>
      </c>
      <c r="E93" s="50">
        <v>1240051506</v>
      </c>
      <c r="F93" s="55">
        <v>45670</v>
      </c>
      <c r="G93" s="26" t="s">
        <v>55</v>
      </c>
      <c r="H93" s="26">
        <v>2</v>
      </c>
      <c r="I93" s="56">
        <v>144999.96</v>
      </c>
      <c r="J93" s="26">
        <v>3</v>
      </c>
      <c r="K93" s="321">
        <f t="shared" si="2"/>
        <v>48333.32</v>
      </c>
      <c r="L93" s="57">
        <v>45670</v>
      </c>
      <c r="M93" s="57">
        <v>46034</v>
      </c>
      <c r="N93" s="18" t="s">
        <v>19</v>
      </c>
      <c r="O93" s="26" t="s">
        <v>0</v>
      </c>
      <c r="P93" s="26"/>
      <c r="Q93" s="59" t="s">
        <v>546</v>
      </c>
      <c r="R93" s="58" t="s">
        <v>547</v>
      </c>
      <c r="S93" s="59" t="s">
        <v>548</v>
      </c>
      <c r="T93" s="58" t="s">
        <v>549</v>
      </c>
      <c r="U93" s="59" t="s">
        <v>550</v>
      </c>
      <c r="V93" s="58" t="s">
        <v>537</v>
      </c>
      <c r="W93" s="58"/>
      <c r="X93" s="58"/>
      <c r="Y93" s="58"/>
      <c r="Z93" s="58"/>
      <c r="AA93" s="58"/>
      <c r="AB93" s="58"/>
      <c r="AC93" s="58" t="s">
        <v>551</v>
      </c>
      <c r="AD93" s="16" t="s">
        <v>207</v>
      </c>
      <c r="AE93" s="26">
        <v>3</v>
      </c>
      <c r="AF93" s="58"/>
    </row>
    <row r="94" spans="2:32" ht="14.4" hidden="1" x14ac:dyDescent="0.3">
      <c r="B94" s="16" t="s">
        <v>14</v>
      </c>
      <c r="C94" s="39" t="s">
        <v>552</v>
      </c>
      <c r="D94" s="233" t="s">
        <v>151</v>
      </c>
      <c r="E94" s="26" t="s">
        <v>553</v>
      </c>
      <c r="F94" s="55">
        <v>45677</v>
      </c>
      <c r="G94" s="26" t="s">
        <v>55</v>
      </c>
      <c r="H94" s="26">
        <v>2</v>
      </c>
      <c r="I94" s="56">
        <f>332160/2</f>
        <v>166080</v>
      </c>
      <c r="J94" s="26">
        <v>3</v>
      </c>
      <c r="K94" s="321">
        <f t="shared" si="2"/>
        <v>55360</v>
      </c>
      <c r="L94" s="57">
        <v>45658</v>
      </c>
      <c r="M94" s="57">
        <v>46022</v>
      </c>
      <c r="N94" s="58" t="s">
        <v>520</v>
      </c>
      <c r="O94" s="26" t="s">
        <v>0</v>
      </c>
      <c r="P94" s="26"/>
      <c r="Q94" s="59" t="s">
        <v>554</v>
      </c>
      <c r="R94" s="58" t="s">
        <v>555</v>
      </c>
      <c r="S94" s="59" t="s">
        <v>343</v>
      </c>
      <c r="T94" s="58" t="s">
        <v>227</v>
      </c>
      <c r="U94" s="59" t="s">
        <v>345</v>
      </c>
      <c r="V94" s="58" t="s">
        <v>417</v>
      </c>
      <c r="W94" s="58"/>
      <c r="X94" s="58"/>
      <c r="Y94" s="58"/>
      <c r="Z94" s="58"/>
      <c r="AA94" s="58"/>
      <c r="AB94" s="58"/>
      <c r="AC94" s="58" t="s">
        <v>507</v>
      </c>
      <c r="AD94" s="16" t="s">
        <v>63</v>
      </c>
      <c r="AE94" s="26">
        <v>3</v>
      </c>
      <c r="AF94" s="58"/>
    </row>
    <row r="95" spans="2:32" ht="14.4" hidden="1" x14ac:dyDescent="0.3">
      <c r="B95" s="16" t="s">
        <v>14</v>
      </c>
      <c r="C95" s="68" t="s">
        <v>552</v>
      </c>
      <c r="D95" s="81" t="s">
        <v>151</v>
      </c>
      <c r="E95" s="315" t="s">
        <v>553</v>
      </c>
      <c r="F95" s="43">
        <v>45677</v>
      </c>
      <c r="G95" s="42" t="s">
        <v>55</v>
      </c>
      <c r="H95" s="42"/>
      <c r="I95" s="61">
        <f>332160/2</f>
        <v>166080</v>
      </c>
      <c r="J95" s="42">
        <v>3</v>
      </c>
      <c r="K95" s="321">
        <f t="shared" si="2"/>
        <v>55360</v>
      </c>
      <c r="L95" s="62">
        <v>46023</v>
      </c>
      <c r="M95" s="62">
        <v>46387</v>
      </c>
      <c r="N95" s="63" t="s">
        <v>520</v>
      </c>
      <c r="O95" s="42" t="s">
        <v>0</v>
      </c>
      <c r="P95" s="42"/>
      <c r="Q95" s="64" t="s">
        <v>347</v>
      </c>
      <c r="R95" s="63" t="s">
        <v>556</v>
      </c>
      <c r="S95" s="63" t="s">
        <v>348</v>
      </c>
      <c r="T95" s="63"/>
      <c r="U95" s="63" t="s">
        <v>349</v>
      </c>
      <c r="V95" s="63"/>
      <c r="W95" s="63"/>
      <c r="X95" s="63"/>
      <c r="Y95" s="63"/>
      <c r="Z95" s="63"/>
      <c r="AA95" s="63"/>
      <c r="AB95" s="63"/>
      <c r="AC95" s="63" t="s">
        <v>507</v>
      </c>
      <c r="AD95" s="16" t="s">
        <v>63</v>
      </c>
      <c r="AE95" s="42">
        <v>3</v>
      </c>
      <c r="AF95" s="63"/>
    </row>
    <row r="96" spans="2:32" ht="14.4" hidden="1" x14ac:dyDescent="0.3">
      <c r="B96" s="16" t="s">
        <v>14</v>
      </c>
      <c r="C96" s="68" t="s">
        <v>557</v>
      </c>
      <c r="D96" s="44" t="s">
        <v>558</v>
      </c>
      <c r="E96" s="93" t="s">
        <v>559</v>
      </c>
      <c r="F96" s="43">
        <v>45688</v>
      </c>
      <c r="G96" s="42" t="s">
        <v>55</v>
      </c>
      <c r="H96" s="42">
        <v>1</v>
      </c>
      <c r="I96" s="61">
        <v>134698</v>
      </c>
      <c r="J96" s="42">
        <v>4</v>
      </c>
      <c r="K96" s="321">
        <f t="shared" si="2"/>
        <v>33674.5</v>
      </c>
      <c r="L96" s="62">
        <v>45688</v>
      </c>
      <c r="M96" s="62">
        <v>46052</v>
      </c>
      <c r="N96" s="63" t="s">
        <v>19</v>
      </c>
      <c r="O96" s="42" t="s">
        <v>0</v>
      </c>
      <c r="P96" s="42"/>
      <c r="Q96" s="64" t="s">
        <v>560</v>
      </c>
      <c r="R96" s="63" t="s">
        <v>561</v>
      </c>
      <c r="S96" s="64" t="s">
        <v>266</v>
      </c>
      <c r="T96" s="63" t="s">
        <v>562</v>
      </c>
      <c r="U96" s="64" t="s">
        <v>267</v>
      </c>
      <c r="V96" s="63" t="s">
        <v>563</v>
      </c>
      <c r="W96" s="64" t="s">
        <v>564</v>
      </c>
      <c r="X96" s="63" t="s">
        <v>84</v>
      </c>
      <c r="Y96" s="63"/>
      <c r="Z96" s="63"/>
      <c r="AA96" s="63"/>
      <c r="AB96" s="63"/>
      <c r="AC96" s="63" t="s">
        <v>281</v>
      </c>
      <c r="AD96" s="42" t="s">
        <v>97</v>
      </c>
      <c r="AE96" s="42" t="s">
        <v>494</v>
      </c>
      <c r="AF96" s="63"/>
    </row>
    <row r="97" spans="2:32" ht="14.4" hidden="1" x14ac:dyDescent="0.3">
      <c r="B97" s="16" t="s">
        <v>14</v>
      </c>
      <c r="C97" s="68" t="s">
        <v>565</v>
      </c>
      <c r="D97" s="44" t="s">
        <v>566</v>
      </c>
      <c r="E97" s="93">
        <v>1011705960</v>
      </c>
      <c r="F97" s="43">
        <v>45692</v>
      </c>
      <c r="G97" s="42" t="s">
        <v>55</v>
      </c>
      <c r="H97" s="42">
        <v>1</v>
      </c>
      <c r="I97" s="61">
        <v>75000</v>
      </c>
      <c r="J97" s="42">
        <v>2</v>
      </c>
      <c r="K97" s="321">
        <f t="shared" si="2"/>
        <v>37500</v>
      </c>
      <c r="L97" s="62">
        <v>45689</v>
      </c>
      <c r="M97" s="62">
        <v>46053</v>
      </c>
      <c r="N97" s="18" t="s">
        <v>19</v>
      </c>
      <c r="O97" s="26" t="s">
        <v>0</v>
      </c>
      <c r="P97" s="42"/>
      <c r="Q97" s="64" t="s">
        <v>567</v>
      </c>
      <c r="R97" s="63" t="s">
        <v>555</v>
      </c>
      <c r="S97" s="64" t="s">
        <v>424</v>
      </c>
      <c r="T97" s="63" t="s">
        <v>493</v>
      </c>
      <c r="U97" s="63"/>
      <c r="V97" s="63"/>
      <c r="W97" s="63"/>
      <c r="X97" s="63"/>
      <c r="Y97" s="63"/>
      <c r="Z97" s="63"/>
      <c r="AA97" s="63"/>
      <c r="AB97" s="63"/>
      <c r="AC97" s="63" t="s">
        <v>551</v>
      </c>
      <c r="AD97" s="16" t="s">
        <v>207</v>
      </c>
      <c r="AE97" s="42">
        <v>2</v>
      </c>
      <c r="AF97" s="65"/>
    </row>
    <row r="98" spans="2:32" ht="14.4" hidden="1" x14ac:dyDescent="0.3">
      <c r="B98" s="16" t="s">
        <v>14</v>
      </c>
      <c r="C98" s="74" t="s">
        <v>568</v>
      </c>
      <c r="D98" s="234" t="s">
        <v>151</v>
      </c>
      <c r="E98" s="78">
        <v>7700326717</v>
      </c>
      <c r="F98" s="40">
        <v>45693</v>
      </c>
      <c r="G98" s="26" t="s">
        <v>55</v>
      </c>
      <c r="H98" s="26"/>
      <c r="I98" s="75">
        <f>93000*3</f>
        <v>279000</v>
      </c>
      <c r="J98" s="26">
        <v>3</v>
      </c>
      <c r="K98" s="321">
        <f t="shared" si="2"/>
        <v>93000</v>
      </c>
      <c r="L98" s="57">
        <v>45705</v>
      </c>
      <c r="M98" s="57">
        <v>46069</v>
      </c>
      <c r="N98" s="58" t="s">
        <v>19</v>
      </c>
      <c r="O98" s="26" t="s">
        <v>2</v>
      </c>
      <c r="P98" s="26"/>
      <c r="Q98" s="59" t="s">
        <v>569</v>
      </c>
      <c r="R98" s="58" t="s">
        <v>570</v>
      </c>
      <c r="S98" s="59" t="s">
        <v>571</v>
      </c>
      <c r="T98" s="58" t="s">
        <v>126</v>
      </c>
      <c r="U98" s="59" t="s">
        <v>572</v>
      </c>
      <c r="V98" s="58" t="s">
        <v>573</v>
      </c>
      <c r="W98" s="58"/>
      <c r="X98" s="58"/>
      <c r="Y98" s="58"/>
      <c r="Z98" s="58"/>
      <c r="AA98" s="58"/>
      <c r="AB98" s="58"/>
      <c r="AC98" s="58" t="s">
        <v>507</v>
      </c>
      <c r="AD98" s="16" t="s">
        <v>63</v>
      </c>
      <c r="AE98" s="26">
        <v>3</v>
      </c>
      <c r="AF98" s="58"/>
    </row>
    <row r="99" spans="2:32" ht="14.4" hidden="1" x14ac:dyDescent="0.3">
      <c r="B99" s="16" t="s">
        <v>14</v>
      </c>
      <c r="C99" s="39" t="s">
        <v>568</v>
      </c>
      <c r="D99" s="44" t="s">
        <v>151</v>
      </c>
      <c r="E99" s="268">
        <v>7700326717</v>
      </c>
      <c r="F99" s="55">
        <v>45693</v>
      </c>
      <c r="G99" s="26" t="s">
        <v>55</v>
      </c>
      <c r="H99" s="26">
        <v>4</v>
      </c>
      <c r="I99" s="75">
        <f>279000+93000</f>
        <v>372000</v>
      </c>
      <c r="J99" s="26">
        <v>3</v>
      </c>
      <c r="K99" s="321">
        <f t="shared" si="2"/>
        <v>124000</v>
      </c>
      <c r="L99" s="57">
        <v>46070</v>
      </c>
      <c r="M99" s="57">
        <v>46434</v>
      </c>
      <c r="N99" s="58" t="s">
        <v>520</v>
      </c>
      <c r="O99" s="26" t="s">
        <v>2</v>
      </c>
      <c r="P99" s="26"/>
      <c r="Q99" s="58" t="s">
        <v>574</v>
      </c>
      <c r="R99" s="58"/>
      <c r="S99" s="58" t="s">
        <v>575</v>
      </c>
      <c r="T99" s="58"/>
      <c r="U99" s="58" t="s">
        <v>576</v>
      </c>
      <c r="V99" s="58"/>
      <c r="W99" s="58"/>
      <c r="X99" s="58"/>
      <c r="Y99" s="58"/>
      <c r="Z99" s="58"/>
      <c r="AA99" s="58"/>
      <c r="AB99" s="58"/>
      <c r="AC99" s="58" t="s">
        <v>507</v>
      </c>
      <c r="AD99" s="16" t="s">
        <v>63</v>
      </c>
      <c r="AE99" s="26">
        <v>3</v>
      </c>
      <c r="AF99" s="58"/>
    </row>
    <row r="100" spans="2:32" ht="14.4" hidden="1" x14ac:dyDescent="0.3">
      <c r="B100" s="16" t="s">
        <v>14</v>
      </c>
      <c r="C100" s="68" t="s">
        <v>568</v>
      </c>
      <c r="D100" s="44" t="s">
        <v>151</v>
      </c>
      <c r="E100" s="42">
        <v>7700326717</v>
      </c>
      <c r="F100" s="43">
        <v>45693</v>
      </c>
      <c r="G100" s="42" t="s">
        <v>55</v>
      </c>
      <c r="H100" s="26"/>
      <c r="I100" s="75">
        <f>279000+93000</f>
        <v>372000</v>
      </c>
      <c r="J100" s="42">
        <v>3</v>
      </c>
      <c r="K100" s="321">
        <f t="shared" si="2"/>
        <v>124000</v>
      </c>
      <c r="L100" s="62">
        <v>46435</v>
      </c>
      <c r="M100" s="62">
        <v>46799</v>
      </c>
      <c r="N100" s="63" t="s">
        <v>520</v>
      </c>
      <c r="O100" s="42" t="s">
        <v>2</v>
      </c>
      <c r="P100" s="42"/>
      <c r="Q100" s="63" t="s">
        <v>577</v>
      </c>
      <c r="R100" s="63"/>
      <c r="S100" s="63" t="s">
        <v>578</v>
      </c>
      <c r="T100" s="63"/>
      <c r="U100" s="63" t="s">
        <v>579</v>
      </c>
      <c r="V100" s="63"/>
      <c r="W100" s="63"/>
      <c r="X100" s="63"/>
      <c r="Y100" s="63"/>
      <c r="Z100" s="63"/>
      <c r="AA100" s="63"/>
      <c r="AB100" s="63"/>
      <c r="AC100" s="63" t="s">
        <v>507</v>
      </c>
      <c r="AD100" s="16" t="s">
        <v>63</v>
      </c>
      <c r="AE100" s="42">
        <v>3</v>
      </c>
      <c r="AF100" s="63"/>
    </row>
    <row r="101" spans="2:32" ht="14.4" hidden="1" x14ac:dyDescent="0.3">
      <c r="B101" s="16" t="s">
        <v>14</v>
      </c>
      <c r="C101" s="97" t="s">
        <v>580</v>
      </c>
      <c r="D101" s="234" t="s">
        <v>581</v>
      </c>
      <c r="E101" s="98">
        <v>24008608</v>
      </c>
      <c r="F101" s="60">
        <v>45698</v>
      </c>
      <c r="G101" s="42" t="s">
        <v>55</v>
      </c>
      <c r="H101" s="42">
        <v>1</v>
      </c>
      <c r="I101" s="61">
        <v>90000</v>
      </c>
      <c r="J101" s="42">
        <v>3</v>
      </c>
      <c r="K101" s="321">
        <f t="shared" si="2"/>
        <v>30000</v>
      </c>
      <c r="L101" s="62">
        <v>45689</v>
      </c>
      <c r="M101" s="62">
        <v>46053</v>
      </c>
      <c r="N101" s="63" t="s">
        <v>19</v>
      </c>
      <c r="O101" s="42" t="s">
        <v>0</v>
      </c>
      <c r="P101" s="42"/>
      <c r="Q101" s="64" t="s">
        <v>79</v>
      </c>
      <c r="R101" s="63" t="s">
        <v>413</v>
      </c>
      <c r="S101" s="64" t="s">
        <v>81</v>
      </c>
      <c r="T101" s="63" t="s">
        <v>582</v>
      </c>
      <c r="U101" s="64" t="s">
        <v>83</v>
      </c>
      <c r="V101" s="63" t="s">
        <v>320</v>
      </c>
      <c r="W101" s="63"/>
      <c r="X101" s="63"/>
      <c r="Y101" s="63"/>
      <c r="Z101" s="63"/>
      <c r="AA101" s="63"/>
      <c r="AB101" s="63"/>
      <c r="AC101" s="63" t="s">
        <v>183</v>
      </c>
      <c r="AD101" s="42" t="s">
        <v>97</v>
      </c>
      <c r="AE101" s="42">
        <v>2</v>
      </c>
      <c r="AF101" s="63"/>
    </row>
    <row r="102" spans="2:32" ht="14.4" hidden="1" x14ac:dyDescent="0.3">
      <c r="B102" s="16" t="s">
        <v>14</v>
      </c>
      <c r="C102" s="99" t="s">
        <v>583</v>
      </c>
      <c r="D102" s="234" t="s">
        <v>176</v>
      </c>
      <c r="E102" s="96" t="s">
        <v>584</v>
      </c>
      <c r="F102" s="43">
        <v>45699</v>
      </c>
      <c r="G102" s="42" t="s">
        <v>55</v>
      </c>
      <c r="H102" s="42">
        <v>1</v>
      </c>
      <c r="I102" s="100">
        <v>142080</v>
      </c>
      <c r="J102" s="42">
        <v>2</v>
      </c>
      <c r="K102" s="321">
        <f t="shared" si="2"/>
        <v>71040</v>
      </c>
      <c r="L102" s="62">
        <v>45689</v>
      </c>
      <c r="M102" s="62">
        <v>46053</v>
      </c>
      <c r="N102" s="63" t="s">
        <v>19</v>
      </c>
      <c r="O102" s="42" t="s">
        <v>0</v>
      </c>
      <c r="P102" s="42"/>
      <c r="Q102" s="64" t="s">
        <v>422</v>
      </c>
      <c r="R102" s="63" t="s">
        <v>585</v>
      </c>
      <c r="S102" s="64" t="s">
        <v>424</v>
      </c>
      <c r="T102" s="63" t="s">
        <v>586</v>
      </c>
      <c r="U102" s="63"/>
      <c r="V102" s="63"/>
      <c r="W102" s="63"/>
      <c r="X102" s="63"/>
      <c r="Y102" s="63"/>
      <c r="Z102" s="63"/>
      <c r="AA102" s="63"/>
      <c r="AB102" s="63"/>
      <c r="AC102" s="63" t="s">
        <v>183</v>
      </c>
      <c r="AD102" s="42" t="s">
        <v>97</v>
      </c>
      <c r="AE102" s="42">
        <v>2</v>
      </c>
      <c r="AF102" s="63"/>
    </row>
    <row r="103" spans="2:32" ht="14.4" hidden="1" x14ac:dyDescent="0.3">
      <c r="B103" s="16" t="s">
        <v>14</v>
      </c>
      <c r="C103" s="68" t="s">
        <v>587</v>
      </c>
      <c r="D103" s="44" t="s">
        <v>176</v>
      </c>
      <c r="E103" s="93">
        <v>4800012618</v>
      </c>
      <c r="F103" s="43">
        <v>45673</v>
      </c>
      <c r="G103" s="42" t="s">
        <v>55</v>
      </c>
      <c r="H103" s="42">
        <v>1</v>
      </c>
      <c r="I103" s="61">
        <v>86350</v>
      </c>
      <c r="J103" s="42">
        <v>2</v>
      </c>
      <c r="K103" s="321">
        <f t="shared" si="2"/>
        <v>43175</v>
      </c>
      <c r="L103" s="62">
        <v>45689</v>
      </c>
      <c r="M103" s="62">
        <v>46053</v>
      </c>
      <c r="N103" s="18" t="s">
        <v>19</v>
      </c>
      <c r="O103" s="26" t="s">
        <v>0</v>
      </c>
      <c r="P103" s="42"/>
      <c r="Q103" s="64" t="s">
        <v>422</v>
      </c>
      <c r="R103" s="63" t="s">
        <v>225</v>
      </c>
      <c r="S103" s="64" t="s">
        <v>424</v>
      </c>
      <c r="T103" s="63" t="s">
        <v>588</v>
      </c>
      <c r="U103" s="63"/>
      <c r="V103" s="63"/>
      <c r="W103" s="63"/>
      <c r="X103" s="63"/>
      <c r="Y103" s="63"/>
      <c r="Z103" s="63"/>
      <c r="AA103" s="63"/>
      <c r="AB103" s="63"/>
      <c r="AC103" s="63" t="s">
        <v>183</v>
      </c>
      <c r="AD103" s="42" t="s">
        <v>97</v>
      </c>
      <c r="AE103" s="42">
        <v>2</v>
      </c>
      <c r="AF103" s="63"/>
    </row>
    <row r="104" spans="2:32" ht="14.4" hidden="1" x14ac:dyDescent="0.3">
      <c r="B104" s="16" t="s">
        <v>14</v>
      </c>
      <c r="C104" s="39" t="s">
        <v>589</v>
      </c>
      <c r="D104" s="44" t="s">
        <v>590</v>
      </c>
      <c r="E104" s="102">
        <v>4508578495</v>
      </c>
      <c r="F104" s="55">
        <v>45700</v>
      </c>
      <c r="G104" s="26" t="s">
        <v>55</v>
      </c>
      <c r="H104" s="26">
        <v>1</v>
      </c>
      <c r="I104" s="56">
        <v>137750</v>
      </c>
      <c r="J104" s="26">
        <v>3</v>
      </c>
      <c r="K104" s="321">
        <f t="shared" si="2"/>
        <v>45916.666666666664</v>
      </c>
      <c r="L104" s="57">
        <v>45698</v>
      </c>
      <c r="M104" s="57">
        <v>46062</v>
      </c>
      <c r="N104" s="58" t="s">
        <v>19</v>
      </c>
      <c r="O104" s="26" t="s">
        <v>2</v>
      </c>
      <c r="P104" s="26"/>
      <c r="Q104" s="59" t="s">
        <v>591</v>
      </c>
      <c r="R104" s="58" t="s">
        <v>555</v>
      </c>
      <c r="S104" s="59" t="s">
        <v>592</v>
      </c>
      <c r="T104" s="58" t="s">
        <v>464</v>
      </c>
      <c r="U104" s="59" t="s">
        <v>593</v>
      </c>
      <c r="V104" s="58" t="s">
        <v>594</v>
      </c>
      <c r="W104" s="58"/>
      <c r="X104" s="58"/>
      <c r="Y104" s="58"/>
      <c r="Z104" s="58"/>
      <c r="AA104" s="58"/>
      <c r="AB104" s="58"/>
      <c r="AC104" s="58" t="s">
        <v>551</v>
      </c>
      <c r="AD104" s="16" t="s">
        <v>207</v>
      </c>
      <c r="AE104" s="26">
        <v>3</v>
      </c>
      <c r="AF104" s="58"/>
    </row>
    <row r="105" spans="2:32" ht="14.4" hidden="1" x14ac:dyDescent="0.3">
      <c r="B105" s="16" t="s">
        <v>14</v>
      </c>
      <c r="C105" s="68" t="s">
        <v>595</v>
      </c>
      <c r="D105" s="44" t="s">
        <v>596</v>
      </c>
      <c r="E105" s="93">
        <v>3110014461</v>
      </c>
      <c r="F105" s="43">
        <v>45700</v>
      </c>
      <c r="G105" s="42" t="s">
        <v>55</v>
      </c>
      <c r="H105" s="42">
        <v>1</v>
      </c>
      <c r="I105" s="61">
        <v>50000</v>
      </c>
      <c r="J105" s="42">
        <v>2</v>
      </c>
      <c r="K105" s="321">
        <f t="shared" si="2"/>
        <v>25000</v>
      </c>
      <c r="L105" s="62">
        <v>45748</v>
      </c>
      <c r="M105" s="62">
        <v>46112</v>
      </c>
      <c r="N105" s="63" t="s">
        <v>19</v>
      </c>
      <c r="O105" s="42" t="s">
        <v>3</v>
      </c>
      <c r="P105" s="42"/>
      <c r="Q105" s="64" t="s">
        <v>463</v>
      </c>
      <c r="R105" s="63" t="s">
        <v>537</v>
      </c>
      <c r="S105" s="64" t="s">
        <v>465</v>
      </c>
      <c r="T105" s="63" t="s">
        <v>597</v>
      </c>
      <c r="U105" s="63"/>
      <c r="V105" s="63"/>
      <c r="W105" s="63"/>
      <c r="X105" s="63"/>
      <c r="Y105" s="63"/>
      <c r="Z105" s="63"/>
      <c r="AA105" s="63"/>
      <c r="AB105" s="63"/>
      <c r="AC105" s="63" t="s">
        <v>507</v>
      </c>
      <c r="AD105" s="16" t="s">
        <v>63</v>
      </c>
      <c r="AE105" s="42">
        <v>2</v>
      </c>
      <c r="AF105" s="63"/>
    </row>
    <row r="106" spans="2:32" ht="14.4" hidden="1" x14ac:dyDescent="0.3">
      <c r="B106" s="16" t="s">
        <v>14</v>
      </c>
      <c r="C106" s="68" t="s">
        <v>598</v>
      </c>
      <c r="D106" s="44" t="s">
        <v>599</v>
      </c>
      <c r="E106" s="84">
        <v>3001027074</v>
      </c>
      <c r="F106" s="43">
        <v>45702</v>
      </c>
      <c r="G106" s="42" t="s">
        <v>55</v>
      </c>
      <c r="H106" s="42">
        <v>5</v>
      </c>
      <c r="I106" s="61">
        <v>290000</v>
      </c>
      <c r="J106" s="42">
        <v>2</v>
      </c>
      <c r="K106" s="321">
        <f t="shared" si="2"/>
        <v>145000</v>
      </c>
      <c r="L106" s="62">
        <v>45702</v>
      </c>
      <c r="M106" s="62">
        <v>46065</v>
      </c>
      <c r="N106" s="63" t="s">
        <v>19</v>
      </c>
      <c r="O106" s="42" t="s">
        <v>2</v>
      </c>
      <c r="P106" s="42"/>
      <c r="Q106" s="64" t="s">
        <v>600</v>
      </c>
      <c r="R106" s="63" t="s">
        <v>601</v>
      </c>
      <c r="S106" s="64" t="s">
        <v>602</v>
      </c>
      <c r="T106" s="63" t="s">
        <v>573</v>
      </c>
      <c r="U106" s="63"/>
      <c r="V106" s="63"/>
      <c r="W106" s="63"/>
      <c r="X106" s="63"/>
      <c r="Y106" s="63"/>
      <c r="Z106" s="63"/>
      <c r="AA106" s="63"/>
      <c r="AB106" s="63"/>
      <c r="AC106" s="63" t="s">
        <v>485</v>
      </c>
      <c r="AD106" s="16" t="s">
        <v>63</v>
      </c>
      <c r="AE106" s="42">
        <v>2</v>
      </c>
      <c r="AF106" s="65" t="s">
        <v>603</v>
      </c>
    </row>
    <row r="107" spans="2:32" ht="14.4" hidden="1" x14ac:dyDescent="0.3">
      <c r="B107" s="16" t="s">
        <v>14</v>
      </c>
      <c r="C107" s="39" t="s">
        <v>604</v>
      </c>
      <c r="D107" s="44" t="s">
        <v>605</v>
      </c>
      <c r="E107" s="42">
        <v>5700171274</v>
      </c>
      <c r="F107" s="55">
        <v>45705</v>
      </c>
      <c r="G107" s="26" t="s">
        <v>55</v>
      </c>
      <c r="H107" s="26">
        <v>5</v>
      </c>
      <c r="I107" s="56">
        <v>591675</v>
      </c>
      <c r="J107" s="26">
        <v>2</v>
      </c>
      <c r="K107" s="321">
        <f t="shared" si="2"/>
        <v>295837.5</v>
      </c>
      <c r="L107" s="57">
        <v>45658</v>
      </c>
      <c r="M107" s="57">
        <v>46022</v>
      </c>
      <c r="N107" s="58" t="s">
        <v>520</v>
      </c>
      <c r="O107" s="26" t="s">
        <v>2</v>
      </c>
      <c r="P107" s="26"/>
      <c r="Q107" s="59" t="s">
        <v>482</v>
      </c>
      <c r="R107" s="58" t="s">
        <v>371</v>
      </c>
      <c r="S107" s="59" t="s">
        <v>483</v>
      </c>
      <c r="T107" s="58" t="s">
        <v>606</v>
      </c>
      <c r="U107" s="58"/>
      <c r="V107" s="58"/>
      <c r="W107" s="58"/>
      <c r="X107" s="58"/>
      <c r="Y107" s="58"/>
      <c r="Z107" s="58"/>
      <c r="AA107" s="58"/>
      <c r="AB107" s="58"/>
      <c r="AC107" s="58" t="s">
        <v>485</v>
      </c>
      <c r="AD107" s="16" t="s">
        <v>63</v>
      </c>
      <c r="AE107" s="26">
        <v>3</v>
      </c>
      <c r="AF107" s="58"/>
    </row>
    <row r="108" spans="2:32" ht="14.4" hidden="1" x14ac:dyDescent="0.3">
      <c r="B108" s="16" t="s">
        <v>14</v>
      </c>
      <c r="C108" s="68" t="s">
        <v>604</v>
      </c>
      <c r="D108" s="44" t="s">
        <v>605</v>
      </c>
      <c r="E108" s="152">
        <v>5700171274</v>
      </c>
      <c r="F108" s="43">
        <v>45705</v>
      </c>
      <c r="G108" s="42"/>
      <c r="H108" s="42"/>
      <c r="I108" s="61">
        <v>591675</v>
      </c>
      <c r="J108" s="42"/>
      <c r="K108" s="321" t="e">
        <f t="shared" si="2"/>
        <v>#DIV/0!</v>
      </c>
      <c r="L108" s="62">
        <v>46023</v>
      </c>
      <c r="M108" s="62">
        <v>46387</v>
      </c>
      <c r="N108" s="63" t="s">
        <v>520</v>
      </c>
      <c r="O108" s="42" t="s">
        <v>2</v>
      </c>
      <c r="P108" s="42"/>
      <c r="Q108" s="63" t="s">
        <v>607</v>
      </c>
      <c r="R108" s="63"/>
      <c r="S108" s="63" t="s">
        <v>608</v>
      </c>
      <c r="T108" s="63"/>
      <c r="U108" s="63"/>
      <c r="V108" s="63"/>
      <c r="W108" s="63"/>
      <c r="X108" s="63"/>
      <c r="Y108" s="63"/>
      <c r="Z108" s="63"/>
      <c r="AA108" s="63"/>
      <c r="AB108" s="63"/>
      <c r="AC108" s="63" t="s">
        <v>485</v>
      </c>
      <c r="AD108" s="16" t="s">
        <v>63</v>
      </c>
      <c r="AE108" s="42">
        <v>3</v>
      </c>
      <c r="AF108" s="63"/>
    </row>
    <row r="109" spans="2:32" ht="14.4" hidden="1" x14ac:dyDescent="0.3">
      <c r="B109" s="16" t="s">
        <v>14</v>
      </c>
      <c r="C109" s="103" t="s">
        <v>609</v>
      </c>
      <c r="D109" s="44" t="s">
        <v>86</v>
      </c>
      <c r="E109" s="84">
        <v>3791225209</v>
      </c>
      <c r="F109" s="43">
        <v>45695</v>
      </c>
      <c r="G109" s="42" t="s">
        <v>55</v>
      </c>
      <c r="H109" s="42">
        <v>2</v>
      </c>
      <c r="I109" s="61">
        <v>364800</v>
      </c>
      <c r="J109" s="42">
        <v>3</v>
      </c>
      <c r="K109" s="321">
        <f t="shared" si="2"/>
        <v>121600</v>
      </c>
      <c r="L109" s="62">
        <v>45689</v>
      </c>
      <c r="M109" s="62">
        <v>46053</v>
      </c>
      <c r="N109" s="18" t="s">
        <v>19</v>
      </c>
      <c r="O109" s="26" t="s">
        <v>0</v>
      </c>
      <c r="P109" s="42" t="s">
        <v>1</v>
      </c>
      <c r="Q109" s="64" t="s">
        <v>79</v>
      </c>
      <c r="R109" s="63" t="s">
        <v>610</v>
      </c>
      <c r="S109" s="64" t="s">
        <v>81</v>
      </c>
      <c r="T109" s="63" t="s">
        <v>611</v>
      </c>
      <c r="U109" s="64" t="s">
        <v>83</v>
      </c>
      <c r="V109" t="s">
        <v>612</v>
      </c>
      <c r="W109" s="63"/>
      <c r="X109" s="63"/>
      <c r="Y109" s="63"/>
      <c r="Z109" s="63"/>
      <c r="AA109" s="63"/>
      <c r="AB109" s="63"/>
      <c r="AC109" s="63" t="s">
        <v>281</v>
      </c>
      <c r="AD109" s="42" t="s">
        <v>97</v>
      </c>
      <c r="AE109" s="42">
        <v>3</v>
      </c>
      <c r="AF109" s="63" t="s">
        <v>613</v>
      </c>
    </row>
    <row r="110" spans="2:32" ht="14.4" hidden="1" x14ac:dyDescent="0.3">
      <c r="B110" s="16" t="s">
        <v>14</v>
      </c>
      <c r="C110" s="94" t="s">
        <v>614</v>
      </c>
      <c r="D110" s="234" t="s">
        <v>53</v>
      </c>
      <c r="E110" s="95" t="s">
        <v>615</v>
      </c>
      <c r="F110" s="60">
        <v>45714</v>
      </c>
      <c r="G110" s="42" t="s">
        <v>616</v>
      </c>
      <c r="H110" s="42">
        <v>2</v>
      </c>
      <c r="I110" s="61">
        <v>147000</v>
      </c>
      <c r="J110" s="42">
        <v>3</v>
      </c>
      <c r="K110" s="321">
        <f t="shared" si="2"/>
        <v>49000</v>
      </c>
      <c r="L110" s="62">
        <v>45658</v>
      </c>
      <c r="M110" s="62">
        <v>46022</v>
      </c>
      <c r="N110" s="63" t="s">
        <v>19</v>
      </c>
      <c r="O110" s="294" t="s">
        <v>469</v>
      </c>
      <c r="P110" s="42"/>
      <c r="Q110" s="64" t="s">
        <v>341</v>
      </c>
      <c r="R110" s="63" t="s">
        <v>617</v>
      </c>
      <c r="S110" s="64" t="s">
        <v>343</v>
      </c>
      <c r="T110" s="63" t="s">
        <v>601</v>
      </c>
      <c r="U110" s="64" t="s">
        <v>345</v>
      </c>
      <c r="V110" s="63" t="s">
        <v>618</v>
      </c>
      <c r="W110" s="63"/>
      <c r="X110" s="63"/>
      <c r="Y110" s="63"/>
      <c r="Z110" s="63"/>
      <c r="AA110" s="63"/>
      <c r="AB110" s="63"/>
      <c r="AC110" s="63" t="s">
        <v>619</v>
      </c>
      <c r="AD110" s="16" t="s">
        <v>63</v>
      </c>
      <c r="AE110" s="42">
        <v>3</v>
      </c>
      <c r="AF110" s="63"/>
    </row>
    <row r="111" spans="2:32" ht="14.4" hidden="1" x14ac:dyDescent="0.3">
      <c r="B111" s="16" t="s">
        <v>14</v>
      </c>
      <c r="C111" s="68" t="s">
        <v>604</v>
      </c>
      <c r="D111" s="44" t="s">
        <v>620</v>
      </c>
      <c r="E111" s="84">
        <v>5700166357</v>
      </c>
      <c r="F111" s="43">
        <v>45679</v>
      </c>
      <c r="G111" s="42" t="s">
        <v>616</v>
      </c>
      <c r="H111" s="42">
        <v>8</v>
      </c>
      <c r="I111" s="61">
        <v>946680</v>
      </c>
      <c r="J111" s="42">
        <v>2</v>
      </c>
      <c r="K111" s="321">
        <f t="shared" si="2"/>
        <v>473340</v>
      </c>
      <c r="L111" s="62">
        <v>45658</v>
      </c>
      <c r="M111" s="62">
        <v>46022</v>
      </c>
      <c r="N111" s="63" t="s">
        <v>19</v>
      </c>
      <c r="O111" s="294" t="s">
        <v>469</v>
      </c>
      <c r="P111" s="42" t="s">
        <v>1</v>
      </c>
      <c r="Q111" s="64" t="s">
        <v>621</v>
      </c>
      <c r="R111" s="63" t="s">
        <v>622</v>
      </c>
      <c r="S111" s="64" t="s">
        <v>483</v>
      </c>
      <c r="T111" s="63" t="s">
        <v>623</v>
      </c>
      <c r="U111" s="63"/>
      <c r="V111" s="63"/>
      <c r="W111" s="63"/>
      <c r="X111" s="63"/>
      <c r="Y111" s="63"/>
      <c r="Z111" s="63"/>
      <c r="AA111" s="63"/>
      <c r="AB111" s="63"/>
      <c r="AC111" s="63" t="s">
        <v>619</v>
      </c>
      <c r="AD111" s="16" t="s">
        <v>63</v>
      </c>
      <c r="AE111" s="42">
        <v>3</v>
      </c>
      <c r="AF111" s="63"/>
    </row>
    <row r="112" spans="2:32" ht="14.4" hidden="1" x14ac:dyDescent="0.3">
      <c r="B112" s="16" t="s">
        <v>14</v>
      </c>
      <c r="C112" s="68" t="s">
        <v>598</v>
      </c>
      <c r="D112" s="44" t="s">
        <v>388</v>
      </c>
      <c r="E112" s="93">
        <v>3001030991</v>
      </c>
      <c r="F112" s="43">
        <v>45719</v>
      </c>
      <c r="G112" s="42" t="s">
        <v>616</v>
      </c>
      <c r="H112" s="42">
        <v>2</v>
      </c>
      <c r="I112" s="61">
        <v>116000</v>
      </c>
      <c r="J112" s="42">
        <v>2</v>
      </c>
      <c r="K112" s="321">
        <f t="shared" si="2"/>
        <v>58000</v>
      </c>
      <c r="L112" s="62">
        <v>45717</v>
      </c>
      <c r="M112" s="62">
        <v>46081</v>
      </c>
      <c r="N112" s="63" t="s">
        <v>19</v>
      </c>
      <c r="O112" s="42" t="s">
        <v>2</v>
      </c>
      <c r="P112" s="42"/>
      <c r="Q112" s="64" t="s">
        <v>624</v>
      </c>
      <c r="R112" s="63" t="s">
        <v>423</v>
      </c>
      <c r="S112" s="64" t="s">
        <v>625</v>
      </c>
      <c r="T112" s="63" t="s">
        <v>626</v>
      </c>
      <c r="U112" s="63"/>
      <c r="V112" s="63"/>
      <c r="W112" s="63"/>
      <c r="X112" s="63"/>
      <c r="Y112" s="63"/>
      <c r="Z112" s="63"/>
      <c r="AA112" s="63"/>
      <c r="AB112" s="63"/>
      <c r="AC112" s="63" t="s">
        <v>478</v>
      </c>
      <c r="AD112" s="16" t="s">
        <v>63</v>
      </c>
      <c r="AE112" s="42">
        <v>2</v>
      </c>
      <c r="AF112" s="105" t="s">
        <v>627</v>
      </c>
    </row>
    <row r="113" spans="2:32" ht="14.4" hidden="1" x14ac:dyDescent="0.3">
      <c r="B113" s="16" t="s">
        <v>14</v>
      </c>
      <c r="C113" s="94" t="s">
        <v>628</v>
      </c>
      <c r="D113" s="234" t="s">
        <v>629</v>
      </c>
      <c r="E113" s="96" t="s">
        <v>630</v>
      </c>
      <c r="F113" s="60">
        <v>45727</v>
      </c>
      <c r="G113" s="104" t="s">
        <v>616</v>
      </c>
      <c r="H113" s="104">
        <v>1</v>
      </c>
      <c r="I113" s="106">
        <v>52000</v>
      </c>
      <c r="J113" s="42">
        <v>1</v>
      </c>
      <c r="K113" s="321">
        <f t="shared" si="2"/>
        <v>52000</v>
      </c>
      <c r="L113" s="62">
        <v>45748</v>
      </c>
      <c r="M113" s="62">
        <v>46112</v>
      </c>
      <c r="N113" s="63" t="s">
        <v>19</v>
      </c>
      <c r="O113" s="42" t="s">
        <v>3</v>
      </c>
      <c r="P113" s="42"/>
      <c r="Q113" s="64" t="s">
        <v>631</v>
      </c>
      <c r="R113" s="63" t="s">
        <v>632</v>
      </c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 t="s">
        <v>485</v>
      </c>
      <c r="AD113" s="16" t="s">
        <v>63</v>
      </c>
      <c r="AE113" s="42">
        <v>2</v>
      </c>
      <c r="AF113" s="63" t="s">
        <v>633</v>
      </c>
    </row>
    <row r="114" spans="2:32" ht="14.4" hidden="1" x14ac:dyDescent="0.3">
      <c r="B114" s="16" t="s">
        <v>14</v>
      </c>
      <c r="C114" s="39" t="s">
        <v>634</v>
      </c>
      <c r="D114" s="44" t="s">
        <v>447</v>
      </c>
      <c r="E114" s="26">
        <v>4500262958</v>
      </c>
      <c r="F114" s="55">
        <v>45727</v>
      </c>
      <c r="G114" s="26" t="s">
        <v>616</v>
      </c>
      <c r="H114" s="26">
        <v>2</v>
      </c>
      <c r="I114" s="56">
        <f>597000/3</f>
        <v>199000</v>
      </c>
      <c r="J114" s="26">
        <v>4</v>
      </c>
      <c r="K114" s="321">
        <f t="shared" si="2"/>
        <v>49750</v>
      </c>
      <c r="L114" s="57">
        <v>45658</v>
      </c>
      <c r="M114" s="57">
        <v>46022</v>
      </c>
      <c r="N114" s="58" t="s">
        <v>520</v>
      </c>
      <c r="O114" s="26" t="s">
        <v>3</v>
      </c>
      <c r="P114" s="26"/>
      <c r="Q114" s="59" t="s">
        <v>390</v>
      </c>
      <c r="R114" s="58" t="s">
        <v>635</v>
      </c>
      <c r="S114" s="59" t="s">
        <v>391</v>
      </c>
      <c r="T114" s="58" t="s">
        <v>636</v>
      </c>
      <c r="U114" s="59" t="s">
        <v>168</v>
      </c>
      <c r="V114" s="58" t="s">
        <v>637</v>
      </c>
      <c r="W114" s="59" t="s">
        <v>228</v>
      </c>
      <c r="X114" s="58" t="s">
        <v>493</v>
      </c>
      <c r="Y114" s="58"/>
      <c r="Z114" s="58"/>
      <c r="AA114" s="58"/>
      <c r="AB114" s="58"/>
      <c r="AC114" s="58" t="s">
        <v>96</v>
      </c>
      <c r="AD114" s="26" t="s">
        <v>97</v>
      </c>
      <c r="AE114" s="26" t="s">
        <v>494</v>
      </c>
      <c r="AF114" s="58" t="s">
        <v>638</v>
      </c>
    </row>
    <row r="115" spans="2:32" ht="14.4" hidden="1" x14ac:dyDescent="0.3">
      <c r="B115" s="16" t="s">
        <v>14</v>
      </c>
      <c r="C115" s="39" t="s">
        <v>634</v>
      </c>
      <c r="D115" s="44" t="s">
        <v>447</v>
      </c>
      <c r="E115" s="26">
        <v>4500262958</v>
      </c>
      <c r="F115" s="55">
        <v>45727</v>
      </c>
      <c r="G115" s="26"/>
      <c r="H115" s="26"/>
      <c r="I115" s="56">
        <v>199000</v>
      </c>
      <c r="J115" s="26">
        <v>4</v>
      </c>
      <c r="K115" s="321">
        <f t="shared" si="2"/>
        <v>49750</v>
      </c>
      <c r="L115" s="57">
        <v>46023</v>
      </c>
      <c r="M115" s="57">
        <v>46387</v>
      </c>
      <c r="N115" s="58" t="s">
        <v>520</v>
      </c>
      <c r="O115" s="26" t="s">
        <v>3</v>
      </c>
      <c r="P115" s="26"/>
      <c r="Q115" s="59" t="s">
        <v>396</v>
      </c>
      <c r="R115" s="58" t="s">
        <v>639</v>
      </c>
      <c r="S115" s="58" t="s">
        <v>397</v>
      </c>
      <c r="T115" s="58"/>
      <c r="U115" s="58" t="s">
        <v>496</v>
      </c>
      <c r="V115" s="58"/>
      <c r="W115" s="58" t="s">
        <v>497</v>
      </c>
      <c r="X115" s="58"/>
      <c r="Y115" s="58"/>
      <c r="Z115" s="58"/>
      <c r="AA115" s="58"/>
      <c r="AB115" s="58"/>
      <c r="AC115" s="58" t="s">
        <v>96</v>
      </c>
      <c r="AD115" s="26" t="s">
        <v>97</v>
      </c>
      <c r="AE115" s="26" t="s">
        <v>494</v>
      </c>
      <c r="AF115" s="58"/>
    </row>
    <row r="116" spans="2:32" ht="14.4" hidden="1" x14ac:dyDescent="0.3">
      <c r="B116" s="16" t="s">
        <v>14</v>
      </c>
      <c r="C116" s="68" t="s">
        <v>634</v>
      </c>
      <c r="D116" s="44" t="s">
        <v>447</v>
      </c>
      <c r="E116" s="42">
        <v>4500262958</v>
      </c>
      <c r="F116" s="43">
        <v>45727</v>
      </c>
      <c r="G116" s="42"/>
      <c r="H116" s="42"/>
      <c r="I116" s="61">
        <v>199000</v>
      </c>
      <c r="J116" s="42">
        <v>4</v>
      </c>
      <c r="K116" s="321">
        <f t="shared" si="2"/>
        <v>49750</v>
      </c>
      <c r="L116" s="62">
        <v>46388</v>
      </c>
      <c r="M116" s="62">
        <v>46752</v>
      </c>
      <c r="N116" s="63" t="s">
        <v>520</v>
      </c>
      <c r="O116" s="42" t="s">
        <v>3</v>
      </c>
      <c r="P116" s="42"/>
      <c r="Q116" s="63" t="s">
        <v>498</v>
      </c>
      <c r="R116" s="63"/>
      <c r="S116" s="63" t="s">
        <v>499</v>
      </c>
      <c r="T116" s="63"/>
      <c r="U116" s="63" t="s">
        <v>500</v>
      </c>
      <c r="V116" s="63"/>
      <c r="W116" s="63" t="s">
        <v>501</v>
      </c>
      <c r="X116" s="63"/>
      <c r="Y116" s="63"/>
      <c r="Z116" s="63"/>
      <c r="AA116" s="63"/>
      <c r="AB116" s="63"/>
      <c r="AC116" s="63" t="s">
        <v>96</v>
      </c>
      <c r="AD116" s="42" t="s">
        <v>97</v>
      </c>
      <c r="AE116" s="42" t="s">
        <v>494</v>
      </c>
      <c r="AF116" s="63"/>
    </row>
    <row r="117" spans="2:32" ht="14.4" hidden="1" x14ac:dyDescent="0.3">
      <c r="B117" s="16" t="s">
        <v>14</v>
      </c>
      <c r="C117" s="39" t="s">
        <v>640</v>
      </c>
      <c r="D117" s="44" t="s">
        <v>641</v>
      </c>
      <c r="E117" s="26" t="s">
        <v>642</v>
      </c>
      <c r="F117" s="55">
        <v>45731</v>
      </c>
      <c r="G117" s="26" t="s">
        <v>643</v>
      </c>
      <c r="H117" s="26">
        <v>3</v>
      </c>
      <c r="I117" s="56">
        <v>152460</v>
      </c>
      <c r="J117" s="26">
        <v>1</v>
      </c>
      <c r="K117" s="321">
        <f t="shared" si="2"/>
        <v>152460</v>
      </c>
      <c r="L117" s="57">
        <v>45748</v>
      </c>
      <c r="M117" s="57">
        <v>46112</v>
      </c>
      <c r="N117" s="58" t="s">
        <v>19</v>
      </c>
      <c r="O117" s="26" t="s">
        <v>3</v>
      </c>
      <c r="P117" s="26"/>
      <c r="Q117" s="59" t="s">
        <v>631</v>
      </c>
      <c r="R117" s="58" t="s">
        <v>644</v>
      </c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 t="s">
        <v>551</v>
      </c>
      <c r="AD117" s="16" t="s">
        <v>207</v>
      </c>
      <c r="AE117" s="26">
        <v>2</v>
      </c>
      <c r="AF117" s="58" t="s">
        <v>645</v>
      </c>
    </row>
    <row r="118" spans="2:32" ht="14.4" hidden="1" x14ac:dyDescent="0.3">
      <c r="B118" s="16" t="s">
        <v>14</v>
      </c>
      <c r="C118" s="68" t="s">
        <v>640</v>
      </c>
      <c r="D118" s="44" t="s">
        <v>641</v>
      </c>
      <c r="E118" s="42" t="s">
        <v>642</v>
      </c>
      <c r="F118" s="43">
        <v>45731</v>
      </c>
      <c r="G118" s="42"/>
      <c r="H118" s="42"/>
      <c r="I118" s="61">
        <v>152460</v>
      </c>
      <c r="J118" s="42">
        <v>1</v>
      </c>
      <c r="K118" s="321">
        <f t="shared" si="2"/>
        <v>152460</v>
      </c>
      <c r="L118" s="62">
        <v>46113</v>
      </c>
      <c r="M118" s="62">
        <v>46477</v>
      </c>
      <c r="N118" s="63" t="s">
        <v>520</v>
      </c>
      <c r="O118" s="42" t="s">
        <v>3</v>
      </c>
      <c r="P118" s="42"/>
      <c r="Q118" s="63" t="s">
        <v>646</v>
      </c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 t="s">
        <v>551</v>
      </c>
      <c r="AD118" s="16" t="s">
        <v>207</v>
      </c>
      <c r="AE118" s="42">
        <v>2</v>
      </c>
      <c r="AF118" s="63"/>
    </row>
    <row r="119" spans="2:32" ht="14.4" hidden="1" x14ac:dyDescent="0.3">
      <c r="B119" s="16" t="s">
        <v>14</v>
      </c>
      <c r="C119" s="37" t="s">
        <v>647</v>
      </c>
      <c r="D119" s="44" t="s">
        <v>648</v>
      </c>
      <c r="E119" s="196">
        <v>450087563</v>
      </c>
      <c r="F119" s="22">
        <v>45728</v>
      </c>
      <c r="G119" s="16" t="s">
        <v>643</v>
      </c>
      <c r="H119" s="16">
        <v>2</v>
      </c>
      <c r="I119" s="19">
        <v>220000</v>
      </c>
      <c r="J119" s="16">
        <v>2</v>
      </c>
      <c r="K119" s="321">
        <f t="shared" si="2"/>
        <v>110000</v>
      </c>
      <c r="L119" s="20">
        <v>45660</v>
      </c>
      <c r="M119" s="20">
        <v>46081</v>
      </c>
      <c r="N119" s="18" t="s">
        <v>19</v>
      </c>
      <c r="O119" s="16" t="s">
        <v>2</v>
      </c>
      <c r="P119" s="16"/>
      <c r="Q119" s="21" t="s">
        <v>624</v>
      </c>
      <c r="R119" s="18" t="s">
        <v>504</v>
      </c>
      <c r="S119" s="195" t="s">
        <v>625</v>
      </c>
      <c r="T119" s="18" t="s">
        <v>649</v>
      </c>
      <c r="U119" s="18"/>
      <c r="V119" s="18"/>
      <c r="W119" s="18"/>
      <c r="X119" s="18"/>
      <c r="Y119" s="18"/>
      <c r="Z119" s="18"/>
      <c r="AA119" s="18"/>
      <c r="AB119" s="18"/>
      <c r="AC119" s="18" t="s">
        <v>183</v>
      </c>
      <c r="AD119" s="16" t="s">
        <v>97</v>
      </c>
      <c r="AE119" s="16">
        <v>2</v>
      </c>
      <c r="AF119" s="18" t="s">
        <v>650</v>
      </c>
    </row>
    <row r="120" spans="2:32" ht="14.4" hidden="1" x14ac:dyDescent="0.3">
      <c r="B120" s="16" t="s">
        <v>14</v>
      </c>
      <c r="C120" s="37" t="s">
        <v>651</v>
      </c>
      <c r="D120" s="44" t="s">
        <v>447</v>
      </c>
      <c r="E120" s="28">
        <v>9200013983</v>
      </c>
      <c r="F120" s="22">
        <v>45727</v>
      </c>
      <c r="G120" s="16" t="s">
        <v>643</v>
      </c>
      <c r="H120" s="16">
        <v>1</v>
      </c>
      <c r="I120" s="19">
        <v>87360</v>
      </c>
      <c r="J120" s="16">
        <v>3</v>
      </c>
      <c r="K120" s="321">
        <f t="shared" si="2"/>
        <v>29120</v>
      </c>
      <c r="L120" s="20">
        <v>45717</v>
      </c>
      <c r="M120" s="20">
        <v>46081</v>
      </c>
      <c r="N120" s="18" t="s">
        <v>19</v>
      </c>
      <c r="O120" s="16" t="s">
        <v>2</v>
      </c>
      <c r="P120" s="16"/>
      <c r="Q120" s="21" t="s">
        <v>188</v>
      </c>
      <c r="R120" s="18" t="s">
        <v>652</v>
      </c>
      <c r="S120" s="21" t="s">
        <v>190</v>
      </c>
      <c r="T120" s="18" t="s">
        <v>475</v>
      </c>
      <c r="U120" s="21" t="s">
        <v>192</v>
      </c>
      <c r="V120" s="18" t="s">
        <v>653</v>
      </c>
      <c r="W120" s="18"/>
      <c r="X120" s="18"/>
      <c r="Y120" s="18"/>
      <c r="Z120" s="18"/>
      <c r="AA120" s="18"/>
      <c r="AB120" s="18"/>
      <c r="AC120" s="18" t="s">
        <v>281</v>
      </c>
      <c r="AD120" s="16" t="s">
        <v>97</v>
      </c>
      <c r="AE120" s="16">
        <v>3</v>
      </c>
      <c r="AF120" s="18" t="s">
        <v>654</v>
      </c>
    </row>
    <row r="121" spans="2:32" ht="14.4" hidden="1" x14ac:dyDescent="0.3">
      <c r="B121" s="16" t="s">
        <v>14</v>
      </c>
      <c r="C121" s="37" t="s">
        <v>655</v>
      </c>
      <c r="D121" s="235" t="s">
        <v>151</v>
      </c>
      <c r="E121" s="102">
        <v>2006637</v>
      </c>
      <c r="F121" s="22">
        <v>45729</v>
      </c>
      <c r="G121" s="16" t="s">
        <v>643</v>
      </c>
      <c r="H121" s="16">
        <v>4</v>
      </c>
      <c r="I121" s="19">
        <v>288000</v>
      </c>
      <c r="J121" s="16">
        <v>2</v>
      </c>
      <c r="K121" s="321">
        <f t="shared" si="2"/>
        <v>144000</v>
      </c>
      <c r="L121" s="20">
        <v>45661</v>
      </c>
      <c r="M121" s="20">
        <v>46112</v>
      </c>
      <c r="N121" s="18" t="s">
        <v>19</v>
      </c>
      <c r="O121" s="16" t="s">
        <v>5</v>
      </c>
      <c r="P121" s="16"/>
      <c r="Q121" s="21" t="s">
        <v>463</v>
      </c>
      <c r="R121" s="18" t="s">
        <v>582</v>
      </c>
      <c r="S121" s="21" t="s">
        <v>465</v>
      </c>
      <c r="T121" s="18" t="s">
        <v>656</v>
      </c>
      <c r="U121" s="18"/>
      <c r="V121" s="18"/>
      <c r="W121" s="18"/>
      <c r="X121" s="18"/>
      <c r="Y121" s="18"/>
      <c r="Z121" s="18"/>
      <c r="AA121" s="18"/>
      <c r="AB121" s="18"/>
      <c r="AC121" s="18" t="s">
        <v>478</v>
      </c>
      <c r="AD121" s="16" t="s">
        <v>63</v>
      </c>
      <c r="AE121" s="16">
        <v>2</v>
      </c>
      <c r="AF121" s="18" t="s">
        <v>657</v>
      </c>
    </row>
    <row r="122" spans="2:32" ht="14.4" hidden="1" x14ac:dyDescent="0.3">
      <c r="B122" s="16" t="s">
        <v>14</v>
      </c>
      <c r="C122" s="37" t="s">
        <v>658</v>
      </c>
      <c r="D122" s="44" t="s">
        <v>388</v>
      </c>
      <c r="E122" s="102" t="s">
        <v>659</v>
      </c>
      <c r="F122" s="22">
        <v>45705</v>
      </c>
      <c r="G122" s="16" t="s">
        <v>643</v>
      </c>
      <c r="H122" s="16">
        <v>1</v>
      </c>
      <c r="I122" s="19">
        <v>68000</v>
      </c>
      <c r="J122" s="16">
        <v>2</v>
      </c>
      <c r="K122" s="321">
        <f t="shared" si="2"/>
        <v>34000</v>
      </c>
      <c r="L122" s="20">
        <v>45717</v>
      </c>
      <c r="M122" s="20">
        <v>46081</v>
      </c>
      <c r="N122" s="18" t="s">
        <v>19</v>
      </c>
      <c r="O122" s="25" t="s">
        <v>3</v>
      </c>
      <c r="P122" s="16"/>
      <c r="Q122" s="21" t="s">
        <v>624</v>
      </c>
      <c r="R122" s="18" t="s">
        <v>660</v>
      </c>
      <c r="S122" s="21" t="s">
        <v>625</v>
      </c>
      <c r="T122" s="18" t="s">
        <v>661</v>
      </c>
      <c r="U122" s="18"/>
      <c r="V122" s="18"/>
      <c r="W122" s="18"/>
      <c r="X122" s="18"/>
      <c r="Y122" s="18"/>
      <c r="Z122" s="18"/>
      <c r="AA122" s="18"/>
      <c r="AB122" s="18"/>
      <c r="AC122" s="18" t="s">
        <v>478</v>
      </c>
      <c r="AD122" s="16" t="s">
        <v>63</v>
      </c>
      <c r="AE122" s="16">
        <v>3</v>
      </c>
      <c r="AF122" s="18" t="s">
        <v>662</v>
      </c>
    </row>
    <row r="123" spans="2:32" ht="14.4" hidden="1" x14ac:dyDescent="0.3">
      <c r="B123" s="16" t="s">
        <v>14</v>
      </c>
      <c r="C123" s="37" t="s">
        <v>663</v>
      </c>
      <c r="D123" s="236" t="s">
        <v>664</v>
      </c>
      <c r="E123" s="85">
        <v>4507449999</v>
      </c>
      <c r="F123" s="22">
        <v>45742</v>
      </c>
      <c r="G123" s="16" t="s">
        <v>643</v>
      </c>
      <c r="H123" s="16">
        <v>1</v>
      </c>
      <c r="I123" s="19">
        <v>66999.990000000005</v>
      </c>
      <c r="J123" s="16">
        <v>3</v>
      </c>
      <c r="K123" s="321">
        <f t="shared" si="2"/>
        <v>22333.33</v>
      </c>
      <c r="L123" s="20">
        <v>45748</v>
      </c>
      <c r="M123" s="20">
        <v>46112</v>
      </c>
      <c r="N123" s="18" t="s">
        <v>19</v>
      </c>
      <c r="O123" s="25" t="s">
        <v>3</v>
      </c>
      <c r="P123" s="16"/>
      <c r="Q123" s="21" t="s">
        <v>357</v>
      </c>
      <c r="R123" s="18" t="s">
        <v>401</v>
      </c>
      <c r="S123" s="21" t="s">
        <v>665</v>
      </c>
      <c r="T123" s="18" t="s">
        <v>73</v>
      </c>
      <c r="U123" s="21" t="s">
        <v>361</v>
      </c>
      <c r="V123" s="18" t="s">
        <v>666</v>
      </c>
      <c r="W123" s="18"/>
      <c r="X123" s="18"/>
      <c r="Y123" s="18"/>
      <c r="Z123" s="18"/>
      <c r="AA123" s="18"/>
      <c r="AB123" s="18"/>
      <c r="AC123" s="18" t="s">
        <v>478</v>
      </c>
      <c r="AD123" s="16" t="s">
        <v>63</v>
      </c>
      <c r="AE123" s="16" t="s">
        <v>494</v>
      </c>
      <c r="AF123" s="18" t="s">
        <v>667</v>
      </c>
    </row>
    <row r="124" spans="2:32" ht="14.4" hidden="1" x14ac:dyDescent="0.3">
      <c r="B124" s="16" t="s">
        <v>14</v>
      </c>
      <c r="C124" s="37" t="s">
        <v>668</v>
      </c>
      <c r="D124" s="236" t="s">
        <v>669</v>
      </c>
      <c r="E124" s="16">
        <v>50055662</v>
      </c>
      <c r="F124" s="51">
        <v>45743</v>
      </c>
      <c r="G124" s="16" t="s">
        <v>643</v>
      </c>
      <c r="H124" s="16">
        <v>13</v>
      </c>
      <c r="I124" s="19">
        <v>585000</v>
      </c>
      <c r="J124" s="16">
        <v>1</v>
      </c>
      <c r="K124" s="321">
        <f t="shared" si="2"/>
        <v>585000</v>
      </c>
      <c r="L124" s="20">
        <v>45748</v>
      </c>
      <c r="M124" s="20">
        <v>46112</v>
      </c>
      <c r="N124" s="18" t="s">
        <v>19</v>
      </c>
      <c r="O124" s="25" t="s">
        <v>3</v>
      </c>
      <c r="P124" s="16"/>
      <c r="Q124" s="21" t="s">
        <v>631</v>
      </c>
      <c r="R124" s="18" t="s">
        <v>670</v>
      </c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 t="s">
        <v>478</v>
      </c>
      <c r="AD124" s="16" t="s">
        <v>63</v>
      </c>
      <c r="AE124" s="16">
        <v>1</v>
      </c>
      <c r="AF124" s="18"/>
    </row>
    <row r="125" spans="2:32" ht="14.4" hidden="1" x14ac:dyDescent="0.3">
      <c r="B125" s="16" t="s">
        <v>14</v>
      </c>
      <c r="C125" s="37" t="s">
        <v>668</v>
      </c>
      <c r="D125" s="236" t="s">
        <v>669</v>
      </c>
      <c r="E125" s="25">
        <v>50055662</v>
      </c>
      <c r="F125" s="51">
        <v>45743</v>
      </c>
      <c r="G125" s="16" t="s">
        <v>643</v>
      </c>
      <c r="H125" s="16">
        <v>2</v>
      </c>
      <c r="I125" s="19">
        <v>160000</v>
      </c>
      <c r="J125" s="16">
        <v>2</v>
      </c>
      <c r="K125" s="321">
        <f t="shared" si="2"/>
        <v>80000</v>
      </c>
      <c r="L125" s="20">
        <v>45748</v>
      </c>
      <c r="M125" s="20">
        <v>46112</v>
      </c>
      <c r="N125" s="18" t="s">
        <v>19</v>
      </c>
      <c r="O125" s="25" t="s">
        <v>3</v>
      </c>
      <c r="P125" s="16"/>
      <c r="Q125" s="21" t="s">
        <v>463</v>
      </c>
      <c r="R125" s="18" t="s">
        <v>169</v>
      </c>
      <c r="S125" s="21" t="s">
        <v>465</v>
      </c>
      <c r="T125" s="18" t="s">
        <v>526</v>
      </c>
      <c r="U125" s="18"/>
      <c r="V125" s="18"/>
      <c r="W125" s="18"/>
      <c r="X125" s="18"/>
      <c r="Y125" s="18"/>
      <c r="Z125" s="18"/>
      <c r="AA125" s="18"/>
      <c r="AB125" s="18"/>
      <c r="AC125" s="18" t="s">
        <v>478</v>
      </c>
      <c r="AD125" s="16" t="s">
        <v>63</v>
      </c>
      <c r="AE125" s="16">
        <v>2</v>
      </c>
      <c r="AF125" s="18" t="s">
        <v>671</v>
      </c>
    </row>
    <row r="126" spans="2:32" ht="14.4" hidden="1" x14ac:dyDescent="0.3">
      <c r="B126" s="16" t="s">
        <v>14</v>
      </c>
      <c r="C126" s="39" t="s">
        <v>672</v>
      </c>
      <c r="D126" s="54" t="s">
        <v>447</v>
      </c>
      <c r="E126" s="26">
        <v>4800086922</v>
      </c>
      <c r="F126" s="55">
        <v>45747</v>
      </c>
      <c r="G126" s="26" t="s">
        <v>643</v>
      </c>
      <c r="H126" s="26">
        <v>3</v>
      </c>
      <c r="I126" s="107">
        <f>44887.5*4</f>
        <v>179550</v>
      </c>
      <c r="J126" s="26">
        <v>4</v>
      </c>
      <c r="K126" s="321">
        <f t="shared" si="2"/>
        <v>44887.5</v>
      </c>
      <c r="L126" s="57">
        <v>45748</v>
      </c>
      <c r="M126" s="57">
        <v>46112</v>
      </c>
      <c r="N126" s="58" t="s">
        <v>520</v>
      </c>
      <c r="O126" s="26" t="s">
        <v>5</v>
      </c>
      <c r="P126" s="26"/>
      <c r="Q126" s="59" t="s">
        <v>391</v>
      </c>
      <c r="R126" s="58" t="s">
        <v>401</v>
      </c>
      <c r="S126" s="59" t="s">
        <v>523</v>
      </c>
      <c r="T126" s="58" t="s">
        <v>126</v>
      </c>
      <c r="U126" s="59" t="s">
        <v>228</v>
      </c>
      <c r="V126" s="58" t="s">
        <v>673</v>
      </c>
      <c r="W126" s="59" t="s">
        <v>396</v>
      </c>
      <c r="X126" s="58" t="s">
        <v>495</v>
      </c>
      <c r="Y126" s="58"/>
      <c r="Z126" s="58"/>
      <c r="AA126" s="58"/>
      <c r="AB126" s="58"/>
      <c r="AC126" s="58" t="s">
        <v>96</v>
      </c>
      <c r="AD126" s="26" t="s">
        <v>97</v>
      </c>
      <c r="AE126" s="26" t="s">
        <v>494</v>
      </c>
      <c r="AF126" s="58" t="s">
        <v>657</v>
      </c>
    </row>
    <row r="127" spans="2:32" ht="14.4" hidden="1" x14ac:dyDescent="0.3">
      <c r="B127" s="16" t="s">
        <v>14</v>
      </c>
      <c r="C127" s="39" t="s">
        <v>672</v>
      </c>
      <c r="D127" s="54" t="s">
        <v>447</v>
      </c>
      <c r="E127" s="26">
        <v>4800086922</v>
      </c>
      <c r="F127" s="55">
        <v>45747</v>
      </c>
      <c r="G127" s="26" t="s">
        <v>643</v>
      </c>
      <c r="H127" s="26"/>
      <c r="I127" s="56">
        <f>47133.75*4</f>
        <v>188535</v>
      </c>
      <c r="J127" s="26">
        <v>4</v>
      </c>
      <c r="K127" s="321">
        <f t="shared" si="2"/>
        <v>47133.75</v>
      </c>
      <c r="L127" s="57">
        <v>46113</v>
      </c>
      <c r="M127" s="57">
        <v>46477</v>
      </c>
      <c r="N127" s="58" t="s">
        <v>520</v>
      </c>
      <c r="O127" s="26" t="s">
        <v>5</v>
      </c>
      <c r="P127" s="26"/>
      <c r="Q127" s="58" t="s">
        <v>397</v>
      </c>
      <c r="R127" s="58"/>
      <c r="S127" s="58" t="s">
        <v>496</v>
      </c>
      <c r="T127" s="58"/>
      <c r="U127" s="58" t="s">
        <v>497</v>
      </c>
      <c r="V127" s="58"/>
      <c r="W127" s="58" t="s">
        <v>498</v>
      </c>
      <c r="X127" s="58"/>
      <c r="Y127" s="58"/>
      <c r="Z127" s="58"/>
      <c r="AA127" s="58"/>
      <c r="AB127" s="58"/>
      <c r="AC127" s="58" t="s">
        <v>96</v>
      </c>
      <c r="AD127" s="26" t="s">
        <v>97</v>
      </c>
      <c r="AE127" s="26" t="s">
        <v>494</v>
      </c>
      <c r="AF127" s="58"/>
    </row>
    <row r="128" spans="2:32" ht="14.4" hidden="1" x14ac:dyDescent="0.3">
      <c r="B128" s="16" t="s">
        <v>14</v>
      </c>
      <c r="C128" s="68" t="s">
        <v>672</v>
      </c>
      <c r="D128" s="44" t="s">
        <v>447</v>
      </c>
      <c r="E128" s="42">
        <v>4800086922</v>
      </c>
      <c r="F128" s="43">
        <v>45747</v>
      </c>
      <c r="G128" s="42" t="s">
        <v>643</v>
      </c>
      <c r="H128" s="42"/>
      <c r="I128" s="61">
        <v>196500</v>
      </c>
      <c r="J128" s="42">
        <v>4</v>
      </c>
      <c r="K128" s="321">
        <f t="shared" si="2"/>
        <v>49125</v>
      </c>
      <c r="L128" s="62">
        <v>46478</v>
      </c>
      <c r="M128" s="62">
        <v>46843</v>
      </c>
      <c r="N128" s="63" t="s">
        <v>520</v>
      </c>
      <c r="O128" s="26" t="s">
        <v>5</v>
      </c>
      <c r="P128" s="42"/>
      <c r="Q128" s="63" t="s">
        <v>499</v>
      </c>
      <c r="R128" s="63"/>
      <c r="S128" s="63" t="s">
        <v>500</v>
      </c>
      <c r="T128" s="63"/>
      <c r="U128" s="63" t="s">
        <v>501</v>
      </c>
      <c r="V128" s="63"/>
      <c r="W128" s="63" t="s">
        <v>674</v>
      </c>
      <c r="X128" s="63"/>
      <c r="Y128" s="63"/>
      <c r="Z128" s="63"/>
      <c r="AA128" s="63"/>
      <c r="AB128" s="63"/>
      <c r="AC128" s="63" t="s">
        <v>96</v>
      </c>
      <c r="AD128" s="42" t="s">
        <v>97</v>
      </c>
      <c r="AE128" s="42" t="s">
        <v>494</v>
      </c>
      <c r="AF128" s="63"/>
    </row>
    <row r="129" spans="2:32" ht="14.4" hidden="1" x14ac:dyDescent="0.3">
      <c r="B129" s="16" t="s">
        <v>14</v>
      </c>
      <c r="C129" s="49" t="s">
        <v>614</v>
      </c>
      <c r="D129" s="237" t="s">
        <v>447</v>
      </c>
      <c r="E129" s="108" t="s">
        <v>675</v>
      </c>
      <c r="F129" s="109">
        <v>45743</v>
      </c>
      <c r="G129" s="42" t="s">
        <v>643</v>
      </c>
      <c r="H129" s="26">
        <v>2</v>
      </c>
      <c r="I129" s="56">
        <v>152880</v>
      </c>
      <c r="J129" s="42">
        <v>3</v>
      </c>
      <c r="K129" s="321">
        <f t="shared" si="2"/>
        <v>50960</v>
      </c>
      <c r="L129" s="57">
        <v>45748</v>
      </c>
      <c r="M129" s="57">
        <v>46112</v>
      </c>
      <c r="N129" s="63" t="s">
        <v>19</v>
      </c>
      <c r="O129" s="26" t="s">
        <v>3</v>
      </c>
      <c r="P129" s="26"/>
      <c r="Q129" s="59" t="s">
        <v>357</v>
      </c>
      <c r="R129" s="58" t="s">
        <v>676</v>
      </c>
      <c r="S129" s="59" t="s">
        <v>665</v>
      </c>
      <c r="T129" s="58" t="s">
        <v>677</v>
      </c>
      <c r="U129" s="59" t="s">
        <v>361</v>
      </c>
      <c r="V129" s="58" t="s">
        <v>403</v>
      </c>
      <c r="W129" s="58"/>
      <c r="X129" s="58"/>
      <c r="Y129" s="58"/>
      <c r="Z129" s="58"/>
      <c r="AA129" s="58"/>
      <c r="AB129" s="58"/>
      <c r="AC129" s="58" t="s">
        <v>281</v>
      </c>
      <c r="AD129" s="42" t="s">
        <v>97</v>
      </c>
      <c r="AE129" s="26">
        <v>3</v>
      </c>
      <c r="AF129" s="58" t="s">
        <v>678</v>
      </c>
    </row>
    <row r="130" spans="2:32" ht="14.4" hidden="1" x14ac:dyDescent="0.3">
      <c r="B130" s="16" t="s">
        <v>14</v>
      </c>
      <c r="C130" s="110" t="s">
        <v>679</v>
      </c>
      <c r="D130" s="236" t="s">
        <v>680</v>
      </c>
      <c r="E130" s="16">
        <v>7000168921</v>
      </c>
      <c r="F130" s="111">
        <v>45834</v>
      </c>
      <c r="G130" s="42" t="s">
        <v>643</v>
      </c>
      <c r="H130" s="26">
        <v>2</v>
      </c>
      <c r="I130" s="107">
        <v>180000</v>
      </c>
      <c r="J130" s="42">
        <v>2</v>
      </c>
      <c r="K130" s="321">
        <f t="shared" si="2"/>
        <v>90000</v>
      </c>
      <c r="L130" s="57">
        <v>45748</v>
      </c>
      <c r="M130" s="57">
        <v>46112</v>
      </c>
      <c r="N130" s="63" t="s">
        <v>19</v>
      </c>
      <c r="O130" s="26" t="s">
        <v>3</v>
      </c>
      <c r="P130" s="26"/>
      <c r="Q130" s="59" t="s">
        <v>681</v>
      </c>
      <c r="R130" s="58" t="s">
        <v>682</v>
      </c>
      <c r="S130" s="59" t="s">
        <v>465</v>
      </c>
      <c r="T130" s="58" t="s">
        <v>683</v>
      </c>
      <c r="U130" s="58"/>
      <c r="V130" s="58"/>
      <c r="W130" s="58"/>
      <c r="X130" s="58"/>
      <c r="Y130" s="58"/>
      <c r="Z130" s="58"/>
      <c r="AA130" s="58"/>
      <c r="AB130" s="58"/>
      <c r="AC130" s="58" t="s">
        <v>485</v>
      </c>
      <c r="AD130" s="16" t="s">
        <v>63</v>
      </c>
      <c r="AE130" s="26">
        <v>2</v>
      </c>
      <c r="AF130" s="58" t="s">
        <v>684</v>
      </c>
    </row>
    <row r="131" spans="2:32" ht="14.4" hidden="1" x14ac:dyDescent="0.3">
      <c r="B131" s="16" t="s">
        <v>14</v>
      </c>
      <c r="C131" s="53" t="s">
        <v>685</v>
      </c>
      <c r="D131" s="54" t="s">
        <v>151</v>
      </c>
      <c r="E131" s="77">
        <v>4512433191</v>
      </c>
      <c r="F131" s="55">
        <v>45749</v>
      </c>
      <c r="G131" s="42" t="s">
        <v>643</v>
      </c>
      <c r="H131" s="26">
        <v>1</v>
      </c>
      <c r="I131" s="56">
        <v>46000</v>
      </c>
      <c r="J131" s="42">
        <v>3</v>
      </c>
      <c r="K131" s="321">
        <f t="shared" si="2"/>
        <v>15333.333333333334</v>
      </c>
      <c r="L131" s="57">
        <v>45778</v>
      </c>
      <c r="M131" s="57">
        <v>46142</v>
      </c>
      <c r="N131" s="63" t="s">
        <v>19</v>
      </c>
      <c r="O131" s="26" t="s">
        <v>5</v>
      </c>
      <c r="P131" s="26"/>
      <c r="Q131" s="59" t="s">
        <v>343</v>
      </c>
      <c r="R131" s="58" t="s">
        <v>686</v>
      </c>
      <c r="S131" s="59" t="s">
        <v>345</v>
      </c>
      <c r="T131" s="58" t="s">
        <v>687</v>
      </c>
      <c r="U131" s="59" t="s">
        <v>347</v>
      </c>
      <c r="V131" s="58" t="s">
        <v>688</v>
      </c>
      <c r="W131" s="58"/>
      <c r="X131" s="58"/>
      <c r="Y131" s="58"/>
      <c r="Z131" s="58"/>
      <c r="AA131" s="58"/>
      <c r="AB131" s="58"/>
      <c r="AC131" s="58" t="s">
        <v>478</v>
      </c>
      <c r="AD131" s="16" t="s">
        <v>63</v>
      </c>
      <c r="AE131" s="26">
        <v>5</v>
      </c>
      <c r="AF131" s="58" t="s">
        <v>689</v>
      </c>
    </row>
    <row r="132" spans="2:32" ht="14.4" hidden="1" x14ac:dyDescent="0.3">
      <c r="B132" s="16" t="s">
        <v>14</v>
      </c>
      <c r="C132" s="53" t="s">
        <v>685</v>
      </c>
      <c r="D132" s="54" t="s">
        <v>151</v>
      </c>
      <c r="E132" s="112">
        <v>4512439844</v>
      </c>
      <c r="F132" s="55">
        <v>45750</v>
      </c>
      <c r="G132" s="42" t="s">
        <v>643</v>
      </c>
      <c r="H132" s="26">
        <v>1</v>
      </c>
      <c r="I132" s="56">
        <v>269660</v>
      </c>
      <c r="J132" s="42">
        <v>3</v>
      </c>
      <c r="K132" s="321">
        <f t="shared" si="2"/>
        <v>89886.666666666672</v>
      </c>
      <c r="L132" s="57">
        <v>45748</v>
      </c>
      <c r="M132" s="57">
        <v>46112</v>
      </c>
      <c r="N132" s="63" t="s">
        <v>19</v>
      </c>
      <c r="O132" s="26" t="s">
        <v>5</v>
      </c>
      <c r="P132" s="26"/>
      <c r="Q132" s="59" t="s">
        <v>357</v>
      </c>
      <c r="R132" s="58" t="s">
        <v>690</v>
      </c>
      <c r="S132" s="59" t="s">
        <v>665</v>
      </c>
      <c r="T132" s="58" t="s">
        <v>691</v>
      </c>
      <c r="U132" s="59" t="s">
        <v>361</v>
      </c>
      <c r="V132" s="58" t="s">
        <v>692</v>
      </c>
      <c r="W132" s="58"/>
      <c r="X132" s="58"/>
      <c r="Y132" s="58"/>
      <c r="Z132" s="58"/>
      <c r="AA132" s="58"/>
      <c r="AB132" s="58"/>
      <c r="AC132" s="58" t="s">
        <v>478</v>
      </c>
      <c r="AD132" s="16" t="s">
        <v>63</v>
      </c>
      <c r="AE132" s="26">
        <v>5</v>
      </c>
      <c r="AF132" s="58" t="s">
        <v>689</v>
      </c>
    </row>
    <row r="133" spans="2:32" ht="14.4" hidden="1" x14ac:dyDescent="0.3">
      <c r="B133" s="16" t="s">
        <v>14</v>
      </c>
      <c r="C133" s="37" t="s">
        <v>668</v>
      </c>
      <c r="D133" s="238" t="s">
        <v>693</v>
      </c>
      <c r="E133" s="50">
        <v>30078594</v>
      </c>
      <c r="F133" s="113">
        <v>45755</v>
      </c>
      <c r="G133" s="26" t="s">
        <v>643</v>
      </c>
      <c r="H133" s="114">
        <v>7</v>
      </c>
      <c r="I133" s="56">
        <v>420413</v>
      </c>
      <c r="J133" s="42">
        <v>2</v>
      </c>
      <c r="K133" s="321">
        <f t="shared" si="2"/>
        <v>210206.5</v>
      </c>
      <c r="L133" s="57">
        <v>45748</v>
      </c>
      <c r="M133" s="57">
        <v>46112</v>
      </c>
      <c r="N133" s="63" t="s">
        <v>19</v>
      </c>
      <c r="O133" s="26" t="s">
        <v>5</v>
      </c>
      <c r="P133" s="26"/>
      <c r="Q133" s="59" t="s">
        <v>463</v>
      </c>
      <c r="R133" s="58" t="s">
        <v>694</v>
      </c>
      <c r="S133" s="59" t="s">
        <v>465</v>
      </c>
      <c r="T133" s="58" t="s">
        <v>695</v>
      </c>
      <c r="U133" s="58"/>
      <c r="V133" s="58"/>
      <c r="W133" s="58"/>
      <c r="X133" s="58"/>
      <c r="Y133" s="58"/>
      <c r="Z133" s="58"/>
      <c r="AA133" s="58"/>
      <c r="AB133" s="58"/>
      <c r="AC133" s="58" t="s">
        <v>128</v>
      </c>
      <c r="AD133" s="26" t="s">
        <v>129</v>
      </c>
      <c r="AE133" s="26">
        <v>2</v>
      </c>
      <c r="AF133" s="58" t="s">
        <v>696</v>
      </c>
    </row>
    <row r="134" spans="2:32" ht="14.4" hidden="1" x14ac:dyDescent="0.3">
      <c r="B134" s="16" t="s">
        <v>14</v>
      </c>
      <c r="C134" s="37" t="s">
        <v>544</v>
      </c>
      <c r="D134" s="239" t="s">
        <v>447</v>
      </c>
      <c r="E134" s="77">
        <v>1240065413</v>
      </c>
      <c r="F134" s="55">
        <v>45744</v>
      </c>
      <c r="G134" s="88" t="s">
        <v>643</v>
      </c>
      <c r="H134" s="26">
        <v>2</v>
      </c>
      <c r="I134" s="56">
        <v>204999.96</v>
      </c>
      <c r="J134" s="42">
        <v>3</v>
      </c>
      <c r="K134" s="321">
        <f t="shared" si="2"/>
        <v>68333.319999999992</v>
      </c>
      <c r="L134" s="57">
        <v>45748</v>
      </c>
      <c r="M134" s="57">
        <v>46112</v>
      </c>
      <c r="N134" s="63" t="s">
        <v>19</v>
      </c>
      <c r="O134" s="26" t="s">
        <v>3</v>
      </c>
      <c r="P134" s="26"/>
      <c r="Q134" s="59" t="s">
        <v>357</v>
      </c>
      <c r="R134" s="58" t="s">
        <v>697</v>
      </c>
      <c r="S134" s="59" t="s">
        <v>665</v>
      </c>
      <c r="T134" s="58" t="s">
        <v>698</v>
      </c>
      <c r="U134" s="59" t="s">
        <v>361</v>
      </c>
      <c r="V134" s="58" t="s">
        <v>699</v>
      </c>
      <c r="W134" s="58"/>
      <c r="X134" s="58"/>
      <c r="Y134" s="58"/>
      <c r="Z134" s="58"/>
      <c r="AA134" s="58"/>
      <c r="AB134" s="58"/>
      <c r="AC134" s="58" t="s">
        <v>96</v>
      </c>
      <c r="AD134" s="26" t="s">
        <v>97</v>
      </c>
      <c r="AE134" s="26">
        <v>3</v>
      </c>
      <c r="AF134" s="58" t="s">
        <v>700</v>
      </c>
    </row>
    <row r="135" spans="2:32" ht="14.4" hidden="1" x14ac:dyDescent="0.3">
      <c r="B135" s="16" t="s">
        <v>14</v>
      </c>
      <c r="C135" s="18" t="s">
        <v>701</v>
      </c>
      <c r="D135" s="225" t="s">
        <v>702</v>
      </c>
      <c r="E135" s="112">
        <v>6000079727</v>
      </c>
      <c r="F135" s="55">
        <v>45754</v>
      </c>
      <c r="G135" s="4" t="s">
        <v>703</v>
      </c>
      <c r="H135" s="26">
        <v>1</v>
      </c>
      <c r="I135" s="56">
        <v>362744.94</v>
      </c>
      <c r="J135" s="42">
        <v>6</v>
      </c>
      <c r="K135" s="321">
        <f t="shared" si="2"/>
        <v>60457.49</v>
      </c>
      <c r="L135" s="57">
        <v>45818</v>
      </c>
      <c r="M135" s="57">
        <v>46182</v>
      </c>
      <c r="N135" s="63" t="s">
        <v>520</v>
      </c>
      <c r="O135" s="26" t="s">
        <v>5</v>
      </c>
      <c r="P135" s="26"/>
      <c r="Q135" s="59" t="s">
        <v>704</v>
      </c>
      <c r="R135" s="58" t="s">
        <v>705</v>
      </c>
      <c r="S135" s="59" t="s">
        <v>706</v>
      </c>
      <c r="T135" s="58" t="s">
        <v>707</v>
      </c>
      <c r="U135" s="59" t="s">
        <v>708</v>
      </c>
      <c r="V135" s="58" t="s">
        <v>709</v>
      </c>
      <c r="W135" s="59" t="s">
        <v>710</v>
      </c>
      <c r="X135" s="58" t="s">
        <v>230</v>
      </c>
      <c r="Y135" s="59" t="s">
        <v>711</v>
      </c>
      <c r="Z135" s="58" t="s">
        <v>712</v>
      </c>
      <c r="AA135" s="58" t="s">
        <v>713</v>
      </c>
      <c r="AB135" s="58" t="s">
        <v>714</v>
      </c>
      <c r="AC135" s="58" t="s">
        <v>128</v>
      </c>
      <c r="AD135" s="26" t="s">
        <v>129</v>
      </c>
      <c r="AE135" s="26" t="s">
        <v>494</v>
      </c>
      <c r="AF135" s="58" t="s">
        <v>715</v>
      </c>
    </row>
    <row r="136" spans="2:32" ht="14.4" hidden="1" x14ac:dyDescent="0.3">
      <c r="B136" s="16" t="s">
        <v>14</v>
      </c>
      <c r="C136" s="37" t="s">
        <v>716</v>
      </c>
      <c r="D136" s="293" t="s">
        <v>447</v>
      </c>
      <c r="E136" s="42" t="s">
        <v>717</v>
      </c>
      <c r="F136" s="55">
        <v>45751</v>
      </c>
      <c r="G136" s="42" t="s">
        <v>643</v>
      </c>
      <c r="H136" s="26">
        <v>2</v>
      </c>
      <c r="I136" s="56">
        <f>118050+118050</f>
        <v>236100</v>
      </c>
      <c r="J136" s="42">
        <v>3</v>
      </c>
      <c r="K136" s="321">
        <f t="shared" ref="K136:K199" si="3">I136/J136</f>
        <v>78700</v>
      </c>
      <c r="L136" s="57">
        <v>45748</v>
      </c>
      <c r="M136" s="57">
        <v>46112</v>
      </c>
      <c r="N136" s="63" t="s">
        <v>19</v>
      </c>
      <c r="O136" s="26" t="s">
        <v>3</v>
      </c>
      <c r="P136" s="26"/>
      <c r="Q136" s="59" t="s">
        <v>357</v>
      </c>
      <c r="R136" s="58" t="s">
        <v>570</v>
      </c>
      <c r="S136" s="59" t="s">
        <v>665</v>
      </c>
      <c r="T136" s="58" t="s">
        <v>718</v>
      </c>
      <c r="U136" s="59" t="s">
        <v>361</v>
      </c>
      <c r="V136" s="58" t="s">
        <v>719</v>
      </c>
      <c r="W136" s="58"/>
      <c r="X136" s="58"/>
      <c r="Y136" s="58"/>
      <c r="Z136" s="58"/>
      <c r="AA136" s="58"/>
      <c r="AB136" s="58"/>
      <c r="AC136" s="58" t="s">
        <v>281</v>
      </c>
      <c r="AD136" s="26" t="s">
        <v>97</v>
      </c>
      <c r="AE136" s="26" t="s">
        <v>494</v>
      </c>
      <c r="AF136" s="58" t="s">
        <v>720</v>
      </c>
    </row>
    <row r="137" spans="2:32" ht="14.4" hidden="1" x14ac:dyDescent="0.3">
      <c r="B137" s="16" t="s">
        <v>14</v>
      </c>
      <c r="C137" s="37" t="s">
        <v>716</v>
      </c>
      <c r="D137" s="238" t="s">
        <v>447</v>
      </c>
      <c r="E137" s="42" t="s">
        <v>721</v>
      </c>
      <c r="F137" s="55">
        <v>45751</v>
      </c>
      <c r="G137" s="42" t="s">
        <v>643</v>
      </c>
      <c r="H137" s="26">
        <v>3</v>
      </c>
      <c r="I137" s="56">
        <f>59022+83613+118050</f>
        <v>260685</v>
      </c>
      <c r="J137" s="42">
        <v>3</v>
      </c>
      <c r="K137" s="321">
        <f t="shared" si="3"/>
        <v>86895</v>
      </c>
      <c r="L137" s="57">
        <v>45748</v>
      </c>
      <c r="M137" s="57">
        <v>46112</v>
      </c>
      <c r="N137" s="63" t="s">
        <v>19</v>
      </c>
      <c r="O137" s="26" t="s">
        <v>3</v>
      </c>
      <c r="P137" s="26"/>
      <c r="Q137" s="59" t="s">
        <v>357</v>
      </c>
      <c r="R137" s="58" t="s">
        <v>722</v>
      </c>
      <c r="S137" s="59" t="s">
        <v>665</v>
      </c>
      <c r="T137" s="58" t="s">
        <v>723</v>
      </c>
      <c r="U137" s="59" t="s">
        <v>361</v>
      </c>
      <c r="V137" s="58" t="s">
        <v>719</v>
      </c>
      <c r="W137" s="58"/>
      <c r="X137" s="58"/>
      <c r="Y137" s="58"/>
      <c r="Z137" s="58"/>
      <c r="AA137" s="58"/>
      <c r="AB137" s="58"/>
      <c r="AC137" s="58"/>
      <c r="AD137" s="26"/>
      <c r="AE137" s="26"/>
      <c r="AF137" s="58"/>
    </row>
    <row r="138" spans="2:32" ht="14.4" hidden="1" x14ac:dyDescent="0.3">
      <c r="B138" s="16" t="s">
        <v>14</v>
      </c>
      <c r="C138" s="86" t="s">
        <v>716</v>
      </c>
      <c r="D138" s="239" t="s">
        <v>447</v>
      </c>
      <c r="E138" s="42" t="s">
        <v>724</v>
      </c>
      <c r="F138" s="43">
        <v>45751</v>
      </c>
      <c r="G138" s="42" t="s">
        <v>643</v>
      </c>
      <c r="H138" s="42">
        <v>1</v>
      </c>
      <c r="I138" s="115">
        <v>57078</v>
      </c>
      <c r="J138" s="42">
        <v>3</v>
      </c>
      <c r="K138" s="321">
        <f t="shared" si="3"/>
        <v>19026</v>
      </c>
      <c r="L138" s="62">
        <v>45748</v>
      </c>
      <c r="M138" s="62">
        <v>46112</v>
      </c>
      <c r="N138" s="63" t="s">
        <v>19</v>
      </c>
      <c r="O138" s="26" t="s">
        <v>3</v>
      </c>
      <c r="P138" s="42"/>
      <c r="Q138" s="64" t="s">
        <v>357</v>
      </c>
      <c r="R138" s="63" t="s">
        <v>725</v>
      </c>
      <c r="S138" s="64" t="s">
        <v>665</v>
      </c>
      <c r="T138" s="63" t="s">
        <v>718</v>
      </c>
      <c r="U138" s="64" t="s">
        <v>361</v>
      </c>
      <c r="V138" s="63" t="s">
        <v>726</v>
      </c>
      <c r="W138" s="63"/>
      <c r="X138" s="63"/>
      <c r="Y138" s="63"/>
      <c r="Z138" s="63"/>
      <c r="AA138" s="63"/>
      <c r="AB138" s="63"/>
      <c r="AC138" s="63"/>
      <c r="AD138" s="42"/>
      <c r="AE138" s="42"/>
      <c r="AF138" s="63"/>
    </row>
    <row r="139" spans="2:32" ht="14.4" hidden="1" x14ac:dyDescent="0.3">
      <c r="B139" s="16" t="s">
        <v>14</v>
      </c>
      <c r="C139" s="94" t="s">
        <v>727</v>
      </c>
      <c r="D139" s="234" t="s">
        <v>447</v>
      </c>
      <c r="E139" s="96">
        <v>4100030249</v>
      </c>
      <c r="F139" s="60">
        <v>45726</v>
      </c>
      <c r="G139" s="116" t="s">
        <v>703</v>
      </c>
      <c r="H139" s="42">
        <v>1</v>
      </c>
      <c r="I139" s="61">
        <v>476000</v>
      </c>
      <c r="J139" s="42">
        <v>3</v>
      </c>
      <c r="K139" s="321">
        <f t="shared" si="3"/>
        <v>158666.66666666666</v>
      </c>
      <c r="L139" s="62">
        <v>45726</v>
      </c>
      <c r="M139" s="62">
        <v>46090</v>
      </c>
      <c r="N139" s="63" t="s">
        <v>19</v>
      </c>
      <c r="O139" s="26" t="s">
        <v>3</v>
      </c>
      <c r="P139" s="42"/>
      <c r="Q139" s="64" t="s">
        <v>728</v>
      </c>
      <c r="R139" s="63" t="s">
        <v>225</v>
      </c>
      <c r="S139" s="64" t="s">
        <v>729</v>
      </c>
      <c r="T139" s="63" t="s">
        <v>730</v>
      </c>
      <c r="U139" s="64" t="s">
        <v>731</v>
      </c>
      <c r="V139" s="63" t="s">
        <v>732</v>
      </c>
      <c r="W139" s="63"/>
      <c r="X139" s="63"/>
      <c r="Y139" s="63"/>
      <c r="Z139" s="63"/>
      <c r="AA139" s="63"/>
      <c r="AB139" s="63"/>
      <c r="AC139" s="63" t="s">
        <v>281</v>
      </c>
      <c r="AD139" s="42" t="s">
        <v>97</v>
      </c>
      <c r="AE139" s="42" t="s">
        <v>494</v>
      </c>
      <c r="AF139" s="63" t="s">
        <v>733</v>
      </c>
    </row>
    <row r="140" spans="2:32" ht="14.4" hidden="1" x14ac:dyDescent="0.3">
      <c r="B140" s="16" t="s">
        <v>14</v>
      </c>
      <c r="C140" s="39" t="s">
        <v>734</v>
      </c>
      <c r="D140" s="54" t="s">
        <v>323</v>
      </c>
      <c r="E140" s="50">
        <v>101265544</v>
      </c>
      <c r="F140" s="55">
        <v>45716</v>
      </c>
      <c r="G140" s="26" t="s">
        <v>643</v>
      </c>
      <c r="H140" s="26">
        <v>4</v>
      </c>
      <c r="I140" s="56">
        <v>329600</v>
      </c>
      <c r="J140" s="26">
        <v>3</v>
      </c>
      <c r="K140" s="321">
        <f t="shared" si="3"/>
        <v>109866.66666666667</v>
      </c>
      <c r="L140" s="57">
        <v>45778</v>
      </c>
      <c r="M140" s="57">
        <v>46142</v>
      </c>
      <c r="N140" s="58" t="s">
        <v>520</v>
      </c>
      <c r="O140" s="26" t="s">
        <v>5</v>
      </c>
      <c r="P140" s="26"/>
      <c r="Q140" s="59" t="s">
        <v>343</v>
      </c>
      <c r="R140" s="58" t="s">
        <v>344</v>
      </c>
      <c r="S140" s="59" t="s">
        <v>345</v>
      </c>
      <c r="T140" s="58" t="s">
        <v>493</v>
      </c>
      <c r="U140" s="59" t="s">
        <v>347</v>
      </c>
      <c r="V140" s="58" t="s">
        <v>735</v>
      </c>
      <c r="W140" s="58"/>
      <c r="X140" s="58"/>
      <c r="Y140" s="58"/>
      <c r="Z140" s="58"/>
      <c r="AA140" s="58"/>
      <c r="AB140" s="58"/>
      <c r="AC140" s="58" t="s">
        <v>96</v>
      </c>
      <c r="AD140" s="26" t="s">
        <v>97</v>
      </c>
      <c r="AE140" s="26" t="s">
        <v>494</v>
      </c>
      <c r="AF140" s="58" t="s">
        <v>736</v>
      </c>
    </row>
    <row r="141" spans="2:32" ht="14.4" hidden="1" x14ac:dyDescent="0.3">
      <c r="B141" s="16" t="s">
        <v>14</v>
      </c>
      <c r="C141" s="68" t="s">
        <v>734</v>
      </c>
      <c r="D141" s="44" t="s">
        <v>323</v>
      </c>
      <c r="E141" s="316">
        <v>101265544</v>
      </c>
      <c r="F141" s="43">
        <v>45716</v>
      </c>
      <c r="G141" s="42" t="s">
        <v>643</v>
      </c>
      <c r="H141" s="42"/>
      <c r="I141" s="61">
        <v>339488</v>
      </c>
      <c r="J141" s="42">
        <v>3</v>
      </c>
      <c r="K141" s="321">
        <f t="shared" si="3"/>
        <v>113162.66666666667</v>
      </c>
      <c r="L141" s="62">
        <v>46143</v>
      </c>
      <c r="M141" s="62">
        <v>46507</v>
      </c>
      <c r="N141" s="63" t="s">
        <v>520</v>
      </c>
      <c r="O141" s="26" t="s">
        <v>5</v>
      </c>
      <c r="P141" s="42"/>
      <c r="Q141" s="63" t="s">
        <v>737</v>
      </c>
      <c r="R141" s="63"/>
      <c r="S141" s="63" t="s">
        <v>349</v>
      </c>
      <c r="T141" s="63"/>
      <c r="U141" s="63" t="s">
        <v>738</v>
      </c>
      <c r="V141" s="63"/>
      <c r="W141" s="63"/>
      <c r="X141" s="63"/>
      <c r="Y141" s="63"/>
      <c r="Z141" s="63"/>
      <c r="AA141" s="63"/>
      <c r="AB141" s="63"/>
      <c r="AC141" s="63" t="s">
        <v>96</v>
      </c>
      <c r="AD141" s="42" t="s">
        <v>97</v>
      </c>
      <c r="AE141" s="42" t="s">
        <v>494</v>
      </c>
      <c r="AF141" s="63" t="s">
        <v>736</v>
      </c>
    </row>
    <row r="142" spans="2:32" ht="14.4" hidden="1" x14ac:dyDescent="0.3">
      <c r="B142" s="16" t="s">
        <v>14</v>
      </c>
      <c r="C142" s="68" t="s">
        <v>739</v>
      </c>
      <c r="D142" s="44" t="s">
        <v>740</v>
      </c>
      <c r="E142" s="84">
        <v>3400014785</v>
      </c>
      <c r="F142" s="43">
        <v>45735</v>
      </c>
      <c r="G142" s="42" t="s">
        <v>643</v>
      </c>
      <c r="H142" s="42">
        <v>10</v>
      </c>
      <c r="I142" s="61">
        <v>660800</v>
      </c>
      <c r="J142" s="42">
        <v>4</v>
      </c>
      <c r="K142" s="321">
        <f t="shared" si="3"/>
        <v>165200</v>
      </c>
      <c r="L142" s="62">
        <v>45689</v>
      </c>
      <c r="M142" s="62">
        <v>46053</v>
      </c>
      <c r="N142" s="63" t="s">
        <v>19</v>
      </c>
      <c r="O142" s="26" t="s">
        <v>0</v>
      </c>
      <c r="P142" s="42"/>
      <c r="Q142" s="64" t="s">
        <v>264</v>
      </c>
      <c r="R142" s="63" t="s">
        <v>741</v>
      </c>
      <c r="S142" s="64" t="s">
        <v>266</v>
      </c>
      <c r="T142" s="63" t="s">
        <v>379</v>
      </c>
      <c r="U142" s="64" t="s">
        <v>267</v>
      </c>
      <c r="V142" s="63" t="s">
        <v>742</v>
      </c>
      <c r="W142" s="64" t="s">
        <v>269</v>
      </c>
      <c r="X142" s="63" t="s">
        <v>441</v>
      </c>
      <c r="Y142" s="63"/>
      <c r="Z142" s="63"/>
      <c r="AA142" s="63"/>
      <c r="AB142" s="63"/>
      <c r="AC142" s="63" t="s">
        <v>96</v>
      </c>
      <c r="AD142" s="42" t="s">
        <v>97</v>
      </c>
      <c r="AE142" s="42" t="s">
        <v>494</v>
      </c>
      <c r="AF142" s="63" t="s">
        <v>743</v>
      </c>
    </row>
    <row r="143" spans="2:32" ht="14.4" hidden="1" x14ac:dyDescent="0.3">
      <c r="B143" s="16" t="s">
        <v>14</v>
      </c>
      <c r="C143" s="68" t="s">
        <v>744</v>
      </c>
      <c r="D143" s="44" t="s">
        <v>176</v>
      </c>
      <c r="E143" s="84">
        <v>4500022079</v>
      </c>
      <c r="F143" s="43">
        <v>45758</v>
      </c>
      <c r="G143" s="42" t="s">
        <v>643</v>
      </c>
      <c r="H143" s="42">
        <v>1</v>
      </c>
      <c r="I143" s="61">
        <v>95545</v>
      </c>
      <c r="J143" s="42">
        <v>2</v>
      </c>
      <c r="K143" s="321">
        <f t="shared" si="3"/>
        <v>47772.5</v>
      </c>
      <c r="L143" s="62">
        <v>45704</v>
      </c>
      <c r="M143" s="62">
        <v>46068</v>
      </c>
      <c r="N143" s="63" t="s">
        <v>19</v>
      </c>
      <c r="O143" s="26" t="s">
        <v>2</v>
      </c>
      <c r="P143" s="42"/>
      <c r="Q143" s="64" t="s">
        <v>745</v>
      </c>
      <c r="R143" s="63" t="s">
        <v>601</v>
      </c>
      <c r="S143" s="64" t="s">
        <v>746</v>
      </c>
      <c r="T143" s="63" t="s">
        <v>747</v>
      </c>
      <c r="U143" s="63"/>
      <c r="V143" s="63"/>
      <c r="W143" s="63"/>
      <c r="X143" s="63"/>
      <c r="Y143" s="63"/>
      <c r="Z143" s="63"/>
      <c r="AA143" s="63"/>
      <c r="AB143" s="63"/>
      <c r="AC143" s="63" t="s">
        <v>183</v>
      </c>
      <c r="AD143" s="42" t="s">
        <v>97</v>
      </c>
      <c r="AE143" s="42">
        <v>2</v>
      </c>
      <c r="AF143" s="63" t="s">
        <v>748</v>
      </c>
    </row>
    <row r="144" spans="2:32" ht="14.4" hidden="1" x14ac:dyDescent="0.3">
      <c r="B144" s="16" t="s">
        <v>14</v>
      </c>
      <c r="C144" s="37" t="s">
        <v>527</v>
      </c>
      <c r="D144" s="240" t="s">
        <v>131</v>
      </c>
      <c r="E144" s="93">
        <v>7000880580</v>
      </c>
      <c r="F144" s="51">
        <v>45758</v>
      </c>
      <c r="G144" s="42" t="s">
        <v>643</v>
      </c>
      <c r="H144" s="16">
        <v>1</v>
      </c>
      <c r="I144" s="19">
        <v>78750</v>
      </c>
      <c r="J144" s="16">
        <v>2</v>
      </c>
      <c r="K144" s="321">
        <f t="shared" si="3"/>
        <v>39375</v>
      </c>
      <c r="L144" s="20">
        <v>45748</v>
      </c>
      <c r="M144" s="20">
        <v>46112</v>
      </c>
      <c r="N144" s="63" t="s">
        <v>19</v>
      </c>
      <c r="O144" s="26" t="s">
        <v>3</v>
      </c>
      <c r="P144" s="16"/>
      <c r="Q144" s="21" t="s">
        <v>463</v>
      </c>
      <c r="R144" s="18" t="s">
        <v>749</v>
      </c>
      <c r="S144" s="21" t="s">
        <v>465</v>
      </c>
      <c r="T144" s="18" t="s">
        <v>750</v>
      </c>
      <c r="U144" s="18"/>
      <c r="V144" s="18"/>
      <c r="W144" s="18"/>
      <c r="X144" s="18"/>
      <c r="Y144" s="18"/>
      <c r="Z144" s="18"/>
      <c r="AA144" s="18"/>
      <c r="AB144" s="18"/>
      <c r="AC144" s="18" t="s">
        <v>485</v>
      </c>
      <c r="AD144" s="16" t="s">
        <v>63</v>
      </c>
      <c r="AE144" s="16">
        <v>2</v>
      </c>
      <c r="AF144" s="63" t="s">
        <v>748</v>
      </c>
    </row>
    <row r="145" spans="2:32" ht="14.4" hidden="1" x14ac:dyDescent="0.3">
      <c r="B145" s="16" t="s">
        <v>14</v>
      </c>
      <c r="C145" s="37" t="s">
        <v>751</v>
      </c>
      <c r="D145" s="240" t="s">
        <v>752</v>
      </c>
      <c r="E145" s="84">
        <v>351002166</v>
      </c>
      <c r="F145" s="51">
        <v>45758</v>
      </c>
      <c r="G145" s="42" t="s">
        <v>643</v>
      </c>
      <c r="H145" s="16">
        <v>1</v>
      </c>
      <c r="I145" s="19">
        <v>84000</v>
      </c>
      <c r="J145" s="16">
        <v>3</v>
      </c>
      <c r="K145" s="321">
        <f t="shared" si="3"/>
        <v>28000</v>
      </c>
      <c r="L145" s="20">
        <v>45778</v>
      </c>
      <c r="M145" s="20">
        <v>46142</v>
      </c>
      <c r="N145" s="63" t="s">
        <v>19</v>
      </c>
      <c r="O145" s="26" t="s">
        <v>5</v>
      </c>
      <c r="P145" s="16"/>
      <c r="Q145" s="21" t="s">
        <v>343</v>
      </c>
      <c r="R145" s="18" t="s">
        <v>753</v>
      </c>
      <c r="S145" s="21" t="s">
        <v>345</v>
      </c>
      <c r="T145" s="18" t="s">
        <v>754</v>
      </c>
      <c r="U145" s="21" t="s">
        <v>347</v>
      </c>
      <c r="V145" s="18" t="s">
        <v>443</v>
      </c>
      <c r="W145" s="18"/>
      <c r="X145" s="18"/>
      <c r="Y145" s="18"/>
      <c r="Z145" s="18"/>
      <c r="AA145" s="18"/>
      <c r="AB145" s="18"/>
      <c r="AC145" s="18" t="s">
        <v>619</v>
      </c>
      <c r="AD145" s="16" t="s">
        <v>63</v>
      </c>
      <c r="AE145" s="16">
        <v>3</v>
      </c>
      <c r="AF145" s="18" t="s">
        <v>755</v>
      </c>
    </row>
    <row r="146" spans="2:32" ht="14.4" hidden="1" x14ac:dyDescent="0.3">
      <c r="B146" s="16" t="s">
        <v>14</v>
      </c>
      <c r="C146" s="37" t="s">
        <v>756</v>
      </c>
      <c r="D146" s="241" t="s">
        <v>757</v>
      </c>
      <c r="E146" s="50">
        <v>2265005320</v>
      </c>
      <c r="F146" s="51">
        <v>45722</v>
      </c>
      <c r="G146" s="42" t="s">
        <v>643</v>
      </c>
      <c r="H146" s="16">
        <v>2</v>
      </c>
      <c r="I146" s="19">
        <v>164160</v>
      </c>
      <c r="J146" s="16">
        <v>3</v>
      </c>
      <c r="K146" s="321">
        <f t="shared" si="3"/>
        <v>54720</v>
      </c>
      <c r="L146" s="20">
        <v>45748</v>
      </c>
      <c r="M146" s="20">
        <v>46112</v>
      </c>
      <c r="N146" s="63" t="s">
        <v>19</v>
      </c>
      <c r="O146" s="26" t="s">
        <v>5</v>
      </c>
      <c r="P146" s="16"/>
      <c r="Q146" s="21" t="s">
        <v>758</v>
      </c>
      <c r="R146" s="18" t="s">
        <v>759</v>
      </c>
      <c r="S146" s="21" t="s">
        <v>665</v>
      </c>
      <c r="T146" s="18" t="s">
        <v>760</v>
      </c>
      <c r="U146" s="21" t="s">
        <v>361</v>
      </c>
      <c r="V146" s="18" t="s">
        <v>455</v>
      </c>
      <c r="W146" s="18"/>
      <c r="X146" s="18"/>
      <c r="Y146" s="18"/>
      <c r="Z146" s="18"/>
      <c r="AA146" s="18"/>
      <c r="AB146" s="18"/>
      <c r="AC146" s="18" t="s">
        <v>507</v>
      </c>
      <c r="AD146" s="16" t="s">
        <v>63</v>
      </c>
      <c r="AE146" s="16">
        <v>3</v>
      </c>
      <c r="AF146" s="117" t="s">
        <v>761</v>
      </c>
    </row>
    <row r="147" spans="2:32" ht="14.4" hidden="1" x14ac:dyDescent="0.3">
      <c r="B147" s="16" t="s">
        <v>14</v>
      </c>
      <c r="C147" s="37" t="s">
        <v>762</v>
      </c>
      <c r="D147" s="240" t="s">
        <v>763</v>
      </c>
      <c r="E147" s="50" t="s">
        <v>764</v>
      </c>
      <c r="F147" s="51">
        <v>45761</v>
      </c>
      <c r="G147" s="42" t="s">
        <v>643</v>
      </c>
      <c r="H147" s="16">
        <v>1</v>
      </c>
      <c r="I147" s="19">
        <v>80001</v>
      </c>
      <c r="J147" s="16">
        <v>3</v>
      </c>
      <c r="K147" s="321">
        <f t="shared" si="3"/>
        <v>26667</v>
      </c>
      <c r="L147" s="20">
        <v>45748</v>
      </c>
      <c r="M147" s="20">
        <v>46112</v>
      </c>
      <c r="N147" s="63" t="s">
        <v>19</v>
      </c>
      <c r="O147" s="26" t="s">
        <v>3</v>
      </c>
      <c r="P147" s="16"/>
      <c r="Q147" s="21" t="s">
        <v>758</v>
      </c>
      <c r="R147" s="18" t="s">
        <v>429</v>
      </c>
      <c r="S147" s="21" t="s">
        <v>665</v>
      </c>
      <c r="T147" s="18" t="s">
        <v>765</v>
      </c>
      <c r="U147" s="21" t="s">
        <v>361</v>
      </c>
      <c r="V147" s="18" t="s">
        <v>466</v>
      </c>
      <c r="W147" s="18"/>
      <c r="X147" s="18"/>
      <c r="Y147" s="18"/>
      <c r="Z147" s="18"/>
      <c r="AA147" s="18"/>
      <c r="AB147" s="18"/>
      <c r="AC147" s="18" t="s">
        <v>507</v>
      </c>
      <c r="AD147" s="16" t="s">
        <v>63</v>
      </c>
      <c r="AE147" s="16">
        <v>3</v>
      </c>
      <c r="AF147" s="18" t="s">
        <v>667</v>
      </c>
    </row>
    <row r="148" spans="2:32" ht="14.4" hidden="1" x14ac:dyDescent="0.3">
      <c r="B148" s="16" t="s">
        <v>14</v>
      </c>
      <c r="C148" s="37" t="s">
        <v>766</v>
      </c>
      <c r="D148" s="227" t="s">
        <v>767</v>
      </c>
      <c r="E148" s="50" t="s">
        <v>768</v>
      </c>
      <c r="F148" s="51">
        <v>45762</v>
      </c>
      <c r="G148" s="42" t="s">
        <v>643</v>
      </c>
      <c r="H148" s="16">
        <v>2</v>
      </c>
      <c r="I148" s="19">
        <v>105600</v>
      </c>
      <c r="J148" s="16">
        <v>1</v>
      </c>
      <c r="K148" s="321">
        <f t="shared" si="3"/>
        <v>105600</v>
      </c>
      <c r="L148" s="20">
        <v>45748</v>
      </c>
      <c r="M148" s="20">
        <v>46112</v>
      </c>
      <c r="N148" s="63" t="s">
        <v>19</v>
      </c>
      <c r="O148" s="26" t="s">
        <v>3</v>
      </c>
      <c r="P148" s="16"/>
      <c r="Q148" s="21" t="s">
        <v>631</v>
      </c>
      <c r="R148" s="18" t="s">
        <v>769</v>
      </c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 t="s">
        <v>485</v>
      </c>
      <c r="AD148" s="16" t="s">
        <v>63</v>
      </c>
      <c r="AE148" s="16">
        <v>2</v>
      </c>
      <c r="AF148" s="18" t="s">
        <v>770</v>
      </c>
    </row>
    <row r="149" spans="2:32" ht="14.4" hidden="1" x14ac:dyDescent="0.3">
      <c r="B149" s="16" t="s">
        <v>14</v>
      </c>
      <c r="C149" s="37" t="s">
        <v>771</v>
      </c>
      <c r="D149" s="227" t="s">
        <v>388</v>
      </c>
      <c r="E149" s="50">
        <v>6000059199</v>
      </c>
      <c r="F149" s="118">
        <v>45764</v>
      </c>
      <c r="G149" s="42" t="s">
        <v>643</v>
      </c>
      <c r="H149" s="16">
        <v>1</v>
      </c>
      <c r="I149" s="119">
        <v>66144.070000000007</v>
      </c>
      <c r="J149" s="16">
        <v>2</v>
      </c>
      <c r="K149" s="321">
        <f t="shared" si="3"/>
        <v>33072.035000000003</v>
      </c>
      <c r="L149" s="20">
        <v>45748</v>
      </c>
      <c r="M149" s="20">
        <v>46112</v>
      </c>
      <c r="N149" s="63" t="s">
        <v>19</v>
      </c>
      <c r="O149" s="26" t="s">
        <v>3</v>
      </c>
      <c r="P149" s="16"/>
      <c r="Q149" s="21" t="s">
        <v>463</v>
      </c>
      <c r="R149" s="18" t="s">
        <v>772</v>
      </c>
      <c r="S149" s="21" t="s">
        <v>465</v>
      </c>
      <c r="T149" s="18" t="s">
        <v>773</v>
      </c>
      <c r="U149" s="18"/>
      <c r="V149" s="18"/>
      <c r="W149" s="18"/>
      <c r="X149" s="18"/>
      <c r="Y149" s="18"/>
      <c r="Z149" s="18"/>
      <c r="AA149" s="18"/>
      <c r="AB149" s="18"/>
      <c r="AC149" s="18" t="s">
        <v>619</v>
      </c>
      <c r="AD149" s="16" t="s">
        <v>63</v>
      </c>
      <c r="AE149" s="16">
        <v>2</v>
      </c>
      <c r="AF149" s="18" t="s">
        <v>774</v>
      </c>
    </row>
    <row r="150" spans="2:32" ht="14.4" hidden="1" x14ac:dyDescent="0.3">
      <c r="B150" s="16" t="s">
        <v>14</v>
      </c>
      <c r="C150" s="49" t="s">
        <v>775</v>
      </c>
      <c r="D150" s="242" t="s">
        <v>776</v>
      </c>
      <c r="E150" s="120">
        <v>2710000560</v>
      </c>
      <c r="F150" s="51">
        <v>45713</v>
      </c>
      <c r="G150" s="42" t="s">
        <v>643</v>
      </c>
      <c r="H150" s="16">
        <v>2</v>
      </c>
      <c r="I150" s="19">
        <v>122000</v>
      </c>
      <c r="J150" s="16">
        <v>3</v>
      </c>
      <c r="K150" s="321">
        <f t="shared" si="3"/>
        <v>40666.666666666664</v>
      </c>
      <c r="L150" s="20">
        <v>45748</v>
      </c>
      <c r="M150" s="20">
        <v>46112</v>
      </c>
      <c r="N150" s="63" t="s">
        <v>19</v>
      </c>
      <c r="O150" s="26" t="s">
        <v>3</v>
      </c>
      <c r="P150" s="16"/>
      <c r="Q150" s="21" t="s">
        <v>758</v>
      </c>
      <c r="R150" s="18" t="s">
        <v>777</v>
      </c>
      <c r="S150" s="21" t="s">
        <v>665</v>
      </c>
      <c r="T150" s="18" t="s">
        <v>360</v>
      </c>
      <c r="U150" s="21" t="s">
        <v>361</v>
      </c>
      <c r="V150" s="18" t="s">
        <v>666</v>
      </c>
      <c r="W150" s="18"/>
      <c r="X150" s="18"/>
      <c r="Y150" s="18"/>
      <c r="Z150" s="18"/>
      <c r="AA150" s="18"/>
      <c r="AB150" s="18"/>
      <c r="AC150" s="18" t="s">
        <v>551</v>
      </c>
      <c r="AD150" s="16" t="s">
        <v>207</v>
      </c>
      <c r="AE150" s="16">
        <v>3</v>
      </c>
      <c r="AF150" s="18" t="s">
        <v>778</v>
      </c>
    </row>
    <row r="151" spans="2:32" ht="14.4" hidden="1" x14ac:dyDescent="0.3">
      <c r="B151" s="16" t="s">
        <v>14</v>
      </c>
      <c r="C151" s="37" t="s">
        <v>779</v>
      </c>
      <c r="D151" s="225" t="s">
        <v>53</v>
      </c>
      <c r="E151" s="121">
        <v>2500235067</v>
      </c>
      <c r="F151" s="22">
        <v>45764</v>
      </c>
      <c r="G151" s="42" t="s">
        <v>643</v>
      </c>
      <c r="H151" s="16">
        <v>3</v>
      </c>
      <c r="I151" s="19">
        <v>282816</v>
      </c>
      <c r="J151" s="16">
        <v>3</v>
      </c>
      <c r="K151" s="321">
        <f t="shared" si="3"/>
        <v>94272</v>
      </c>
      <c r="L151" s="20">
        <v>45748</v>
      </c>
      <c r="M151" s="20">
        <v>46112</v>
      </c>
      <c r="N151" s="63" t="s">
        <v>19</v>
      </c>
      <c r="O151" s="26" t="s">
        <v>5</v>
      </c>
      <c r="P151" s="16"/>
      <c r="Q151" s="21" t="s">
        <v>758</v>
      </c>
      <c r="R151" s="18" t="s">
        <v>780</v>
      </c>
      <c r="S151" s="21" t="s">
        <v>665</v>
      </c>
      <c r="T151" s="18" t="s">
        <v>781</v>
      </c>
      <c r="U151" s="21" t="s">
        <v>361</v>
      </c>
      <c r="V151" s="18" t="s">
        <v>782</v>
      </c>
      <c r="W151" s="18"/>
      <c r="X151" s="18"/>
      <c r="Y151" s="18"/>
      <c r="Z151" s="18"/>
      <c r="AA151" s="18"/>
      <c r="AB151" s="18"/>
      <c r="AC151" s="18" t="s">
        <v>619</v>
      </c>
      <c r="AD151" s="16" t="s">
        <v>63</v>
      </c>
      <c r="AE151" s="16">
        <v>3</v>
      </c>
      <c r="AF151" s="18" t="s">
        <v>667</v>
      </c>
    </row>
    <row r="152" spans="2:32" ht="14.4" hidden="1" x14ac:dyDescent="0.3">
      <c r="B152" s="16" t="s">
        <v>14</v>
      </c>
      <c r="C152" s="37" t="s">
        <v>783</v>
      </c>
      <c r="D152" s="227" t="s">
        <v>151</v>
      </c>
      <c r="E152" s="50">
        <v>8000155292</v>
      </c>
      <c r="F152" s="51">
        <v>45768</v>
      </c>
      <c r="G152" s="208" t="s">
        <v>643</v>
      </c>
      <c r="H152" s="209">
        <v>5</v>
      </c>
      <c r="I152" s="210">
        <v>636000</v>
      </c>
      <c r="J152" s="209">
        <v>3</v>
      </c>
      <c r="K152" s="321">
        <f t="shared" si="3"/>
        <v>212000</v>
      </c>
      <c r="L152" s="211">
        <v>45658</v>
      </c>
      <c r="M152" s="211">
        <v>46022</v>
      </c>
      <c r="N152" s="212" t="s">
        <v>19</v>
      </c>
      <c r="O152" s="294" t="s">
        <v>469</v>
      </c>
      <c r="P152" s="16"/>
      <c r="Q152" s="21" t="s">
        <v>554</v>
      </c>
      <c r="R152" s="18" t="s">
        <v>784</v>
      </c>
      <c r="S152" s="21" t="s">
        <v>785</v>
      </c>
      <c r="T152" s="18" t="s">
        <v>786</v>
      </c>
      <c r="U152" s="21" t="s">
        <v>345</v>
      </c>
      <c r="V152" s="18" t="s">
        <v>787</v>
      </c>
      <c r="W152" s="18"/>
      <c r="X152" s="18"/>
      <c r="Y152" s="18"/>
      <c r="Z152" s="18"/>
      <c r="AA152" s="18"/>
      <c r="AB152" s="18"/>
      <c r="AC152" s="18" t="s">
        <v>788</v>
      </c>
      <c r="AD152" s="16" t="s">
        <v>63</v>
      </c>
      <c r="AE152" s="16">
        <v>3</v>
      </c>
      <c r="AF152" s="18" t="s">
        <v>667</v>
      </c>
    </row>
    <row r="153" spans="2:32" ht="14.4" hidden="1" x14ac:dyDescent="0.3">
      <c r="B153" s="16" t="s">
        <v>14</v>
      </c>
      <c r="C153" s="49" t="s">
        <v>789</v>
      </c>
      <c r="D153" s="243" t="s">
        <v>790</v>
      </c>
      <c r="E153" s="122">
        <v>8480219192</v>
      </c>
      <c r="F153" s="123">
        <v>45756</v>
      </c>
      <c r="G153" s="42" t="s">
        <v>643</v>
      </c>
      <c r="H153" s="16">
        <v>1</v>
      </c>
      <c r="I153" s="19">
        <v>76440</v>
      </c>
      <c r="J153" s="16">
        <v>3</v>
      </c>
      <c r="K153" s="321">
        <f t="shared" si="3"/>
        <v>25480</v>
      </c>
      <c r="L153" s="20">
        <v>45748</v>
      </c>
      <c r="M153" s="20">
        <v>46112</v>
      </c>
      <c r="N153" s="63" t="s">
        <v>19</v>
      </c>
      <c r="O153" s="26" t="s">
        <v>3</v>
      </c>
      <c r="P153" s="16"/>
      <c r="Q153" s="21" t="s">
        <v>357</v>
      </c>
      <c r="R153" s="18" t="s">
        <v>225</v>
      </c>
      <c r="S153" s="21" t="s">
        <v>665</v>
      </c>
      <c r="T153" s="18" t="s">
        <v>791</v>
      </c>
      <c r="U153" s="21" t="s">
        <v>361</v>
      </c>
      <c r="V153" s="18" t="s">
        <v>792</v>
      </c>
      <c r="W153" s="18"/>
      <c r="X153" s="18"/>
      <c r="Y153" s="18"/>
      <c r="Z153" s="18"/>
      <c r="AA153" s="18"/>
      <c r="AB153" s="18"/>
      <c r="AC153" s="18" t="s">
        <v>281</v>
      </c>
      <c r="AD153" s="16" t="s">
        <v>97</v>
      </c>
      <c r="AE153" s="16">
        <v>3</v>
      </c>
      <c r="AF153" s="18" t="s">
        <v>793</v>
      </c>
    </row>
    <row r="154" spans="2:32" ht="14.4" hidden="1" x14ac:dyDescent="0.3">
      <c r="B154" s="16" t="s">
        <v>14</v>
      </c>
      <c r="C154" s="18" t="s">
        <v>195</v>
      </c>
      <c r="D154" s="225" t="s">
        <v>196</v>
      </c>
      <c r="E154" s="23" t="s">
        <v>197</v>
      </c>
      <c r="F154" s="22">
        <v>45210</v>
      </c>
      <c r="G154" s="16" t="s">
        <v>55</v>
      </c>
      <c r="H154" s="16">
        <v>13</v>
      </c>
      <c r="I154" s="19">
        <v>741000</v>
      </c>
      <c r="J154" s="16">
        <v>4</v>
      </c>
      <c r="K154" s="321">
        <f t="shared" si="3"/>
        <v>185250</v>
      </c>
      <c r="L154" s="20">
        <v>45934</v>
      </c>
      <c r="M154" s="20">
        <v>46298</v>
      </c>
      <c r="N154" s="63" t="s">
        <v>520</v>
      </c>
      <c r="O154" s="26" t="s">
        <v>5</v>
      </c>
      <c r="P154" s="16"/>
      <c r="Q154" s="21" t="s">
        <v>794</v>
      </c>
      <c r="R154" s="18" t="s">
        <v>687</v>
      </c>
      <c r="S154" s="192" t="s">
        <v>795</v>
      </c>
      <c r="T154" s="18" t="s">
        <v>666</v>
      </c>
      <c r="U154" s="18" t="s">
        <v>796</v>
      </c>
      <c r="V154" s="18"/>
      <c r="W154" s="18" t="s">
        <v>797</v>
      </c>
      <c r="X154" s="18"/>
      <c r="Y154" s="18"/>
      <c r="Z154" s="18"/>
      <c r="AA154" s="18"/>
      <c r="AB154" s="18"/>
      <c r="AC154" s="18" t="s">
        <v>551</v>
      </c>
      <c r="AD154" s="16" t="s">
        <v>207</v>
      </c>
      <c r="AE154" s="16">
        <v>3</v>
      </c>
      <c r="AF154" s="18"/>
    </row>
    <row r="155" spans="2:32" ht="14.4" hidden="1" x14ac:dyDescent="0.3">
      <c r="B155" s="16" t="s">
        <v>14</v>
      </c>
      <c r="C155" s="37" t="s">
        <v>756</v>
      </c>
      <c r="D155" s="236" t="s">
        <v>757</v>
      </c>
      <c r="E155" s="16">
        <v>2265005504</v>
      </c>
      <c r="F155" s="22">
        <v>45754</v>
      </c>
      <c r="G155" s="16" t="s">
        <v>55</v>
      </c>
      <c r="H155" s="16">
        <v>13</v>
      </c>
      <c r="I155" s="19">
        <v>1067040</v>
      </c>
      <c r="J155" s="16">
        <v>3</v>
      </c>
      <c r="K155" s="321">
        <f t="shared" si="3"/>
        <v>355680</v>
      </c>
      <c r="L155" s="20">
        <v>45748</v>
      </c>
      <c r="M155" s="20">
        <v>46112</v>
      </c>
      <c r="N155" s="63" t="s">
        <v>19</v>
      </c>
      <c r="O155" s="26" t="s">
        <v>5</v>
      </c>
      <c r="P155" s="16"/>
      <c r="Q155" s="21" t="s">
        <v>357</v>
      </c>
      <c r="R155" s="18" t="s">
        <v>777</v>
      </c>
      <c r="S155" s="21" t="s">
        <v>665</v>
      </c>
      <c r="T155" s="18" t="s">
        <v>289</v>
      </c>
      <c r="U155" s="21" t="s">
        <v>361</v>
      </c>
      <c r="V155" s="18" t="s">
        <v>798</v>
      </c>
      <c r="W155" s="18"/>
      <c r="X155" s="18"/>
      <c r="Y155" s="18"/>
      <c r="Z155" s="18"/>
      <c r="AA155" s="18"/>
      <c r="AB155" s="18"/>
      <c r="AC155" s="18" t="s">
        <v>507</v>
      </c>
      <c r="AD155" s="16" t="s">
        <v>63</v>
      </c>
      <c r="AE155" s="16">
        <v>3</v>
      </c>
      <c r="AF155" s="18" t="s">
        <v>799</v>
      </c>
    </row>
    <row r="156" spans="2:32" ht="14.4" hidden="1" x14ac:dyDescent="0.3">
      <c r="B156" s="16" t="s">
        <v>14</v>
      </c>
      <c r="C156" s="86" t="s">
        <v>800</v>
      </c>
      <c r="D156" s="124" t="s">
        <v>801</v>
      </c>
      <c r="E156" s="25">
        <v>3102500128</v>
      </c>
      <c r="F156" s="32">
        <v>45765</v>
      </c>
      <c r="G156" s="25" t="s">
        <v>55</v>
      </c>
      <c r="H156" s="25">
        <v>6</v>
      </c>
      <c r="I156" s="33">
        <v>468000</v>
      </c>
      <c r="J156" s="25">
        <v>2</v>
      </c>
      <c r="K156" s="321">
        <f t="shared" si="3"/>
        <v>234000</v>
      </c>
      <c r="L156" s="34">
        <v>45748</v>
      </c>
      <c r="M156" s="34">
        <v>46112</v>
      </c>
      <c r="N156" s="63" t="s">
        <v>19</v>
      </c>
      <c r="O156" s="26" t="s">
        <v>3</v>
      </c>
      <c r="P156" s="25"/>
      <c r="Q156" s="35" t="s">
        <v>463</v>
      </c>
      <c r="R156" s="24" t="s">
        <v>802</v>
      </c>
      <c r="S156" s="35" t="s">
        <v>465</v>
      </c>
      <c r="T156" s="24" t="s">
        <v>803</v>
      </c>
      <c r="U156" s="24"/>
      <c r="V156" s="24"/>
      <c r="W156" s="24"/>
      <c r="X156" s="24"/>
      <c r="Y156" s="24"/>
      <c r="Z156" s="24"/>
      <c r="AA156" s="24"/>
      <c r="AB156" s="24"/>
      <c r="AC156" s="24" t="s">
        <v>485</v>
      </c>
      <c r="AD156" s="16" t="s">
        <v>63</v>
      </c>
      <c r="AE156" s="25">
        <v>2</v>
      </c>
      <c r="AF156" s="24" t="s">
        <v>804</v>
      </c>
    </row>
    <row r="157" spans="2:32" ht="14.4" hidden="1" x14ac:dyDescent="0.3">
      <c r="B157" s="16" t="s">
        <v>14</v>
      </c>
      <c r="C157" s="39" t="s">
        <v>805</v>
      </c>
      <c r="D157" s="232" t="s">
        <v>86</v>
      </c>
      <c r="E157" s="125">
        <v>7500114971</v>
      </c>
      <c r="F157" s="55">
        <v>45763</v>
      </c>
      <c r="G157" s="26" t="s">
        <v>55</v>
      </c>
      <c r="H157" s="26">
        <v>1</v>
      </c>
      <c r="I157" s="56">
        <v>82000</v>
      </c>
      <c r="J157" s="26">
        <v>3</v>
      </c>
      <c r="K157" s="321">
        <f t="shared" si="3"/>
        <v>27333.333333333332</v>
      </c>
      <c r="L157" s="57">
        <v>45748</v>
      </c>
      <c r="M157" s="57">
        <v>46112</v>
      </c>
      <c r="N157" s="58" t="s">
        <v>19</v>
      </c>
      <c r="O157" s="26" t="s">
        <v>3</v>
      </c>
      <c r="P157" s="26"/>
      <c r="Q157" s="59" t="s">
        <v>357</v>
      </c>
      <c r="R157" s="58" t="s">
        <v>806</v>
      </c>
      <c r="S157" s="59" t="s">
        <v>665</v>
      </c>
      <c r="T157" s="58" t="s">
        <v>807</v>
      </c>
      <c r="U157" s="59" t="s">
        <v>361</v>
      </c>
      <c r="V157" s="58" t="s">
        <v>808</v>
      </c>
      <c r="W157" s="58"/>
      <c r="X157" s="58"/>
      <c r="Y157" s="58"/>
      <c r="Z157" s="58"/>
      <c r="AA157" s="58"/>
      <c r="AB157" s="58"/>
      <c r="AC157" s="58" t="s">
        <v>96</v>
      </c>
      <c r="AD157" s="26" t="s">
        <v>97</v>
      </c>
      <c r="AE157" s="26" t="s">
        <v>494</v>
      </c>
      <c r="AF157" s="58" t="s">
        <v>667</v>
      </c>
    </row>
    <row r="158" spans="2:32" ht="14.4" hidden="1" x14ac:dyDescent="0.3">
      <c r="B158" s="16" t="s">
        <v>14</v>
      </c>
      <c r="C158" s="39" t="s">
        <v>809</v>
      </c>
      <c r="D158" s="232" t="s">
        <v>629</v>
      </c>
      <c r="E158" s="125" t="s">
        <v>810</v>
      </c>
      <c r="F158" s="55">
        <v>45770</v>
      </c>
      <c r="G158" s="26" t="s">
        <v>55</v>
      </c>
      <c r="H158" s="26">
        <v>5</v>
      </c>
      <c r="I158" s="56">
        <v>341250</v>
      </c>
      <c r="J158" s="26">
        <v>2</v>
      </c>
      <c r="K158" s="321">
        <f t="shared" si="3"/>
        <v>170625</v>
      </c>
      <c r="L158" s="57">
        <v>45748</v>
      </c>
      <c r="M158" s="57">
        <v>46112</v>
      </c>
      <c r="N158" s="58" t="s">
        <v>19</v>
      </c>
      <c r="O158" s="26" t="s">
        <v>3</v>
      </c>
      <c r="P158" s="26"/>
      <c r="Q158" s="35" t="s">
        <v>463</v>
      </c>
      <c r="R158" s="24" t="s">
        <v>811</v>
      </c>
      <c r="S158" s="35" t="s">
        <v>465</v>
      </c>
      <c r="T158" s="58" t="s">
        <v>320</v>
      </c>
      <c r="U158" s="58"/>
      <c r="V158" s="58"/>
      <c r="W158" s="58"/>
      <c r="X158" s="58"/>
      <c r="Y158" s="58"/>
      <c r="Z158" s="58"/>
      <c r="AA158" s="58"/>
      <c r="AB158" s="58"/>
      <c r="AC158" s="58" t="s">
        <v>485</v>
      </c>
      <c r="AD158" s="26" t="s">
        <v>97</v>
      </c>
      <c r="AE158" s="26">
        <v>3</v>
      </c>
      <c r="AF158" s="58" t="s">
        <v>667</v>
      </c>
    </row>
    <row r="159" spans="2:32" ht="14.4" hidden="1" x14ac:dyDescent="0.3">
      <c r="B159" s="16" t="s">
        <v>14</v>
      </c>
      <c r="C159" s="39" t="s">
        <v>800</v>
      </c>
      <c r="D159" s="232" t="s">
        <v>812</v>
      </c>
      <c r="E159" s="125">
        <v>2102500018</v>
      </c>
      <c r="F159" s="55">
        <v>45749</v>
      </c>
      <c r="G159" s="26" t="s">
        <v>55</v>
      </c>
      <c r="H159" s="26">
        <v>4</v>
      </c>
      <c r="I159" s="56">
        <v>332800</v>
      </c>
      <c r="J159" s="26">
        <v>2</v>
      </c>
      <c r="K159" s="321">
        <f t="shared" si="3"/>
        <v>166400</v>
      </c>
      <c r="L159" s="57">
        <v>45748</v>
      </c>
      <c r="M159" s="57">
        <v>46112</v>
      </c>
      <c r="N159" s="58" t="s">
        <v>19</v>
      </c>
      <c r="O159" s="26" t="s">
        <v>3</v>
      </c>
      <c r="P159" s="26"/>
      <c r="Q159" s="35" t="s">
        <v>463</v>
      </c>
      <c r="R159" s="24" t="s">
        <v>813</v>
      </c>
      <c r="S159" s="35" t="s">
        <v>465</v>
      </c>
      <c r="T159" s="24" t="s">
        <v>814</v>
      </c>
      <c r="U159" s="58"/>
      <c r="V159" s="58"/>
      <c r="W159" s="58"/>
      <c r="X159" s="58"/>
      <c r="Y159" s="58"/>
      <c r="Z159" s="58"/>
      <c r="AA159" s="58"/>
      <c r="AB159" s="58"/>
      <c r="AC159" s="58" t="s">
        <v>485</v>
      </c>
      <c r="AD159" s="16" t="s">
        <v>63</v>
      </c>
      <c r="AE159" s="26">
        <v>2</v>
      </c>
      <c r="AF159" s="58" t="s">
        <v>667</v>
      </c>
    </row>
    <row r="160" spans="2:32" ht="14.4" hidden="1" x14ac:dyDescent="0.3">
      <c r="B160" s="16" t="s">
        <v>14</v>
      </c>
      <c r="C160" s="39" t="s">
        <v>800</v>
      </c>
      <c r="D160" s="232" t="s">
        <v>812</v>
      </c>
      <c r="E160" s="125">
        <v>2102500206</v>
      </c>
      <c r="F160" s="55">
        <v>45758</v>
      </c>
      <c r="G160" s="26" t="s">
        <v>55</v>
      </c>
      <c r="H160" s="26">
        <v>4</v>
      </c>
      <c r="I160" s="56">
        <v>270400</v>
      </c>
      <c r="J160" s="26">
        <v>2</v>
      </c>
      <c r="K160" s="321">
        <f t="shared" si="3"/>
        <v>135200</v>
      </c>
      <c r="L160" s="57">
        <v>45748</v>
      </c>
      <c r="M160" s="57">
        <v>46112</v>
      </c>
      <c r="N160" s="58" t="s">
        <v>19</v>
      </c>
      <c r="O160" s="26" t="s">
        <v>3</v>
      </c>
      <c r="P160" s="26"/>
      <c r="Q160" s="35" t="s">
        <v>463</v>
      </c>
      <c r="R160" s="24" t="s">
        <v>815</v>
      </c>
      <c r="S160" s="35" t="s">
        <v>465</v>
      </c>
      <c r="T160" s="24" t="s">
        <v>816</v>
      </c>
      <c r="U160" s="58"/>
      <c r="V160" s="58"/>
      <c r="W160" s="58"/>
      <c r="X160" s="58"/>
      <c r="Y160" s="58"/>
      <c r="Z160" s="58"/>
      <c r="AA160" s="58"/>
      <c r="AB160" s="58"/>
      <c r="AC160" s="58" t="s">
        <v>485</v>
      </c>
      <c r="AD160" s="16" t="s">
        <v>63</v>
      </c>
      <c r="AE160" s="26">
        <v>2</v>
      </c>
      <c r="AF160" s="58" t="s">
        <v>667</v>
      </c>
    </row>
    <row r="161" spans="2:32" ht="14.4" hidden="1" x14ac:dyDescent="0.3">
      <c r="B161" s="16" t="s">
        <v>14</v>
      </c>
      <c r="C161" s="37" t="s">
        <v>817</v>
      </c>
      <c r="D161" s="235" t="s">
        <v>818</v>
      </c>
      <c r="E161" s="30">
        <v>242500783</v>
      </c>
      <c r="F161" s="55">
        <v>45756</v>
      </c>
      <c r="G161" s="26" t="s">
        <v>55</v>
      </c>
      <c r="H161" s="26">
        <v>3</v>
      </c>
      <c r="I161" s="56">
        <v>344997</v>
      </c>
      <c r="J161" s="26">
        <v>2</v>
      </c>
      <c r="K161" s="321">
        <f t="shared" si="3"/>
        <v>172498.5</v>
      </c>
      <c r="L161" s="57">
        <v>45778</v>
      </c>
      <c r="M161" s="57">
        <v>46142</v>
      </c>
      <c r="N161" s="58" t="s">
        <v>19</v>
      </c>
      <c r="O161" s="26" t="s">
        <v>5</v>
      </c>
      <c r="P161" s="26"/>
      <c r="Q161" s="59" t="s">
        <v>328</v>
      </c>
      <c r="R161" s="58" t="s">
        <v>819</v>
      </c>
      <c r="S161" s="59" t="s">
        <v>330</v>
      </c>
      <c r="T161" s="58" t="s">
        <v>820</v>
      </c>
      <c r="U161" s="58"/>
      <c r="V161" s="58"/>
      <c r="W161" s="58"/>
      <c r="X161" s="58"/>
      <c r="Y161" s="58"/>
      <c r="Z161" s="58"/>
      <c r="AA161" s="58"/>
      <c r="AB161" s="58"/>
      <c r="AC161" s="58" t="s">
        <v>281</v>
      </c>
      <c r="AD161" s="26" t="s">
        <v>97</v>
      </c>
      <c r="AE161" s="26" t="s">
        <v>494</v>
      </c>
      <c r="AF161" s="58" t="s">
        <v>821</v>
      </c>
    </row>
    <row r="162" spans="2:32" ht="14.4" hidden="1" x14ac:dyDescent="0.3">
      <c r="B162" s="16" t="s">
        <v>14</v>
      </c>
      <c r="C162" s="52" t="s">
        <v>822</v>
      </c>
      <c r="D162" s="244" t="s">
        <v>823</v>
      </c>
      <c r="E162" s="120" t="s">
        <v>824</v>
      </c>
      <c r="F162" s="40">
        <v>45772</v>
      </c>
      <c r="G162" s="26" t="s">
        <v>55</v>
      </c>
      <c r="H162" s="26">
        <v>1</v>
      </c>
      <c r="I162" s="56">
        <v>98500</v>
      </c>
      <c r="J162" s="26">
        <v>2</v>
      </c>
      <c r="K162" s="321">
        <f t="shared" si="3"/>
        <v>49250</v>
      </c>
      <c r="L162" s="57">
        <v>45763</v>
      </c>
      <c r="M162" s="57">
        <v>46127</v>
      </c>
      <c r="N162" s="58" t="s">
        <v>19</v>
      </c>
      <c r="O162" s="26" t="s">
        <v>5</v>
      </c>
      <c r="P162" s="26" t="s">
        <v>1</v>
      </c>
      <c r="Q162" s="59" t="s">
        <v>825</v>
      </c>
      <c r="R162" s="58" t="s">
        <v>826</v>
      </c>
      <c r="S162" s="59" t="s">
        <v>827</v>
      </c>
      <c r="T162" s="58" t="s">
        <v>828</v>
      </c>
      <c r="U162" s="58"/>
      <c r="V162" s="58"/>
      <c r="W162" s="58"/>
      <c r="X162" s="58"/>
      <c r="Y162" s="58"/>
      <c r="Z162" s="58"/>
      <c r="AA162" s="58"/>
      <c r="AB162" s="58"/>
      <c r="AC162" s="58" t="s">
        <v>183</v>
      </c>
      <c r="AD162" s="26" t="s">
        <v>97</v>
      </c>
      <c r="AE162" s="26">
        <v>2</v>
      </c>
      <c r="AF162" s="58" t="s">
        <v>829</v>
      </c>
    </row>
    <row r="163" spans="2:32" ht="14.4" hidden="1" x14ac:dyDescent="0.3">
      <c r="B163" s="16" t="s">
        <v>14</v>
      </c>
      <c r="C163" s="53" t="s">
        <v>830</v>
      </c>
      <c r="D163" s="245" t="s">
        <v>831</v>
      </c>
      <c r="E163" s="125">
        <v>3500120284</v>
      </c>
      <c r="F163" s="55">
        <v>45756</v>
      </c>
      <c r="G163" s="26" t="s">
        <v>55</v>
      </c>
      <c r="H163" s="26">
        <v>1</v>
      </c>
      <c r="I163" s="56">
        <v>120000</v>
      </c>
      <c r="J163" s="26">
        <v>3</v>
      </c>
      <c r="K163" s="321">
        <f t="shared" si="3"/>
        <v>40000</v>
      </c>
      <c r="L163" s="57">
        <v>45689</v>
      </c>
      <c r="M163" s="57">
        <v>46053</v>
      </c>
      <c r="N163" s="18" t="s">
        <v>19</v>
      </c>
      <c r="O163" s="26" t="s">
        <v>0</v>
      </c>
      <c r="P163" s="26"/>
      <c r="Q163" s="59" t="s">
        <v>832</v>
      </c>
      <c r="R163" s="58" t="s">
        <v>833</v>
      </c>
      <c r="S163" s="59" t="s">
        <v>81</v>
      </c>
      <c r="T163" s="58" t="s">
        <v>287</v>
      </c>
      <c r="U163" s="59" t="s">
        <v>83</v>
      </c>
      <c r="V163" s="58" t="s">
        <v>395</v>
      </c>
      <c r="W163" s="58"/>
      <c r="X163" s="58"/>
      <c r="Y163" s="58"/>
      <c r="Z163" s="58"/>
      <c r="AA163" s="58"/>
      <c r="AB163" s="58"/>
      <c r="AC163" s="58" t="s">
        <v>834</v>
      </c>
      <c r="AD163" s="16" t="s">
        <v>207</v>
      </c>
      <c r="AE163" s="26">
        <v>3</v>
      </c>
      <c r="AF163" s="58" t="s">
        <v>835</v>
      </c>
    </row>
    <row r="164" spans="2:32" ht="14.4" hidden="1" x14ac:dyDescent="0.3">
      <c r="B164" s="16" t="s">
        <v>14</v>
      </c>
      <c r="C164" s="53" t="s">
        <v>836</v>
      </c>
      <c r="D164" s="245" t="s">
        <v>629</v>
      </c>
      <c r="E164" s="125" t="s">
        <v>837</v>
      </c>
      <c r="F164" s="55">
        <v>45773</v>
      </c>
      <c r="G164" s="26" t="s">
        <v>55</v>
      </c>
      <c r="H164" s="26">
        <v>2</v>
      </c>
      <c r="I164" s="56">
        <v>168000</v>
      </c>
      <c r="J164" s="26">
        <v>2</v>
      </c>
      <c r="K164" s="321">
        <f t="shared" si="3"/>
        <v>84000</v>
      </c>
      <c r="L164" s="57">
        <v>45748</v>
      </c>
      <c r="M164" s="57">
        <v>46112</v>
      </c>
      <c r="N164" s="58" t="s">
        <v>19</v>
      </c>
      <c r="O164" s="26" t="s">
        <v>3</v>
      </c>
      <c r="P164" s="26"/>
      <c r="Q164" s="59" t="s">
        <v>838</v>
      </c>
      <c r="R164" s="58" t="s">
        <v>344</v>
      </c>
      <c r="S164" s="59" t="s">
        <v>465</v>
      </c>
      <c r="T164" s="58" t="s">
        <v>839</v>
      </c>
      <c r="U164" s="58"/>
      <c r="V164" s="58"/>
      <c r="W164" s="58"/>
      <c r="X164" s="58"/>
      <c r="Y164" s="58"/>
      <c r="Z164" s="58"/>
      <c r="AA164" s="58"/>
      <c r="AB164" s="58"/>
      <c r="AC164" s="58" t="s">
        <v>485</v>
      </c>
      <c r="AD164" s="16" t="s">
        <v>63</v>
      </c>
      <c r="AE164" s="26">
        <v>2</v>
      </c>
      <c r="AF164" s="58" t="s">
        <v>799</v>
      </c>
    </row>
    <row r="165" spans="2:32" ht="14.4" hidden="1" x14ac:dyDescent="0.3">
      <c r="B165" s="16" t="s">
        <v>14</v>
      </c>
      <c r="C165" s="53" t="s">
        <v>840</v>
      </c>
      <c r="D165" s="245" t="s">
        <v>841</v>
      </c>
      <c r="E165" s="125" t="s">
        <v>842</v>
      </c>
      <c r="F165" s="55">
        <v>45768</v>
      </c>
      <c r="G165" s="26" t="s">
        <v>55</v>
      </c>
      <c r="H165" s="26">
        <v>3</v>
      </c>
      <c r="I165" s="56">
        <v>202500</v>
      </c>
      <c r="J165" s="26">
        <v>3</v>
      </c>
      <c r="K165" s="321">
        <f t="shared" si="3"/>
        <v>67500</v>
      </c>
      <c r="L165" s="57">
        <v>45748</v>
      </c>
      <c r="M165" s="57">
        <v>46112</v>
      </c>
      <c r="N165" s="58" t="s">
        <v>19</v>
      </c>
      <c r="O165" s="26" t="s">
        <v>3</v>
      </c>
      <c r="P165" s="26"/>
      <c r="Q165" s="59" t="s">
        <v>758</v>
      </c>
      <c r="R165" s="58" t="s">
        <v>843</v>
      </c>
      <c r="S165" s="59" t="s">
        <v>665</v>
      </c>
      <c r="T165" s="58" t="s">
        <v>791</v>
      </c>
      <c r="U165" s="59" t="s">
        <v>361</v>
      </c>
      <c r="V165" s="58" t="s">
        <v>844</v>
      </c>
      <c r="W165" s="58"/>
      <c r="X165" s="58"/>
      <c r="Y165" s="58"/>
      <c r="Z165" s="58"/>
      <c r="AA165" s="58"/>
      <c r="AB165" s="58"/>
      <c r="AC165" s="58" t="s">
        <v>485</v>
      </c>
      <c r="AD165" s="16" t="s">
        <v>63</v>
      </c>
      <c r="AE165" s="26">
        <v>2</v>
      </c>
      <c r="AF165" s="58" t="s">
        <v>657</v>
      </c>
    </row>
    <row r="166" spans="2:32" ht="14.4" hidden="1" x14ac:dyDescent="0.3">
      <c r="B166" s="16" t="s">
        <v>14</v>
      </c>
      <c r="C166" s="53" t="s">
        <v>845</v>
      </c>
      <c r="D166" s="245" t="s">
        <v>846</v>
      </c>
      <c r="E166" s="125">
        <v>901965547</v>
      </c>
      <c r="F166" s="55">
        <v>45729</v>
      </c>
      <c r="G166" s="26" t="s">
        <v>55</v>
      </c>
      <c r="H166" s="26">
        <v>1</v>
      </c>
      <c r="I166" s="56">
        <v>139000</v>
      </c>
      <c r="J166" s="26">
        <v>3</v>
      </c>
      <c r="K166" s="321">
        <f t="shared" si="3"/>
        <v>46333.333333333336</v>
      </c>
      <c r="L166" s="57">
        <v>45658</v>
      </c>
      <c r="M166" s="57">
        <v>46022</v>
      </c>
      <c r="N166" s="58" t="s">
        <v>19</v>
      </c>
      <c r="O166" s="294" t="s">
        <v>469</v>
      </c>
      <c r="P166" s="26"/>
      <c r="Q166" s="59" t="s">
        <v>554</v>
      </c>
      <c r="R166" s="58" t="s">
        <v>106</v>
      </c>
      <c r="S166" s="59" t="s">
        <v>847</v>
      </c>
      <c r="T166" s="58" t="s">
        <v>213</v>
      </c>
      <c r="U166" s="59" t="s">
        <v>345</v>
      </c>
      <c r="V166" s="58" t="s">
        <v>848</v>
      </c>
      <c r="W166" s="58"/>
      <c r="X166" s="58"/>
      <c r="Y166" s="58"/>
      <c r="Z166" s="58"/>
      <c r="AA166" s="58"/>
      <c r="AB166" s="58"/>
      <c r="AC166" s="58" t="s">
        <v>834</v>
      </c>
      <c r="AD166" s="16" t="s">
        <v>207</v>
      </c>
      <c r="AE166" s="26">
        <v>3</v>
      </c>
      <c r="AF166" s="213" t="s">
        <v>849</v>
      </c>
    </row>
    <row r="167" spans="2:32" ht="14.4" hidden="1" x14ac:dyDescent="0.3">
      <c r="B167" s="16" t="s">
        <v>14</v>
      </c>
      <c r="C167" s="53" t="s">
        <v>850</v>
      </c>
      <c r="D167" s="245" t="s">
        <v>388</v>
      </c>
      <c r="E167" s="125">
        <v>5000132738</v>
      </c>
      <c r="F167" s="55">
        <v>45769</v>
      </c>
      <c r="G167" s="26" t="s">
        <v>55</v>
      </c>
      <c r="H167" s="26">
        <v>1</v>
      </c>
      <c r="I167" s="56">
        <v>83000</v>
      </c>
      <c r="J167" s="26">
        <v>2</v>
      </c>
      <c r="K167" s="321">
        <f t="shared" si="3"/>
        <v>41500</v>
      </c>
      <c r="L167" s="57">
        <v>45748</v>
      </c>
      <c r="M167" s="57">
        <v>46112</v>
      </c>
      <c r="N167" s="58" t="s">
        <v>19</v>
      </c>
      <c r="O167" s="26" t="s">
        <v>3</v>
      </c>
      <c r="P167" s="26" t="s">
        <v>1</v>
      </c>
      <c r="Q167" s="59" t="s">
        <v>838</v>
      </c>
      <c r="R167" s="58" t="s">
        <v>379</v>
      </c>
      <c r="S167" s="59" t="s">
        <v>465</v>
      </c>
      <c r="T167" s="58" t="s">
        <v>851</v>
      </c>
      <c r="U167" s="58"/>
      <c r="V167" s="58"/>
      <c r="W167" s="58"/>
      <c r="X167" s="58"/>
      <c r="Y167" s="58"/>
      <c r="Z167" s="58"/>
      <c r="AA167" s="58"/>
      <c r="AB167" s="58"/>
      <c r="AC167" s="58" t="s">
        <v>619</v>
      </c>
      <c r="AD167" s="16" t="s">
        <v>63</v>
      </c>
      <c r="AE167" s="26">
        <v>3</v>
      </c>
      <c r="AF167" s="126">
        <v>1</v>
      </c>
    </row>
    <row r="168" spans="2:32" ht="14.4" hidden="1" x14ac:dyDescent="0.3">
      <c r="B168" s="16" t="s">
        <v>14</v>
      </c>
      <c r="C168" s="53" t="s">
        <v>775</v>
      </c>
      <c r="D168" s="245" t="s">
        <v>852</v>
      </c>
      <c r="E168" s="121">
        <v>2710000809</v>
      </c>
      <c r="F168" s="55">
        <v>45763</v>
      </c>
      <c r="G168" s="26" t="s">
        <v>55</v>
      </c>
      <c r="H168" s="26">
        <v>2</v>
      </c>
      <c r="I168" s="56">
        <v>170000</v>
      </c>
      <c r="J168" s="26">
        <v>3</v>
      </c>
      <c r="K168" s="321">
        <f t="shared" si="3"/>
        <v>56666.666666666664</v>
      </c>
      <c r="L168" s="57">
        <v>45748</v>
      </c>
      <c r="M168" s="57">
        <v>46112</v>
      </c>
      <c r="N168" s="58" t="s">
        <v>19</v>
      </c>
      <c r="O168" s="26" t="s">
        <v>3</v>
      </c>
      <c r="P168" s="26"/>
      <c r="Q168" s="59" t="s">
        <v>758</v>
      </c>
      <c r="R168" s="58" t="s">
        <v>853</v>
      </c>
      <c r="S168" s="59" t="s">
        <v>665</v>
      </c>
      <c r="T168" s="58" t="s">
        <v>854</v>
      </c>
      <c r="U168" s="59" t="s">
        <v>361</v>
      </c>
      <c r="V168" s="58" t="s">
        <v>855</v>
      </c>
      <c r="W168" s="58"/>
      <c r="X168" s="58"/>
      <c r="Y168" s="58"/>
      <c r="Z168" s="58"/>
      <c r="AA168" s="58"/>
      <c r="AB168" s="58"/>
      <c r="AC168" s="58" t="s">
        <v>551</v>
      </c>
      <c r="AD168" s="16" t="s">
        <v>207</v>
      </c>
      <c r="AE168" s="26">
        <v>3</v>
      </c>
      <c r="AF168" s="126" t="s">
        <v>856</v>
      </c>
    </row>
    <row r="169" spans="2:32" ht="14.4" hidden="1" x14ac:dyDescent="0.3">
      <c r="B169" s="16" t="s">
        <v>14</v>
      </c>
      <c r="C169" s="18" t="s">
        <v>857</v>
      </c>
      <c r="D169" s="227" t="s">
        <v>858</v>
      </c>
      <c r="E169" s="50" t="s">
        <v>859</v>
      </c>
      <c r="F169" s="111">
        <v>45747</v>
      </c>
      <c r="G169" s="26" t="s">
        <v>55</v>
      </c>
      <c r="H169" s="26">
        <v>2</v>
      </c>
      <c r="I169" s="56">
        <v>370000</v>
      </c>
      <c r="J169" s="26">
        <v>4</v>
      </c>
      <c r="K169" s="321">
        <f t="shared" si="3"/>
        <v>92500</v>
      </c>
      <c r="L169" s="57">
        <v>45748</v>
      </c>
      <c r="M169" s="57">
        <v>46112</v>
      </c>
      <c r="N169" s="58" t="s">
        <v>19</v>
      </c>
      <c r="O169" s="26" t="s">
        <v>3</v>
      </c>
      <c r="P169" s="26"/>
      <c r="Q169" s="59" t="s">
        <v>391</v>
      </c>
      <c r="R169" s="58" t="s">
        <v>860</v>
      </c>
      <c r="S169" s="59" t="s">
        <v>168</v>
      </c>
      <c r="T169" s="58" t="s">
        <v>505</v>
      </c>
      <c r="U169" s="59" t="s">
        <v>228</v>
      </c>
      <c r="V169" s="58" t="s">
        <v>417</v>
      </c>
      <c r="W169" s="58" t="s">
        <v>396</v>
      </c>
      <c r="X169" s="58"/>
      <c r="Y169" s="58"/>
      <c r="Z169" s="58"/>
      <c r="AA169" s="58"/>
      <c r="AB169" s="58"/>
      <c r="AC169" s="58" t="s">
        <v>551</v>
      </c>
      <c r="AD169" s="16" t="s">
        <v>207</v>
      </c>
      <c r="AE169" s="26" t="s">
        <v>861</v>
      </c>
      <c r="AF169" s="58" t="s">
        <v>862</v>
      </c>
    </row>
    <row r="170" spans="2:32" ht="14.4" hidden="1" x14ac:dyDescent="0.3">
      <c r="B170" s="16" t="s">
        <v>14</v>
      </c>
      <c r="C170" s="37" t="s">
        <v>863</v>
      </c>
      <c r="D170" s="235" t="s">
        <v>864</v>
      </c>
      <c r="E170" s="85">
        <v>4504578229</v>
      </c>
      <c r="F170" s="55">
        <v>45779</v>
      </c>
      <c r="G170" s="26" t="s">
        <v>55</v>
      </c>
      <c r="H170" s="26">
        <v>1</v>
      </c>
      <c r="I170" s="56">
        <v>67000</v>
      </c>
      <c r="J170" s="26">
        <v>2</v>
      </c>
      <c r="K170" s="321">
        <f t="shared" si="3"/>
        <v>33500</v>
      </c>
      <c r="L170" s="57">
        <v>45839</v>
      </c>
      <c r="M170" s="57">
        <v>46203</v>
      </c>
      <c r="N170" s="58" t="s">
        <v>520</v>
      </c>
      <c r="O170" s="26" t="s">
        <v>6</v>
      </c>
      <c r="P170" s="26"/>
      <c r="Q170" s="59" t="s">
        <v>483</v>
      </c>
      <c r="R170" s="58" t="s">
        <v>865</v>
      </c>
      <c r="S170" s="58" t="s">
        <v>607</v>
      </c>
      <c r="T170" s="58"/>
      <c r="U170" s="58"/>
      <c r="V170" s="58"/>
      <c r="W170" s="58"/>
      <c r="X170" s="58"/>
      <c r="Y170" s="58"/>
      <c r="Z170" s="58"/>
      <c r="AA170" s="58"/>
      <c r="AB170" s="58"/>
      <c r="AC170" s="58" t="s">
        <v>507</v>
      </c>
      <c r="AD170" s="16" t="s">
        <v>63</v>
      </c>
      <c r="AE170" s="26">
        <v>2</v>
      </c>
      <c r="AF170" s="58" t="s">
        <v>743</v>
      </c>
    </row>
    <row r="171" spans="2:32" ht="14.4" hidden="1" x14ac:dyDescent="0.3">
      <c r="B171" s="16" t="s">
        <v>14</v>
      </c>
      <c r="C171" s="49" t="s">
        <v>508</v>
      </c>
      <c r="D171" s="246" t="s">
        <v>866</v>
      </c>
      <c r="E171" s="128" t="s">
        <v>867</v>
      </c>
      <c r="F171" s="40">
        <v>45777</v>
      </c>
      <c r="G171" s="26" t="s">
        <v>55</v>
      </c>
      <c r="H171" s="26">
        <v>2</v>
      </c>
      <c r="I171" s="56">
        <v>178000</v>
      </c>
      <c r="J171" s="26">
        <v>3</v>
      </c>
      <c r="K171" s="321">
        <f t="shared" si="3"/>
        <v>59333.333333333336</v>
      </c>
      <c r="L171" s="57">
        <v>45778</v>
      </c>
      <c r="M171" s="57">
        <v>46142</v>
      </c>
      <c r="N171" s="58" t="s">
        <v>19</v>
      </c>
      <c r="O171" s="26" t="s">
        <v>5</v>
      </c>
      <c r="P171" s="26"/>
      <c r="Q171" s="59" t="s">
        <v>343</v>
      </c>
      <c r="R171" s="58" t="s">
        <v>868</v>
      </c>
      <c r="S171" s="59" t="s">
        <v>345</v>
      </c>
      <c r="T171" s="59" t="s">
        <v>673</v>
      </c>
      <c r="U171" s="59" t="s">
        <v>347</v>
      </c>
      <c r="V171" s="58" t="s">
        <v>869</v>
      </c>
      <c r="W171" s="58"/>
      <c r="X171" s="58"/>
      <c r="Y171" s="58"/>
      <c r="Z171" s="58"/>
      <c r="AA171" s="58"/>
      <c r="AB171" s="58"/>
      <c r="AC171" s="58" t="s">
        <v>96</v>
      </c>
      <c r="AD171" s="26" t="s">
        <v>97</v>
      </c>
      <c r="AE171" s="26" t="s">
        <v>494</v>
      </c>
      <c r="AF171" s="76" t="s">
        <v>870</v>
      </c>
    </row>
    <row r="172" spans="2:32" ht="14.4" hidden="1" x14ac:dyDescent="0.3">
      <c r="B172" s="16" t="s">
        <v>14</v>
      </c>
      <c r="C172" s="49" t="s">
        <v>508</v>
      </c>
      <c r="D172" s="246" t="s">
        <v>866</v>
      </c>
      <c r="E172" s="128" t="s">
        <v>871</v>
      </c>
      <c r="F172" s="40">
        <v>45777</v>
      </c>
      <c r="G172" s="26" t="s">
        <v>55</v>
      </c>
      <c r="H172" s="26">
        <v>2</v>
      </c>
      <c r="I172" s="56">
        <v>178000</v>
      </c>
      <c r="J172" s="26">
        <v>3</v>
      </c>
      <c r="K172" s="321">
        <f t="shared" si="3"/>
        <v>59333.333333333336</v>
      </c>
      <c r="L172" s="57">
        <v>45778</v>
      </c>
      <c r="M172" s="57">
        <v>46142</v>
      </c>
      <c r="N172" s="58" t="s">
        <v>19</v>
      </c>
      <c r="O172" s="26" t="s">
        <v>5</v>
      </c>
      <c r="P172" s="26"/>
      <c r="Q172" s="59" t="s">
        <v>343</v>
      </c>
      <c r="R172" s="58" t="s">
        <v>872</v>
      </c>
      <c r="S172" s="59" t="s">
        <v>345</v>
      </c>
      <c r="T172" s="58" t="s">
        <v>873</v>
      </c>
      <c r="U172" s="59" t="s">
        <v>347</v>
      </c>
      <c r="V172" s="58" t="s">
        <v>874</v>
      </c>
      <c r="W172" s="58"/>
      <c r="X172" s="58"/>
      <c r="Y172" s="58"/>
      <c r="Z172" s="58"/>
      <c r="AA172" s="58"/>
      <c r="AB172" s="58"/>
      <c r="AC172" s="58" t="s">
        <v>96</v>
      </c>
      <c r="AD172" s="26" t="s">
        <v>97</v>
      </c>
      <c r="AE172" s="26" t="s">
        <v>494</v>
      </c>
      <c r="AF172" s="76" t="s">
        <v>870</v>
      </c>
    </row>
    <row r="173" spans="2:32" ht="14.4" hidden="1" x14ac:dyDescent="0.3">
      <c r="B173" s="16" t="s">
        <v>14</v>
      </c>
      <c r="C173" s="124" t="s">
        <v>875</v>
      </c>
      <c r="D173" s="124" t="s">
        <v>876</v>
      </c>
      <c r="E173" s="129" t="s">
        <v>877</v>
      </c>
      <c r="F173" s="43">
        <v>45772</v>
      </c>
      <c r="G173" s="42" t="s">
        <v>55</v>
      </c>
      <c r="H173" s="42">
        <v>3</v>
      </c>
      <c r="I173" s="61">
        <v>435000</v>
      </c>
      <c r="J173" s="42">
        <v>3</v>
      </c>
      <c r="K173" s="321">
        <f t="shared" si="3"/>
        <v>145000</v>
      </c>
      <c r="L173" s="62">
        <v>45770</v>
      </c>
      <c r="M173" s="62">
        <v>46134</v>
      </c>
      <c r="N173" s="63" t="s">
        <v>19</v>
      </c>
      <c r="O173" s="26" t="s">
        <v>5</v>
      </c>
      <c r="P173" s="42" t="s">
        <v>1</v>
      </c>
      <c r="Q173" s="64" t="s">
        <v>878</v>
      </c>
      <c r="R173" s="63" t="s">
        <v>108</v>
      </c>
      <c r="S173" s="64" t="s">
        <v>879</v>
      </c>
      <c r="T173" s="63" t="s">
        <v>880</v>
      </c>
      <c r="U173" s="64" t="s">
        <v>881</v>
      </c>
      <c r="V173" s="63" t="s">
        <v>882</v>
      </c>
      <c r="W173" s="63"/>
      <c r="X173" s="63"/>
      <c r="Y173" s="63"/>
      <c r="Z173" s="63"/>
      <c r="AA173" s="63"/>
      <c r="AB173" s="63"/>
      <c r="AC173" s="63" t="s">
        <v>281</v>
      </c>
      <c r="AD173" s="42" t="s">
        <v>97</v>
      </c>
      <c r="AE173" s="42">
        <v>3</v>
      </c>
      <c r="AF173" s="63" t="s">
        <v>883</v>
      </c>
    </row>
    <row r="174" spans="2:32" ht="14.4" hidden="1" x14ac:dyDescent="0.3">
      <c r="B174" s="16" t="s">
        <v>14</v>
      </c>
      <c r="C174" s="130" t="s">
        <v>614</v>
      </c>
      <c r="D174" s="130" t="s">
        <v>884</v>
      </c>
      <c r="E174" s="131" t="s">
        <v>885</v>
      </c>
      <c r="F174" s="55">
        <v>45782</v>
      </c>
      <c r="G174" s="26" t="s">
        <v>55</v>
      </c>
      <c r="H174" s="26">
        <v>1</v>
      </c>
      <c r="I174" s="56">
        <v>76440</v>
      </c>
      <c r="J174" s="26">
        <v>3</v>
      </c>
      <c r="K174" s="321"/>
      <c r="L174" s="57">
        <v>45809</v>
      </c>
      <c r="M174" s="57">
        <v>46173</v>
      </c>
      <c r="N174" s="58" t="s">
        <v>520</v>
      </c>
      <c r="O174" s="26" t="s">
        <v>6</v>
      </c>
      <c r="P174" s="26"/>
      <c r="Q174" s="59" t="s">
        <v>81</v>
      </c>
      <c r="R174" s="58" t="s">
        <v>886</v>
      </c>
      <c r="S174" s="58" t="s">
        <v>83</v>
      </c>
      <c r="T174" s="58"/>
      <c r="U174" s="58" t="s">
        <v>887</v>
      </c>
      <c r="V174" s="58"/>
      <c r="W174" s="58"/>
      <c r="X174" s="58"/>
      <c r="Y174" s="58"/>
      <c r="Z174" s="58"/>
      <c r="AA174" s="58"/>
      <c r="AB174" s="58"/>
      <c r="AC174" s="58" t="s">
        <v>281</v>
      </c>
      <c r="AD174" s="26" t="s">
        <v>97</v>
      </c>
      <c r="AE174" s="26">
        <v>3</v>
      </c>
      <c r="AF174" s="58" t="s">
        <v>888</v>
      </c>
    </row>
    <row r="175" spans="2:32" ht="14.4" hidden="1" x14ac:dyDescent="0.3">
      <c r="B175" s="16" t="s">
        <v>14</v>
      </c>
      <c r="C175" s="37" t="s">
        <v>889</v>
      </c>
      <c r="D175" s="232" t="s">
        <v>890</v>
      </c>
      <c r="E175" s="50">
        <v>4500008676</v>
      </c>
      <c r="F175" s="55">
        <v>45734</v>
      </c>
      <c r="G175" s="26" t="s">
        <v>55</v>
      </c>
      <c r="H175" s="26">
        <v>2</v>
      </c>
      <c r="I175" s="56">
        <v>191000</v>
      </c>
      <c r="J175" s="26">
        <v>2</v>
      </c>
      <c r="K175" s="321">
        <f t="shared" si="3"/>
        <v>95500</v>
      </c>
      <c r="L175" s="57">
        <v>45689</v>
      </c>
      <c r="M175" s="57">
        <v>46053</v>
      </c>
      <c r="N175" s="18" t="s">
        <v>19</v>
      </c>
      <c r="O175" s="26" t="s">
        <v>0</v>
      </c>
      <c r="P175" s="26" t="s">
        <v>1</v>
      </c>
      <c r="Q175" s="59" t="s">
        <v>422</v>
      </c>
      <c r="R175" s="58" t="s">
        <v>413</v>
      </c>
      <c r="S175" s="59" t="s">
        <v>424</v>
      </c>
      <c r="T175" s="58" t="s">
        <v>707</v>
      </c>
      <c r="U175" s="58"/>
      <c r="V175" s="58"/>
      <c r="W175" s="58"/>
      <c r="X175" s="58"/>
      <c r="Y175" s="58"/>
      <c r="Z175" s="58"/>
      <c r="AA175" s="58"/>
      <c r="AB175" s="58"/>
      <c r="AC175" s="58" t="s">
        <v>183</v>
      </c>
      <c r="AD175" s="26" t="s">
        <v>97</v>
      </c>
      <c r="AE175" s="26">
        <v>2</v>
      </c>
      <c r="AF175" s="126">
        <v>1</v>
      </c>
    </row>
    <row r="176" spans="2:32" ht="14.4" hidden="1" x14ac:dyDescent="0.3">
      <c r="B176" s="16" t="s">
        <v>14</v>
      </c>
      <c r="C176" s="37" t="s">
        <v>195</v>
      </c>
      <c r="D176" s="235" t="s">
        <v>447</v>
      </c>
      <c r="E176" s="16" t="s">
        <v>891</v>
      </c>
      <c r="F176" s="55">
        <v>45789</v>
      </c>
      <c r="G176" s="26" t="s">
        <v>55</v>
      </c>
      <c r="H176" s="26">
        <v>3</v>
      </c>
      <c r="I176" s="56">
        <v>179550</v>
      </c>
      <c r="J176" s="26">
        <v>4</v>
      </c>
      <c r="K176" s="321">
        <f t="shared" si="3"/>
        <v>44887.5</v>
      </c>
      <c r="L176" s="57">
        <v>45778</v>
      </c>
      <c r="M176" s="57">
        <v>46142</v>
      </c>
      <c r="N176" s="58" t="s">
        <v>520</v>
      </c>
      <c r="O176" s="26" t="s">
        <v>6</v>
      </c>
      <c r="P176" s="26"/>
      <c r="Q176" s="59" t="s">
        <v>266</v>
      </c>
      <c r="R176" s="58" t="s">
        <v>806</v>
      </c>
      <c r="S176" s="59" t="s">
        <v>892</v>
      </c>
      <c r="T176" s="58" t="s">
        <v>723</v>
      </c>
      <c r="U176" s="59" t="s">
        <v>269</v>
      </c>
      <c r="V176" s="58" t="s">
        <v>171</v>
      </c>
      <c r="W176" s="59" t="s">
        <v>442</v>
      </c>
      <c r="X176" s="58" t="s">
        <v>882</v>
      </c>
      <c r="Y176" s="58"/>
      <c r="Z176" s="58"/>
      <c r="AA176" s="58"/>
      <c r="AB176" s="58"/>
      <c r="AC176" s="58" t="s">
        <v>96</v>
      </c>
      <c r="AD176" s="26" t="s">
        <v>97</v>
      </c>
      <c r="AE176" s="26" t="s">
        <v>494</v>
      </c>
      <c r="AF176" s="58" t="s">
        <v>667</v>
      </c>
    </row>
    <row r="177" spans="2:32" ht="14.4" hidden="1" x14ac:dyDescent="0.3">
      <c r="B177" s="16" t="s">
        <v>14</v>
      </c>
      <c r="C177" s="37" t="s">
        <v>195</v>
      </c>
      <c r="D177" s="235" t="s">
        <v>447</v>
      </c>
      <c r="E177" s="16" t="s">
        <v>891</v>
      </c>
      <c r="F177" s="55">
        <v>45789</v>
      </c>
      <c r="G177" s="26"/>
      <c r="H177" s="26"/>
      <c r="I177" s="56">
        <v>188535</v>
      </c>
      <c r="J177" s="26">
        <v>4</v>
      </c>
      <c r="K177" s="321">
        <f t="shared" si="3"/>
        <v>47133.75</v>
      </c>
      <c r="L177" s="57">
        <v>46143</v>
      </c>
      <c r="M177" s="57">
        <v>46507</v>
      </c>
      <c r="N177" s="58" t="s">
        <v>520</v>
      </c>
      <c r="O177" s="26" t="s">
        <v>6</v>
      </c>
      <c r="P177" s="26"/>
      <c r="Q177" s="58" t="s">
        <v>444</v>
      </c>
      <c r="R177" s="58"/>
      <c r="S177" s="58" t="s">
        <v>445</v>
      </c>
      <c r="T177" s="58"/>
      <c r="U177" s="57" t="s">
        <v>456</v>
      </c>
      <c r="V177" s="58"/>
      <c r="W177" s="58" t="s">
        <v>457</v>
      </c>
      <c r="X177" s="58"/>
      <c r="Y177" s="58"/>
      <c r="Z177" s="58"/>
      <c r="AA177" s="58"/>
      <c r="AB177" s="58"/>
      <c r="AC177" s="58"/>
      <c r="AD177" s="26"/>
      <c r="AE177" s="26"/>
      <c r="AF177" s="58"/>
    </row>
    <row r="178" spans="2:32" ht="14.4" hidden="1" x14ac:dyDescent="0.3">
      <c r="B178" s="16" t="s">
        <v>14</v>
      </c>
      <c r="C178" s="37" t="s">
        <v>195</v>
      </c>
      <c r="D178" s="235" t="s">
        <v>447</v>
      </c>
      <c r="E178" s="16" t="s">
        <v>891</v>
      </c>
      <c r="F178" s="55">
        <v>45789</v>
      </c>
      <c r="G178" s="26"/>
      <c r="H178" s="26"/>
      <c r="I178" s="56">
        <v>197955</v>
      </c>
      <c r="J178" s="26">
        <v>4</v>
      </c>
      <c r="K178" s="321">
        <f t="shared" si="3"/>
        <v>49488.75</v>
      </c>
      <c r="L178" s="57">
        <v>46508</v>
      </c>
      <c r="M178" s="57">
        <v>46873</v>
      </c>
      <c r="N178" s="58" t="s">
        <v>520</v>
      </c>
      <c r="O178" s="26" t="s">
        <v>6</v>
      </c>
      <c r="P178" s="26"/>
      <c r="Q178" s="58" t="s">
        <v>458</v>
      </c>
      <c r="R178" s="58"/>
      <c r="S178" s="58" t="s">
        <v>459</v>
      </c>
      <c r="T178" s="58"/>
      <c r="U178" s="58" t="s">
        <v>893</v>
      </c>
      <c r="V178" s="58"/>
      <c r="W178" s="58" t="s">
        <v>894</v>
      </c>
      <c r="X178" s="58"/>
      <c r="Y178" s="58"/>
      <c r="Z178" s="58"/>
      <c r="AA178" s="58"/>
      <c r="AB178" s="58"/>
      <c r="AC178" s="58"/>
      <c r="AD178" s="26"/>
      <c r="AE178" s="26"/>
      <c r="AF178" s="58"/>
    </row>
    <row r="179" spans="2:32" ht="14.4" hidden="1" x14ac:dyDescent="0.3">
      <c r="B179" s="16" t="s">
        <v>14</v>
      </c>
      <c r="C179" s="18" t="s">
        <v>895</v>
      </c>
      <c r="D179" s="225" t="s">
        <v>896</v>
      </c>
      <c r="E179" s="16" t="s">
        <v>897</v>
      </c>
      <c r="F179" s="55">
        <v>45789</v>
      </c>
      <c r="G179" s="26" t="s">
        <v>55</v>
      </c>
      <c r="H179" s="26">
        <v>1</v>
      </c>
      <c r="I179" s="56">
        <v>90000</v>
      </c>
      <c r="J179" s="26">
        <v>2</v>
      </c>
      <c r="K179" s="321">
        <f t="shared" si="3"/>
        <v>45000</v>
      </c>
      <c r="L179" s="57">
        <v>45748</v>
      </c>
      <c r="M179" s="57">
        <v>46112</v>
      </c>
      <c r="N179" s="58" t="s">
        <v>19</v>
      </c>
      <c r="O179" s="26" t="s">
        <v>3</v>
      </c>
      <c r="P179" s="26"/>
      <c r="Q179" s="59" t="s">
        <v>463</v>
      </c>
      <c r="R179" s="58" t="s">
        <v>898</v>
      </c>
      <c r="S179" s="59" t="s">
        <v>465</v>
      </c>
      <c r="T179" s="58" t="s">
        <v>899</v>
      </c>
      <c r="U179" s="58"/>
      <c r="V179" s="58"/>
      <c r="W179" s="58"/>
      <c r="X179" s="58"/>
      <c r="Y179" s="58"/>
      <c r="Z179" s="58"/>
      <c r="AA179" s="58"/>
      <c r="AB179" s="58"/>
      <c r="AC179" s="58" t="s">
        <v>96</v>
      </c>
      <c r="AD179" s="26" t="s">
        <v>97</v>
      </c>
      <c r="AE179" s="26">
        <v>3</v>
      </c>
      <c r="AF179" s="58" t="s">
        <v>774</v>
      </c>
    </row>
    <row r="180" spans="2:32" ht="14.4" hidden="1" x14ac:dyDescent="0.3">
      <c r="B180" s="16" t="s">
        <v>14</v>
      </c>
      <c r="C180" s="86" t="s">
        <v>775</v>
      </c>
      <c r="D180" s="124" t="s">
        <v>900</v>
      </c>
      <c r="E180" s="129">
        <v>2710000789</v>
      </c>
      <c r="F180" s="43">
        <v>45762</v>
      </c>
      <c r="G180" s="42" t="s">
        <v>55</v>
      </c>
      <c r="H180" s="42">
        <v>4</v>
      </c>
      <c r="I180" s="61">
        <v>320000</v>
      </c>
      <c r="J180" s="42">
        <v>3</v>
      </c>
      <c r="K180" s="321">
        <f t="shared" si="3"/>
        <v>106666.66666666667</v>
      </c>
      <c r="L180" s="62">
        <v>45748</v>
      </c>
      <c r="M180" s="62">
        <v>46112</v>
      </c>
      <c r="N180" s="63" t="s">
        <v>19</v>
      </c>
      <c r="O180" s="26" t="s">
        <v>3</v>
      </c>
      <c r="P180" s="42"/>
      <c r="Q180" s="64" t="s">
        <v>758</v>
      </c>
      <c r="R180" s="63" t="s">
        <v>504</v>
      </c>
      <c r="S180" s="64" t="s">
        <v>901</v>
      </c>
      <c r="T180" s="63" t="s">
        <v>902</v>
      </c>
      <c r="U180" s="64" t="s">
        <v>361</v>
      </c>
      <c r="V180" s="63" t="s">
        <v>903</v>
      </c>
      <c r="W180" s="63"/>
      <c r="X180" s="63"/>
      <c r="Y180" s="63"/>
      <c r="Z180" s="63"/>
      <c r="AA180" s="63"/>
      <c r="AB180" s="63"/>
      <c r="AC180" s="63" t="s">
        <v>551</v>
      </c>
      <c r="AD180" s="16" t="s">
        <v>207</v>
      </c>
      <c r="AE180" s="42">
        <v>3</v>
      </c>
      <c r="AF180" s="105" t="s">
        <v>904</v>
      </c>
    </row>
    <row r="181" spans="2:32" ht="14.4" hidden="1" x14ac:dyDescent="0.3">
      <c r="B181" s="16" t="s">
        <v>14</v>
      </c>
      <c r="C181" s="68" t="s">
        <v>905</v>
      </c>
      <c r="D181" s="132" t="s">
        <v>906</v>
      </c>
      <c r="E181" s="121">
        <v>1100033763</v>
      </c>
      <c r="F181" s="50" t="s">
        <v>907</v>
      </c>
      <c r="G181" s="42" t="s">
        <v>55</v>
      </c>
      <c r="H181" s="42">
        <v>4</v>
      </c>
      <c r="I181" s="61">
        <v>280000</v>
      </c>
      <c r="J181" s="42">
        <v>2</v>
      </c>
      <c r="K181" s="321">
        <f t="shared" si="3"/>
        <v>140000</v>
      </c>
      <c r="L181" s="62">
        <v>45809</v>
      </c>
      <c r="M181" s="62">
        <v>46173</v>
      </c>
      <c r="N181" s="63" t="s">
        <v>19</v>
      </c>
      <c r="O181" s="26" t="s">
        <v>6</v>
      </c>
      <c r="P181" s="42"/>
      <c r="Q181" s="64" t="s">
        <v>125</v>
      </c>
      <c r="R181" s="63" t="s">
        <v>908</v>
      </c>
      <c r="S181" s="64" t="s">
        <v>127</v>
      </c>
      <c r="T181" s="63" t="s">
        <v>909</v>
      </c>
      <c r="U181" s="63"/>
      <c r="V181" s="63"/>
      <c r="W181" s="63"/>
      <c r="X181" s="63"/>
      <c r="Y181" s="63"/>
      <c r="Z181" s="63"/>
      <c r="AA181" s="63"/>
      <c r="AB181" s="63"/>
      <c r="AC181" s="63" t="s">
        <v>551</v>
      </c>
      <c r="AD181" s="16" t="s">
        <v>207</v>
      </c>
      <c r="AE181" s="42">
        <v>3</v>
      </c>
      <c r="AF181" s="63" t="s">
        <v>667</v>
      </c>
    </row>
    <row r="182" spans="2:32" ht="14.4" hidden="1" x14ac:dyDescent="0.3">
      <c r="B182" s="16" t="s">
        <v>14</v>
      </c>
      <c r="C182" s="94" t="s">
        <v>628</v>
      </c>
      <c r="D182" s="247" t="s">
        <v>910</v>
      </c>
      <c r="E182" s="133" t="s">
        <v>911</v>
      </c>
      <c r="F182" s="60">
        <v>45792</v>
      </c>
      <c r="G182" s="42" t="s">
        <v>55</v>
      </c>
      <c r="H182" s="42">
        <v>3</v>
      </c>
      <c r="I182" s="61">
        <v>156000</v>
      </c>
      <c r="J182" s="42">
        <v>1</v>
      </c>
      <c r="K182" s="321">
        <f t="shared" si="3"/>
        <v>156000</v>
      </c>
      <c r="L182" s="62">
        <v>45748</v>
      </c>
      <c r="M182" s="62">
        <v>46112</v>
      </c>
      <c r="N182" s="63" t="s">
        <v>19</v>
      </c>
      <c r="O182" s="26" t="s">
        <v>3</v>
      </c>
      <c r="P182" s="42"/>
      <c r="Q182" s="64" t="s">
        <v>631</v>
      </c>
      <c r="R182" s="63" t="s">
        <v>909</v>
      </c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 t="s">
        <v>485</v>
      </c>
      <c r="AD182" s="16" t="s">
        <v>63</v>
      </c>
      <c r="AE182" s="42">
        <v>2</v>
      </c>
      <c r="AF182" s="63" t="s">
        <v>912</v>
      </c>
    </row>
    <row r="183" spans="2:32" ht="14.4" hidden="1" x14ac:dyDescent="0.3">
      <c r="B183" s="16" t="s">
        <v>14</v>
      </c>
      <c r="C183" s="94" t="s">
        <v>508</v>
      </c>
      <c r="D183" s="247" t="s">
        <v>866</v>
      </c>
      <c r="E183" s="134" t="s">
        <v>913</v>
      </c>
      <c r="F183" s="60">
        <v>45779</v>
      </c>
      <c r="G183" s="42" t="s">
        <v>55</v>
      </c>
      <c r="H183" s="42">
        <v>2</v>
      </c>
      <c r="I183" s="61">
        <v>178000</v>
      </c>
      <c r="J183" s="42">
        <v>3</v>
      </c>
      <c r="K183" s="321">
        <f t="shared" si="3"/>
        <v>59333.333333333336</v>
      </c>
      <c r="L183" s="62">
        <v>45792</v>
      </c>
      <c r="M183" s="62">
        <v>46156</v>
      </c>
      <c r="N183" s="63" t="s">
        <v>19</v>
      </c>
      <c r="O183" s="26" t="s">
        <v>6</v>
      </c>
      <c r="P183" s="42"/>
      <c r="Q183" s="64" t="s">
        <v>914</v>
      </c>
      <c r="R183" s="63" t="s">
        <v>915</v>
      </c>
      <c r="S183" s="64" t="s">
        <v>916</v>
      </c>
      <c r="T183" s="63" t="s">
        <v>917</v>
      </c>
      <c r="U183" s="64" t="s">
        <v>918</v>
      </c>
      <c r="V183" s="63" t="s">
        <v>919</v>
      </c>
      <c r="W183" s="63"/>
      <c r="X183" s="63"/>
      <c r="Y183" s="63"/>
      <c r="Z183" s="63"/>
      <c r="AA183" s="63"/>
      <c r="AB183" s="63"/>
      <c r="AC183" s="63" t="s">
        <v>96</v>
      </c>
      <c r="AD183" s="42" t="s">
        <v>97</v>
      </c>
      <c r="AE183" s="42" t="s">
        <v>494</v>
      </c>
      <c r="AF183" s="63" t="s">
        <v>920</v>
      </c>
    </row>
    <row r="184" spans="2:32" ht="14.4" hidden="1" x14ac:dyDescent="0.3">
      <c r="B184" s="16" t="s">
        <v>14</v>
      </c>
      <c r="C184" s="39" t="s">
        <v>921</v>
      </c>
      <c r="D184" s="248" t="s">
        <v>922</v>
      </c>
      <c r="E184" s="125">
        <v>4510868028</v>
      </c>
      <c r="F184" s="55">
        <v>45797</v>
      </c>
      <c r="G184" s="26" t="s">
        <v>55</v>
      </c>
      <c r="H184" s="26">
        <v>4</v>
      </c>
      <c r="I184" s="56">
        <v>340000</v>
      </c>
      <c r="J184" s="26">
        <v>3</v>
      </c>
      <c r="K184" s="321">
        <f t="shared" si="3"/>
        <v>113333.33333333333</v>
      </c>
      <c r="L184" s="57">
        <v>45778</v>
      </c>
      <c r="M184" s="57">
        <v>46142</v>
      </c>
      <c r="N184" s="58" t="s">
        <v>520</v>
      </c>
      <c r="O184" s="26" t="s">
        <v>6</v>
      </c>
      <c r="P184" s="26" t="s">
        <v>1</v>
      </c>
      <c r="Q184" s="59" t="s">
        <v>343</v>
      </c>
      <c r="R184" s="58" t="s">
        <v>923</v>
      </c>
      <c r="S184" s="59" t="s">
        <v>345</v>
      </c>
      <c r="T184" s="58" t="s">
        <v>687</v>
      </c>
      <c r="U184" s="59" t="s">
        <v>347</v>
      </c>
      <c r="V184" s="58" t="s">
        <v>924</v>
      </c>
      <c r="W184" s="58"/>
      <c r="X184" s="58"/>
      <c r="Y184" s="58"/>
      <c r="Z184" s="58"/>
      <c r="AA184" s="58"/>
      <c r="AB184" s="58"/>
      <c r="AC184" s="58" t="s">
        <v>507</v>
      </c>
      <c r="AD184" s="16" t="s">
        <v>63</v>
      </c>
      <c r="AE184" s="26">
        <v>3</v>
      </c>
      <c r="AF184" s="58" t="s">
        <v>925</v>
      </c>
    </row>
    <row r="185" spans="2:32" ht="14.4" hidden="1" x14ac:dyDescent="0.3">
      <c r="B185" s="16" t="s">
        <v>14</v>
      </c>
      <c r="C185" s="68" t="s">
        <v>921</v>
      </c>
      <c r="D185" s="249" t="s">
        <v>922</v>
      </c>
      <c r="E185" s="121">
        <v>4510868028</v>
      </c>
      <c r="F185" s="43">
        <v>45797</v>
      </c>
      <c r="G185" s="42" t="s">
        <v>55</v>
      </c>
      <c r="H185" s="42"/>
      <c r="I185" s="61">
        <v>340000</v>
      </c>
      <c r="J185" s="42">
        <v>3</v>
      </c>
      <c r="K185" s="321">
        <f t="shared" si="3"/>
        <v>113333.33333333333</v>
      </c>
      <c r="L185" s="62">
        <v>46143</v>
      </c>
      <c r="M185" s="62">
        <v>46507</v>
      </c>
      <c r="N185" s="63" t="s">
        <v>520</v>
      </c>
      <c r="O185" s="26" t="s">
        <v>6</v>
      </c>
      <c r="P185" s="42" t="s">
        <v>1</v>
      </c>
      <c r="Q185" s="63" t="s">
        <v>348</v>
      </c>
      <c r="R185" s="63"/>
      <c r="S185" s="63" t="s">
        <v>349</v>
      </c>
      <c r="T185" s="63"/>
      <c r="U185" s="63" t="s">
        <v>738</v>
      </c>
      <c r="V185" s="63"/>
      <c r="W185" s="63"/>
      <c r="X185" s="63"/>
      <c r="Y185" s="63"/>
      <c r="Z185" s="63"/>
      <c r="AA185" s="63"/>
      <c r="AB185" s="63"/>
      <c r="AC185" s="63" t="s">
        <v>507</v>
      </c>
      <c r="AD185" s="16" t="s">
        <v>63</v>
      </c>
      <c r="AE185" s="42">
        <v>3</v>
      </c>
      <c r="AF185" s="63"/>
    </row>
    <row r="186" spans="2:32" ht="14.4" hidden="1" x14ac:dyDescent="0.3">
      <c r="B186" s="16" t="s">
        <v>14</v>
      </c>
      <c r="C186" s="68" t="s">
        <v>926</v>
      </c>
      <c r="D186" s="135" t="s">
        <v>151</v>
      </c>
      <c r="E186" s="42" t="s">
        <v>927</v>
      </c>
      <c r="F186" s="43">
        <v>45798</v>
      </c>
      <c r="G186" s="42" t="s">
        <v>55</v>
      </c>
      <c r="H186" s="42">
        <v>1</v>
      </c>
      <c r="I186" s="61">
        <v>78000</v>
      </c>
      <c r="J186" s="42">
        <v>3</v>
      </c>
      <c r="K186" s="321">
        <f t="shared" si="3"/>
        <v>26000</v>
      </c>
      <c r="L186" s="62">
        <v>45809</v>
      </c>
      <c r="M186" s="62">
        <v>46173</v>
      </c>
      <c r="N186" s="63" t="s">
        <v>520</v>
      </c>
      <c r="O186" s="26" t="s">
        <v>6</v>
      </c>
      <c r="P186" s="42"/>
      <c r="Q186" s="64" t="s">
        <v>81</v>
      </c>
      <c r="R186" s="63" t="s">
        <v>928</v>
      </c>
      <c r="S186" s="64" t="s">
        <v>83</v>
      </c>
      <c r="T186" s="63" t="s">
        <v>929</v>
      </c>
      <c r="U186" s="64" t="s">
        <v>404</v>
      </c>
      <c r="V186" s="63" t="s">
        <v>930</v>
      </c>
      <c r="W186" s="63"/>
      <c r="X186" s="63"/>
      <c r="Y186" s="63"/>
      <c r="Z186" s="63"/>
      <c r="AA186" s="63"/>
      <c r="AB186" s="63"/>
      <c r="AC186" s="63" t="s">
        <v>507</v>
      </c>
      <c r="AD186" s="16" t="s">
        <v>63</v>
      </c>
      <c r="AE186" s="42">
        <v>3</v>
      </c>
      <c r="AF186" s="63" t="s">
        <v>931</v>
      </c>
    </row>
    <row r="187" spans="2:32" ht="14.4" hidden="1" x14ac:dyDescent="0.3">
      <c r="B187" s="16" t="s">
        <v>14</v>
      </c>
      <c r="C187" s="68" t="s">
        <v>926</v>
      </c>
      <c r="D187" s="135" t="s">
        <v>932</v>
      </c>
      <c r="E187" s="84" t="s">
        <v>933</v>
      </c>
      <c r="F187" s="43">
        <v>45798</v>
      </c>
      <c r="G187" s="42" t="s">
        <v>55</v>
      </c>
      <c r="H187" s="42">
        <v>1</v>
      </c>
      <c r="I187" s="61">
        <v>78000</v>
      </c>
      <c r="J187" s="42">
        <v>3</v>
      </c>
      <c r="K187" s="321">
        <f t="shared" si="3"/>
        <v>26000</v>
      </c>
      <c r="L187" s="62">
        <v>45748</v>
      </c>
      <c r="M187" s="62">
        <v>46112</v>
      </c>
      <c r="N187" s="63" t="s">
        <v>19</v>
      </c>
      <c r="O187" s="26" t="s">
        <v>3</v>
      </c>
      <c r="P187" s="42"/>
      <c r="Q187" s="64" t="s">
        <v>357</v>
      </c>
      <c r="R187" s="63" t="s">
        <v>934</v>
      </c>
      <c r="S187" s="64" t="s">
        <v>665</v>
      </c>
      <c r="T187" s="63" t="s">
        <v>929</v>
      </c>
      <c r="U187" s="64" t="s">
        <v>361</v>
      </c>
      <c r="V187" s="63" t="s">
        <v>732</v>
      </c>
      <c r="W187" s="63"/>
      <c r="X187" s="63"/>
      <c r="Y187" s="63"/>
      <c r="Z187" s="63"/>
      <c r="AA187" s="63"/>
      <c r="AB187" s="63"/>
      <c r="AC187" s="63" t="s">
        <v>507</v>
      </c>
      <c r="AD187" s="16" t="s">
        <v>63</v>
      </c>
      <c r="AE187" s="42">
        <v>3</v>
      </c>
      <c r="AF187" s="63" t="s">
        <v>931</v>
      </c>
    </row>
    <row r="188" spans="2:32" ht="14.4" hidden="1" x14ac:dyDescent="0.3">
      <c r="B188" s="16" t="s">
        <v>14</v>
      </c>
      <c r="C188" s="94" t="s">
        <v>935</v>
      </c>
      <c r="D188" s="247" t="s">
        <v>176</v>
      </c>
      <c r="E188" s="133" t="s">
        <v>936</v>
      </c>
      <c r="F188" s="60">
        <v>45794</v>
      </c>
      <c r="G188" s="42" t="s">
        <v>55</v>
      </c>
      <c r="H188" s="42">
        <v>1</v>
      </c>
      <c r="I188" s="61">
        <v>94500</v>
      </c>
      <c r="J188" s="42">
        <v>2</v>
      </c>
      <c r="K188" s="321">
        <f t="shared" si="3"/>
        <v>47250</v>
      </c>
      <c r="L188" s="62">
        <v>45753</v>
      </c>
      <c r="M188" s="62">
        <v>46117</v>
      </c>
      <c r="N188" s="63" t="s">
        <v>19</v>
      </c>
      <c r="O188" s="26" t="s">
        <v>5</v>
      </c>
      <c r="P188" s="42" t="s">
        <v>1</v>
      </c>
      <c r="Q188" s="64" t="s">
        <v>937</v>
      </c>
      <c r="R188" s="63" t="s">
        <v>807</v>
      </c>
      <c r="S188" s="64" t="s">
        <v>938</v>
      </c>
      <c r="T188" s="63" t="s">
        <v>939</v>
      </c>
      <c r="U188" s="63"/>
      <c r="V188" s="63"/>
      <c r="W188" s="63"/>
      <c r="X188" s="63"/>
      <c r="Y188" s="63"/>
      <c r="Z188" s="63"/>
      <c r="AA188" s="63"/>
      <c r="AB188" s="63"/>
      <c r="AC188" s="63" t="s">
        <v>183</v>
      </c>
      <c r="AD188" s="42" t="s">
        <v>97</v>
      </c>
      <c r="AE188" s="42">
        <v>2</v>
      </c>
      <c r="AF188" s="63" t="s">
        <v>861</v>
      </c>
    </row>
    <row r="189" spans="2:32" ht="14.4" hidden="1" x14ac:dyDescent="0.3">
      <c r="B189" s="16" t="s">
        <v>14</v>
      </c>
      <c r="C189" s="68" t="s">
        <v>130</v>
      </c>
      <c r="D189" s="132" t="s">
        <v>940</v>
      </c>
      <c r="E189" s="84">
        <v>6800046962</v>
      </c>
      <c r="F189" s="43">
        <v>45786</v>
      </c>
      <c r="G189" s="42" t="s">
        <v>55</v>
      </c>
      <c r="H189" s="42">
        <v>1</v>
      </c>
      <c r="I189" s="61">
        <v>85000</v>
      </c>
      <c r="J189" s="42">
        <v>3</v>
      </c>
      <c r="K189" s="321">
        <f t="shared" si="3"/>
        <v>28333.333333333332</v>
      </c>
      <c r="L189" s="62">
        <v>45753</v>
      </c>
      <c r="M189" s="62">
        <v>46117</v>
      </c>
      <c r="N189" s="63" t="s">
        <v>19</v>
      </c>
      <c r="O189" s="26" t="s">
        <v>5</v>
      </c>
      <c r="P189" s="42" t="s">
        <v>1</v>
      </c>
      <c r="Q189" s="64" t="s">
        <v>941</v>
      </c>
      <c r="R189" s="63" t="s">
        <v>942</v>
      </c>
      <c r="S189" s="64" t="s">
        <v>943</v>
      </c>
      <c r="T189" s="63" t="s">
        <v>944</v>
      </c>
      <c r="U189" s="64" t="s">
        <v>945</v>
      </c>
      <c r="V189" s="63" t="s">
        <v>946</v>
      </c>
      <c r="W189" s="63"/>
      <c r="X189" s="63"/>
      <c r="Y189" s="63"/>
      <c r="Z189" s="63"/>
      <c r="AA189" s="63"/>
      <c r="AB189" s="63"/>
      <c r="AC189" s="63" t="s">
        <v>183</v>
      </c>
      <c r="AD189" s="42" t="s">
        <v>97</v>
      </c>
      <c r="AE189" s="42">
        <v>2</v>
      </c>
      <c r="AF189" s="63" t="s">
        <v>947</v>
      </c>
    </row>
    <row r="190" spans="2:32" ht="14.4" hidden="1" x14ac:dyDescent="0.3">
      <c r="B190" s="16" t="s">
        <v>14</v>
      </c>
      <c r="C190" s="68" t="s">
        <v>130</v>
      </c>
      <c r="D190" s="132" t="s">
        <v>940</v>
      </c>
      <c r="E190" s="84">
        <v>6800046959</v>
      </c>
      <c r="F190" s="43"/>
      <c r="G190" s="42" t="s">
        <v>55</v>
      </c>
      <c r="H190" s="42">
        <v>5</v>
      </c>
      <c r="I190" s="61">
        <v>425000</v>
      </c>
      <c r="J190" s="42">
        <v>3</v>
      </c>
      <c r="K190" s="321">
        <f t="shared" si="3"/>
        <v>141666.66666666666</v>
      </c>
      <c r="L190" s="62">
        <v>45753</v>
      </c>
      <c r="M190" s="62">
        <v>46117</v>
      </c>
      <c r="N190" s="63" t="s">
        <v>19</v>
      </c>
      <c r="O190" s="26" t="s">
        <v>5</v>
      </c>
      <c r="P190" s="42" t="s">
        <v>1</v>
      </c>
      <c r="Q190" s="64" t="s">
        <v>941</v>
      </c>
      <c r="R190" s="63" t="s">
        <v>942</v>
      </c>
      <c r="S190" s="64" t="s">
        <v>943</v>
      </c>
      <c r="T190" s="63" t="s">
        <v>944</v>
      </c>
      <c r="U190" s="64" t="s">
        <v>945</v>
      </c>
      <c r="V190" s="63" t="s">
        <v>946</v>
      </c>
      <c r="W190" s="63"/>
      <c r="X190" s="63"/>
      <c r="Y190" s="63"/>
      <c r="Z190" s="63"/>
      <c r="AA190" s="63"/>
      <c r="AB190" s="63"/>
      <c r="AC190" s="63" t="s">
        <v>183</v>
      </c>
      <c r="AD190" s="42" t="s">
        <v>97</v>
      </c>
      <c r="AE190" s="42">
        <v>2</v>
      </c>
      <c r="AF190" s="63" t="s">
        <v>947</v>
      </c>
    </row>
    <row r="191" spans="2:32" ht="14.4" hidden="1" x14ac:dyDescent="0.3">
      <c r="B191" s="16" t="s">
        <v>14</v>
      </c>
      <c r="C191" s="68" t="s">
        <v>948</v>
      </c>
      <c r="D191" s="132" t="s">
        <v>949</v>
      </c>
      <c r="E191" s="42">
        <v>916184</v>
      </c>
      <c r="F191" s="43">
        <v>45722</v>
      </c>
      <c r="G191" s="42" t="s">
        <v>55</v>
      </c>
      <c r="H191" s="42">
        <v>4</v>
      </c>
      <c r="I191" s="61">
        <v>297920</v>
      </c>
      <c r="J191" s="42">
        <v>4</v>
      </c>
      <c r="K191" s="321">
        <f t="shared" si="3"/>
        <v>74480</v>
      </c>
      <c r="L191" s="62">
        <v>45778</v>
      </c>
      <c r="M191" s="62">
        <v>46142</v>
      </c>
      <c r="N191" s="63" t="s">
        <v>19</v>
      </c>
      <c r="O191" s="26" t="s">
        <v>5</v>
      </c>
      <c r="P191" s="42"/>
      <c r="Q191" s="64" t="s">
        <v>266</v>
      </c>
      <c r="R191" s="63" t="s">
        <v>676</v>
      </c>
      <c r="S191" s="64" t="s">
        <v>267</v>
      </c>
      <c r="T191" s="63" t="s">
        <v>492</v>
      </c>
      <c r="U191" s="64" t="s">
        <v>269</v>
      </c>
      <c r="V191" s="63" t="s">
        <v>709</v>
      </c>
      <c r="W191" s="64" t="s">
        <v>442</v>
      </c>
      <c r="X191" s="63" t="s">
        <v>820</v>
      </c>
      <c r="Y191" s="63"/>
      <c r="Z191" s="63"/>
      <c r="AA191" s="63"/>
      <c r="AB191" s="63"/>
      <c r="AC191" s="63" t="s">
        <v>551</v>
      </c>
      <c r="AD191" s="16" t="s">
        <v>207</v>
      </c>
      <c r="AE191" s="42">
        <v>3</v>
      </c>
      <c r="AF191" s="63" t="s">
        <v>736</v>
      </c>
    </row>
    <row r="192" spans="2:32" ht="14.4" hidden="1" x14ac:dyDescent="0.3">
      <c r="B192" s="16" t="s">
        <v>14</v>
      </c>
      <c r="C192" s="68" t="s">
        <v>663</v>
      </c>
      <c r="D192" s="250" t="s">
        <v>950</v>
      </c>
      <c r="E192" s="42">
        <v>4507494931</v>
      </c>
      <c r="F192" s="136">
        <v>45771</v>
      </c>
      <c r="G192" s="42" t="s">
        <v>55</v>
      </c>
      <c r="H192" s="42">
        <v>6</v>
      </c>
      <c r="I192" s="61">
        <v>371999.98</v>
      </c>
      <c r="J192" s="42">
        <v>3</v>
      </c>
      <c r="K192" s="321">
        <f t="shared" si="3"/>
        <v>123999.99333333333</v>
      </c>
      <c r="L192" s="62">
        <v>45748</v>
      </c>
      <c r="M192" s="62">
        <v>46112</v>
      </c>
      <c r="N192" s="63" t="s">
        <v>19</v>
      </c>
      <c r="O192" s="26" t="s">
        <v>3</v>
      </c>
      <c r="P192" s="42"/>
      <c r="Q192" s="64" t="s">
        <v>357</v>
      </c>
      <c r="R192" s="63" t="s">
        <v>951</v>
      </c>
      <c r="S192" s="64" t="s">
        <v>665</v>
      </c>
      <c r="T192" s="63" t="s">
        <v>707</v>
      </c>
      <c r="U192" s="64" t="s">
        <v>361</v>
      </c>
      <c r="V192" s="63" t="s">
        <v>952</v>
      </c>
      <c r="W192" s="63"/>
      <c r="X192" s="63"/>
      <c r="Y192" s="63"/>
      <c r="Z192" s="63"/>
      <c r="AA192" s="63"/>
      <c r="AB192" s="63"/>
      <c r="AC192" s="63" t="s">
        <v>478</v>
      </c>
      <c r="AD192" s="16" t="s">
        <v>63</v>
      </c>
      <c r="AE192" s="42">
        <v>3</v>
      </c>
      <c r="AF192" s="137" t="s">
        <v>953</v>
      </c>
    </row>
    <row r="193" spans="2:32" ht="14.4" hidden="1" x14ac:dyDescent="0.3">
      <c r="B193" s="16" t="s">
        <v>14</v>
      </c>
      <c r="C193" s="68" t="s">
        <v>954</v>
      </c>
      <c r="D193" s="132" t="s">
        <v>151</v>
      </c>
      <c r="E193" s="42">
        <v>4601450532</v>
      </c>
      <c r="F193" s="43">
        <v>45796</v>
      </c>
      <c r="G193" s="42" t="s">
        <v>55</v>
      </c>
      <c r="H193" s="42">
        <v>1</v>
      </c>
      <c r="I193" s="61">
        <v>75000</v>
      </c>
      <c r="J193" s="42">
        <v>3</v>
      </c>
      <c r="K193" s="321">
        <f t="shared" si="3"/>
        <v>25000</v>
      </c>
      <c r="L193" s="62">
        <v>45748</v>
      </c>
      <c r="M193" s="62">
        <v>46112</v>
      </c>
      <c r="N193" s="63" t="s">
        <v>19</v>
      </c>
      <c r="O193" s="26" t="s">
        <v>3</v>
      </c>
      <c r="P193" s="42"/>
      <c r="Q193" s="64" t="s">
        <v>357</v>
      </c>
      <c r="R193" s="63" t="s">
        <v>955</v>
      </c>
      <c r="S193" s="64" t="s">
        <v>665</v>
      </c>
      <c r="T193" s="63" t="s">
        <v>956</v>
      </c>
      <c r="U193" s="64" t="s">
        <v>361</v>
      </c>
      <c r="V193" s="63" t="s">
        <v>957</v>
      </c>
      <c r="W193" s="63"/>
      <c r="X193" s="63"/>
      <c r="Y193" s="63"/>
      <c r="Z193" s="63"/>
      <c r="AA193" s="63"/>
      <c r="AB193" s="63"/>
      <c r="AC193" s="63" t="s">
        <v>478</v>
      </c>
      <c r="AD193" s="16" t="s">
        <v>63</v>
      </c>
      <c r="AE193" s="42">
        <v>3</v>
      </c>
      <c r="AF193" s="63" t="s">
        <v>736</v>
      </c>
    </row>
    <row r="194" spans="2:32" ht="14.4" hidden="1" x14ac:dyDescent="0.3">
      <c r="B194" s="16" t="s">
        <v>14</v>
      </c>
      <c r="C194" s="68" t="s">
        <v>905</v>
      </c>
      <c r="D194" s="132" t="s">
        <v>801</v>
      </c>
      <c r="E194" s="42">
        <v>1100033993</v>
      </c>
      <c r="F194" s="43">
        <v>45780</v>
      </c>
      <c r="G194" s="42" t="s">
        <v>55</v>
      </c>
      <c r="H194" s="42">
        <v>1</v>
      </c>
      <c r="I194" s="61">
        <v>75000</v>
      </c>
      <c r="J194" s="42">
        <v>2</v>
      </c>
      <c r="K194" s="321">
        <f t="shared" si="3"/>
        <v>37500</v>
      </c>
      <c r="L194" s="62">
        <v>45778</v>
      </c>
      <c r="M194" s="62">
        <v>46142</v>
      </c>
      <c r="N194" s="63" t="s">
        <v>19</v>
      </c>
      <c r="O194" s="26" t="s">
        <v>5</v>
      </c>
      <c r="P194" s="42"/>
      <c r="Q194" s="64" t="s">
        <v>328</v>
      </c>
      <c r="R194" s="63" t="s">
        <v>958</v>
      </c>
      <c r="S194" s="64" t="s">
        <v>330</v>
      </c>
      <c r="T194" s="63" t="s">
        <v>173</v>
      </c>
      <c r="U194" s="63"/>
      <c r="V194" s="63"/>
      <c r="W194" s="63"/>
      <c r="X194" s="63"/>
      <c r="Y194" s="63"/>
      <c r="Z194" s="63"/>
      <c r="AA194" s="63"/>
      <c r="AB194" s="63"/>
      <c r="AC194" s="63" t="s">
        <v>485</v>
      </c>
      <c r="AD194" s="16" t="s">
        <v>63</v>
      </c>
      <c r="AE194" s="42">
        <v>3</v>
      </c>
      <c r="AF194" s="63" t="s">
        <v>736</v>
      </c>
    </row>
    <row r="195" spans="2:32" ht="14.4" hidden="1" x14ac:dyDescent="0.3">
      <c r="B195" s="16" t="s">
        <v>14</v>
      </c>
      <c r="C195" s="117" t="s">
        <v>959</v>
      </c>
      <c r="D195" s="248" t="s">
        <v>151</v>
      </c>
      <c r="E195" s="50">
        <v>4521013686</v>
      </c>
      <c r="F195" s="55">
        <v>45801</v>
      </c>
      <c r="G195" s="26" t="s">
        <v>55</v>
      </c>
      <c r="H195" s="26">
        <v>1</v>
      </c>
      <c r="I195" s="56">
        <v>70000</v>
      </c>
      <c r="J195" s="26">
        <v>3</v>
      </c>
      <c r="K195" s="325">
        <f t="shared" si="3"/>
        <v>23333.333333333332</v>
      </c>
      <c r="L195" s="57">
        <v>45801</v>
      </c>
      <c r="M195" s="57">
        <v>46165</v>
      </c>
      <c r="N195" s="58" t="s">
        <v>520</v>
      </c>
      <c r="O195" s="26" t="s">
        <v>6</v>
      </c>
      <c r="P195" s="26"/>
      <c r="Q195" s="59" t="s">
        <v>960</v>
      </c>
      <c r="R195" s="58" t="s">
        <v>961</v>
      </c>
      <c r="S195" s="59" t="s">
        <v>962</v>
      </c>
      <c r="T195" s="58" t="s">
        <v>606</v>
      </c>
      <c r="U195" s="58" t="s">
        <v>963</v>
      </c>
      <c r="V195" s="58"/>
      <c r="W195" s="58"/>
      <c r="X195" s="58"/>
      <c r="Y195" s="58"/>
      <c r="Z195" s="58"/>
      <c r="AA195" s="58"/>
      <c r="AB195" s="58"/>
      <c r="AC195" s="58" t="s">
        <v>964</v>
      </c>
      <c r="AD195" s="16" t="s">
        <v>63</v>
      </c>
      <c r="AE195" s="26">
        <v>3</v>
      </c>
      <c r="AF195" s="58" t="s">
        <v>736</v>
      </c>
    </row>
    <row r="196" spans="2:32" ht="14.4" hidden="1" x14ac:dyDescent="0.3">
      <c r="B196" s="16" t="s">
        <v>14</v>
      </c>
      <c r="C196" s="138" t="s">
        <v>965</v>
      </c>
      <c r="D196" s="251" t="s">
        <v>447</v>
      </c>
      <c r="E196" s="139">
        <v>5400057119</v>
      </c>
      <c r="F196" s="140">
        <v>45801</v>
      </c>
      <c r="G196" s="88" t="s">
        <v>55</v>
      </c>
      <c r="H196" s="88">
        <v>1</v>
      </c>
      <c r="I196" s="89">
        <v>107040</v>
      </c>
      <c r="J196" s="88">
        <v>4</v>
      </c>
      <c r="K196" s="321">
        <f t="shared" si="3"/>
        <v>26760</v>
      </c>
      <c r="L196" s="90">
        <v>45748</v>
      </c>
      <c r="M196" s="90">
        <v>46112</v>
      </c>
      <c r="N196" s="92" t="s">
        <v>19</v>
      </c>
      <c r="O196" s="26" t="s">
        <v>3</v>
      </c>
      <c r="P196" s="88"/>
      <c r="Q196" s="91" t="s">
        <v>391</v>
      </c>
      <c r="R196" s="92" t="s">
        <v>722</v>
      </c>
      <c r="S196" s="91" t="s">
        <v>168</v>
      </c>
      <c r="T196" s="92" t="s">
        <v>966</v>
      </c>
      <c r="U196" s="91" t="s">
        <v>228</v>
      </c>
      <c r="V196" s="92" t="s">
        <v>967</v>
      </c>
      <c r="W196" s="91" t="s">
        <v>396</v>
      </c>
      <c r="X196" s="92" t="s">
        <v>526</v>
      </c>
      <c r="Y196" s="92"/>
      <c r="Z196" s="92"/>
      <c r="AA196" s="92"/>
      <c r="AB196" s="92"/>
      <c r="AC196" s="92" t="s">
        <v>96</v>
      </c>
      <c r="AD196" s="88" t="s">
        <v>968</v>
      </c>
      <c r="AE196" s="88" t="s">
        <v>494</v>
      </c>
      <c r="AF196" s="138" t="s">
        <v>969</v>
      </c>
    </row>
    <row r="197" spans="2:32" ht="14.4" hidden="1" x14ac:dyDescent="0.3">
      <c r="B197" s="16" t="s">
        <v>14</v>
      </c>
      <c r="C197" s="94" t="s">
        <v>614</v>
      </c>
      <c r="D197" s="252" t="s">
        <v>970</v>
      </c>
      <c r="E197" s="104">
        <v>4500049503</v>
      </c>
      <c r="F197" s="141">
        <v>45796</v>
      </c>
      <c r="G197" s="42" t="s">
        <v>55</v>
      </c>
      <c r="H197" s="42">
        <v>2</v>
      </c>
      <c r="I197" s="61">
        <v>152880</v>
      </c>
      <c r="J197" s="42">
        <v>3</v>
      </c>
      <c r="K197" s="321">
        <f t="shared" si="3"/>
        <v>50960</v>
      </c>
      <c r="L197" s="62">
        <v>45797</v>
      </c>
      <c r="M197" s="62">
        <v>46161</v>
      </c>
      <c r="N197" s="63" t="s">
        <v>19</v>
      </c>
      <c r="O197" s="26" t="s">
        <v>6</v>
      </c>
      <c r="P197" s="42"/>
      <c r="Q197" s="64" t="s">
        <v>971</v>
      </c>
      <c r="R197" s="63" t="s">
        <v>439</v>
      </c>
      <c r="S197" s="64" t="s">
        <v>972</v>
      </c>
      <c r="T197" s="63" t="s">
        <v>673</v>
      </c>
      <c r="U197" s="64" t="s">
        <v>973</v>
      </c>
      <c r="V197" s="63" t="s">
        <v>782</v>
      </c>
      <c r="W197" s="63"/>
      <c r="X197" s="63"/>
      <c r="Y197" s="63"/>
      <c r="Z197" s="63"/>
      <c r="AA197" s="63"/>
      <c r="AB197" s="63"/>
      <c r="AC197" s="63" t="s">
        <v>281</v>
      </c>
      <c r="AD197" s="42" t="s">
        <v>97</v>
      </c>
      <c r="AE197" s="42">
        <v>3</v>
      </c>
      <c r="AF197" s="63" t="s">
        <v>974</v>
      </c>
    </row>
    <row r="198" spans="2:32" ht="14.4" hidden="1" x14ac:dyDescent="0.3">
      <c r="B198" s="16" t="s">
        <v>14</v>
      </c>
      <c r="C198" s="68" t="s">
        <v>975</v>
      </c>
      <c r="D198" s="249" t="s">
        <v>976</v>
      </c>
      <c r="E198" s="42">
        <v>6100008808</v>
      </c>
      <c r="F198" s="43">
        <v>45799</v>
      </c>
      <c r="G198" s="42" t="s">
        <v>55</v>
      </c>
      <c r="H198" s="42">
        <v>3</v>
      </c>
      <c r="I198" s="61">
        <v>360000</v>
      </c>
      <c r="J198" s="42">
        <v>3</v>
      </c>
      <c r="K198" s="321">
        <f t="shared" si="3"/>
        <v>120000</v>
      </c>
      <c r="L198" s="62">
        <v>45709</v>
      </c>
      <c r="M198" s="62">
        <v>46073</v>
      </c>
      <c r="N198" s="63" t="s">
        <v>19</v>
      </c>
      <c r="O198" s="26" t="s">
        <v>2</v>
      </c>
      <c r="P198" s="42"/>
      <c r="Q198" s="64" t="s">
        <v>977</v>
      </c>
      <c r="R198" s="63" t="s">
        <v>722</v>
      </c>
      <c r="S198" s="64" t="s">
        <v>978</v>
      </c>
      <c r="T198" s="63" t="s">
        <v>791</v>
      </c>
      <c r="U198" s="64" t="s">
        <v>979</v>
      </c>
      <c r="V198" s="63" t="s">
        <v>980</v>
      </c>
      <c r="W198" s="63"/>
      <c r="X198" s="63"/>
      <c r="Y198" s="63"/>
      <c r="Z198" s="63"/>
      <c r="AA198" s="63"/>
      <c r="AB198" s="63"/>
      <c r="AC198" s="63" t="s">
        <v>551</v>
      </c>
      <c r="AD198" s="16" t="s">
        <v>207</v>
      </c>
      <c r="AE198" s="42">
        <v>3</v>
      </c>
      <c r="AF198" s="142" t="s">
        <v>981</v>
      </c>
    </row>
    <row r="199" spans="2:32" ht="14.4" hidden="1" x14ac:dyDescent="0.3">
      <c r="B199" s="16" t="s">
        <v>14</v>
      </c>
      <c r="C199" s="68" t="s">
        <v>982</v>
      </c>
      <c r="D199" s="253" t="s">
        <v>801</v>
      </c>
      <c r="E199" s="42" t="s">
        <v>983</v>
      </c>
      <c r="F199" s="136">
        <v>45761</v>
      </c>
      <c r="G199" s="42" t="s">
        <v>55</v>
      </c>
      <c r="H199" s="42">
        <v>1</v>
      </c>
      <c r="I199" s="61">
        <v>90000</v>
      </c>
      <c r="J199" s="42">
        <v>2</v>
      </c>
      <c r="K199" s="321">
        <f t="shared" si="3"/>
        <v>45000</v>
      </c>
      <c r="L199" s="62">
        <v>45809</v>
      </c>
      <c r="M199" s="62">
        <v>46173</v>
      </c>
      <c r="N199" s="83" t="s">
        <v>19</v>
      </c>
      <c r="O199" s="26" t="s">
        <v>6</v>
      </c>
      <c r="P199" s="66"/>
      <c r="Q199" s="64" t="s">
        <v>125</v>
      </c>
      <c r="R199" s="63" t="s">
        <v>423</v>
      </c>
      <c r="S199" s="64" t="s">
        <v>127</v>
      </c>
      <c r="T199" s="63" t="s">
        <v>712</v>
      </c>
      <c r="U199" s="63"/>
      <c r="V199" s="63"/>
      <c r="W199" s="63"/>
      <c r="X199" s="63"/>
      <c r="Y199" s="63"/>
      <c r="Z199" s="63"/>
      <c r="AA199" s="63"/>
      <c r="AB199" s="63"/>
      <c r="AC199" s="63" t="s">
        <v>485</v>
      </c>
      <c r="AD199" s="16" t="s">
        <v>63</v>
      </c>
      <c r="AE199" s="42">
        <v>2</v>
      </c>
      <c r="AF199" s="63" t="s">
        <v>667</v>
      </c>
    </row>
    <row r="200" spans="2:32" ht="14.4" hidden="1" x14ac:dyDescent="0.3">
      <c r="B200" s="16" t="s">
        <v>14</v>
      </c>
      <c r="C200" s="94" t="s">
        <v>727</v>
      </c>
      <c r="D200" s="247" t="s">
        <v>984</v>
      </c>
      <c r="E200" s="133">
        <v>4100031856</v>
      </c>
      <c r="F200" s="43">
        <v>45804</v>
      </c>
      <c r="G200" s="42" t="s">
        <v>55</v>
      </c>
      <c r="H200" s="42">
        <v>4</v>
      </c>
      <c r="I200" s="61">
        <v>608328</v>
      </c>
      <c r="J200" s="42">
        <v>3</v>
      </c>
      <c r="K200" s="321"/>
      <c r="L200" s="62">
        <v>45809</v>
      </c>
      <c r="M200" s="62">
        <v>46173</v>
      </c>
      <c r="N200" s="63" t="s">
        <v>19</v>
      </c>
      <c r="O200" s="26" t="s">
        <v>6</v>
      </c>
      <c r="P200" s="42"/>
      <c r="Q200" s="64" t="s">
        <v>81</v>
      </c>
      <c r="R200" s="63" t="s">
        <v>637</v>
      </c>
      <c r="S200" s="64" t="s">
        <v>83</v>
      </c>
      <c r="T200" s="63" t="s">
        <v>985</v>
      </c>
      <c r="U200" s="64" t="s">
        <v>887</v>
      </c>
      <c r="V200" s="63" t="s">
        <v>986</v>
      </c>
      <c r="W200" s="63"/>
      <c r="X200" s="63"/>
      <c r="Y200" s="63"/>
      <c r="Z200" s="63"/>
      <c r="AA200" s="63"/>
      <c r="AB200" s="63"/>
      <c r="AC200" s="63" t="s">
        <v>281</v>
      </c>
      <c r="AD200" s="42" t="s">
        <v>97</v>
      </c>
      <c r="AE200" s="42">
        <v>3</v>
      </c>
      <c r="AF200" s="63" t="s">
        <v>774</v>
      </c>
    </row>
    <row r="201" spans="2:32" ht="14.4" hidden="1" x14ac:dyDescent="0.3">
      <c r="B201" s="16" t="s">
        <v>14</v>
      </c>
      <c r="C201" s="214" t="s">
        <v>948</v>
      </c>
      <c r="D201" s="254" t="s">
        <v>987</v>
      </c>
      <c r="E201" s="127">
        <v>918126</v>
      </c>
      <c r="F201" s="55">
        <v>45804</v>
      </c>
      <c r="G201" s="26" t="s">
        <v>55</v>
      </c>
      <c r="H201" s="26">
        <v>1</v>
      </c>
      <c r="I201" s="56">
        <v>18620</v>
      </c>
      <c r="J201" s="26">
        <v>1</v>
      </c>
      <c r="K201" s="321">
        <f t="shared" ref="K201:K264" si="4">I201/J201</f>
        <v>18620</v>
      </c>
      <c r="L201" s="57">
        <v>45748</v>
      </c>
      <c r="M201" s="215">
        <v>45838</v>
      </c>
      <c r="N201" s="63" t="s">
        <v>19</v>
      </c>
      <c r="O201" s="311" t="s">
        <v>988</v>
      </c>
      <c r="P201" s="42"/>
      <c r="Q201" s="64" t="s">
        <v>391</v>
      </c>
      <c r="R201" s="63" t="s">
        <v>989</v>
      </c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 t="s">
        <v>551</v>
      </c>
      <c r="AD201" s="16" t="s">
        <v>207</v>
      </c>
      <c r="AE201" s="42">
        <v>0</v>
      </c>
      <c r="AF201" s="63"/>
    </row>
    <row r="202" spans="2:32" ht="14.4" hidden="1" x14ac:dyDescent="0.3">
      <c r="B202" s="16" t="s">
        <v>14</v>
      </c>
      <c r="C202" s="322" t="s">
        <v>990</v>
      </c>
      <c r="D202" s="323" t="s">
        <v>991</v>
      </c>
      <c r="E202" s="324">
        <v>115487274</v>
      </c>
      <c r="F202" s="140">
        <v>45807</v>
      </c>
      <c r="G202" s="88" t="s">
        <v>55</v>
      </c>
      <c r="H202" s="88">
        <v>3</v>
      </c>
      <c r="I202" s="89">
        <f>81600*3</f>
        <v>244800</v>
      </c>
      <c r="J202" s="88">
        <v>2</v>
      </c>
      <c r="K202" s="321"/>
      <c r="L202" s="90">
        <v>45809</v>
      </c>
      <c r="M202" s="62">
        <v>46173</v>
      </c>
      <c r="N202" s="63" t="s">
        <v>520</v>
      </c>
      <c r="O202" s="26" t="s">
        <v>6</v>
      </c>
      <c r="P202" s="42"/>
      <c r="Q202" s="64" t="s">
        <v>125</v>
      </c>
      <c r="R202" s="63" t="s">
        <v>289</v>
      </c>
      <c r="S202" s="63" t="s">
        <v>127</v>
      </c>
      <c r="T202" s="63"/>
      <c r="U202" s="63"/>
      <c r="V202" s="63"/>
      <c r="W202" s="63"/>
      <c r="X202" s="63"/>
      <c r="Y202" s="63"/>
      <c r="Z202" s="63"/>
      <c r="AA202" s="63"/>
      <c r="AB202" s="63"/>
      <c r="AC202" s="63" t="s">
        <v>485</v>
      </c>
      <c r="AD202" s="16" t="s">
        <v>63</v>
      </c>
      <c r="AE202" s="42">
        <v>2</v>
      </c>
      <c r="AF202" s="63" t="s">
        <v>992</v>
      </c>
    </row>
    <row r="203" spans="2:32" ht="14.4" hidden="1" x14ac:dyDescent="0.3">
      <c r="B203" s="16" t="s">
        <v>14</v>
      </c>
      <c r="C203" s="143" t="s">
        <v>508</v>
      </c>
      <c r="D203" s="255" t="s">
        <v>866</v>
      </c>
      <c r="E203" s="144" t="s">
        <v>993</v>
      </c>
      <c r="F203" s="43">
        <v>45806</v>
      </c>
      <c r="G203" s="42" t="s">
        <v>55</v>
      </c>
      <c r="H203" s="42">
        <v>2</v>
      </c>
      <c r="I203" s="145">
        <v>178000</v>
      </c>
      <c r="J203" s="42">
        <v>3</v>
      </c>
      <c r="K203" s="321"/>
      <c r="L203" s="62">
        <v>45809</v>
      </c>
      <c r="M203" s="62">
        <v>46173</v>
      </c>
      <c r="N203" s="63" t="s">
        <v>520</v>
      </c>
      <c r="O203" s="82" t="s">
        <v>9</v>
      </c>
      <c r="P203" s="42"/>
      <c r="Q203" s="64" t="s">
        <v>81</v>
      </c>
      <c r="R203" s="63" t="s">
        <v>562</v>
      </c>
      <c r="S203" s="64" t="s">
        <v>83</v>
      </c>
      <c r="T203" s="63" t="s">
        <v>994</v>
      </c>
      <c r="U203" s="64" t="s">
        <v>404</v>
      </c>
      <c r="V203" s="63" t="s">
        <v>995</v>
      </c>
      <c r="W203" s="63"/>
      <c r="X203" s="63"/>
      <c r="Y203" s="63"/>
      <c r="Z203" s="63"/>
      <c r="AA203" s="63"/>
      <c r="AB203" s="63"/>
      <c r="AC203" s="63" t="s">
        <v>96</v>
      </c>
      <c r="AD203" s="42" t="s">
        <v>97</v>
      </c>
      <c r="AE203" s="82" t="s">
        <v>494</v>
      </c>
      <c r="AF203" s="146" t="s">
        <v>996</v>
      </c>
    </row>
    <row r="204" spans="2:32" ht="14.4" hidden="1" x14ac:dyDescent="0.3">
      <c r="B204" s="16" t="s">
        <v>14</v>
      </c>
      <c r="C204" s="147" t="s">
        <v>634</v>
      </c>
      <c r="D204" s="248" t="s">
        <v>997</v>
      </c>
      <c r="E204" s="50">
        <v>4500268257</v>
      </c>
      <c r="F204" s="55">
        <v>45806</v>
      </c>
      <c r="G204" s="26" t="s">
        <v>55</v>
      </c>
      <c r="H204" s="26">
        <v>1</v>
      </c>
      <c r="I204" s="61">
        <f>24875*4</f>
        <v>99500</v>
      </c>
      <c r="J204" s="26">
        <v>4</v>
      </c>
      <c r="K204" s="321">
        <f t="shared" si="4"/>
        <v>24875</v>
      </c>
      <c r="L204" s="57">
        <v>45748</v>
      </c>
      <c r="M204" s="57">
        <v>46112</v>
      </c>
      <c r="N204" s="58" t="s">
        <v>998</v>
      </c>
      <c r="O204" s="82" t="s">
        <v>9</v>
      </c>
      <c r="P204" s="26"/>
      <c r="Q204" s="59" t="s">
        <v>391</v>
      </c>
      <c r="R204" s="58" t="s">
        <v>636</v>
      </c>
      <c r="S204" s="59" t="s">
        <v>168</v>
      </c>
      <c r="T204" s="58" t="s">
        <v>637</v>
      </c>
      <c r="U204" s="59" t="s">
        <v>228</v>
      </c>
      <c r="V204" s="58" t="s">
        <v>493</v>
      </c>
      <c r="W204" s="59" t="s">
        <v>396</v>
      </c>
      <c r="X204" s="58" t="s">
        <v>639</v>
      </c>
      <c r="Y204" s="58"/>
      <c r="Z204" s="58"/>
      <c r="AA204" s="58"/>
      <c r="AB204" s="63"/>
      <c r="AC204" s="63" t="s">
        <v>96</v>
      </c>
      <c r="AD204" s="42" t="s">
        <v>97</v>
      </c>
      <c r="AE204" s="26" t="s">
        <v>494</v>
      </c>
      <c r="AF204" s="58"/>
    </row>
    <row r="205" spans="2:32" ht="14.4" hidden="1" x14ac:dyDescent="0.3">
      <c r="B205" s="16" t="s">
        <v>14</v>
      </c>
      <c r="C205" s="68" t="s">
        <v>634</v>
      </c>
      <c r="D205" s="249" t="s">
        <v>997</v>
      </c>
      <c r="E205" s="50">
        <v>4500268257</v>
      </c>
      <c r="F205" s="43">
        <v>45806</v>
      </c>
      <c r="G205" s="42" t="s">
        <v>55</v>
      </c>
      <c r="H205" s="42"/>
      <c r="I205" s="61">
        <f>24875*4</f>
        <v>99500</v>
      </c>
      <c r="J205" s="42">
        <v>4</v>
      </c>
      <c r="K205" s="321">
        <f t="shared" si="4"/>
        <v>24875</v>
      </c>
      <c r="L205" s="62">
        <v>46113</v>
      </c>
      <c r="M205" s="62">
        <v>46477</v>
      </c>
      <c r="N205" s="58" t="s">
        <v>998</v>
      </c>
      <c r="O205" s="82" t="s">
        <v>9</v>
      </c>
      <c r="P205" s="42"/>
      <c r="Q205" s="63" t="s">
        <v>397</v>
      </c>
      <c r="R205" s="63"/>
      <c r="S205" s="63" t="s">
        <v>496</v>
      </c>
      <c r="T205" s="63"/>
      <c r="U205" s="63" t="s">
        <v>497</v>
      </c>
      <c r="V205" s="63"/>
      <c r="W205" s="63" t="s">
        <v>498</v>
      </c>
      <c r="X205" s="63"/>
      <c r="Y205" s="63"/>
      <c r="Z205" s="63"/>
      <c r="AA205" s="63"/>
      <c r="AB205" s="63"/>
      <c r="AC205" s="63" t="s">
        <v>96</v>
      </c>
      <c r="AD205" s="42" t="s">
        <v>97</v>
      </c>
      <c r="AE205" s="42"/>
      <c r="AF205" s="63"/>
    </row>
    <row r="206" spans="2:32" ht="14.4" hidden="1" x14ac:dyDescent="0.3">
      <c r="B206" s="16" t="s">
        <v>14</v>
      </c>
      <c r="C206" s="68" t="s">
        <v>634</v>
      </c>
      <c r="D206" s="249" t="s">
        <v>997</v>
      </c>
      <c r="E206" s="50">
        <v>4500268257</v>
      </c>
      <c r="F206" s="43">
        <v>45806</v>
      </c>
      <c r="G206" s="42" t="s">
        <v>55</v>
      </c>
      <c r="H206" s="42"/>
      <c r="I206" s="61">
        <f>24875*3</f>
        <v>74625</v>
      </c>
      <c r="J206" s="42">
        <v>3</v>
      </c>
      <c r="K206" s="321">
        <f t="shared" si="4"/>
        <v>24875</v>
      </c>
      <c r="L206" s="62">
        <v>46478</v>
      </c>
      <c r="M206" s="62">
        <v>46752</v>
      </c>
      <c r="N206" s="63" t="s">
        <v>998</v>
      </c>
      <c r="O206" s="82" t="s">
        <v>9</v>
      </c>
      <c r="P206" s="42"/>
      <c r="Q206" s="63" t="s">
        <v>499</v>
      </c>
      <c r="R206" s="63"/>
      <c r="S206" s="63" t="s">
        <v>500</v>
      </c>
      <c r="T206" s="63"/>
      <c r="U206" s="63" t="s">
        <v>501</v>
      </c>
      <c r="V206" s="63"/>
      <c r="W206" s="63"/>
      <c r="X206" s="63"/>
      <c r="Y206" s="63"/>
      <c r="Z206" s="63"/>
      <c r="AA206" s="63"/>
      <c r="AB206" s="63"/>
      <c r="AC206" s="63" t="s">
        <v>96</v>
      </c>
      <c r="AD206" s="42" t="s">
        <v>97</v>
      </c>
      <c r="AE206" s="42"/>
      <c r="AF206" s="63"/>
    </row>
    <row r="207" spans="2:32" ht="14.4" hidden="1" x14ac:dyDescent="0.3">
      <c r="B207" s="16" t="s">
        <v>14</v>
      </c>
      <c r="C207" s="68" t="s">
        <v>751</v>
      </c>
      <c r="D207" s="132" t="s">
        <v>151</v>
      </c>
      <c r="E207" s="121">
        <v>307000194</v>
      </c>
      <c r="F207" s="43">
        <v>45799</v>
      </c>
      <c r="G207" s="42" t="s">
        <v>55</v>
      </c>
      <c r="H207" s="42">
        <v>1</v>
      </c>
      <c r="I207" s="61">
        <v>124440</v>
      </c>
      <c r="J207" s="42">
        <v>4</v>
      </c>
      <c r="K207" s="321">
        <f t="shared" si="4"/>
        <v>31110</v>
      </c>
      <c r="L207" s="62">
        <v>45748</v>
      </c>
      <c r="M207" s="62">
        <v>46112</v>
      </c>
      <c r="N207" s="63" t="s">
        <v>19</v>
      </c>
      <c r="O207" s="82" t="s">
        <v>3</v>
      </c>
      <c r="P207" s="42"/>
      <c r="Q207" s="64" t="s">
        <v>391</v>
      </c>
      <c r="R207" s="63" t="s">
        <v>725</v>
      </c>
      <c r="S207" s="64" t="s">
        <v>168</v>
      </c>
      <c r="T207" s="63" t="s">
        <v>169</v>
      </c>
      <c r="U207" s="64" t="s">
        <v>228</v>
      </c>
      <c r="V207" s="63" t="s">
        <v>687</v>
      </c>
      <c r="W207" s="64" t="s">
        <v>396</v>
      </c>
      <c r="X207" s="63" t="s">
        <v>999</v>
      </c>
      <c r="Y207" s="63"/>
      <c r="Z207" s="63"/>
      <c r="AA207" s="63"/>
      <c r="AB207" s="63"/>
      <c r="AC207" s="63" t="s">
        <v>507</v>
      </c>
      <c r="AD207" s="16" t="s">
        <v>63</v>
      </c>
      <c r="AE207" s="42">
        <v>4</v>
      </c>
      <c r="AF207" s="63" t="s">
        <v>667</v>
      </c>
    </row>
    <row r="208" spans="2:32" ht="14.4" hidden="1" x14ac:dyDescent="0.3">
      <c r="B208" s="16" t="s">
        <v>14</v>
      </c>
      <c r="C208" s="68" t="s">
        <v>595</v>
      </c>
      <c r="D208" s="81" t="s">
        <v>1000</v>
      </c>
      <c r="E208" s="148">
        <v>3110015195</v>
      </c>
      <c r="F208" s="43">
        <v>45807</v>
      </c>
      <c r="G208" s="42" t="s">
        <v>55</v>
      </c>
      <c r="H208" s="42">
        <v>1</v>
      </c>
      <c r="I208" s="61">
        <v>75999.990000000005</v>
      </c>
      <c r="J208" s="42">
        <v>3</v>
      </c>
      <c r="K208" s="321">
        <f t="shared" si="4"/>
        <v>25333.33</v>
      </c>
      <c r="L208" s="62">
        <v>45778</v>
      </c>
      <c r="M208" s="62">
        <v>46142</v>
      </c>
      <c r="N208" s="63" t="s">
        <v>520</v>
      </c>
      <c r="O208" s="82" t="s">
        <v>9</v>
      </c>
      <c r="P208" s="42" t="s">
        <v>437</v>
      </c>
      <c r="Q208" s="64" t="s">
        <v>343</v>
      </c>
      <c r="R208" s="63" t="s">
        <v>394</v>
      </c>
      <c r="S208" s="64" t="s">
        <v>345</v>
      </c>
      <c r="T208" s="63" t="s">
        <v>1001</v>
      </c>
      <c r="U208" s="63" t="s">
        <v>347</v>
      </c>
      <c r="V208" s="63"/>
      <c r="W208" s="63"/>
      <c r="X208" s="63"/>
      <c r="Y208" s="63"/>
      <c r="Z208" s="63"/>
      <c r="AA208" s="63"/>
      <c r="AB208" s="63"/>
      <c r="AC208" s="63" t="s">
        <v>507</v>
      </c>
      <c r="AD208" s="16" t="s">
        <v>63</v>
      </c>
      <c r="AE208" s="42">
        <v>3</v>
      </c>
      <c r="AF208" s="63" t="s">
        <v>799</v>
      </c>
    </row>
    <row r="209" spans="2:32" ht="14.4" hidden="1" x14ac:dyDescent="0.3">
      <c r="B209" s="16" t="s">
        <v>14</v>
      </c>
      <c r="C209" s="39" t="s">
        <v>1002</v>
      </c>
      <c r="D209" s="233" t="s">
        <v>151</v>
      </c>
      <c r="E209" s="50">
        <v>4518004947</v>
      </c>
      <c r="F209" s="55">
        <v>45812</v>
      </c>
      <c r="G209" s="26" t="s">
        <v>55</v>
      </c>
      <c r="H209" s="26">
        <v>4</v>
      </c>
      <c r="I209" s="56">
        <v>186000</v>
      </c>
      <c r="J209" s="26">
        <v>1</v>
      </c>
      <c r="K209" s="321">
        <f t="shared" si="4"/>
        <v>186000</v>
      </c>
      <c r="L209" s="57">
        <v>45748</v>
      </c>
      <c r="M209" s="57">
        <v>46112</v>
      </c>
      <c r="N209" s="18" t="s">
        <v>19</v>
      </c>
      <c r="O209" s="82" t="s">
        <v>3</v>
      </c>
      <c r="P209" s="26" t="s">
        <v>437</v>
      </c>
      <c r="Q209" s="59" t="s">
        <v>631</v>
      </c>
      <c r="R209" s="58" t="s">
        <v>1003</v>
      </c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 t="s">
        <v>507</v>
      </c>
      <c r="AD209" s="16" t="s">
        <v>63</v>
      </c>
      <c r="AE209" s="26">
        <v>2</v>
      </c>
      <c r="AF209" s="58" t="s">
        <v>667</v>
      </c>
    </row>
    <row r="210" spans="2:32" ht="15.6" hidden="1" x14ac:dyDescent="0.3">
      <c r="B210" s="16" t="s">
        <v>14</v>
      </c>
      <c r="C210" s="74" t="s">
        <v>614</v>
      </c>
      <c r="D210" s="247" t="s">
        <v>970</v>
      </c>
      <c r="E210" s="149">
        <v>4500049533</v>
      </c>
      <c r="F210" s="43">
        <v>45810</v>
      </c>
      <c r="G210" s="42" t="s">
        <v>55</v>
      </c>
      <c r="H210" s="42">
        <v>2</v>
      </c>
      <c r="I210" s="61">
        <v>152880</v>
      </c>
      <c r="J210" s="42">
        <v>3</v>
      </c>
      <c r="K210" s="321">
        <f t="shared" si="4"/>
        <v>50960</v>
      </c>
      <c r="L210" s="62">
        <v>45818</v>
      </c>
      <c r="M210" s="62">
        <v>46182</v>
      </c>
      <c r="N210" s="63" t="s">
        <v>520</v>
      </c>
      <c r="O210" s="82" t="s">
        <v>9</v>
      </c>
      <c r="P210" s="42"/>
      <c r="Q210" s="64" t="s">
        <v>592</v>
      </c>
      <c r="R210" s="63"/>
      <c r="S210" s="64" t="s">
        <v>593</v>
      </c>
      <c r="T210" s="63" t="s">
        <v>84</v>
      </c>
      <c r="U210" s="63" t="s">
        <v>1004</v>
      </c>
      <c r="V210" s="63"/>
      <c r="W210" s="63"/>
      <c r="X210" s="63"/>
      <c r="Y210" s="63"/>
      <c r="Z210" s="63"/>
      <c r="AA210" s="63"/>
      <c r="AB210" s="63"/>
      <c r="AC210" s="63" t="s">
        <v>281</v>
      </c>
      <c r="AD210" s="42" t="s">
        <v>97</v>
      </c>
      <c r="AE210" s="42">
        <v>3</v>
      </c>
      <c r="AF210" s="150" t="s">
        <v>1005</v>
      </c>
    </row>
    <row r="211" spans="2:32" s="31" customFormat="1" ht="14.4" hidden="1" x14ac:dyDescent="0.3">
      <c r="B211" s="16" t="s">
        <v>14</v>
      </c>
      <c r="C211" s="37" t="s">
        <v>433</v>
      </c>
      <c r="D211" s="239" t="s">
        <v>388</v>
      </c>
      <c r="E211" s="50" t="s">
        <v>1006</v>
      </c>
      <c r="F211" s="151">
        <v>45804</v>
      </c>
      <c r="G211" s="42" t="s">
        <v>55</v>
      </c>
      <c r="H211" s="152">
        <v>16</v>
      </c>
      <c r="I211" s="153">
        <f>3746500
/1.18</f>
        <v>3175000</v>
      </c>
      <c r="J211" s="152">
        <v>4</v>
      </c>
      <c r="K211" s="325">
        <f t="shared" si="4"/>
        <v>793750</v>
      </c>
      <c r="L211" s="154">
        <v>45807</v>
      </c>
      <c r="M211" s="154">
        <v>46171</v>
      </c>
      <c r="N211" s="63" t="s">
        <v>520</v>
      </c>
      <c r="O211" s="82" t="s">
        <v>9</v>
      </c>
      <c r="P211" s="152"/>
      <c r="Q211" s="155" t="s">
        <v>286</v>
      </c>
      <c r="R211" s="65" t="s">
        <v>505</v>
      </c>
      <c r="S211" s="155" t="s">
        <v>1007</v>
      </c>
      <c r="T211" s="65" t="s">
        <v>1008</v>
      </c>
      <c r="U211" s="155" t="s">
        <v>290</v>
      </c>
      <c r="V211" s="65" t="s">
        <v>1009</v>
      </c>
      <c r="W211" s="65" t="s">
        <v>1010</v>
      </c>
      <c r="X211" s="65"/>
      <c r="Y211" s="65"/>
      <c r="Z211" s="65"/>
      <c r="AA211" s="65"/>
      <c r="AB211" s="65"/>
      <c r="AC211" s="65" t="s">
        <v>478</v>
      </c>
      <c r="AD211" s="16" t="s">
        <v>63</v>
      </c>
      <c r="AE211" s="152"/>
      <c r="AF211" s="65" t="s">
        <v>667</v>
      </c>
    </row>
    <row r="212" spans="2:32" ht="14.4" hidden="1" x14ac:dyDescent="0.3">
      <c r="B212" s="16" t="s">
        <v>14</v>
      </c>
      <c r="C212" s="156" t="s">
        <v>1011</v>
      </c>
      <c r="D212" s="233" t="s">
        <v>1012</v>
      </c>
      <c r="E212" s="157" t="s">
        <v>1013</v>
      </c>
      <c r="F212" s="43">
        <v>46000</v>
      </c>
      <c r="G212" s="26" t="s">
        <v>55</v>
      </c>
      <c r="H212" s="42"/>
      <c r="I212" s="61"/>
      <c r="J212" s="42"/>
      <c r="K212" s="321" t="e">
        <f t="shared" si="4"/>
        <v>#DIV/0!</v>
      </c>
      <c r="L212" s="62"/>
      <c r="M212" s="62"/>
      <c r="N212" s="63"/>
      <c r="O212" s="82"/>
      <c r="P212" s="42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E212" s="42"/>
      <c r="AF212" s="63"/>
    </row>
    <row r="213" spans="2:32" ht="14.4" hidden="1" x14ac:dyDescent="0.3">
      <c r="B213" s="16" t="s">
        <v>14</v>
      </c>
      <c r="C213" s="68" t="s">
        <v>1014</v>
      </c>
      <c r="D213" s="81" t="s">
        <v>151</v>
      </c>
      <c r="E213" s="84">
        <v>4500539790</v>
      </c>
      <c r="F213" s="43">
        <v>45818</v>
      </c>
      <c r="G213" s="42" t="s">
        <v>55</v>
      </c>
      <c r="H213" s="42">
        <v>2</v>
      </c>
      <c r="I213" s="61">
        <f>3*60000</f>
        <v>180000</v>
      </c>
      <c r="J213" s="42">
        <v>3</v>
      </c>
      <c r="K213" s="321">
        <f t="shared" si="4"/>
        <v>60000</v>
      </c>
      <c r="L213" s="62">
        <v>45809</v>
      </c>
      <c r="M213" s="62">
        <v>46173</v>
      </c>
      <c r="N213" s="63" t="s">
        <v>19</v>
      </c>
      <c r="O213" s="82" t="s">
        <v>6</v>
      </c>
      <c r="P213" s="42"/>
      <c r="Q213" s="64" t="s">
        <v>81</v>
      </c>
      <c r="R213" s="63" t="s">
        <v>1015</v>
      </c>
      <c r="S213" s="64" t="s">
        <v>83</v>
      </c>
      <c r="T213" s="63" t="s">
        <v>191</v>
      </c>
      <c r="U213" s="64" t="s">
        <v>404</v>
      </c>
      <c r="V213" s="63" t="s">
        <v>291</v>
      </c>
      <c r="W213" s="63"/>
      <c r="X213" s="63"/>
      <c r="Y213" s="63"/>
      <c r="Z213" s="63"/>
      <c r="AA213" s="63"/>
      <c r="AB213" s="63"/>
      <c r="AC213" s="63" t="s">
        <v>507</v>
      </c>
      <c r="AD213" s="16" t="s">
        <v>63</v>
      </c>
      <c r="AE213" s="42">
        <v>3</v>
      </c>
      <c r="AF213" s="63" t="s">
        <v>667</v>
      </c>
    </row>
    <row r="214" spans="2:32" ht="14.4" hidden="1" x14ac:dyDescent="0.3">
      <c r="B214" s="16" t="s">
        <v>14</v>
      </c>
      <c r="C214" s="103" t="s">
        <v>609</v>
      </c>
      <c r="D214" s="81" t="s">
        <v>1016</v>
      </c>
      <c r="E214" s="84">
        <v>3791227950</v>
      </c>
      <c r="F214" s="43">
        <v>45770</v>
      </c>
      <c r="G214" s="42" t="s">
        <v>55</v>
      </c>
      <c r="H214" s="42">
        <v>1</v>
      </c>
      <c r="I214" s="61">
        <v>61500</v>
      </c>
      <c r="J214" s="42">
        <v>3</v>
      </c>
      <c r="K214" s="321">
        <f t="shared" si="4"/>
        <v>20500</v>
      </c>
      <c r="L214" s="62">
        <v>45748</v>
      </c>
      <c r="M214" s="62">
        <v>46112</v>
      </c>
      <c r="N214" s="63" t="s">
        <v>19</v>
      </c>
      <c r="O214" s="82" t="s">
        <v>5</v>
      </c>
      <c r="P214" s="42"/>
      <c r="Q214" s="64" t="s">
        <v>357</v>
      </c>
      <c r="R214" s="63" t="s">
        <v>1017</v>
      </c>
      <c r="S214" s="64" t="s">
        <v>665</v>
      </c>
      <c r="T214" s="63" t="s">
        <v>967</v>
      </c>
      <c r="U214" s="64" t="s">
        <v>361</v>
      </c>
      <c r="V214" s="63" t="s">
        <v>455</v>
      </c>
      <c r="W214" s="63"/>
      <c r="X214" s="63"/>
      <c r="Y214" s="63"/>
      <c r="Z214" s="63"/>
      <c r="AA214" s="63"/>
      <c r="AB214" s="63"/>
      <c r="AC214" s="63" t="s">
        <v>619</v>
      </c>
      <c r="AD214" s="16" t="s">
        <v>63</v>
      </c>
      <c r="AE214" s="42">
        <v>3</v>
      </c>
      <c r="AF214" s="63" t="s">
        <v>667</v>
      </c>
    </row>
    <row r="215" spans="2:32" ht="14.4" hidden="1" x14ac:dyDescent="0.3">
      <c r="B215" s="16" t="s">
        <v>14</v>
      </c>
      <c r="C215" s="103" t="s">
        <v>614</v>
      </c>
      <c r="D215" s="256" t="s">
        <v>447</v>
      </c>
      <c r="E215" s="158" t="s">
        <v>1018</v>
      </c>
      <c r="F215" s="136">
        <v>45806</v>
      </c>
      <c r="G215" s="42" t="s">
        <v>55</v>
      </c>
      <c r="H215" s="42">
        <v>1</v>
      </c>
      <c r="I215" s="61">
        <v>76440</v>
      </c>
      <c r="J215" s="42">
        <v>3</v>
      </c>
      <c r="K215" s="321"/>
      <c r="L215" s="62">
        <v>45778</v>
      </c>
      <c r="M215" s="62">
        <v>46142</v>
      </c>
      <c r="N215" s="63" t="s">
        <v>19</v>
      </c>
      <c r="O215" s="82" t="s">
        <v>5</v>
      </c>
      <c r="P215" s="42"/>
      <c r="Q215" s="64" t="s">
        <v>343</v>
      </c>
      <c r="R215" s="63" t="s">
        <v>759</v>
      </c>
      <c r="S215" s="64" t="s">
        <v>345</v>
      </c>
      <c r="T215" s="63" t="s">
        <v>781</v>
      </c>
      <c r="U215" s="64" t="s">
        <v>347</v>
      </c>
      <c r="V215" s="63" t="s">
        <v>1019</v>
      </c>
      <c r="W215" s="63"/>
      <c r="X215" s="63"/>
      <c r="Y215" s="63"/>
      <c r="Z215" s="63"/>
      <c r="AA215" s="63"/>
      <c r="AB215" s="63"/>
      <c r="AC215" s="63" t="s">
        <v>281</v>
      </c>
      <c r="AD215" s="42" t="s">
        <v>97</v>
      </c>
      <c r="AE215" s="42">
        <v>3</v>
      </c>
      <c r="AF215" s="63" t="s">
        <v>1020</v>
      </c>
    </row>
    <row r="216" spans="2:32" ht="14.4" hidden="1" x14ac:dyDescent="0.3">
      <c r="B216" s="16" t="s">
        <v>14</v>
      </c>
      <c r="C216" s="159" t="s">
        <v>1021</v>
      </c>
      <c r="D216" s="257" t="s">
        <v>1022</v>
      </c>
      <c r="E216" s="149">
        <v>1421076377</v>
      </c>
      <c r="F216" s="136">
        <v>45812</v>
      </c>
      <c r="G216" s="42" t="s">
        <v>55</v>
      </c>
      <c r="H216" s="42">
        <v>1</v>
      </c>
      <c r="I216" s="61">
        <v>84480</v>
      </c>
      <c r="J216" s="42">
        <v>2</v>
      </c>
      <c r="K216" s="321">
        <f t="shared" si="4"/>
        <v>42240</v>
      </c>
      <c r="L216" s="62">
        <v>45809</v>
      </c>
      <c r="M216" s="62">
        <v>46173</v>
      </c>
      <c r="N216" s="63" t="s">
        <v>19</v>
      </c>
      <c r="O216" s="82" t="s">
        <v>6</v>
      </c>
      <c r="P216" s="42"/>
      <c r="Q216" s="64" t="s">
        <v>125</v>
      </c>
      <c r="R216" s="63" t="s">
        <v>287</v>
      </c>
      <c r="S216" s="64" t="s">
        <v>127</v>
      </c>
      <c r="T216" s="63" t="s">
        <v>939</v>
      </c>
      <c r="U216" s="63"/>
      <c r="V216" s="63"/>
      <c r="W216" s="63"/>
      <c r="X216" s="63"/>
      <c r="Y216" s="63"/>
      <c r="Z216" s="63"/>
      <c r="AA216" s="63"/>
      <c r="AB216" s="63"/>
      <c r="AC216" s="63" t="s">
        <v>485</v>
      </c>
      <c r="AD216" s="16" t="s">
        <v>63</v>
      </c>
      <c r="AE216" s="42">
        <v>2</v>
      </c>
      <c r="AF216" s="63" t="s">
        <v>1023</v>
      </c>
    </row>
    <row r="217" spans="2:32" ht="14.4" hidden="1" x14ac:dyDescent="0.3">
      <c r="B217" s="16" t="s">
        <v>14</v>
      </c>
      <c r="C217" s="70" t="s">
        <v>1024</v>
      </c>
      <c r="D217" s="258" t="s">
        <v>1025</v>
      </c>
      <c r="E217" s="50">
        <v>7026010733</v>
      </c>
      <c r="F217" s="55">
        <v>45819</v>
      </c>
      <c r="G217" s="26" t="s">
        <v>55</v>
      </c>
      <c r="H217" s="26">
        <v>8</v>
      </c>
      <c r="I217" s="56">
        <v>512000</v>
      </c>
      <c r="J217" s="26">
        <v>2</v>
      </c>
      <c r="K217" s="321">
        <f t="shared" si="4"/>
        <v>256000</v>
      </c>
      <c r="L217" s="57">
        <v>45748</v>
      </c>
      <c r="M217" s="57">
        <v>46112</v>
      </c>
      <c r="N217" s="58" t="s">
        <v>520</v>
      </c>
      <c r="O217" s="82" t="s">
        <v>9</v>
      </c>
      <c r="P217" s="26"/>
      <c r="Q217" s="59" t="s">
        <v>463</v>
      </c>
      <c r="R217" s="58" t="s">
        <v>1026</v>
      </c>
      <c r="S217" s="58" t="s">
        <v>465</v>
      </c>
      <c r="T217" s="58"/>
      <c r="U217" s="58"/>
      <c r="V217" s="58"/>
      <c r="W217" s="58"/>
      <c r="X217" s="58"/>
      <c r="Y217" s="58"/>
      <c r="Z217" s="58"/>
      <c r="AA217" s="58"/>
      <c r="AB217" s="58"/>
      <c r="AC217" s="58" t="s">
        <v>507</v>
      </c>
      <c r="AD217" s="16" t="s">
        <v>63</v>
      </c>
      <c r="AE217" s="26">
        <v>2</v>
      </c>
      <c r="AF217" s="58" t="s">
        <v>1027</v>
      </c>
    </row>
    <row r="218" spans="2:32" ht="14.4" hidden="1" x14ac:dyDescent="0.3">
      <c r="B218" s="16" t="s">
        <v>14</v>
      </c>
      <c r="C218" s="103" t="s">
        <v>658</v>
      </c>
      <c r="D218" s="256" t="s">
        <v>151</v>
      </c>
      <c r="E218" s="84">
        <v>6500007595</v>
      </c>
      <c r="F218" s="43">
        <v>45820</v>
      </c>
      <c r="G218" s="42" t="s">
        <v>55</v>
      </c>
      <c r="H218" s="42">
        <v>8</v>
      </c>
      <c r="I218" s="61">
        <v>448000</v>
      </c>
      <c r="J218" s="42">
        <v>1</v>
      </c>
      <c r="K218" s="321">
        <f t="shared" si="4"/>
        <v>448000</v>
      </c>
      <c r="L218" s="62">
        <v>45748</v>
      </c>
      <c r="M218" s="62">
        <v>46112</v>
      </c>
      <c r="N218" s="63" t="s">
        <v>19</v>
      </c>
      <c r="O218" s="82" t="s">
        <v>3</v>
      </c>
      <c r="P218" s="42"/>
      <c r="Q218" s="64" t="s">
        <v>631</v>
      </c>
      <c r="R218" s="63" t="s">
        <v>939</v>
      </c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 t="s">
        <v>507</v>
      </c>
      <c r="AD218" s="16" t="s">
        <v>63</v>
      </c>
      <c r="AE218" s="42">
        <v>2</v>
      </c>
      <c r="AF218" s="63" t="s">
        <v>1028</v>
      </c>
    </row>
    <row r="219" spans="2:32" ht="14.4" hidden="1" x14ac:dyDescent="0.3">
      <c r="B219" s="16" t="s">
        <v>14</v>
      </c>
      <c r="C219" s="103" t="s">
        <v>544</v>
      </c>
      <c r="D219" s="256" t="s">
        <v>1029</v>
      </c>
      <c r="E219" s="84">
        <v>1250008989</v>
      </c>
      <c r="F219" s="43">
        <v>45798</v>
      </c>
      <c r="G219" s="42" t="s">
        <v>55</v>
      </c>
      <c r="H219" s="42">
        <v>1</v>
      </c>
      <c r="I219" s="61">
        <v>130002</v>
      </c>
      <c r="J219" s="42">
        <v>3</v>
      </c>
      <c r="K219" s="321">
        <f t="shared" si="4"/>
        <v>43334</v>
      </c>
      <c r="L219" s="62">
        <v>45778</v>
      </c>
      <c r="M219" s="62">
        <v>46142</v>
      </c>
      <c r="N219" s="63" t="s">
        <v>19</v>
      </c>
      <c r="O219" s="82" t="s">
        <v>5</v>
      </c>
      <c r="P219" s="42"/>
      <c r="Q219" s="64" t="s">
        <v>343</v>
      </c>
      <c r="R219" s="63" t="s">
        <v>1030</v>
      </c>
      <c r="S219" s="64" t="s">
        <v>345</v>
      </c>
      <c r="T219" s="63" t="s">
        <v>395</v>
      </c>
      <c r="U219" s="64" t="s">
        <v>347</v>
      </c>
      <c r="V219" s="63" t="s">
        <v>443</v>
      </c>
      <c r="W219" s="63"/>
      <c r="X219" s="63"/>
      <c r="Y219" s="63"/>
      <c r="Z219" s="63"/>
      <c r="AA219" s="63"/>
      <c r="AB219" s="63"/>
      <c r="AC219" s="63" t="s">
        <v>551</v>
      </c>
      <c r="AD219" s="16" t="s">
        <v>207</v>
      </c>
      <c r="AE219" s="42">
        <v>3</v>
      </c>
      <c r="AF219" s="63" t="s">
        <v>667</v>
      </c>
    </row>
    <row r="220" spans="2:32" ht="14.4" hidden="1" x14ac:dyDescent="0.3">
      <c r="B220" s="16" t="s">
        <v>14</v>
      </c>
      <c r="C220" s="103" t="s">
        <v>685</v>
      </c>
      <c r="D220" s="256" t="s">
        <v>1031</v>
      </c>
      <c r="E220" s="84">
        <v>4512760492</v>
      </c>
      <c r="F220" s="136">
        <v>45826</v>
      </c>
      <c r="G220" s="42" t="s">
        <v>55</v>
      </c>
      <c r="H220" s="42">
        <v>2</v>
      </c>
      <c r="I220" s="61">
        <v>92000</v>
      </c>
      <c r="J220" s="42">
        <v>3</v>
      </c>
      <c r="K220" s="325">
        <f t="shared" si="4"/>
        <v>30666.666666666668</v>
      </c>
      <c r="L220" s="62">
        <v>45809</v>
      </c>
      <c r="M220" s="62">
        <v>46173</v>
      </c>
      <c r="N220" s="63" t="s">
        <v>520</v>
      </c>
      <c r="O220" s="82" t="s">
        <v>9</v>
      </c>
      <c r="P220" s="42"/>
      <c r="Q220" s="64" t="s">
        <v>81</v>
      </c>
      <c r="R220" s="63" t="s">
        <v>582</v>
      </c>
      <c r="S220" s="64" t="s">
        <v>83</v>
      </c>
      <c r="T220" s="63" t="s">
        <v>432</v>
      </c>
      <c r="U220" s="63" t="s">
        <v>404</v>
      </c>
      <c r="V220" s="63"/>
      <c r="W220" s="63"/>
      <c r="X220" s="63"/>
      <c r="Y220" s="63"/>
      <c r="Z220" s="63"/>
      <c r="AA220" s="63"/>
      <c r="AB220" s="63"/>
      <c r="AC220" s="63" t="s">
        <v>478</v>
      </c>
      <c r="AD220" s="16" t="s">
        <v>63</v>
      </c>
      <c r="AE220" s="42">
        <v>3</v>
      </c>
      <c r="AF220" s="63" t="s">
        <v>667</v>
      </c>
    </row>
    <row r="221" spans="2:32" ht="14.4" hidden="1" x14ac:dyDescent="0.3">
      <c r="B221" s="16" t="s">
        <v>14</v>
      </c>
      <c r="C221" s="70" t="s">
        <v>1032</v>
      </c>
      <c r="D221" s="258" t="s">
        <v>693</v>
      </c>
      <c r="E221" s="50">
        <v>3430061224</v>
      </c>
      <c r="F221" s="55">
        <v>45800</v>
      </c>
      <c r="G221" s="26" t="s">
        <v>55</v>
      </c>
      <c r="H221" s="26">
        <v>10</v>
      </c>
      <c r="I221" s="56">
        <v>582120</v>
      </c>
      <c r="J221" s="26">
        <v>3</v>
      </c>
      <c r="K221" s="321">
        <f t="shared" si="4"/>
        <v>194040</v>
      </c>
      <c r="L221" s="57">
        <v>45748</v>
      </c>
      <c r="M221" s="57">
        <v>46112</v>
      </c>
      <c r="N221" s="58" t="s">
        <v>19</v>
      </c>
      <c r="O221" s="82" t="s">
        <v>5</v>
      </c>
      <c r="P221" s="26"/>
      <c r="Q221" s="160" t="s">
        <v>357</v>
      </c>
      <c r="R221" s="58" t="s">
        <v>1033</v>
      </c>
      <c r="S221" s="59" t="s">
        <v>665</v>
      </c>
      <c r="T221" s="58" t="s">
        <v>1034</v>
      </c>
      <c r="U221" s="59" t="s">
        <v>361</v>
      </c>
      <c r="V221" s="58" t="s">
        <v>782</v>
      </c>
      <c r="W221" s="58"/>
      <c r="X221" s="58"/>
      <c r="Y221" s="58"/>
      <c r="Z221" s="58"/>
      <c r="AA221" s="58"/>
      <c r="AB221" s="58"/>
      <c r="AC221" s="58" t="s">
        <v>128</v>
      </c>
      <c r="AD221" s="26" t="s">
        <v>129</v>
      </c>
      <c r="AE221" s="26">
        <v>2</v>
      </c>
      <c r="AF221" s="117" t="s">
        <v>1035</v>
      </c>
    </row>
    <row r="222" spans="2:32" ht="14.4" hidden="1" x14ac:dyDescent="0.3">
      <c r="B222" s="16" t="s">
        <v>14</v>
      </c>
      <c r="C222" s="103" t="s">
        <v>1032</v>
      </c>
      <c r="D222" s="256" t="s">
        <v>1036</v>
      </c>
      <c r="E222" s="84">
        <v>4430017625</v>
      </c>
      <c r="F222" s="43">
        <v>45829</v>
      </c>
      <c r="G222" s="42" t="s">
        <v>55</v>
      </c>
      <c r="H222" s="42">
        <v>3</v>
      </c>
      <c r="I222" s="61">
        <v>350000</v>
      </c>
      <c r="J222" s="42">
        <v>2</v>
      </c>
      <c r="K222" s="321">
        <f t="shared" si="4"/>
        <v>175000</v>
      </c>
      <c r="L222" s="62">
        <v>45839</v>
      </c>
      <c r="M222" s="62">
        <v>46203</v>
      </c>
      <c r="N222" s="63" t="s">
        <v>998</v>
      </c>
      <c r="O222" s="82" t="s">
        <v>9</v>
      </c>
      <c r="P222" s="42"/>
      <c r="Q222" s="64" t="s">
        <v>483</v>
      </c>
      <c r="R222" s="63" t="s">
        <v>423</v>
      </c>
      <c r="S222" s="63" t="s">
        <v>607</v>
      </c>
      <c r="T222" s="63"/>
      <c r="U222" s="63"/>
      <c r="V222" s="63"/>
      <c r="W222" s="63"/>
      <c r="X222" s="63"/>
      <c r="Y222" s="63"/>
      <c r="Z222" s="63"/>
      <c r="AA222" s="63"/>
      <c r="AB222" s="63"/>
      <c r="AC222" s="63" t="s">
        <v>834</v>
      </c>
      <c r="AD222" s="16" t="s">
        <v>207</v>
      </c>
      <c r="AE222" s="42">
        <v>2</v>
      </c>
      <c r="AF222" s="142" t="s">
        <v>1035</v>
      </c>
    </row>
    <row r="223" spans="2:32" ht="14.4" hidden="1" x14ac:dyDescent="0.3">
      <c r="B223" s="16" t="s">
        <v>14</v>
      </c>
      <c r="C223" s="132" t="s">
        <v>595</v>
      </c>
      <c r="D223" s="81" t="s">
        <v>1000</v>
      </c>
      <c r="E223" s="161">
        <v>3110015090</v>
      </c>
      <c r="F223" s="43">
        <v>45792</v>
      </c>
      <c r="G223" s="42" t="s">
        <v>55</v>
      </c>
      <c r="H223" s="42">
        <v>10</v>
      </c>
      <c r="I223" s="61">
        <v>600000</v>
      </c>
      <c r="J223" s="42">
        <v>3</v>
      </c>
      <c r="K223" s="321">
        <f t="shared" si="4"/>
        <v>200000</v>
      </c>
      <c r="L223" s="62">
        <v>45778</v>
      </c>
      <c r="M223" s="62">
        <v>46142</v>
      </c>
      <c r="N223" s="63" t="s">
        <v>520</v>
      </c>
      <c r="O223" s="82" t="s">
        <v>9</v>
      </c>
      <c r="P223" s="42"/>
      <c r="Q223" s="64" t="s">
        <v>343</v>
      </c>
      <c r="R223" s="63" t="s">
        <v>394</v>
      </c>
      <c r="S223" s="64" t="s">
        <v>345</v>
      </c>
      <c r="T223" s="63" t="s">
        <v>1001</v>
      </c>
      <c r="U223" s="63" t="s">
        <v>347</v>
      </c>
      <c r="V223" s="63"/>
      <c r="W223" s="63"/>
      <c r="X223" s="63"/>
      <c r="Y223" s="63"/>
      <c r="Z223" s="63"/>
      <c r="AA223" s="63"/>
      <c r="AB223" s="63"/>
      <c r="AC223" s="63" t="s">
        <v>507</v>
      </c>
      <c r="AD223" s="16" t="s">
        <v>63</v>
      </c>
      <c r="AE223" s="42">
        <v>3</v>
      </c>
      <c r="AF223" s="63" t="s">
        <v>1037</v>
      </c>
    </row>
    <row r="224" spans="2:32" ht="14.4" hidden="1" x14ac:dyDescent="0.3">
      <c r="B224" s="16" t="s">
        <v>14</v>
      </c>
      <c r="C224" s="94" t="s">
        <v>614</v>
      </c>
      <c r="D224" s="162" t="s">
        <v>1016</v>
      </c>
      <c r="E224" s="95" t="s">
        <v>1038</v>
      </c>
      <c r="F224" s="60">
        <v>45810</v>
      </c>
      <c r="G224" s="42" t="s">
        <v>55</v>
      </c>
      <c r="H224" s="42">
        <v>12</v>
      </c>
      <c r="I224" s="61">
        <f>76440*12</f>
        <v>917280</v>
      </c>
      <c r="J224" s="42">
        <v>3</v>
      </c>
      <c r="K224" s="321"/>
      <c r="L224" s="62">
        <v>45809</v>
      </c>
      <c r="M224" s="62">
        <v>46173</v>
      </c>
      <c r="N224" s="63" t="s">
        <v>520</v>
      </c>
      <c r="O224" s="82" t="s">
        <v>9</v>
      </c>
      <c r="P224" s="42"/>
      <c r="Q224" s="64" t="s">
        <v>81</v>
      </c>
      <c r="R224" s="63" t="s">
        <v>1039</v>
      </c>
      <c r="S224" s="64" t="s">
        <v>83</v>
      </c>
      <c r="T224" s="63" t="s">
        <v>441</v>
      </c>
      <c r="U224" s="63" t="s">
        <v>404</v>
      </c>
      <c r="V224" s="63"/>
      <c r="W224" s="63"/>
      <c r="X224" s="63"/>
      <c r="Y224" s="63"/>
      <c r="Z224" s="63"/>
      <c r="AA224" s="63"/>
      <c r="AB224" s="63"/>
      <c r="AC224" s="63" t="s">
        <v>619</v>
      </c>
      <c r="AD224" s="16" t="s">
        <v>63</v>
      </c>
      <c r="AE224" s="42">
        <v>3</v>
      </c>
      <c r="AF224" s="105" t="s">
        <v>1040</v>
      </c>
    </row>
    <row r="225" spans="2:32" ht="14.4" hidden="1" x14ac:dyDescent="0.3">
      <c r="B225" s="16" t="s">
        <v>14</v>
      </c>
      <c r="C225" s="68" t="s">
        <v>1041</v>
      </c>
      <c r="D225" s="135" t="s">
        <v>1016</v>
      </c>
      <c r="E225" s="84">
        <v>4220019956</v>
      </c>
      <c r="F225" s="43">
        <v>45802</v>
      </c>
      <c r="G225" s="42" t="s">
        <v>55</v>
      </c>
      <c r="H225" s="42">
        <v>3</v>
      </c>
      <c r="I225" s="61">
        <v>218592</v>
      </c>
      <c r="J225" s="42">
        <v>3</v>
      </c>
      <c r="K225" s="321">
        <f t="shared" si="4"/>
        <v>72864</v>
      </c>
      <c r="L225" s="62">
        <v>45748</v>
      </c>
      <c r="M225" s="62">
        <v>46112</v>
      </c>
      <c r="N225" s="63" t="s">
        <v>19</v>
      </c>
      <c r="O225" s="82" t="s">
        <v>3</v>
      </c>
      <c r="P225" s="42"/>
      <c r="Q225" s="64" t="s">
        <v>357</v>
      </c>
      <c r="R225" s="63" t="s">
        <v>806</v>
      </c>
      <c r="S225" s="64" t="s">
        <v>665</v>
      </c>
      <c r="T225" s="63" t="s">
        <v>191</v>
      </c>
      <c r="U225" s="64" t="s">
        <v>361</v>
      </c>
      <c r="V225" s="63" t="s">
        <v>1042</v>
      </c>
      <c r="W225" s="63"/>
      <c r="X225" s="63"/>
      <c r="Y225" s="63"/>
      <c r="Z225" s="63"/>
      <c r="AA225" s="63"/>
      <c r="AB225" s="63"/>
      <c r="AC225" s="63" t="s">
        <v>619</v>
      </c>
      <c r="AD225" s="16" t="s">
        <v>63</v>
      </c>
      <c r="AE225" s="42">
        <v>3</v>
      </c>
      <c r="AF225" s="63" t="s">
        <v>667</v>
      </c>
    </row>
    <row r="226" spans="2:32" ht="14.4" hidden="1" x14ac:dyDescent="0.3">
      <c r="B226" s="16" t="s">
        <v>14</v>
      </c>
      <c r="C226" s="142" t="s">
        <v>1043</v>
      </c>
      <c r="D226" s="249" t="s">
        <v>151</v>
      </c>
      <c r="E226" s="84">
        <v>8176740</v>
      </c>
      <c r="F226" s="43">
        <v>45832</v>
      </c>
      <c r="G226" s="42" t="s">
        <v>55</v>
      </c>
      <c r="H226" s="42">
        <v>2</v>
      </c>
      <c r="I226" s="61">
        <v>155000</v>
      </c>
      <c r="J226" s="42">
        <v>3</v>
      </c>
      <c r="K226" s="321">
        <f t="shared" si="4"/>
        <v>51666.666666666664</v>
      </c>
      <c r="L226" s="62">
        <v>45901</v>
      </c>
      <c r="M226" s="62">
        <v>46265</v>
      </c>
      <c r="N226" s="63" t="s">
        <v>520</v>
      </c>
      <c r="O226" s="82" t="s">
        <v>9</v>
      </c>
      <c r="P226" s="42"/>
      <c r="Q226" s="64" t="s">
        <v>345</v>
      </c>
      <c r="R226" s="63" t="s">
        <v>147</v>
      </c>
      <c r="S226" s="64" t="s">
        <v>347</v>
      </c>
      <c r="T226" s="63" t="s">
        <v>1044</v>
      </c>
      <c r="U226" s="63" t="s">
        <v>348</v>
      </c>
      <c r="V226" s="63" t="s">
        <v>1045</v>
      </c>
      <c r="W226" s="63"/>
      <c r="X226" s="63"/>
      <c r="Y226" s="63"/>
      <c r="Z226" s="63"/>
      <c r="AA226" s="63"/>
      <c r="AB226" s="63"/>
      <c r="AC226" s="63" t="s">
        <v>478</v>
      </c>
      <c r="AD226" s="16" t="s">
        <v>63</v>
      </c>
      <c r="AE226" s="42">
        <v>3</v>
      </c>
      <c r="AF226" s="142" t="s">
        <v>1046</v>
      </c>
    </row>
    <row r="227" spans="2:32" ht="14.4" hidden="1" x14ac:dyDescent="0.3">
      <c r="B227" s="16" t="s">
        <v>14</v>
      </c>
      <c r="C227" s="94" t="s">
        <v>614</v>
      </c>
      <c r="D227" s="162" t="s">
        <v>1016</v>
      </c>
      <c r="E227" s="95" t="s">
        <v>1047</v>
      </c>
      <c r="F227" s="60">
        <v>45831</v>
      </c>
      <c r="G227" s="42" t="s">
        <v>55</v>
      </c>
      <c r="H227" s="42">
        <v>7</v>
      </c>
      <c r="I227" s="61">
        <v>535080</v>
      </c>
      <c r="J227" s="42">
        <v>3</v>
      </c>
      <c r="K227" s="321"/>
      <c r="L227" s="62">
        <v>45809</v>
      </c>
      <c r="M227" s="62">
        <v>46173</v>
      </c>
      <c r="N227" s="63" t="s">
        <v>520</v>
      </c>
      <c r="O227" s="82" t="s">
        <v>9</v>
      </c>
      <c r="P227" s="42"/>
      <c r="Q227" s="64" t="s">
        <v>81</v>
      </c>
      <c r="R227" s="63" t="s">
        <v>819</v>
      </c>
      <c r="S227" s="64" t="s">
        <v>83</v>
      </c>
      <c r="T227" s="63" t="s">
        <v>903</v>
      </c>
      <c r="U227" s="63" t="s">
        <v>404</v>
      </c>
      <c r="V227" s="63"/>
      <c r="W227" s="63"/>
      <c r="X227" s="63"/>
      <c r="Y227" s="63"/>
      <c r="Z227" s="63"/>
      <c r="AA227" s="63"/>
      <c r="AB227" s="63"/>
      <c r="AC227" s="63" t="s">
        <v>619</v>
      </c>
      <c r="AD227" s="16" t="s">
        <v>63</v>
      </c>
      <c r="AE227" s="42">
        <v>3</v>
      </c>
      <c r="AF227" s="63" t="s">
        <v>1048</v>
      </c>
    </row>
    <row r="228" spans="2:32" ht="14.4" hidden="1" x14ac:dyDescent="0.3">
      <c r="B228" s="16" t="s">
        <v>14</v>
      </c>
      <c r="C228" s="68" t="s">
        <v>1049</v>
      </c>
      <c r="D228" s="132" t="s">
        <v>447</v>
      </c>
      <c r="E228" s="101">
        <v>3300013521</v>
      </c>
      <c r="F228" s="43">
        <v>45832</v>
      </c>
      <c r="G228" s="42" t="s">
        <v>55</v>
      </c>
      <c r="H228" s="42">
        <v>1</v>
      </c>
      <c r="I228" s="61">
        <v>109500</v>
      </c>
      <c r="J228" s="42">
        <v>4</v>
      </c>
      <c r="K228" s="321">
        <f t="shared" si="4"/>
        <v>27375</v>
      </c>
      <c r="L228" s="62">
        <v>45778</v>
      </c>
      <c r="M228" s="62">
        <v>46142</v>
      </c>
      <c r="N228" s="7" t="s">
        <v>19</v>
      </c>
      <c r="O228" s="42" t="s">
        <v>5</v>
      </c>
      <c r="P228" s="42"/>
      <c r="Q228" s="64" t="s">
        <v>266</v>
      </c>
      <c r="R228" s="63" t="s">
        <v>145</v>
      </c>
      <c r="S228" s="64" t="s">
        <v>267</v>
      </c>
      <c r="T228" s="63" t="s">
        <v>452</v>
      </c>
      <c r="U228" s="64" t="s">
        <v>269</v>
      </c>
      <c r="V228" s="63" t="s">
        <v>320</v>
      </c>
      <c r="W228" s="64" t="s">
        <v>442</v>
      </c>
      <c r="X228" s="63" t="s">
        <v>1050</v>
      </c>
      <c r="Y228" s="63"/>
      <c r="Z228" s="63"/>
      <c r="AA228" s="63"/>
      <c r="AB228" s="63"/>
      <c r="AC228" s="63" t="s">
        <v>281</v>
      </c>
      <c r="AD228" s="42" t="s">
        <v>97</v>
      </c>
      <c r="AE228" s="42" t="s">
        <v>494</v>
      </c>
      <c r="AF228" s="63" t="s">
        <v>667</v>
      </c>
    </row>
    <row r="229" spans="2:32" ht="14.4" hidden="1" x14ac:dyDescent="0.3">
      <c r="B229" s="16" t="s">
        <v>14</v>
      </c>
      <c r="C229" s="68" t="s">
        <v>195</v>
      </c>
      <c r="D229" s="132" t="s">
        <v>1051</v>
      </c>
      <c r="E229" s="101" t="s">
        <v>1052</v>
      </c>
      <c r="F229" s="43">
        <v>45834</v>
      </c>
      <c r="G229" s="42" t="s">
        <v>55</v>
      </c>
      <c r="H229" s="42">
        <v>6</v>
      </c>
      <c r="I229" s="61">
        <v>497859.84000000003</v>
      </c>
      <c r="J229" s="42">
        <v>3</v>
      </c>
      <c r="K229" s="321">
        <f t="shared" si="4"/>
        <v>165953.28</v>
      </c>
      <c r="L229" s="62">
        <v>45834</v>
      </c>
      <c r="M229" s="62">
        <v>46198</v>
      </c>
      <c r="N229" s="63" t="s">
        <v>520</v>
      </c>
      <c r="O229" s="82" t="s">
        <v>9</v>
      </c>
      <c r="P229" s="42"/>
      <c r="Q229" s="64" t="s">
        <v>1053</v>
      </c>
      <c r="R229" s="63" t="s">
        <v>1054</v>
      </c>
      <c r="S229" s="64" t="s">
        <v>1055</v>
      </c>
      <c r="T229" s="63" t="s">
        <v>1056</v>
      </c>
      <c r="U229" s="63" t="s">
        <v>1057</v>
      </c>
      <c r="V229" s="63"/>
      <c r="W229" s="63"/>
      <c r="X229" s="63"/>
      <c r="Y229" s="63"/>
      <c r="Z229" s="63"/>
      <c r="AA229" s="63"/>
      <c r="AB229" s="63"/>
      <c r="AC229" s="63" t="s">
        <v>281</v>
      </c>
      <c r="AD229" s="42" t="s">
        <v>97</v>
      </c>
      <c r="AE229" s="42">
        <v>3</v>
      </c>
      <c r="AF229" s="63" t="s">
        <v>667</v>
      </c>
    </row>
    <row r="230" spans="2:32" ht="14.4" hidden="1" x14ac:dyDescent="0.3">
      <c r="B230" s="16" t="s">
        <v>14</v>
      </c>
      <c r="C230" s="97" t="s">
        <v>614</v>
      </c>
      <c r="D230" s="259" t="s">
        <v>447</v>
      </c>
      <c r="E230" s="163" t="s">
        <v>1058</v>
      </c>
      <c r="F230" s="136">
        <v>45821</v>
      </c>
      <c r="G230" s="42" t="s">
        <v>55</v>
      </c>
      <c r="H230" s="42">
        <v>15</v>
      </c>
      <c r="I230" s="61">
        <v>1146600</v>
      </c>
      <c r="J230" s="42">
        <v>3</v>
      </c>
      <c r="K230" s="321"/>
      <c r="L230" s="62">
        <v>45809</v>
      </c>
      <c r="M230" s="62">
        <v>46173</v>
      </c>
      <c r="N230" s="63" t="s">
        <v>520</v>
      </c>
      <c r="O230" s="82" t="s">
        <v>9</v>
      </c>
      <c r="P230" s="42"/>
      <c r="Q230" s="64" t="s">
        <v>81</v>
      </c>
      <c r="R230" s="63" t="s">
        <v>811</v>
      </c>
      <c r="S230" s="64" t="s">
        <v>83</v>
      </c>
      <c r="T230" s="63" t="s">
        <v>1059</v>
      </c>
      <c r="U230" s="63" t="s">
        <v>404</v>
      </c>
      <c r="V230" s="63"/>
      <c r="W230" s="63"/>
      <c r="X230" s="63"/>
      <c r="Y230" s="63"/>
      <c r="Z230" s="63"/>
      <c r="AA230" s="63"/>
      <c r="AB230" s="63"/>
      <c r="AC230" s="63" t="s">
        <v>281</v>
      </c>
      <c r="AD230" s="42" t="s">
        <v>97</v>
      </c>
      <c r="AE230" s="42">
        <v>3</v>
      </c>
      <c r="AF230" s="63" t="s">
        <v>1060</v>
      </c>
    </row>
    <row r="231" spans="2:32" ht="15" hidden="1" customHeight="1" x14ac:dyDescent="0.3">
      <c r="B231" s="16" t="s">
        <v>14</v>
      </c>
      <c r="C231" s="74" t="s">
        <v>789</v>
      </c>
      <c r="D231" s="260" t="s">
        <v>629</v>
      </c>
      <c r="E231" s="164">
        <v>8480224138</v>
      </c>
      <c r="F231" s="55">
        <v>45818</v>
      </c>
      <c r="G231" s="26" t="s">
        <v>55</v>
      </c>
      <c r="H231" s="26">
        <v>10</v>
      </c>
      <c r="I231" s="56">
        <v>764400</v>
      </c>
      <c r="J231" s="26">
        <v>3</v>
      </c>
      <c r="K231" s="321"/>
      <c r="L231" s="57">
        <v>45809</v>
      </c>
      <c r="M231" s="57">
        <v>46173</v>
      </c>
      <c r="N231" s="58" t="s">
        <v>520</v>
      </c>
      <c r="O231" s="26" t="s">
        <v>11</v>
      </c>
      <c r="P231" s="26"/>
      <c r="Q231" s="59" t="s">
        <v>81</v>
      </c>
      <c r="R231" s="58" t="s">
        <v>492</v>
      </c>
      <c r="S231" s="59" t="s">
        <v>83</v>
      </c>
      <c r="T231" s="58" t="s">
        <v>346</v>
      </c>
      <c r="U231" s="58" t="s">
        <v>404</v>
      </c>
      <c r="V231" s="58"/>
      <c r="W231" s="58"/>
      <c r="X231" s="58"/>
      <c r="Y231" s="58"/>
      <c r="Z231" s="58"/>
      <c r="AA231" s="58"/>
      <c r="AB231" s="58"/>
      <c r="AC231" s="58" t="s">
        <v>485</v>
      </c>
      <c r="AD231" s="16" t="s">
        <v>63</v>
      </c>
      <c r="AE231" s="26">
        <v>3</v>
      </c>
      <c r="AF231" s="58" t="s">
        <v>1060</v>
      </c>
    </row>
    <row r="232" spans="2:32" ht="14.4" hidden="1" x14ac:dyDescent="0.3">
      <c r="B232" s="16" t="s">
        <v>14</v>
      </c>
      <c r="C232" s="68" t="s">
        <v>1061</v>
      </c>
      <c r="D232" s="132" t="s">
        <v>841</v>
      </c>
      <c r="E232" s="101">
        <v>326050136</v>
      </c>
      <c r="F232" s="43">
        <v>45831</v>
      </c>
      <c r="G232" s="42" t="s">
        <v>55</v>
      </c>
      <c r="H232" s="42">
        <v>1</v>
      </c>
      <c r="I232" s="61">
        <v>90000</v>
      </c>
      <c r="J232" s="42">
        <v>3</v>
      </c>
      <c r="K232" s="321">
        <f t="shared" si="4"/>
        <v>30000</v>
      </c>
      <c r="L232" s="62">
        <v>45809</v>
      </c>
      <c r="M232" s="62">
        <v>46173</v>
      </c>
      <c r="N232" s="63" t="s">
        <v>19</v>
      </c>
      <c r="O232" s="26" t="s">
        <v>6</v>
      </c>
      <c r="P232" s="42" t="s">
        <v>1</v>
      </c>
      <c r="Q232" s="64" t="s">
        <v>81</v>
      </c>
      <c r="R232" s="63" t="s">
        <v>431</v>
      </c>
      <c r="S232" s="64" t="s">
        <v>83</v>
      </c>
      <c r="T232" s="63" t="s">
        <v>765</v>
      </c>
      <c r="U232" s="64" t="s">
        <v>404</v>
      </c>
      <c r="V232" s="63" t="s">
        <v>820</v>
      </c>
      <c r="W232" s="63"/>
      <c r="X232" s="63"/>
      <c r="Y232" s="63"/>
      <c r="Z232" s="63"/>
      <c r="AA232" s="63"/>
      <c r="AB232" s="63"/>
      <c r="AC232" s="63" t="s">
        <v>485</v>
      </c>
      <c r="AD232" s="16" t="s">
        <v>63</v>
      </c>
      <c r="AE232" s="42">
        <v>3</v>
      </c>
      <c r="AF232" s="63" t="s">
        <v>667</v>
      </c>
    </row>
    <row r="233" spans="2:32" ht="14.4" hidden="1" x14ac:dyDescent="0.3">
      <c r="B233" s="16" t="s">
        <v>14</v>
      </c>
      <c r="C233" s="68" t="s">
        <v>1062</v>
      </c>
      <c r="D233" s="135" t="s">
        <v>388</v>
      </c>
      <c r="E233" s="84">
        <v>3006483602</v>
      </c>
      <c r="F233" s="43">
        <v>45840</v>
      </c>
      <c r="G233" s="42" t="s">
        <v>55</v>
      </c>
      <c r="H233" s="42">
        <v>1</v>
      </c>
      <c r="I233" s="61">
        <v>87500</v>
      </c>
      <c r="J233" s="42">
        <v>2</v>
      </c>
      <c r="K233" s="321">
        <f t="shared" si="4"/>
        <v>43750</v>
      </c>
      <c r="L233" s="62">
        <v>45839</v>
      </c>
      <c r="M233" s="165">
        <v>46203</v>
      </c>
      <c r="N233" s="63" t="s">
        <v>520</v>
      </c>
      <c r="O233" s="26" t="s">
        <v>11</v>
      </c>
      <c r="P233" s="42"/>
      <c r="Q233" s="64" t="s">
        <v>483</v>
      </c>
      <c r="R233" s="63" t="s">
        <v>709</v>
      </c>
      <c r="S233" s="63" t="s">
        <v>607</v>
      </c>
      <c r="T233" s="63"/>
      <c r="U233" s="63"/>
      <c r="V233" s="63"/>
      <c r="W233" s="63"/>
      <c r="X233" s="63"/>
      <c r="Y233" s="63"/>
      <c r="Z233" s="63"/>
      <c r="AA233" s="63"/>
      <c r="AB233" s="63"/>
      <c r="AC233" s="63" t="s">
        <v>619</v>
      </c>
      <c r="AD233" s="16" t="s">
        <v>63</v>
      </c>
      <c r="AE233" s="42">
        <v>2</v>
      </c>
      <c r="AF233" s="63" t="s">
        <v>799</v>
      </c>
    </row>
    <row r="234" spans="2:32" ht="14.4" hidden="1" x14ac:dyDescent="0.3">
      <c r="B234" s="16" t="s">
        <v>14</v>
      </c>
      <c r="C234" s="142" t="s">
        <v>1063</v>
      </c>
      <c r="D234" s="249" t="s">
        <v>151</v>
      </c>
      <c r="E234" s="84" t="s">
        <v>1064</v>
      </c>
      <c r="F234" s="43">
        <v>45723</v>
      </c>
      <c r="G234" s="42" t="s">
        <v>55</v>
      </c>
      <c r="H234" s="42">
        <v>4</v>
      </c>
      <c r="I234" s="61">
        <v>340000</v>
      </c>
      <c r="J234" s="42">
        <v>3</v>
      </c>
      <c r="K234" s="321">
        <f t="shared" si="4"/>
        <v>113333.33333333333</v>
      </c>
      <c r="L234" s="62">
        <v>45839</v>
      </c>
      <c r="M234" s="165">
        <v>46203</v>
      </c>
      <c r="N234" s="63" t="s">
        <v>520</v>
      </c>
      <c r="O234" s="26" t="s">
        <v>11</v>
      </c>
      <c r="P234" s="42" t="s">
        <v>1</v>
      </c>
      <c r="Q234" s="64" t="s">
        <v>190</v>
      </c>
      <c r="R234" s="63" t="s">
        <v>886</v>
      </c>
      <c r="S234" s="64" t="s">
        <v>192</v>
      </c>
      <c r="T234" s="63" t="s">
        <v>1065</v>
      </c>
      <c r="U234" s="63" t="s">
        <v>194</v>
      </c>
      <c r="V234" s="63"/>
      <c r="W234" s="63"/>
      <c r="X234" s="63"/>
      <c r="Y234" s="63"/>
      <c r="Z234" s="63"/>
      <c r="AA234" s="63"/>
      <c r="AB234" s="63"/>
      <c r="AC234" s="63" t="s">
        <v>507</v>
      </c>
      <c r="AD234" s="16" t="s">
        <v>63</v>
      </c>
      <c r="AE234" s="42">
        <v>3</v>
      </c>
      <c r="AF234" s="63" t="s">
        <v>1066</v>
      </c>
    </row>
    <row r="235" spans="2:32" ht="14.4" hidden="1" x14ac:dyDescent="0.3">
      <c r="B235" s="16" t="s">
        <v>14</v>
      </c>
      <c r="C235" s="97" t="s">
        <v>614</v>
      </c>
      <c r="D235" s="252" t="s">
        <v>447</v>
      </c>
      <c r="E235" s="166" t="s">
        <v>1067</v>
      </c>
      <c r="F235" s="43">
        <v>45827</v>
      </c>
      <c r="G235" s="42" t="s">
        <v>55</v>
      </c>
      <c r="H235" s="42">
        <v>1</v>
      </c>
      <c r="I235" s="61">
        <v>76440</v>
      </c>
      <c r="J235" s="42">
        <v>3</v>
      </c>
      <c r="K235" s="321">
        <f t="shared" si="4"/>
        <v>25480</v>
      </c>
      <c r="L235" s="62">
        <v>45809</v>
      </c>
      <c r="M235" s="165">
        <v>46173</v>
      </c>
      <c r="N235" s="63" t="s">
        <v>520</v>
      </c>
      <c r="O235" s="26" t="s">
        <v>11</v>
      </c>
      <c r="P235" s="42"/>
      <c r="Q235" s="167" t="s">
        <v>81</v>
      </c>
      <c r="R235" s="63" t="s">
        <v>431</v>
      </c>
      <c r="S235" s="64" t="s">
        <v>83</v>
      </c>
      <c r="T235" s="63" t="s">
        <v>1059</v>
      </c>
      <c r="U235" s="64" t="s">
        <v>887</v>
      </c>
      <c r="V235" s="63" t="s">
        <v>712</v>
      </c>
      <c r="W235" s="63"/>
      <c r="X235" s="63"/>
      <c r="Y235" s="63"/>
      <c r="Z235" s="63"/>
      <c r="AA235" s="63"/>
      <c r="AB235" s="63"/>
      <c r="AC235" s="63" t="s">
        <v>281</v>
      </c>
      <c r="AD235" s="42" t="s">
        <v>97</v>
      </c>
      <c r="AE235" s="42">
        <v>3</v>
      </c>
      <c r="AF235" s="63" t="s">
        <v>1068</v>
      </c>
    </row>
    <row r="236" spans="2:32" ht="14.4" hidden="1" x14ac:dyDescent="0.3">
      <c r="B236" s="16" t="s">
        <v>14</v>
      </c>
      <c r="C236" s="68" t="s">
        <v>1069</v>
      </c>
      <c r="D236" s="261" t="s">
        <v>151</v>
      </c>
      <c r="E236" s="168">
        <v>4400012768</v>
      </c>
      <c r="F236" s="43">
        <v>45845</v>
      </c>
      <c r="G236" s="42" t="s">
        <v>55</v>
      </c>
      <c r="H236" s="42">
        <v>1</v>
      </c>
      <c r="I236" s="61">
        <v>46000</v>
      </c>
      <c r="J236" s="42">
        <v>3</v>
      </c>
      <c r="K236" s="321">
        <f t="shared" si="4"/>
        <v>15333.333333333334</v>
      </c>
      <c r="L236" s="62">
        <v>45839</v>
      </c>
      <c r="M236" s="62">
        <v>46203</v>
      </c>
      <c r="N236" s="63" t="s">
        <v>520</v>
      </c>
      <c r="O236" s="26" t="s">
        <v>11</v>
      </c>
      <c r="P236" s="42"/>
      <c r="Q236" s="64" t="s">
        <v>190</v>
      </c>
      <c r="R236" s="63" t="s">
        <v>611</v>
      </c>
      <c r="S236" s="64" t="s">
        <v>192</v>
      </c>
      <c r="T236" s="63" t="s">
        <v>430</v>
      </c>
      <c r="U236" s="63" t="s">
        <v>194</v>
      </c>
      <c r="V236" s="63"/>
      <c r="W236" s="63"/>
      <c r="X236" s="63"/>
      <c r="Y236" s="63"/>
      <c r="Z236" s="63"/>
      <c r="AA236" s="63"/>
      <c r="AB236" s="63"/>
      <c r="AC236" s="63" t="s">
        <v>478</v>
      </c>
      <c r="AD236" s="16" t="s">
        <v>63</v>
      </c>
      <c r="AE236" s="42">
        <v>5</v>
      </c>
      <c r="AF236" s="63" t="s">
        <v>667</v>
      </c>
    </row>
    <row r="237" spans="2:32" ht="14.4" hidden="1" x14ac:dyDescent="0.3">
      <c r="B237" s="16" t="s">
        <v>14</v>
      </c>
      <c r="C237" s="68" t="s">
        <v>954</v>
      </c>
      <c r="D237" s="132" t="s">
        <v>1070</v>
      </c>
      <c r="E237" s="84">
        <v>4601465628</v>
      </c>
      <c r="F237" s="43">
        <v>45845</v>
      </c>
      <c r="G237" s="42" t="s">
        <v>55</v>
      </c>
      <c r="H237" s="42">
        <v>1</v>
      </c>
      <c r="I237" s="61">
        <v>85000</v>
      </c>
      <c r="J237" s="42">
        <v>1</v>
      </c>
      <c r="K237" s="321">
        <f t="shared" si="4"/>
        <v>85000</v>
      </c>
      <c r="L237" s="62">
        <v>45839</v>
      </c>
      <c r="M237" s="62">
        <v>46203</v>
      </c>
      <c r="N237" s="63" t="s">
        <v>520</v>
      </c>
      <c r="O237" s="26" t="s">
        <v>11</v>
      </c>
      <c r="P237" s="42"/>
      <c r="Q237" s="64" t="s">
        <v>1071</v>
      </c>
      <c r="R237" s="63" t="s">
        <v>618</v>
      </c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 t="s">
        <v>478</v>
      </c>
      <c r="AD237" s="16" t="s">
        <v>63</v>
      </c>
      <c r="AE237" s="42">
        <v>3</v>
      </c>
      <c r="AF237" s="63" t="s">
        <v>667</v>
      </c>
    </row>
    <row r="238" spans="2:32" ht="14.4" hidden="1" x14ac:dyDescent="0.3">
      <c r="B238" s="16" t="s">
        <v>14</v>
      </c>
      <c r="C238" s="68" t="s">
        <v>954</v>
      </c>
      <c r="D238" s="132" t="s">
        <v>1072</v>
      </c>
      <c r="E238" s="84">
        <v>4601465566</v>
      </c>
      <c r="F238" s="43">
        <v>45845</v>
      </c>
      <c r="G238" s="42" t="s">
        <v>55</v>
      </c>
      <c r="H238" s="42">
        <v>1</v>
      </c>
      <c r="I238" s="61">
        <v>85000</v>
      </c>
      <c r="J238" s="42">
        <v>1</v>
      </c>
      <c r="K238" s="321">
        <f t="shared" si="4"/>
        <v>85000</v>
      </c>
      <c r="L238" s="62">
        <v>45839</v>
      </c>
      <c r="M238" s="62">
        <v>46203</v>
      </c>
      <c r="N238" s="63" t="s">
        <v>520</v>
      </c>
      <c r="O238" s="26" t="s">
        <v>11</v>
      </c>
      <c r="P238" s="42"/>
      <c r="Q238" s="64" t="s">
        <v>1071</v>
      </c>
      <c r="R238" s="63" t="s">
        <v>618</v>
      </c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 t="s">
        <v>478</v>
      </c>
      <c r="AD238" s="16" t="s">
        <v>63</v>
      </c>
      <c r="AE238" s="42">
        <v>3</v>
      </c>
      <c r="AF238" s="63" t="s">
        <v>667</v>
      </c>
    </row>
    <row r="239" spans="2:32" ht="14.4" hidden="1" x14ac:dyDescent="0.3">
      <c r="B239" s="16" t="s">
        <v>14</v>
      </c>
      <c r="C239" s="39" t="s">
        <v>1073</v>
      </c>
      <c r="D239" s="232" t="s">
        <v>1074</v>
      </c>
      <c r="E239" s="169">
        <v>440000458</v>
      </c>
      <c r="F239" s="55">
        <v>45834</v>
      </c>
      <c r="G239" s="26" t="s">
        <v>55</v>
      </c>
      <c r="H239" s="26">
        <v>3</v>
      </c>
      <c r="I239" s="170">
        <v>243000</v>
      </c>
      <c r="J239" s="26">
        <v>2</v>
      </c>
      <c r="K239" s="321">
        <f t="shared" si="4"/>
        <v>121500</v>
      </c>
      <c r="L239" s="57">
        <v>45839</v>
      </c>
      <c r="M239" s="57">
        <v>46022</v>
      </c>
      <c r="N239" s="58" t="s">
        <v>520</v>
      </c>
      <c r="O239" s="26" t="s">
        <v>11</v>
      </c>
      <c r="P239" s="26" t="s">
        <v>1</v>
      </c>
      <c r="Q239" s="59" t="s">
        <v>168</v>
      </c>
      <c r="R239" s="58" t="s">
        <v>505</v>
      </c>
      <c r="S239" s="59" t="s">
        <v>228</v>
      </c>
      <c r="T239" s="58" t="s">
        <v>1075</v>
      </c>
      <c r="U239" s="58"/>
      <c r="V239" s="58"/>
      <c r="W239" s="58"/>
      <c r="X239" s="58"/>
      <c r="Y239" s="58"/>
      <c r="Z239" s="58"/>
      <c r="AA239" s="58"/>
      <c r="AB239" s="58"/>
      <c r="AC239" s="58" t="s">
        <v>551</v>
      </c>
      <c r="AD239" s="16" t="s">
        <v>207</v>
      </c>
      <c r="AE239" s="26">
        <v>2</v>
      </c>
      <c r="AF239" s="58" t="s">
        <v>1076</v>
      </c>
    </row>
    <row r="240" spans="2:32" ht="14.4" hidden="1" x14ac:dyDescent="0.3">
      <c r="B240" s="16" t="s">
        <v>14</v>
      </c>
      <c r="C240" s="39" t="s">
        <v>1073</v>
      </c>
      <c r="D240" s="232" t="s">
        <v>1074</v>
      </c>
      <c r="E240" s="169">
        <v>440000458</v>
      </c>
      <c r="F240" s="55">
        <v>45834</v>
      </c>
      <c r="G240" s="26" t="s">
        <v>55</v>
      </c>
      <c r="H240" s="26"/>
      <c r="I240" s="170">
        <v>518700</v>
      </c>
      <c r="J240" s="26">
        <v>3</v>
      </c>
      <c r="K240" s="321">
        <f t="shared" si="4"/>
        <v>172900</v>
      </c>
      <c r="L240" s="57">
        <v>46023</v>
      </c>
      <c r="M240" s="57">
        <v>46387</v>
      </c>
      <c r="N240" s="58" t="s">
        <v>520</v>
      </c>
      <c r="O240" s="26" t="s">
        <v>11</v>
      </c>
      <c r="P240" s="26" t="s">
        <v>1</v>
      </c>
      <c r="Q240" s="59" t="s">
        <v>347</v>
      </c>
      <c r="R240" s="58" t="s">
        <v>1056</v>
      </c>
      <c r="S240" s="58" t="s">
        <v>348</v>
      </c>
      <c r="T240" s="58"/>
      <c r="U240" s="58" t="s">
        <v>349</v>
      </c>
      <c r="V240" s="58"/>
      <c r="W240" s="58"/>
      <c r="X240" s="58"/>
      <c r="Y240" s="58"/>
      <c r="Z240" s="58"/>
      <c r="AA240" s="58"/>
      <c r="AB240" s="58"/>
      <c r="AC240" s="58" t="s">
        <v>551</v>
      </c>
      <c r="AD240" s="16" t="s">
        <v>207</v>
      </c>
      <c r="AE240" s="26">
        <v>3</v>
      </c>
      <c r="AF240" s="58" t="s">
        <v>1076</v>
      </c>
    </row>
    <row r="241" spans="1:32" ht="14.4" hidden="1" x14ac:dyDescent="0.3">
      <c r="B241" s="16" t="s">
        <v>14</v>
      </c>
      <c r="C241" s="39" t="s">
        <v>1073</v>
      </c>
      <c r="D241" s="232" t="s">
        <v>1074</v>
      </c>
      <c r="E241" s="169">
        <v>440000458</v>
      </c>
      <c r="F241" s="55">
        <v>45834</v>
      </c>
      <c r="G241" s="26" t="s">
        <v>55</v>
      </c>
      <c r="H241" s="26"/>
      <c r="I241" s="170">
        <v>518700</v>
      </c>
      <c r="J241" s="26">
        <v>3</v>
      </c>
      <c r="K241" s="321">
        <f t="shared" si="4"/>
        <v>172900</v>
      </c>
      <c r="L241" s="57">
        <v>46388</v>
      </c>
      <c r="M241" s="57">
        <v>46752</v>
      </c>
      <c r="N241" s="58" t="s">
        <v>520</v>
      </c>
      <c r="O241" s="26" t="s">
        <v>11</v>
      </c>
      <c r="P241" s="26" t="s">
        <v>1</v>
      </c>
      <c r="Q241" s="58" t="s">
        <v>738</v>
      </c>
      <c r="R241" s="58"/>
      <c r="S241" s="58" t="s">
        <v>1077</v>
      </c>
      <c r="T241" s="58"/>
      <c r="U241" s="58" t="s">
        <v>1078</v>
      </c>
      <c r="V241" s="58"/>
      <c r="W241" s="58"/>
      <c r="X241" s="58"/>
      <c r="Y241" s="58"/>
      <c r="Z241" s="58"/>
      <c r="AA241" s="58"/>
      <c r="AB241" s="58"/>
      <c r="AC241" s="58" t="s">
        <v>551</v>
      </c>
      <c r="AD241" s="16" t="s">
        <v>207</v>
      </c>
      <c r="AE241" s="26">
        <v>3</v>
      </c>
      <c r="AF241" s="58" t="s">
        <v>1076</v>
      </c>
    </row>
    <row r="242" spans="1:32" ht="14.4" hidden="1" x14ac:dyDescent="0.3">
      <c r="B242" s="16" t="s">
        <v>14</v>
      </c>
      <c r="C242" s="68" t="s">
        <v>775</v>
      </c>
      <c r="D242" s="132" t="s">
        <v>1079</v>
      </c>
      <c r="E242" s="84">
        <v>2700033067</v>
      </c>
      <c r="F242" s="43">
        <v>45848</v>
      </c>
      <c r="G242" s="42" t="s">
        <v>55</v>
      </c>
      <c r="H242" s="42">
        <v>2</v>
      </c>
      <c r="I242" s="61">
        <v>160000</v>
      </c>
      <c r="J242" s="42">
        <v>3</v>
      </c>
      <c r="K242" s="321">
        <f t="shared" si="4"/>
        <v>53333.333333333336</v>
      </c>
      <c r="L242" s="62">
        <v>45870</v>
      </c>
      <c r="M242" s="62">
        <v>46234</v>
      </c>
      <c r="N242" s="63" t="s">
        <v>520</v>
      </c>
      <c r="O242" s="26" t="s">
        <v>11</v>
      </c>
      <c r="P242" s="42"/>
      <c r="Q242" s="64" t="s">
        <v>665</v>
      </c>
      <c r="R242" s="63" t="s">
        <v>966</v>
      </c>
      <c r="S242" s="64" t="s">
        <v>361</v>
      </c>
      <c r="T242" s="63" t="s">
        <v>193</v>
      </c>
      <c r="U242" s="63" t="s">
        <v>1080</v>
      </c>
      <c r="V242" s="63"/>
      <c r="W242" s="63"/>
      <c r="X242" s="63"/>
      <c r="Y242" s="63"/>
      <c r="Z242" s="63"/>
      <c r="AA242" s="63"/>
      <c r="AB242" s="63"/>
      <c r="AC242" s="63" t="s">
        <v>551</v>
      </c>
      <c r="AD242" s="16" t="s">
        <v>207</v>
      </c>
      <c r="AE242" s="42">
        <v>3</v>
      </c>
      <c r="AF242" s="171">
        <v>1</v>
      </c>
    </row>
    <row r="243" spans="1:32" ht="15" hidden="1" customHeight="1" x14ac:dyDescent="0.3">
      <c r="B243" s="16" t="s">
        <v>14</v>
      </c>
      <c r="C243" s="68" t="s">
        <v>195</v>
      </c>
      <c r="D243" s="132" t="s">
        <v>447</v>
      </c>
      <c r="E243" s="101" t="s">
        <v>1081</v>
      </c>
      <c r="F243" s="43">
        <v>45852</v>
      </c>
      <c r="G243" s="42" t="s">
        <v>55</v>
      </c>
      <c r="H243" s="42">
        <v>1</v>
      </c>
      <c r="I243" s="61">
        <v>65500</v>
      </c>
      <c r="J243" s="42">
        <v>4</v>
      </c>
      <c r="K243" s="321">
        <f t="shared" si="4"/>
        <v>16375</v>
      </c>
      <c r="L243" s="62">
        <v>45853</v>
      </c>
      <c r="M243" s="62">
        <v>46217</v>
      </c>
      <c r="N243" s="63" t="s">
        <v>520</v>
      </c>
      <c r="O243" s="26" t="s">
        <v>11</v>
      </c>
      <c r="P243" s="42"/>
      <c r="Q243" s="64" t="s">
        <v>1082</v>
      </c>
      <c r="R243" s="63" t="s">
        <v>623</v>
      </c>
      <c r="S243" s="64" t="s">
        <v>1083</v>
      </c>
      <c r="T243" s="63" t="s">
        <v>865</v>
      </c>
      <c r="U243" s="64" t="s">
        <v>1084</v>
      </c>
      <c r="V243" s="63" t="s">
        <v>1085</v>
      </c>
      <c r="W243" s="63" t="s">
        <v>1086</v>
      </c>
      <c r="X243" s="63"/>
      <c r="Y243" s="63"/>
      <c r="Z243" s="63"/>
      <c r="AA243" s="63"/>
      <c r="AB243" s="63"/>
      <c r="AC243" s="63" t="s">
        <v>96</v>
      </c>
      <c r="AD243" s="42" t="s">
        <v>97</v>
      </c>
      <c r="AE243" s="42" t="s">
        <v>494</v>
      </c>
      <c r="AF243" s="63" t="s">
        <v>667</v>
      </c>
    </row>
    <row r="244" spans="1:32" ht="14.4" hidden="1" x14ac:dyDescent="0.3">
      <c r="B244" s="16" t="s">
        <v>14</v>
      </c>
      <c r="C244" s="68" t="s">
        <v>1087</v>
      </c>
      <c r="D244" s="132" t="s">
        <v>1088</v>
      </c>
      <c r="E244" s="101" t="s">
        <v>1089</v>
      </c>
      <c r="F244" s="43">
        <v>45854</v>
      </c>
      <c r="G244" s="42" t="s">
        <v>55</v>
      </c>
      <c r="H244" s="42">
        <v>2</v>
      </c>
      <c r="I244" s="61">
        <v>240000</v>
      </c>
      <c r="J244" s="42">
        <v>3</v>
      </c>
      <c r="K244" s="321">
        <f t="shared" si="4"/>
        <v>80000</v>
      </c>
      <c r="L244" s="62">
        <v>45870</v>
      </c>
      <c r="M244" s="62">
        <v>46234</v>
      </c>
      <c r="N244" s="63" t="s">
        <v>520</v>
      </c>
      <c r="O244" s="26" t="s">
        <v>11</v>
      </c>
      <c r="P244" s="42"/>
      <c r="Q244" s="64" t="s">
        <v>665</v>
      </c>
      <c r="R244" s="63" t="s">
        <v>1003</v>
      </c>
      <c r="S244" s="64" t="s">
        <v>361</v>
      </c>
      <c r="T244" s="63" t="s">
        <v>844</v>
      </c>
      <c r="U244" s="63" t="s">
        <v>1080</v>
      </c>
      <c r="V244" s="63"/>
      <c r="W244" s="63"/>
      <c r="X244" s="63"/>
      <c r="Y244" s="63"/>
      <c r="Z244" s="63"/>
      <c r="AA244" s="63"/>
      <c r="AB244" s="63"/>
      <c r="AC244" s="63" t="s">
        <v>96</v>
      </c>
      <c r="AD244" s="42" t="s">
        <v>97</v>
      </c>
      <c r="AE244" s="42">
        <v>4</v>
      </c>
      <c r="AF244" s="63" t="s">
        <v>667</v>
      </c>
    </row>
    <row r="245" spans="1:32" ht="14.4" hidden="1" x14ac:dyDescent="0.3">
      <c r="B245" s="16" t="s">
        <v>14</v>
      </c>
      <c r="C245" s="68" t="s">
        <v>845</v>
      </c>
      <c r="D245" s="132" t="s">
        <v>846</v>
      </c>
      <c r="E245" s="101">
        <v>901968953</v>
      </c>
      <c r="F245" s="136">
        <v>45804</v>
      </c>
      <c r="G245" s="42" t="s">
        <v>55</v>
      </c>
      <c r="H245" s="42">
        <v>1</v>
      </c>
      <c r="I245" s="61">
        <v>98000</v>
      </c>
      <c r="J245" s="42">
        <v>3</v>
      </c>
      <c r="K245" s="321">
        <f>98000/2</f>
        <v>49000</v>
      </c>
      <c r="L245" s="62">
        <v>45848</v>
      </c>
      <c r="M245" s="62">
        <v>46212</v>
      </c>
      <c r="N245" s="63" t="s">
        <v>19</v>
      </c>
      <c r="O245" s="26" t="s">
        <v>11</v>
      </c>
      <c r="P245" s="42"/>
      <c r="Q245" s="64" t="s">
        <v>729</v>
      </c>
      <c r="R245" s="63" t="s">
        <v>1090</v>
      </c>
      <c r="S245" s="64" t="s">
        <v>731</v>
      </c>
      <c r="T245" s="63" t="s">
        <v>1091</v>
      </c>
      <c r="U245" s="64" t="s">
        <v>1092</v>
      </c>
      <c r="V245" s="63" t="s">
        <v>1093</v>
      </c>
      <c r="W245" s="63"/>
      <c r="X245" s="63"/>
      <c r="Y245" s="63"/>
      <c r="Z245" s="63"/>
      <c r="AA245" s="63"/>
      <c r="AB245" s="63"/>
      <c r="AC245" s="63" t="s">
        <v>834</v>
      </c>
      <c r="AD245" s="16" t="s">
        <v>207</v>
      </c>
      <c r="AE245" s="42">
        <v>3</v>
      </c>
      <c r="AF245" s="65" t="s">
        <v>1094</v>
      </c>
    </row>
    <row r="246" spans="1:32" ht="14.4" hidden="1" x14ac:dyDescent="0.3">
      <c r="B246" s="16" t="s">
        <v>14</v>
      </c>
      <c r="C246" s="68" t="s">
        <v>1095</v>
      </c>
      <c r="D246" s="132" t="s">
        <v>1016</v>
      </c>
      <c r="E246" s="101">
        <v>9709257840</v>
      </c>
      <c r="F246" s="136">
        <v>45854</v>
      </c>
      <c r="G246" s="42" t="s">
        <v>55</v>
      </c>
      <c r="H246" s="42">
        <v>13</v>
      </c>
      <c r="I246" s="61">
        <v>949819</v>
      </c>
      <c r="J246" s="42">
        <v>4</v>
      </c>
      <c r="K246" s="321">
        <f t="shared" si="4"/>
        <v>237454.75</v>
      </c>
      <c r="L246" s="62">
        <v>45839</v>
      </c>
      <c r="M246" s="62">
        <v>46203</v>
      </c>
      <c r="N246" s="63" t="s">
        <v>19</v>
      </c>
      <c r="O246" s="26" t="s">
        <v>9</v>
      </c>
      <c r="P246" s="42"/>
      <c r="Q246" s="64" t="s">
        <v>168</v>
      </c>
      <c r="R246" s="63" t="s">
        <v>1096</v>
      </c>
      <c r="S246" s="167" t="s">
        <v>228</v>
      </c>
      <c r="T246" s="63" t="s">
        <v>1097</v>
      </c>
      <c r="U246" s="64" t="s">
        <v>396</v>
      </c>
      <c r="V246" s="63" t="s">
        <v>454</v>
      </c>
      <c r="W246" s="64" t="s">
        <v>397</v>
      </c>
      <c r="X246" s="63" t="s">
        <v>556</v>
      </c>
      <c r="Y246" s="63"/>
      <c r="Z246" s="63"/>
      <c r="AA246" s="63"/>
      <c r="AB246" s="63"/>
      <c r="AC246" s="63" t="s">
        <v>619</v>
      </c>
      <c r="AD246" s="16" t="s">
        <v>63</v>
      </c>
      <c r="AE246" s="42">
        <v>4</v>
      </c>
      <c r="AF246" s="142" t="s">
        <v>1098</v>
      </c>
    </row>
    <row r="247" spans="1:32" ht="14.4" hidden="1" x14ac:dyDescent="0.3">
      <c r="B247" s="16" t="s">
        <v>14</v>
      </c>
      <c r="C247" s="68" t="s">
        <v>595</v>
      </c>
      <c r="D247" s="81" t="s">
        <v>1012</v>
      </c>
      <c r="E247" s="148" t="s">
        <v>1099</v>
      </c>
      <c r="F247" s="43">
        <v>45843</v>
      </c>
      <c r="G247" s="42" t="s">
        <v>55</v>
      </c>
      <c r="H247" s="42">
        <v>1</v>
      </c>
      <c r="I247" s="61">
        <v>93312</v>
      </c>
      <c r="J247" s="42">
        <v>3</v>
      </c>
      <c r="K247" s="321">
        <f t="shared" si="4"/>
        <v>31104</v>
      </c>
      <c r="L247" s="62">
        <v>45870</v>
      </c>
      <c r="M247" s="62">
        <v>46234</v>
      </c>
      <c r="N247" s="63" t="s">
        <v>520</v>
      </c>
      <c r="O247" s="26" t="s">
        <v>11</v>
      </c>
      <c r="P247" s="42"/>
      <c r="Q247" s="64" t="s">
        <v>665</v>
      </c>
      <c r="R247" s="63" t="s">
        <v>1091</v>
      </c>
      <c r="S247" s="64" t="s">
        <v>361</v>
      </c>
      <c r="T247" s="63" t="s">
        <v>1100</v>
      </c>
      <c r="U247" s="63" t="s">
        <v>1080</v>
      </c>
      <c r="V247" s="63"/>
      <c r="W247" s="63"/>
      <c r="X247" s="63"/>
      <c r="Y247" s="63"/>
      <c r="Z247" s="63"/>
      <c r="AA247" s="63"/>
      <c r="AB247" s="63"/>
      <c r="AC247" s="63" t="s">
        <v>619</v>
      </c>
      <c r="AD247" s="16" t="s">
        <v>63</v>
      </c>
      <c r="AE247" s="42">
        <v>3</v>
      </c>
      <c r="AF247" s="63" t="s">
        <v>799</v>
      </c>
    </row>
    <row r="248" spans="1:32" ht="15" hidden="1" customHeight="1" x14ac:dyDescent="0.3">
      <c r="B248" s="16" t="s">
        <v>14</v>
      </c>
      <c r="C248" s="68" t="s">
        <v>1101</v>
      </c>
      <c r="D248" s="135" t="s">
        <v>1012</v>
      </c>
      <c r="E248" s="84" t="s">
        <v>1102</v>
      </c>
      <c r="F248" s="43">
        <v>45846</v>
      </c>
      <c r="G248" s="42" t="s">
        <v>55</v>
      </c>
      <c r="H248" s="42">
        <v>7</v>
      </c>
      <c r="I248" s="61">
        <v>455000</v>
      </c>
      <c r="J248" s="42">
        <v>2</v>
      </c>
      <c r="K248" s="325">
        <f t="shared" si="4"/>
        <v>227500</v>
      </c>
      <c r="L248" s="62">
        <v>45809</v>
      </c>
      <c r="M248" s="62">
        <v>46173</v>
      </c>
      <c r="N248" s="63" t="s">
        <v>520</v>
      </c>
      <c r="O248" s="26" t="s">
        <v>11</v>
      </c>
      <c r="P248" s="42"/>
      <c r="Q248" s="64" t="s">
        <v>125</v>
      </c>
      <c r="R248" s="63" t="s">
        <v>807</v>
      </c>
      <c r="S248" s="63" t="s">
        <v>127</v>
      </c>
      <c r="T248" s="63"/>
      <c r="U248" s="63"/>
      <c r="V248" s="63"/>
      <c r="W248" s="63"/>
      <c r="X248" s="63"/>
      <c r="Y248" s="63"/>
      <c r="Z248" s="63"/>
      <c r="AA248" s="63"/>
      <c r="AB248" s="63"/>
      <c r="AC248" s="63" t="s">
        <v>619</v>
      </c>
      <c r="AD248" s="16" t="s">
        <v>63</v>
      </c>
      <c r="AE248" s="42">
        <v>2</v>
      </c>
      <c r="AF248" s="63" t="s">
        <v>667</v>
      </c>
    </row>
    <row r="249" spans="1:32" ht="15" hidden="1" customHeight="1" x14ac:dyDescent="0.3">
      <c r="B249" s="16" t="s">
        <v>14</v>
      </c>
      <c r="C249" s="135" t="s">
        <v>1103</v>
      </c>
      <c r="D249" s="135" t="s">
        <v>1088</v>
      </c>
      <c r="E249" s="84" t="s">
        <v>1104</v>
      </c>
      <c r="F249" s="43">
        <v>45855</v>
      </c>
      <c r="G249" s="42" t="s">
        <v>55</v>
      </c>
      <c r="H249" s="42">
        <v>1</v>
      </c>
      <c r="I249" s="61">
        <v>62000</v>
      </c>
      <c r="J249" s="42">
        <v>4</v>
      </c>
      <c r="K249" s="321">
        <f t="shared" si="4"/>
        <v>15500</v>
      </c>
      <c r="L249" s="62">
        <v>45870</v>
      </c>
      <c r="M249" s="62">
        <v>46234</v>
      </c>
      <c r="N249" s="63" t="s">
        <v>520</v>
      </c>
      <c r="O249" s="26" t="s">
        <v>11</v>
      </c>
      <c r="P249" s="42"/>
      <c r="Q249" s="64" t="s">
        <v>267</v>
      </c>
      <c r="R249" s="63" t="s">
        <v>623</v>
      </c>
      <c r="S249" s="64" t="s">
        <v>269</v>
      </c>
      <c r="T249" s="63" t="s">
        <v>1105</v>
      </c>
      <c r="U249" s="64" t="s">
        <v>442</v>
      </c>
      <c r="V249" s="63" t="s">
        <v>782</v>
      </c>
      <c r="W249" s="63" t="s">
        <v>444</v>
      </c>
      <c r="X249" s="63"/>
      <c r="Y249" s="63"/>
      <c r="Z249" s="63"/>
      <c r="AA249" s="63"/>
      <c r="AB249" s="63"/>
      <c r="AC249" s="63" t="s">
        <v>96</v>
      </c>
      <c r="AD249" s="42" t="s">
        <v>97</v>
      </c>
      <c r="AE249" s="42" t="s">
        <v>494</v>
      </c>
      <c r="AF249" s="63" t="s">
        <v>667</v>
      </c>
    </row>
    <row r="250" spans="1:32" ht="15" hidden="1" customHeight="1" x14ac:dyDescent="0.3">
      <c r="B250" s="16" t="s">
        <v>14</v>
      </c>
      <c r="C250" s="39" t="s">
        <v>1106</v>
      </c>
      <c r="D250" s="232" t="s">
        <v>1107</v>
      </c>
      <c r="E250" s="50">
        <v>4502348009</v>
      </c>
      <c r="F250" s="55">
        <v>45853</v>
      </c>
      <c r="G250" s="26" t="s">
        <v>55</v>
      </c>
      <c r="H250" s="26">
        <v>2</v>
      </c>
      <c r="I250" s="56">
        <f>432000/3</f>
        <v>144000</v>
      </c>
      <c r="J250" s="26">
        <v>3</v>
      </c>
      <c r="K250" s="321">
        <f t="shared" si="4"/>
        <v>48000</v>
      </c>
      <c r="L250" s="57">
        <v>45748</v>
      </c>
      <c r="M250" s="57">
        <v>46112</v>
      </c>
      <c r="N250" s="58" t="s">
        <v>520</v>
      </c>
      <c r="O250" s="26" t="s">
        <v>11</v>
      </c>
      <c r="P250" s="26"/>
      <c r="Q250" s="59" t="s">
        <v>357</v>
      </c>
      <c r="R250" s="58" t="s">
        <v>811</v>
      </c>
      <c r="S250" s="59" t="s">
        <v>901</v>
      </c>
      <c r="T250" s="58" t="s">
        <v>1091</v>
      </c>
      <c r="U250" s="59" t="s">
        <v>361</v>
      </c>
      <c r="V250" s="58" t="s">
        <v>1100</v>
      </c>
      <c r="W250" s="58"/>
      <c r="X250" s="58"/>
      <c r="Y250" s="58"/>
      <c r="Z250" s="58"/>
      <c r="AA250" s="58"/>
      <c r="AB250" s="58"/>
      <c r="AC250" s="58" t="s">
        <v>478</v>
      </c>
      <c r="AD250" s="16" t="s">
        <v>63</v>
      </c>
      <c r="AE250" s="26">
        <v>5</v>
      </c>
      <c r="AF250" s="58" t="s">
        <v>667</v>
      </c>
    </row>
    <row r="251" spans="1:32" ht="15" hidden="1" customHeight="1" x14ac:dyDescent="0.3">
      <c r="B251" s="16" t="s">
        <v>14</v>
      </c>
      <c r="C251" s="39" t="s">
        <v>1106</v>
      </c>
      <c r="D251" s="232" t="s">
        <v>1107</v>
      </c>
      <c r="E251" s="50">
        <v>4502348009</v>
      </c>
      <c r="F251" s="55">
        <v>45853</v>
      </c>
      <c r="G251" s="26" t="s">
        <v>55</v>
      </c>
      <c r="H251" s="26"/>
      <c r="I251" s="56">
        <f>432000/3</f>
        <v>144000</v>
      </c>
      <c r="J251" s="26"/>
      <c r="K251" s="321" t="e">
        <f t="shared" si="4"/>
        <v>#DIV/0!</v>
      </c>
      <c r="L251" s="57">
        <v>46113</v>
      </c>
      <c r="M251" s="57">
        <v>46477</v>
      </c>
      <c r="N251" s="58" t="s">
        <v>520</v>
      </c>
      <c r="O251" s="26" t="s">
        <v>11</v>
      </c>
      <c r="P251" s="26"/>
      <c r="Q251" s="58" t="s">
        <v>1080</v>
      </c>
      <c r="R251" s="58"/>
      <c r="S251" s="58" t="s">
        <v>1108</v>
      </c>
      <c r="T251" s="58"/>
      <c r="U251" s="58" t="s">
        <v>1109</v>
      </c>
      <c r="V251" s="58"/>
      <c r="W251" s="58"/>
      <c r="X251" s="58"/>
      <c r="Y251" s="58"/>
      <c r="Z251" s="58"/>
      <c r="AA251" s="58"/>
      <c r="AB251" s="58"/>
      <c r="AC251" s="58" t="s">
        <v>478</v>
      </c>
      <c r="AD251" s="16" t="s">
        <v>63</v>
      </c>
      <c r="AE251" s="26">
        <v>5</v>
      </c>
      <c r="AF251" s="58" t="s">
        <v>667</v>
      </c>
    </row>
    <row r="252" spans="1:32" ht="15" hidden="1" customHeight="1" x14ac:dyDescent="0.3">
      <c r="B252" s="16" t="s">
        <v>14</v>
      </c>
      <c r="C252" s="68" t="s">
        <v>1106</v>
      </c>
      <c r="D252" s="132" t="s">
        <v>1107</v>
      </c>
      <c r="E252" s="84">
        <v>4502348009</v>
      </c>
      <c r="F252" s="43">
        <v>45853</v>
      </c>
      <c r="G252" s="26" t="s">
        <v>55</v>
      </c>
      <c r="H252" s="42"/>
      <c r="I252" s="72">
        <f>432000/3</f>
        <v>144000</v>
      </c>
      <c r="J252" s="42"/>
      <c r="K252" s="321" t="e">
        <f t="shared" si="4"/>
        <v>#DIV/0!</v>
      </c>
      <c r="L252" s="62">
        <v>46478</v>
      </c>
      <c r="M252" s="62">
        <v>46843</v>
      </c>
      <c r="N252" s="58" t="s">
        <v>520</v>
      </c>
      <c r="O252" s="26" t="s">
        <v>11</v>
      </c>
      <c r="P252" s="42"/>
      <c r="Q252" s="63" t="s">
        <v>1110</v>
      </c>
      <c r="R252" s="63"/>
      <c r="S252" s="63" t="s">
        <v>1111</v>
      </c>
      <c r="T252" s="63"/>
      <c r="U252" s="63" t="s">
        <v>1112</v>
      </c>
      <c r="V252" s="63"/>
      <c r="W252" s="63"/>
      <c r="X252" s="63"/>
      <c r="Y252" s="63"/>
      <c r="Z252" s="63"/>
      <c r="AA252" s="63"/>
      <c r="AB252" s="63"/>
      <c r="AC252" s="58" t="s">
        <v>478</v>
      </c>
      <c r="AD252" s="16" t="s">
        <v>63</v>
      </c>
      <c r="AE252" s="26">
        <v>5</v>
      </c>
      <c r="AF252" s="58" t="s">
        <v>667</v>
      </c>
    </row>
    <row r="253" spans="1:32" ht="15" hidden="1" customHeight="1" x14ac:dyDescent="0.3">
      <c r="B253" s="16" t="s">
        <v>14</v>
      </c>
      <c r="C253" s="68" t="s">
        <v>1113</v>
      </c>
      <c r="D253" s="132" t="s">
        <v>1114</v>
      </c>
      <c r="E253" s="101">
        <v>700005514</v>
      </c>
      <c r="F253" s="43">
        <v>45800</v>
      </c>
      <c r="G253" s="42" t="s">
        <v>55</v>
      </c>
      <c r="H253" s="42">
        <v>2</v>
      </c>
      <c r="I253" s="61">
        <v>175970</v>
      </c>
      <c r="J253" s="42">
        <v>3</v>
      </c>
      <c r="K253" s="321">
        <f t="shared" si="4"/>
        <v>58656.666666666664</v>
      </c>
      <c r="L253" s="62">
        <v>45748</v>
      </c>
      <c r="M253" s="62">
        <v>46112</v>
      </c>
      <c r="N253" s="63" t="s">
        <v>19</v>
      </c>
      <c r="O253" s="26" t="s">
        <v>3</v>
      </c>
      <c r="P253" s="42"/>
      <c r="Q253" s="64" t="s">
        <v>357</v>
      </c>
      <c r="R253" s="63" t="s">
        <v>451</v>
      </c>
      <c r="S253" s="64" t="s">
        <v>665</v>
      </c>
      <c r="T253" s="63" t="s">
        <v>848</v>
      </c>
      <c r="U253" s="64" t="s">
        <v>361</v>
      </c>
      <c r="V253" s="63" t="s">
        <v>1115</v>
      </c>
      <c r="W253" s="63"/>
      <c r="X253" s="63"/>
      <c r="Y253" s="63"/>
      <c r="Z253" s="63"/>
      <c r="AA253" s="63"/>
      <c r="AB253" s="63"/>
      <c r="AC253" s="63" t="s">
        <v>183</v>
      </c>
      <c r="AD253" s="42" t="s">
        <v>97</v>
      </c>
      <c r="AE253" s="42">
        <v>1</v>
      </c>
      <c r="AF253" s="65" t="s">
        <v>1116</v>
      </c>
    </row>
    <row r="254" spans="1:32" ht="15" hidden="1" customHeight="1" x14ac:dyDescent="0.3">
      <c r="A254" s="58"/>
      <c r="B254" s="16" t="s">
        <v>14</v>
      </c>
      <c r="C254" s="39" t="s">
        <v>1117</v>
      </c>
      <c r="D254" s="232" t="s">
        <v>1118</v>
      </c>
      <c r="E254" s="50">
        <v>8200197699</v>
      </c>
      <c r="F254" s="55">
        <v>45855</v>
      </c>
      <c r="G254" s="26" t="s">
        <v>55</v>
      </c>
      <c r="H254" s="26">
        <v>1</v>
      </c>
      <c r="I254" s="56">
        <v>91060</v>
      </c>
      <c r="J254" s="26">
        <v>2</v>
      </c>
      <c r="K254" s="321">
        <f t="shared" si="4"/>
        <v>45530</v>
      </c>
      <c r="L254" s="57">
        <v>45839</v>
      </c>
      <c r="M254" s="57">
        <v>46203</v>
      </c>
      <c r="N254" s="58" t="s">
        <v>520</v>
      </c>
      <c r="O254" s="26" t="s">
        <v>11</v>
      </c>
      <c r="P254" s="26"/>
      <c r="Q254" s="59" t="s">
        <v>483</v>
      </c>
      <c r="R254" s="58" t="s">
        <v>1009</v>
      </c>
      <c r="S254" s="58" t="s">
        <v>607</v>
      </c>
      <c r="T254" s="58"/>
      <c r="U254" s="58"/>
      <c r="V254" s="58"/>
      <c r="W254" s="58"/>
      <c r="X254" s="58"/>
      <c r="Y254" s="58"/>
      <c r="Z254" s="58"/>
      <c r="AA254" s="58"/>
      <c r="AB254" s="58"/>
      <c r="AC254" s="58" t="s">
        <v>128</v>
      </c>
      <c r="AD254" s="26" t="s">
        <v>129</v>
      </c>
      <c r="AE254" s="26">
        <v>2</v>
      </c>
      <c r="AF254" s="58" t="s">
        <v>667</v>
      </c>
    </row>
    <row r="255" spans="1:32" ht="15" hidden="1" customHeight="1" x14ac:dyDescent="0.3">
      <c r="A255" s="58"/>
      <c r="B255" s="16" t="s">
        <v>14</v>
      </c>
      <c r="C255" s="68" t="s">
        <v>1117</v>
      </c>
      <c r="D255" s="132" t="s">
        <v>1118</v>
      </c>
      <c r="E255" s="84">
        <v>8200197699</v>
      </c>
      <c r="F255" s="43">
        <v>45855</v>
      </c>
      <c r="G255" s="42" t="s">
        <v>55</v>
      </c>
      <c r="H255" s="42"/>
      <c r="I255" s="61">
        <v>91060</v>
      </c>
      <c r="J255" s="42">
        <v>2</v>
      </c>
      <c r="K255" s="321">
        <f t="shared" si="4"/>
        <v>45530</v>
      </c>
      <c r="L255" s="62">
        <v>46204</v>
      </c>
      <c r="M255" s="62">
        <v>46568</v>
      </c>
      <c r="N255" s="63" t="s">
        <v>520</v>
      </c>
      <c r="O255" s="26" t="s">
        <v>11</v>
      </c>
      <c r="P255" s="42"/>
      <c r="Q255" s="63" t="s">
        <v>608</v>
      </c>
      <c r="R255" s="63"/>
      <c r="S255" s="63" t="s">
        <v>1119</v>
      </c>
      <c r="T255" s="63"/>
      <c r="U255" s="63"/>
      <c r="V255" s="63"/>
      <c r="W255" s="63"/>
      <c r="X255" s="63"/>
      <c r="Y255" s="63"/>
      <c r="Z255" s="63"/>
      <c r="AA255" s="63"/>
      <c r="AB255" s="63"/>
      <c r="AC255" s="58" t="s">
        <v>128</v>
      </c>
      <c r="AD255" s="26" t="s">
        <v>129</v>
      </c>
      <c r="AE255" s="26">
        <v>2</v>
      </c>
      <c r="AF255" s="58" t="s">
        <v>667</v>
      </c>
    </row>
    <row r="256" spans="1:32" ht="15" hidden="1" customHeight="1" x14ac:dyDescent="0.3">
      <c r="B256" s="16" t="s">
        <v>14</v>
      </c>
      <c r="C256" s="58" t="s">
        <v>1120</v>
      </c>
      <c r="D256" s="232" t="s">
        <v>447</v>
      </c>
      <c r="E256" s="50">
        <v>5891136624</v>
      </c>
      <c r="F256" s="55">
        <v>45856</v>
      </c>
      <c r="G256" s="26" t="s">
        <v>55</v>
      </c>
      <c r="H256" s="26">
        <v>3</v>
      </c>
      <c r="I256" s="56">
        <v>307691.73</v>
      </c>
      <c r="J256" s="26">
        <v>3</v>
      </c>
      <c r="K256" s="321">
        <f t="shared" si="4"/>
        <v>102563.90999999999</v>
      </c>
      <c r="L256" s="57">
        <v>45870</v>
      </c>
      <c r="M256" s="57">
        <v>46234</v>
      </c>
      <c r="N256" s="58" t="s">
        <v>520</v>
      </c>
      <c r="O256" s="26" t="s">
        <v>11</v>
      </c>
      <c r="P256" s="26"/>
      <c r="Q256" s="59" t="s">
        <v>665</v>
      </c>
      <c r="R256" s="58" t="s">
        <v>229</v>
      </c>
      <c r="S256" s="59" t="s">
        <v>361</v>
      </c>
      <c r="T256" s="58" t="s">
        <v>495</v>
      </c>
      <c r="U256" s="58" t="s">
        <v>1080</v>
      </c>
      <c r="V256" s="58"/>
      <c r="W256" s="58"/>
      <c r="X256" s="58"/>
      <c r="Y256" s="58"/>
      <c r="Z256" s="58"/>
      <c r="AA256" s="58"/>
      <c r="AB256" s="58"/>
      <c r="AC256" s="58" t="s">
        <v>96</v>
      </c>
      <c r="AD256" s="26" t="s">
        <v>97</v>
      </c>
      <c r="AE256" s="26" t="s">
        <v>494</v>
      </c>
      <c r="AF256" s="58" t="s">
        <v>1121</v>
      </c>
    </row>
    <row r="257" spans="2:32" ht="15" hidden="1" customHeight="1" x14ac:dyDescent="0.3">
      <c r="B257" s="16" t="s">
        <v>14</v>
      </c>
      <c r="C257" s="94" t="s">
        <v>845</v>
      </c>
      <c r="D257" s="247" t="s">
        <v>846</v>
      </c>
      <c r="E257" s="149">
        <v>901971263</v>
      </c>
      <c r="F257" s="60">
        <v>45856</v>
      </c>
      <c r="G257" s="104" t="s">
        <v>55</v>
      </c>
      <c r="H257" s="42">
        <v>2</v>
      </c>
      <c r="I257" s="61">
        <v>196000</v>
      </c>
      <c r="J257" s="42">
        <v>3</v>
      </c>
      <c r="K257" s="321">
        <f t="shared" si="4"/>
        <v>65333.333333333336</v>
      </c>
      <c r="L257" s="62">
        <v>45848</v>
      </c>
      <c r="M257" s="62">
        <v>46212</v>
      </c>
      <c r="N257" s="63" t="s">
        <v>19</v>
      </c>
      <c r="O257" s="42" t="s">
        <v>11</v>
      </c>
      <c r="P257" s="42"/>
      <c r="Q257" s="64" t="s">
        <v>729</v>
      </c>
      <c r="R257" s="63" t="s">
        <v>777</v>
      </c>
      <c r="S257" s="64" t="s">
        <v>731</v>
      </c>
      <c r="T257" s="63" t="s">
        <v>1122</v>
      </c>
      <c r="U257" s="64" t="s">
        <v>1092</v>
      </c>
      <c r="V257" s="63" t="s">
        <v>828</v>
      </c>
      <c r="W257" s="63"/>
      <c r="X257" s="63"/>
      <c r="Y257" s="63"/>
      <c r="Z257" s="63"/>
      <c r="AA257" s="63"/>
      <c r="AB257" s="63"/>
      <c r="AC257" s="63" t="s">
        <v>834</v>
      </c>
      <c r="AD257" s="16" t="s">
        <v>207</v>
      </c>
      <c r="AE257" s="42">
        <v>6</v>
      </c>
      <c r="AF257" s="36" t="s">
        <v>1123</v>
      </c>
    </row>
    <row r="258" spans="2:32" ht="15" hidden="1" customHeight="1" x14ac:dyDescent="0.3">
      <c r="B258" s="16" t="s">
        <v>14</v>
      </c>
      <c r="C258" s="162" t="s">
        <v>614</v>
      </c>
      <c r="D258" s="162" t="s">
        <v>1016</v>
      </c>
      <c r="E258" s="172" t="s">
        <v>1124</v>
      </c>
      <c r="F258" s="60">
        <v>45849</v>
      </c>
      <c r="G258" s="42" t="s">
        <v>55</v>
      </c>
      <c r="H258" s="42">
        <v>1</v>
      </c>
      <c r="I258" s="61">
        <v>76440</v>
      </c>
      <c r="J258" s="42">
        <v>3</v>
      </c>
      <c r="K258" s="321"/>
      <c r="L258" s="62">
        <v>45809</v>
      </c>
      <c r="M258" s="62">
        <v>46173</v>
      </c>
      <c r="N258" s="63" t="s">
        <v>520</v>
      </c>
      <c r="O258" s="42" t="s">
        <v>11</v>
      </c>
      <c r="P258" s="42"/>
      <c r="Q258" s="64" t="s">
        <v>1125</v>
      </c>
      <c r="R258" s="63" t="s">
        <v>1126</v>
      </c>
      <c r="S258" s="64" t="s">
        <v>83</v>
      </c>
      <c r="T258" s="63" t="s">
        <v>270</v>
      </c>
      <c r="U258" s="63" t="s">
        <v>404</v>
      </c>
      <c r="V258" s="63"/>
      <c r="W258" s="63"/>
      <c r="X258" s="63"/>
      <c r="Y258" s="63"/>
      <c r="Z258" s="63"/>
      <c r="AA258" s="63"/>
      <c r="AB258" s="63"/>
      <c r="AC258" s="63" t="s">
        <v>619</v>
      </c>
      <c r="AD258" s="16" t="s">
        <v>63</v>
      </c>
      <c r="AE258" s="42">
        <v>3</v>
      </c>
      <c r="AF258" s="63" t="s">
        <v>1127</v>
      </c>
    </row>
    <row r="259" spans="2:32" ht="15" hidden="1" customHeight="1" x14ac:dyDescent="0.3">
      <c r="B259" s="16" t="s">
        <v>14</v>
      </c>
      <c r="C259" s="81" t="s">
        <v>1128</v>
      </c>
      <c r="D259" s="81" t="s">
        <v>1129</v>
      </c>
      <c r="E259" s="173">
        <v>4503060756</v>
      </c>
      <c r="F259" s="43">
        <v>45853</v>
      </c>
      <c r="G259" s="42" t="s">
        <v>55</v>
      </c>
      <c r="H259" s="42">
        <v>4</v>
      </c>
      <c r="I259" s="61">
        <v>271864</v>
      </c>
      <c r="J259" s="42">
        <v>4</v>
      </c>
      <c r="K259" s="325">
        <f t="shared" si="4"/>
        <v>67966</v>
      </c>
      <c r="L259" s="62">
        <v>45809</v>
      </c>
      <c r="M259" s="62">
        <v>46173</v>
      </c>
      <c r="N259" s="63" t="s">
        <v>520</v>
      </c>
      <c r="O259" s="42" t="s">
        <v>11</v>
      </c>
      <c r="P259" s="42"/>
      <c r="Q259" s="64" t="s">
        <v>1130</v>
      </c>
      <c r="R259" s="63" t="s">
        <v>611</v>
      </c>
      <c r="S259" s="64" t="s">
        <v>1131</v>
      </c>
      <c r="T259" s="63" t="s">
        <v>1132</v>
      </c>
      <c r="U259" s="64" t="s">
        <v>1133</v>
      </c>
      <c r="V259" s="63" t="s">
        <v>403</v>
      </c>
      <c r="W259" s="63" t="s">
        <v>1134</v>
      </c>
      <c r="X259" s="63"/>
      <c r="Y259" s="63"/>
      <c r="Z259" s="63"/>
      <c r="AA259" s="63"/>
      <c r="AB259" s="63"/>
      <c r="AC259" s="63" t="s">
        <v>281</v>
      </c>
      <c r="AD259" s="42" t="s">
        <v>97</v>
      </c>
      <c r="AE259" s="42" t="s">
        <v>494</v>
      </c>
      <c r="AF259" s="63" t="s">
        <v>1135</v>
      </c>
    </row>
    <row r="260" spans="2:32" ht="15" hidden="1" customHeight="1" x14ac:dyDescent="0.3">
      <c r="B260" s="16" t="s">
        <v>14</v>
      </c>
      <c r="C260" s="68" t="s">
        <v>975</v>
      </c>
      <c r="D260" s="132" t="s">
        <v>1136</v>
      </c>
      <c r="E260" s="84">
        <v>6100009693</v>
      </c>
      <c r="F260" s="43">
        <v>45849</v>
      </c>
      <c r="G260" s="42" t="s">
        <v>55</v>
      </c>
      <c r="H260" s="42">
        <v>2</v>
      </c>
      <c r="I260" s="61">
        <v>240000</v>
      </c>
      <c r="J260" s="42">
        <v>3</v>
      </c>
      <c r="K260" s="321">
        <f t="shared" si="4"/>
        <v>80000</v>
      </c>
      <c r="L260" s="62">
        <v>45870</v>
      </c>
      <c r="M260" s="62">
        <v>46234</v>
      </c>
      <c r="N260" s="63" t="s">
        <v>520</v>
      </c>
      <c r="O260" s="42" t="s">
        <v>11</v>
      </c>
      <c r="P260" s="42"/>
      <c r="Q260" s="64" t="s">
        <v>665</v>
      </c>
      <c r="R260" s="63" t="s">
        <v>464</v>
      </c>
      <c r="S260" s="64" t="s">
        <v>361</v>
      </c>
      <c r="T260" s="63" t="s">
        <v>750</v>
      </c>
      <c r="U260" s="63" t="s">
        <v>1080</v>
      </c>
      <c r="V260" s="63"/>
      <c r="W260" s="63"/>
      <c r="X260" s="63"/>
      <c r="Y260" s="63"/>
      <c r="Z260" s="63"/>
      <c r="AA260" s="63"/>
      <c r="AB260" s="63"/>
      <c r="AC260" s="63" t="s">
        <v>551</v>
      </c>
      <c r="AD260" s="16" t="s">
        <v>207</v>
      </c>
      <c r="AE260" s="42">
        <v>3</v>
      </c>
      <c r="AF260" s="142" t="s">
        <v>981</v>
      </c>
    </row>
    <row r="261" spans="2:32" ht="15" hidden="1" customHeight="1" x14ac:dyDescent="0.3">
      <c r="B261" s="16" t="s">
        <v>14</v>
      </c>
      <c r="C261" s="68" t="s">
        <v>195</v>
      </c>
      <c r="D261" s="81" t="s">
        <v>1137</v>
      </c>
      <c r="E261" s="174" t="s">
        <v>1138</v>
      </c>
      <c r="F261" s="43">
        <v>45854</v>
      </c>
      <c r="G261" s="42" t="s">
        <v>55</v>
      </c>
      <c r="H261" s="42">
        <v>9</v>
      </c>
      <c r="I261" s="61">
        <f>58000*9</f>
        <v>522000</v>
      </c>
      <c r="J261" s="42">
        <v>4</v>
      </c>
      <c r="K261" s="321">
        <f t="shared" si="4"/>
        <v>130500</v>
      </c>
      <c r="L261" s="62">
        <v>45762</v>
      </c>
      <c r="M261" s="62">
        <v>46156</v>
      </c>
      <c r="N261" s="63" t="s">
        <v>19</v>
      </c>
      <c r="O261" s="42" t="s">
        <v>6</v>
      </c>
      <c r="P261" s="42"/>
      <c r="Q261" s="64" t="s">
        <v>1139</v>
      </c>
      <c r="R261" s="63" t="s">
        <v>1140</v>
      </c>
      <c r="S261" s="64" t="s">
        <v>1082</v>
      </c>
      <c r="T261" s="63" t="s">
        <v>1054</v>
      </c>
      <c r="U261" s="64" t="s">
        <v>1083</v>
      </c>
      <c r="V261" s="63" t="s">
        <v>1122</v>
      </c>
      <c r="W261" s="64" t="s">
        <v>1084</v>
      </c>
      <c r="X261" s="63" t="s">
        <v>1141</v>
      </c>
      <c r="Y261" s="63"/>
      <c r="Z261" s="63"/>
      <c r="AA261" s="63"/>
      <c r="AB261" s="63"/>
      <c r="AC261" s="63" t="s">
        <v>478</v>
      </c>
      <c r="AD261" s="16" t="s">
        <v>63</v>
      </c>
      <c r="AE261" s="42">
        <v>3</v>
      </c>
      <c r="AF261" s="63" t="s">
        <v>657</v>
      </c>
    </row>
    <row r="262" spans="2:32" ht="15" hidden="1" customHeight="1" x14ac:dyDescent="0.3">
      <c r="B262" s="16" t="s">
        <v>14</v>
      </c>
      <c r="C262" s="39" t="s">
        <v>195</v>
      </c>
      <c r="D262" s="233" t="s">
        <v>388</v>
      </c>
      <c r="E262" s="50" t="s">
        <v>1142</v>
      </c>
      <c r="F262" s="55">
        <v>45862</v>
      </c>
      <c r="G262" s="26" t="s">
        <v>55</v>
      </c>
      <c r="H262" s="26">
        <v>4</v>
      </c>
      <c r="I262" s="56">
        <f>439992/2</f>
        <v>219996</v>
      </c>
      <c r="J262" s="26">
        <v>3</v>
      </c>
      <c r="K262" s="321">
        <f t="shared" si="4"/>
        <v>73332</v>
      </c>
      <c r="L262" s="57">
        <v>45862</v>
      </c>
      <c r="M262" s="57">
        <v>46226</v>
      </c>
      <c r="N262" s="58" t="s">
        <v>520</v>
      </c>
      <c r="O262" s="26" t="s">
        <v>11</v>
      </c>
      <c r="P262" s="26"/>
      <c r="Q262" s="59" t="s">
        <v>1143</v>
      </c>
      <c r="R262" s="58" t="s">
        <v>1144</v>
      </c>
      <c r="S262" s="59" t="s">
        <v>1145</v>
      </c>
      <c r="T262" s="58" t="s">
        <v>1146</v>
      </c>
      <c r="U262" s="58" t="s">
        <v>1147</v>
      </c>
      <c r="V262" s="58"/>
      <c r="W262" s="58"/>
      <c r="X262" s="58"/>
      <c r="Y262" s="58"/>
      <c r="Z262" s="58"/>
      <c r="AA262" s="58"/>
      <c r="AB262" s="58"/>
      <c r="AC262" s="58" t="s">
        <v>478</v>
      </c>
      <c r="AD262" s="16" t="s">
        <v>63</v>
      </c>
      <c r="AE262" s="26">
        <v>3</v>
      </c>
      <c r="AF262" s="58" t="s">
        <v>657</v>
      </c>
    </row>
    <row r="263" spans="2:32" ht="15" hidden="1" customHeight="1" x14ac:dyDescent="0.3">
      <c r="B263" s="16" t="s">
        <v>14</v>
      </c>
      <c r="C263" s="68" t="s">
        <v>195</v>
      </c>
      <c r="D263" s="81" t="s">
        <v>388</v>
      </c>
      <c r="E263" s="84" t="s">
        <v>1142</v>
      </c>
      <c r="F263" s="43">
        <v>45862</v>
      </c>
      <c r="G263" s="42"/>
      <c r="H263" s="42"/>
      <c r="I263" s="61">
        <f>439992/2</f>
        <v>219996</v>
      </c>
      <c r="J263" s="42">
        <v>3</v>
      </c>
      <c r="K263" s="321">
        <f t="shared" si="4"/>
        <v>73332</v>
      </c>
      <c r="L263" s="62">
        <v>46227</v>
      </c>
      <c r="M263" s="62">
        <v>46591</v>
      </c>
      <c r="N263" s="63" t="s">
        <v>520</v>
      </c>
      <c r="O263" s="42" t="s">
        <v>11</v>
      </c>
      <c r="P263" s="42"/>
      <c r="Q263" s="63" t="s">
        <v>1148</v>
      </c>
      <c r="R263" s="63"/>
      <c r="S263" s="63" t="s">
        <v>1149</v>
      </c>
      <c r="T263" s="63"/>
      <c r="U263" s="63" t="s">
        <v>1150</v>
      </c>
      <c r="V263" s="63"/>
      <c r="W263" s="63"/>
      <c r="X263" s="63"/>
      <c r="Y263" s="63"/>
      <c r="Z263" s="63"/>
      <c r="AA263" s="63"/>
      <c r="AB263" s="63"/>
      <c r="AC263" s="58" t="s">
        <v>478</v>
      </c>
      <c r="AD263" s="16" t="s">
        <v>63</v>
      </c>
      <c r="AE263" s="26">
        <v>3</v>
      </c>
      <c r="AF263" s="58" t="s">
        <v>657</v>
      </c>
    </row>
    <row r="264" spans="2:32" ht="15" hidden="1" customHeight="1" x14ac:dyDescent="0.3">
      <c r="B264" s="16" t="s">
        <v>14</v>
      </c>
      <c r="C264" s="68" t="s">
        <v>1151</v>
      </c>
      <c r="D264" s="81" t="s">
        <v>151</v>
      </c>
      <c r="E264" s="84">
        <v>4512862106</v>
      </c>
      <c r="F264" s="43">
        <v>45852</v>
      </c>
      <c r="G264" s="42" t="s">
        <v>55</v>
      </c>
      <c r="H264" s="42">
        <v>10</v>
      </c>
      <c r="I264" s="61">
        <v>460000</v>
      </c>
      <c r="J264" s="42">
        <v>3</v>
      </c>
      <c r="K264" s="325">
        <f t="shared" si="4"/>
        <v>153333.33333333334</v>
      </c>
      <c r="L264" s="62">
        <v>45809</v>
      </c>
      <c r="M264" s="62">
        <v>46173</v>
      </c>
      <c r="N264" s="63" t="s">
        <v>520</v>
      </c>
      <c r="O264" s="42" t="s">
        <v>11</v>
      </c>
      <c r="P264" s="42"/>
      <c r="Q264" s="64" t="s">
        <v>81</v>
      </c>
      <c r="R264" s="63" t="s">
        <v>898</v>
      </c>
      <c r="S264" s="64" t="s">
        <v>83</v>
      </c>
      <c r="T264" s="63" t="s">
        <v>320</v>
      </c>
      <c r="U264" s="63" t="s">
        <v>404</v>
      </c>
      <c r="V264" s="63"/>
      <c r="W264" s="63"/>
      <c r="X264" s="63"/>
      <c r="Y264" s="63"/>
      <c r="Z264" s="63"/>
      <c r="AA264" s="63"/>
      <c r="AB264" s="63"/>
      <c r="AC264" s="63" t="s">
        <v>1152</v>
      </c>
      <c r="AD264" s="16" t="s">
        <v>63</v>
      </c>
      <c r="AE264" s="42">
        <v>3</v>
      </c>
      <c r="AF264" s="63" t="s">
        <v>667</v>
      </c>
    </row>
    <row r="265" spans="2:32" ht="15" hidden="1" customHeight="1" x14ac:dyDescent="0.3">
      <c r="B265" s="16" t="s">
        <v>14</v>
      </c>
      <c r="C265" s="68" t="s">
        <v>975</v>
      </c>
      <c r="D265" s="132" t="s">
        <v>1153</v>
      </c>
      <c r="E265" s="84">
        <v>6100009808</v>
      </c>
      <c r="F265" s="43">
        <v>45855</v>
      </c>
      <c r="G265" s="42" t="s">
        <v>55</v>
      </c>
      <c r="H265" s="42">
        <v>2</v>
      </c>
      <c r="I265" s="61">
        <v>240000</v>
      </c>
      <c r="J265" s="42">
        <v>3</v>
      </c>
      <c r="K265" s="321">
        <f t="shared" ref="K265:K328" si="5">I265/J265</f>
        <v>80000</v>
      </c>
      <c r="L265" s="62">
        <v>45870</v>
      </c>
      <c r="M265" s="62">
        <v>46234</v>
      </c>
      <c r="N265" s="63" t="s">
        <v>520</v>
      </c>
      <c r="O265" s="42" t="s">
        <v>11</v>
      </c>
      <c r="P265" s="42"/>
      <c r="Q265" s="64" t="s">
        <v>1154</v>
      </c>
      <c r="R265" s="63" t="s">
        <v>169</v>
      </c>
      <c r="S265" s="64" t="s">
        <v>361</v>
      </c>
      <c r="T265" s="63" t="s">
        <v>639</v>
      </c>
      <c r="U265" s="63" t="s">
        <v>1080</v>
      </c>
      <c r="V265" s="63"/>
      <c r="W265" s="63"/>
      <c r="X265" s="63"/>
      <c r="Y265" s="63"/>
      <c r="Z265" s="63"/>
      <c r="AA265" s="63"/>
      <c r="AB265" s="63"/>
      <c r="AC265" s="63" t="s">
        <v>551</v>
      </c>
      <c r="AD265" s="16" t="s">
        <v>207</v>
      </c>
      <c r="AE265" s="42">
        <v>3</v>
      </c>
      <c r="AF265" s="63" t="s">
        <v>26</v>
      </c>
    </row>
    <row r="266" spans="2:32" ht="15" hidden="1" customHeight="1" x14ac:dyDescent="0.3">
      <c r="B266" s="16" t="s">
        <v>14</v>
      </c>
      <c r="C266" s="68" t="s">
        <v>1155</v>
      </c>
      <c r="D266" s="132" t="s">
        <v>151</v>
      </c>
      <c r="E266" s="84">
        <v>4300495205</v>
      </c>
      <c r="F266" s="43">
        <v>45848</v>
      </c>
      <c r="G266" s="42" t="s">
        <v>55</v>
      </c>
      <c r="H266" s="42">
        <v>4</v>
      </c>
      <c r="I266" s="61">
        <v>295998</v>
      </c>
      <c r="J266" s="42">
        <v>3</v>
      </c>
      <c r="K266" s="321">
        <f t="shared" si="5"/>
        <v>98666</v>
      </c>
      <c r="L266" s="62">
        <v>45778</v>
      </c>
      <c r="M266" s="62">
        <v>46142</v>
      </c>
      <c r="N266" s="63" t="s">
        <v>19</v>
      </c>
      <c r="O266" s="42" t="s">
        <v>5</v>
      </c>
      <c r="P266" s="42"/>
      <c r="Q266" s="64" t="s">
        <v>343</v>
      </c>
      <c r="R266" s="63" t="s">
        <v>753</v>
      </c>
      <c r="S266" s="64" t="s">
        <v>345</v>
      </c>
      <c r="T266" s="63" t="s">
        <v>1001</v>
      </c>
      <c r="U266" s="64" t="s">
        <v>347</v>
      </c>
      <c r="V266" s="63" t="s">
        <v>1044</v>
      </c>
      <c r="W266" s="63"/>
      <c r="X266" s="63"/>
      <c r="Y266" s="63"/>
      <c r="Z266" s="63"/>
      <c r="AA266" s="63"/>
      <c r="AB266" s="63"/>
      <c r="AC266" s="63" t="s">
        <v>507</v>
      </c>
      <c r="AD266" s="16" t="s">
        <v>63</v>
      </c>
      <c r="AE266" s="42">
        <v>3</v>
      </c>
      <c r="AF266" s="63" t="s">
        <v>667</v>
      </c>
    </row>
    <row r="267" spans="2:32" ht="15" hidden="1" customHeight="1" x14ac:dyDescent="0.3">
      <c r="B267" s="16" t="s">
        <v>14</v>
      </c>
      <c r="C267" s="63" t="s">
        <v>1156</v>
      </c>
      <c r="D267" s="135" t="s">
        <v>151</v>
      </c>
      <c r="E267" s="175" t="s">
        <v>1157</v>
      </c>
      <c r="F267" s="43">
        <v>45866</v>
      </c>
      <c r="G267" s="42" t="s">
        <v>55</v>
      </c>
      <c r="H267" s="42">
        <v>3</v>
      </c>
      <c r="I267" s="61">
        <v>75000</v>
      </c>
      <c r="J267" s="42">
        <v>3</v>
      </c>
      <c r="K267" s="321">
        <f t="shared" si="5"/>
        <v>25000</v>
      </c>
      <c r="L267" s="62">
        <v>45870</v>
      </c>
      <c r="M267" s="62">
        <v>46234</v>
      </c>
      <c r="N267" s="63" t="s">
        <v>520</v>
      </c>
      <c r="O267" s="42" t="s">
        <v>11</v>
      </c>
      <c r="P267" s="42"/>
      <c r="Q267" s="64" t="s">
        <v>665</v>
      </c>
      <c r="R267" s="63" t="s">
        <v>360</v>
      </c>
      <c r="S267" s="64" t="s">
        <v>361</v>
      </c>
      <c r="T267" s="63" t="s">
        <v>874</v>
      </c>
      <c r="U267" s="63" t="s">
        <v>1080</v>
      </c>
      <c r="V267" s="63"/>
      <c r="W267" s="63"/>
      <c r="X267" s="63"/>
      <c r="Y267" s="63"/>
      <c r="Z267" s="63"/>
      <c r="AA267" s="63"/>
      <c r="AB267" s="63"/>
      <c r="AC267" s="63" t="s">
        <v>478</v>
      </c>
      <c r="AD267" s="16" t="s">
        <v>63</v>
      </c>
      <c r="AE267" s="42">
        <v>3</v>
      </c>
      <c r="AF267" s="63" t="s">
        <v>667</v>
      </c>
    </row>
    <row r="268" spans="2:32" ht="15" hidden="1" customHeight="1" x14ac:dyDescent="0.3">
      <c r="B268" s="16" t="s">
        <v>14</v>
      </c>
      <c r="C268" s="292" t="s">
        <v>150</v>
      </c>
      <c r="D268" s="135" t="s">
        <v>447</v>
      </c>
      <c r="E268" s="84">
        <v>4200342890</v>
      </c>
      <c r="F268" s="43">
        <v>45817</v>
      </c>
      <c r="G268" s="42" t="s">
        <v>55</v>
      </c>
      <c r="H268" s="42">
        <v>3</v>
      </c>
      <c r="I268" s="61">
        <v>180000</v>
      </c>
      <c r="J268" s="42">
        <v>2</v>
      </c>
      <c r="K268" s="321">
        <f t="shared" si="5"/>
        <v>90000</v>
      </c>
      <c r="L268" s="62">
        <v>45839</v>
      </c>
      <c r="M268" s="62">
        <v>46203</v>
      </c>
      <c r="N268" s="63" t="s">
        <v>520</v>
      </c>
      <c r="O268" s="42" t="s">
        <v>11</v>
      </c>
      <c r="P268" s="42"/>
      <c r="Q268" s="64" t="s">
        <v>483</v>
      </c>
      <c r="R268" s="63" t="s">
        <v>588</v>
      </c>
      <c r="S268" s="63" t="s">
        <v>607</v>
      </c>
      <c r="T268" s="63"/>
      <c r="U268" s="63"/>
      <c r="V268" s="63"/>
      <c r="W268" s="63"/>
      <c r="X268" s="63"/>
      <c r="Y268" s="63"/>
      <c r="Z268" s="63"/>
      <c r="AA268" s="63"/>
      <c r="AB268" s="63"/>
      <c r="AC268" s="63" t="s">
        <v>96</v>
      </c>
      <c r="AD268" s="42" t="s">
        <v>97</v>
      </c>
      <c r="AE268" s="42" t="s">
        <v>494</v>
      </c>
      <c r="AF268" s="63" t="s">
        <v>667</v>
      </c>
    </row>
    <row r="269" spans="2:32" ht="15" hidden="1" customHeight="1" x14ac:dyDescent="0.3">
      <c r="B269" s="16" t="s">
        <v>14</v>
      </c>
      <c r="C269" s="135" t="s">
        <v>1158</v>
      </c>
      <c r="D269" s="135" t="s">
        <v>1159</v>
      </c>
      <c r="E269" s="84">
        <v>1600034060</v>
      </c>
      <c r="F269" s="136">
        <v>45867</v>
      </c>
      <c r="G269" s="42" t="s">
        <v>55</v>
      </c>
      <c r="H269" s="42">
        <v>2</v>
      </c>
      <c r="I269" s="61">
        <v>159080</v>
      </c>
      <c r="J269" s="42">
        <v>2</v>
      </c>
      <c r="K269" s="321">
        <f t="shared" si="5"/>
        <v>79540</v>
      </c>
      <c r="L269" s="62">
        <v>45839</v>
      </c>
      <c r="M269" s="62">
        <v>46203</v>
      </c>
      <c r="N269" s="63" t="s">
        <v>520</v>
      </c>
      <c r="O269" s="42" t="s">
        <v>11</v>
      </c>
      <c r="P269" s="42"/>
      <c r="Q269" s="64" t="s">
        <v>483</v>
      </c>
      <c r="R269" s="63" t="s">
        <v>1034</v>
      </c>
      <c r="S269" s="63" t="s">
        <v>607</v>
      </c>
      <c r="T269" s="63"/>
      <c r="U269" s="63"/>
      <c r="V269" s="63"/>
      <c r="W269" s="63"/>
      <c r="X269" s="63"/>
      <c r="Y269" s="63"/>
      <c r="Z269" s="63"/>
      <c r="AA269" s="63"/>
      <c r="AB269" s="63"/>
      <c r="AC269" s="63" t="s">
        <v>478</v>
      </c>
      <c r="AD269" s="16" t="s">
        <v>63</v>
      </c>
      <c r="AE269" s="42">
        <v>3</v>
      </c>
      <c r="AF269" s="63" t="s">
        <v>667</v>
      </c>
    </row>
    <row r="270" spans="2:32" ht="15" hidden="1" customHeight="1" x14ac:dyDescent="0.3">
      <c r="B270" s="16" t="s">
        <v>14</v>
      </c>
      <c r="C270" s="68" t="s">
        <v>1160</v>
      </c>
      <c r="D270" s="135" t="s">
        <v>151</v>
      </c>
      <c r="E270" s="42" t="s">
        <v>1161</v>
      </c>
      <c r="F270" s="43">
        <v>45852</v>
      </c>
      <c r="G270" s="42" t="s">
        <v>55</v>
      </c>
      <c r="H270" s="42">
        <v>2</v>
      </c>
      <c r="I270" s="61">
        <v>156000</v>
      </c>
      <c r="J270" s="42">
        <v>3</v>
      </c>
      <c r="K270" s="321">
        <f t="shared" si="5"/>
        <v>52000</v>
      </c>
      <c r="L270" s="62">
        <v>45839</v>
      </c>
      <c r="M270" s="62">
        <v>46203</v>
      </c>
      <c r="N270" s="63" t="s">
        <v>520</v>
      </c>
      <c r="O270" s="42" t="s">
        <v>11</v>
      </c>
      <c r="P270" s="42"/>
      <c r="Q270" s="64" t="s">
        <v>190</v>
      </c>
      <c r="R270" s="63" t="s">
        <v>791</v>
      </c>
      <c r="S270" s="64" t="s">
        <v>192</v>
      </c>
      <c r="T270" s="63" t="s">
        <v>1162</v>
      </c>
      <c r="U270" s="63" t="s">
        <v>1163</v>
      </c>
      <c r="V270" s="63"/>
      <c r="W270" s="63"/>
      <c r="X270" s="63"/>
      <c r="Y270" s="63"/>
      <c r="Z270" s="63"/>
      <c r="AA270" s="63"/>
      <c r="AB270" s="63"/>
      <c r="AC270" s="63" t="s">
        <v>478</v>
      </c>
      <c r="AD270" s="16" t="s">
        <v>63</v>
      </c>
      <c r="AE270" s="42">
        <v>3</v>
      </c>
      <c r="AF270" s="63" t="s">
        <v>667</v>
      </c>
    </row>
    <row r="271" spans="2:32" ht="15" hidden="1" customHeight="1" x14ac:dyDescent="0.3">
      <c r="B271" s="16" t="s">
        <v>14</v>
      </c>
      <c r="C271" s="68" t="s">
        <v>954</v>
      </c>
      <c r="D271" s="132" t="s">
        <v>1164</v>
      </c>
      <c r="E271" s="168">
        <v>4601465639</v>
      </c>
      <c r="F271" s="43">
        <v>45845</v>
      </c>
      <c r="G271" s="42" t="s">
        <v>55</v>
      </c>
      <c r="H271" s="42">
        <v>1</v>
      </c>
      <c r="I271" s="61">
        <v>85000</v>
      </c>
      <c r="J271" s="42">
        <v>1</v>
      </c>
      <c r="K271" s="321">
        <f t="shared" si="5"/>
        <v>85000</v>
      </c>
      <c r="L271" s="62">
        <v>45839</v>
      </c>
      <c r="M271" s="62">
        <v>46203</v>
      </c>
      <c r="N271" s="63" t="s">
        <v>520</v>
      </c>
      <c r="O271" s="42" t="s">
        <v>11</v>
      </c>
      <c r="P271" s="42"/>
      <c r="Q271" s="64" t="s">
        <v>1071</v>
      </c>
      <c r="R271" s="63" t="s">
        <v>618</v>
      </c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 t="s">
        <v>478</v>
      </c>
      <c r="AD271" s="16" t="s">
        <v>63</v>
      </c>
      <c r="AE271" s="42">
        <v>3</v>
      </c>
      <c r="AF271" s="63" t="s">
        <v>667</v>
      </c>
    </row>
    <row r="272" spans="2:32" ht="15" hidden="1" customHeight="1" x14ac:dyDescent="0.3">
      <c r="B272" s="16" t="s">
        <v>14</v>
      </c>
      <c r="C272" s="37" t="s">
        <v>756</v>
      </c>
      <c r="D272" s="132" t="s">
        <v>757</v>
      </c>
      <c r="E272" s="84">
        <v>2265006145</v>
      </c>
      <c r="F272" s="136">
        <v>45868</v>
      </c>
      <c r="G272" s="42" t="s">
        <v>55</v>
      </c>
      <c r="H272" s="42">
        <v>2</v>
      </c>
      <c r="I272" s="61">
        <v>164160</v>
      </c>
      <c r="J272" s="42">
        <v>3</v>
      </c>
      <c r="K272" s="321">
        <f t="shared" si="5"/>
        <v>54720</v>
      </c>
      <c r="L272" s="62">
        <v>45748</v>
      </c>
      <c r="M272" s="62">
        <v>46112</v>
      </c>
      <c r="N272" s="63" t="s">
        <v>19</v>
      </c>
      <c r="O272" s="42" t="s">
        <v>5</v>
      </c>
      <c r="P272" s="42"/>
      <c r="Q272" s="64" t="s">
        <v>357</v>
      </c>
      <c r="R272" s="63" t="s">
        <v>872</v>
      </c>
      <c r="S272" s="64" t="s">
        <v>665</v>
      </c>
      <c r="T272" s="63" t="s">
        <v>967</v>
      </c>
      <c r="U272" s="64" t="s">
        <v>361</v>
      </c>
      <c r="V272" s="63" t="s">
        <v>882</v>
      </c>
      <c r="W272" s="63"/>
      <c r="X272" s="63"/>
      <c r="Y272" s="63"/>
      <c r="Z272" s="63"/>
      <c r="AA272" s="63"/>
      <c r="AB272" s="63"/>
      <c r="AC272" s="63" t="s">
        <v>507</v>
      </c>
      <c r="AD272" s="16" t="s">
        <v>63</v>
      </c>
      <c r="AE272" s="42">
        <v>3</v>
      </c>
      <c r="AF272" s="63" t="s">
        <v>799</v>
      </c>
    </row>
    <row r="273" spans="2:32" ht="15" hidden="1" customHeight="1" x14ac:dyDescent="0.3">
      <c r="B273" s="16" t="s">
        <v>14</v>
      </c>
      <c r="C273" s="68" t="s">
        <v>195</v>
      </c>
      <c r="D273" s="132" t="s">
        <v>447</v>
      </c>
      <c r="E273" s="101" t="s">
        <v>1165</v>
      </c>
      <c r="F273" s="136">
        <v>45864</v>
      </c>
      <c r="G273" s="42" t="s">
        <v>55</v>
      </c>
      <c r="H273" s="42">
        <v>8</v>
      </c>
      <c r="I273" s="61">
        <v>513520</v>
      </c>
      <c r="J273" s="42">
        <v>4</v>
      </c>
      <c r="K273" s="321">
        <f t="shared" si="5"/>
        <v>128380</v>
      </c>
      <c r="L273" s="62">
        <v>45877</v>
      </c>
      <c r="M273" s="62">
        <v>46241</v>
      </c>
      <c r="N273" s="63" t="s">
        <v>520</v>
      </c>
      <c r="O273" s="42" t="s">
        <v>13</v>
      </c>
      <c r="P273" s="42"/>
      <c r="Q273" s="64" t="s">
        <v>1166</v>
      </c>
      <c r="R273" s="63" t="s">
        <v>707</v>
      </c>
      <c r="S273" s="64" t="s">
        <v>1167</v>
      </c>
      <c r="T273" s="63" t="s">
        <v>653</v>
      </c>
      <c r="U273" s="64" t="s">
        <v>1168</v>
      </c>
      <c r="V273" s="63" t="s">
        <v>1169</v>
      </c>
      <c r="W273" s="63" t="s">
        <v>1170</v>
      </c>
      <c r="X273" s="63"/>
      <c r="Y273" s="63"/>
      <c r="Z273" s="63"/>
      <c r="AA273" s="63"/>
      <c r="AB273" s="63"/>
      <c r="AC273" s="63" t="s">
        <v>96</v>
      </c>
      <c r="AD273" s="42" t="s">
        <v>1171</v>
      </c>
      <c r="AE273" s="42" t="s">
        <v>494</v>
      </c>
      <c r="AF273" s="63" t="s">
        <v>667</v>
      </c>
    </row>
    <row r="274" spans="2:32" ht="15" hidden="1" customHeight="1" x14ac:dyDescent="0.3">
      <c r="B274" s="16" t="s">
        <v>14</v>
      </c>
      <c r="C274" s="68" t="s">
        <v>1172</v>
      </c>
      <c r="D274" s="132" t="s">
        <v>1016</v>
      </c>
      <c r="E274" s="84">
        <v>7100090208</v>
      </c>
      <c r="F274" s="136">
        <v>45874</v>
      </c>
      <c r="G274" s="42" t="s">
        <v>55</v>
      </c>
      <c r="H274" s="42">
        <v>1</v>
      </c>
      <c r="I274" s="61">
        <v>81000</v>
      </c>
      <c r="J274" s="42">
        <v>3</v>
      </c>
      <c r="K274" s="321">
        <f t="shared" si="5"/>
        <v>27000</v>
      </c>
      <c r="L274" s="62">
        <v>45839</v>
      </c>
      <c r="M274" s="62">
        <v>46203</v>
      </c>
      <c r="N274" s="63" t="s">
        <v>520</v>
      </c>
      <c r="O274" s="42" t="s">
        <v>13</v>
      </c>
      <c r="P274" s="42"/>
      <c r="Q274" s="64" t="s">
        <v>190</v>
      </c>
      <c r="R274" s="63" t="s">
        <v>760</v>
      </c>
      <c r="S274" s="64" t="s">
        <v>192</v>
      </c>
      <c r="T274" s="63" t="s">
        <v>1173</v>
      </c>
      <c r="U274" s="63" t="s">
        <v>194</v>
      </c>
      <c r="V274" s="63"/>
      <c r="W274" s="63"/>
      <c r="X274" s="63"/>
      <c r="Y274" s="63"/>
      <c r="Z274" s="63"/>
      <c r="AA274" s="63"/>
      <c r="AB274" s="63"/>
      <c r="AC274" s="63" t="s">
        <v>619</v>
      </c>
      <c r="AD274" s="16" t="s">
        <v>63</v>
      </c>
      <c r="AE274" s="42">
        <v>3</v>
      </c>
      <c r="AF274" s="63" t="s">
        <v>667</v>
      </c>
    </row>
    <row r="275" spans="2:32" ht="15" hidden="1" customHeight="1" x14ac:dyDescent="0.3">
      <c r="B275" s="16" t="s">
        <v>14</v>
      </c>
      <c r="C275" s="176" t="s">
        <v>1174</v>
      </c>
      <c r="D275" s="132" t="s">
        <v>447</v>
      </c>
      <c r="E275" s="177" t="s">
        <v>1175</v>
      </c>
      <c r="F275" s="136">
        <v>45869</v>
      </c>
      <c r="G275" s="42" t="s">
        <v>55</v>
      </c>
      <c r="H275" s="42">
        <v>4</v>
      </c>
      <c r="I275" s="61">
        <v>236252</v>
      </c>
      <c r="J275" s="42">
        <v>3</v>
      </c>
      <c r="K275" s="321">
        <f t="shared" si="5"/>
        <v>78750.666666666672</v>
      </c>
      <c r="L275" s="62">
        <v>45853</v>
      </c>
      <c r="M275" s="62">
        <v>46217</v>
      </c>
      <c r="N275" s="63" t="s">
        <v>520</v>
      </c>
      <c r="O275" s="42" t="s">
        <v>13</v>
      </c>
      <c r="P275" s="42"/>
      <c r="Q275" s="64" t="s">
        <v>1176</v>
      </c>
      <c r="R275" s="63" t="s">
        <v>1177</v>
      </c>
      <c r="S275" s="64" t="s">
        <v>1178</v>
      </c>
      <c r="T275" s="63" t="s">
        <v>1179</v>
      </c>
      <c r="U275" s="63" t="s">
        <v>1180</v>
      </c>
      <c r="V275" s="63"/>
      <c r="W275" s="63"/>
      <c r="X275" s="63"/>
      <c r="Y275" s="63"/>
      <c r="Z275" s="63"/>
      <c r="AA275" s="63"/>
      <c r="AB275" s="63"/>
      <c r="AC275" s="63" t="s">
        <v>281</v>
      </c>
      <c r="AD275" s="42" t="s">
        <v>97</v>
      </c>
      <c r="AE275" s="42">
        <v>3</v>
      </c>
      <c r="AF275" s="63" t="s">
        <v>667</v>
      </c>
    </row>
    <row r="276" spans="2:32" ht="15" hidden="1" customHeight="1" x14ac:dyDescent="0.3">
      <c r="B276" s="16" t="s">
        <v>14</v>
      </c>
      <c r="C276" s="68" t="s">
        <v>195</v>
      </c>
      <c r="D276" s="132" t="s">
        <v>447</v>
      </c>
      <c r="E276" s="177" t="s">
        <v>1181</v>
      </c>
      <c r="F276" s="43">
        <v>45868</v>
      </c>
      <c r="G276" s="42" t="s">
        <v>55</v>
      </c>
      <c r="H276" s="42">
        <v>1</v>
      </c>
      <c r="I276" s="61">
        <v>61000</v>
      </c>
      <c r="J276" s="42">
        <v>4</v>
      </c>
      <c r="K276" s="321">
        <f t="shared" si="5"/>
        <v>15250</v>
      </c>
      <c r="L276" s="62">
        <v>45874</v>
      </c>
      <c r="M276" s="62">
        <v>46238</v>
      </c>
      <c r="N276" s="63" t="s">
        <v>520</v>
      </c>
      <c r="O276" s="42" t="s">
        <v>13</v>
      </c>
      <c r="P276" s="42"/>
      <c r="Q276" s="64" t="s">
        <v>1182</v>
      </c>
      <c r="R276" s="63" t="s">
        <v>110</v>
      </c>
      <c r="S276" s="64" t="s">
        <v>1183</v>
      </c>
      <c r="T276" s="63" t="s">
        <v>270</v>
      </c>
      <c r="U276" s="64" t="s">
        <v>1184</v>
      </c>
      <c r="V276" s="63" t="s">
        <v>443</v>
      </c>
      <c r="W276" s="63" t="s">
        <v>1185</v>
      </c>
      <c r="X276" s="63"/>
      <c r="Y276" s="63"/>
      <c r="Z276" s="63"/>
      <c r="AA276" s="63"/>
      <c r="AB276" s="63"/>
      <c r="AC276" s="63" t="s">
        <v>96</v>
      </c>
      <c r="AD276" s="42" t="s">
        <v>97</v>
      </c>
      <c r="AE276" s="42" t="s">
        <v>494</v>
      </c>
      <c r="AF276" s="63" t="s">
        <v>667</v>
      </c>
    </row>
    <row r="277" spans="2:32" ht="15" hidden="1" customHeight="1" x14ac:dyDescent="0.3">
      <c r="B277" s="16" t="s">
        <v>14</v>
      </c>
      <c r="C277" s="178" t="s">
        <v>1186</v>
      </c>
      <c r="D277" s="132" t="s">
        <v>841</v>
      </c>
      <c r="E277" s="101">
        <v>470072615</v>
      </c>
      <c r="F277" s="43">
        <v>45864</v>
      </c>
      <c r="G277" s="42" t="s">
        <v>55</v>
      </c>
      <c r="H277" s="42">
        <v>2</v>
      </c>
      <c r="I277" s="61">
        <v>40000</v>
      </c>
      <c r="J277" s="42">
        <v>2</v>
      </c>
      <c r="K277" s="321">
        <f t="shared" si="5"/>
        <v>20000</v>
      </c>
      <c r="L277" s="62">
        <v>45839</v>
      </c>
      <c r="M277" s="62">
        <v>46203</v>
      </c>
      <c r="N277" s="63" t="s">
        <v>520</v>
      </c>
      <c r="O277" s="42" t="s">
        <v>13</v>
      </c>
      <c r="P277" s="42" t="s">
        <v>1</v>
      </c>
      <c r="Q277" s="64" t="s">
        <v>483</v>
      </c>
      <c r="R277" s="63" t="s">
        <v>1187</v>
      </c>
      <c r="S277" s="63" t="s">
        <v>607</v>
      </c>
      <c r="T277" s="63"/>
      <c r="U277" s="63"/>
      <c r="V277" s="63"/>
      <c r="W277" s="63"/>
      <c r="X277" s="63"/>
      <c r="Y277" s="63"/>
      <c r="Z277" s="63"/>
      <c r="AA277" s="63"/>
      <c r="AB277" s="63"/>
      <c r="AC277" s="63" t="s">
        <v>1188</v>
      </c>
      <c r="AD277" s="16" t="s">
        <v>63</v>
      </c>
      <c r="AE277" s="42"/>
      <c r="AF277" s="63"/>
    </row>
    <row r="278" spans="2:32" ht="15" hidden="1" customHeight="1" x14ac:dyDescent="0.3">
      <c r="B278" s="16" t="s">
        <v>14</v>
      </c>
      <c r="C278" s="94" t="s">
        <v>508</v>
      </c>
      <c r="D278" s="247" t="s">
        <v>866</v>
      </c>
      <c r="E278" s="179" t="s">
        <v>1189</v>
      </c>
      <c r="F278" s="180">
        <v>45873</v>
      </c>
      <c r="G278" s="42" t="s">
        <v>55</v>
      </c>
      <c r="H278" s="42">
        <v>2</v>
      </c>
      <c r="I278" s="61">
        <f>89000*2</f>
        <v>178000</v>
      </c>
      <c r="J278" s="42">
        <v>3</v>
      </c>
      <c r="K278" s="321">
        <f t="shared" si="5"/>
        <v>59333.333333333336</v>
      </c>
      <c r="L278" s="62">
        <v>45878</v>
      </c>
      <c r="M278" s="62">
        <v>46242</v>
      </c>
      <c r="N278" s="63" t="s">
        <v>520</v>
      </c>
      <c r="O278" s="42" t="s">
        <v>13</v>
      </c>
      <c r="P278" s="42"/>
      <c r="Q278" s="64" t="s">
        <v>1190</v>
      </c>
      <c r="R278" s="63" t="s">
        <v>1191</v>
      </c>
      <c r="S278" s="64" t="s">
        <v>1192</v>
      </c>
      <c r="T278" s="63" t="s">
        <v>656</v>
      </c>
      <c r="U278" s="63" t="s">
        <v>1193</v>
      </c>
      <c r="V278" s="63" t="s">
        <v>1045</v>
      </c>
      <c r="W278" s="63"/>
      <c r="X278" s="63"/>
      <c r="Y278" s="63"/>
      <c r="Z278" s="63"/>
      <c r="AA278" s="63"/>
      <c r="AB278" s="63"/>
      <c r="AC278" s="63" t="s">
        <v>96</v>
      </c>
      <c r="AD278" s="42" t="s">
        <v>97</v>
      </c>
      <c r="AE278" s="42" t="s">
        <v>494</v>
      </c>
      <c r="AF278" s="181" t="s">
        <v>1194</v>
      </c>
    </row>
    <row r="279" spans="2:32" ht="15" hidden="1" customHeight="1" x14ac:dyDescent="0.3">
      <c r="B279" s="16" t="s">
        <v>14</v>
      </c>
      <c r="C279" s="68" t="s">
        <v>1195</v>
      </c>
      <c r="D279" s="132" t="s">
        <v>1196</v>
      </c>
      <c r="E279" s="174">
        <v>4601464540</v>
      </c>
      <c r="F279" s="43">
        <v>45841</v>
      </c>
      <c r="G279" s="42" t="s">
        <v>55</v>
      </c>
      <c r="H279" s="42">
        <v>2</v>
      </c>
      <c r="I279" s="61">
        <f>81900*2</f>
        <v>163800</v>
      </c>
      <c r="J279" s="42">
        <v>3</v>
      </c>
      <c r="K279" s="321">
        <f t="shared" si="5"/>
        <v>54600</v>
      </c>
      <c r="L279" s="62">
        <v>45748</v>
      </c>
      <c r="M279" s="62">
        <v>46112</v>
      </c>
      <c r="N279" s="63" t="s">
        <v>19</v>
      </c>
      <c r="O279" s="42" t="s">
        <v>3</v>
      </c>
      <c r="P279" s="42"/>
      <c r="Q279" s="64" t="s">
        <v>357</v>
      </c>
      <c r="R279" s="63" t="s">
        <v>1197</v>
      </c>
      <c r="S279" s="64" t="s">
        <v>665</v>
      </c>
      <c r="T279" s="63" t="s">
        <v>1198</v>
      </c>
      <c r="U279" s="64" t="s">
        <v>361</v>
      </c>
      <c r="V279" s="63" t="s">
        <v>899</v>
      </c>
      <c r="W279" s="63"/>
      <c r="X279" s="63"/>
      <c r="Y279" s="63"/>
      <c r="Z279" s="63"/>
      <c r="AA279" s="63"/>
      <c r="AB279" s="63"/>
      <c r="AC279" s="63" t="s">
        <v>478</v>
      </c>
      <c r="AD279" s="16" t="s">
        <v>63</v>
      </c>
      <c r="AE279" s="42">
        <v>3</v>
      </c>
      <c r="AF279" s="63" t="s">
        <v>667</v>
      </c>
    </row>
    <row r="280" spans="2:32" ht="15" hidden="1" customHeight="1" x14ac:dyDescent="0.3">
      <c r="B280" s="16" t="s">
        <v>14</v>
      </c>
      <c r="C280" s="68" t="s">
        <v>1199</v>
      </c>
      <c r="D280" s="250" t="s">
        <v>151</v>
      </c>
      <c r="E280" s="42">
        <v>66981</v>
      </c>
      <c r="F280" s="136">
        <v>45881</v>
      </c>
      <c r="G280" s="42" t="s">
        <v>55</v>
      </c>
      <c r="H280" s="42">
        <v>2</v>
      </c>
      <c r="I280" s="61">
        <v>130000</v>
      </c>
      <c r="J280" s="42">
        <v>2</v>
      </c>
      <c r="K280" s="321">
        <f t="shared" si="5"/>
        <v>65000</v>
      </c>
      <c r="L280" s="62">
        <v>45839</v>
      </c>
      <c r="M280" s="62">
        <v>46203</v>
      </c>
      <c r="N280" s="63" t="s">
        <v>520</v>
      </c>
      <c r="O280" s="42" t="s">
        <v>13</v>
      </c>
      <c r="P280" s="42"/>
      <c r="Q280" s="64" t="s">
        <v>483</v>
      </c>
      <c r="R280" s="63" t="s">
        <v>1034</v>
      </c>
      <c r="S280" s="63" t="s">
        <v>607</v>
      </c>
      <c r="T280" s="63"/>
      <c r="U280" s="63"/>
      <c r="V280" s="63"/>
      <c r="W280" s="63"/>
      <c r="X280" s="63"/>
      <c r="Y280" s="63"/>
      <c r="Z280" s="63"/>
      <c r="AA280" s="63"/>
      <c r="AB280" s="63"/>
      <c r="AC280" s="63" t="s">
        <v>478</v>
      </c>
      <c r="AD280" s="16" t="s">
        <v>63</v>
      </c>
      <c r="AE280" s="42">
        <v>3</v>
      </c>
      <c r="AF280" s="63" t="s">
        <v>667</v>
      </c>
    </row>
    <row r="281" spans="2:32" ht="15" hidden="1" customHeight="1" x14ac:dyDescent="0.3">
      <c r="B281" s="16" t="s">
        <v>14</v>
      </c>
      <c r="C281" s="68" t="s">
        <v>663</v>
      </c>
      <c r="D281" s="132" t="s">
        <v>1016</v>
      </c>
      <c r="E281" s="84">
        <v>4507651363</v>
      </c>
      <c r="F281" s="55">
        <v>45883</v>
      </c>
      <c r="G281" s="26" t="s">
        <v>55</v>
      </c>
      <c r="H281" s="26">
        <v>5</v>
      </c>
      <c r="I281" s="56">
        <f>462000-77000</f>
        <v>385000</v>
      </c>
      <c r="J281" s="26">
        <v>3</v>
      </c>
      <c r="K281" s="321">
        <f t="shared" si="5"/>
        <v>128333.33333333333</v>
      </c>
      <c r="L281" s="57">
        <v>45839</v>
      </c>
      <c r="M281" s="57">
        <v>46203</v>
      </c>
      <c r="N281" s="58" t="s">
        <v>520</v>
      </c>
      <c r="O281" s="26" t="s">
        <v>13</v>
      </c>
      <c r="P281" s="26"/>
      <c r="Q281" s="59" t="s">
        <v>190</v>
      </c>
      <c r="R281" s="58" t="s">
        <v>1026</v>
      </c>
      <c r="S281" s="59" t="s">
        <v>192</v>
      </c>
      <c r="T281" s="58" t="s">
        <v>193</v>
      </c>
      <c r="U281" s="58" t="s">
        <v>1200</v>
      </c>
      <c r="V281" s="58"/>
      <c r="W281" s="58"/>
      <c r="X281" s="58"/>
      <c r="Y281" s="58"/>
      <c r="Z281" s="58"/>
      <c r="AA281" s="58"/>
      <c r="AB281" s="58"/>
      <c r="AC281" s="58" t="s">
        <v>619</v>
      </c>
      <c r="AD281" s="16" t="s">
        <v>63</v>
      </c>
      <c r="AE281" s="26">
        <v>3</v>
      </c>
      <c r="AF281" s="58" t="s">
        <v>667</v>
      </c>
    </row>
    <row r="282" spans="2:32" ht="15" hidden="1" customHeight="1" x14ac:dyDescent="0.3">
      <c r="B282" s="16" t="s">
        <v>14</v>
      </c>
      <c r="C282" s="68" t="s">
        <v>663</v>
      </c>
      <c r="D282" s="132" t="s">
        <v>1016</v>
      </c>
      <c r="E282" s="84">
        <v>4507651363</v>
      </c>
      <c r="F282" s="136">
        <v>45883</v>
      </c>
      <c r="G282" s="42" t="s">
        <v>55</v>
      </c>
      <c r="H282" s="42">
        <v>1</v>
      </c>
      <c r="I282" s="61">
        <v>77000</v>
      </c>
      <c r="J282" s="42">
        <v>2</v>
      </c>
      <c r="K282" s="321">
        <f t="shared" si="5"/>
        <v>38500</v>
      </c>
      <c r="L282" s="62">
        <v>45839</v>
      </c>
      <c r="M282" s="62">
        <v>46203</v>
      </c>
      <c r="N282" s="63" t="s">
        <v>19</v>
      </c>
      <c r="O282" s="42" t="s">
        <v>9</v>
      </c>
      <c r="P282" s="42"/>
      <c r="Q282" s="64" t="s">
        <v>483</v>
      </c>
      <c r="R282" s="58" t="s">
        <v>1026</v>
      </c>
      <c r="S282" s="64" t="s">
        <v>607</v>
      </c>
      <c r="T282" s="58" t="s">
        <v>193</v>
      </c>
      <c r="U282" s="63"/>
      <c r="V282" s="63"/>
      <c r="W282" s="63"/>
      <c r="X282" s="63"/>
      <c r="Y282" s="63"/>
      <c r="Z282" s="63"/>
      <c r="AA282" s="63"/>
      <c r="AB282" s="63"/>
      <c r="AC282" s="63" t="s">
        <v>619</v>
      </c>
      <c r="AD282" s="16" t="s">
        <v>63</v>
      </c>
      <c r="AE282" s="42">
        <v>3</v>
      </c>
      <c r="AF282" s="63" t="s">
        <v>667</v>
      </c>
    </row>
    <row r="283" spans="2:32" ht="15" hidden="1" customHeight="1" x14ac:dyDescent="0.3">
      <c r="B283" s="16" t="s">
        <v>14</v>
      </c>
      <c r="C283" s="68" t="s">
        <v>655</v>
      </c>
      <c r="D283" s="132" t="s">
        <v>151</v>
      </c>
      <c r="E283" s="101">
        <v>2009800</v>
      </c>
      <c r="F283" s="43">
        <v>45874</v>
      </c>
      <c r="G283" s="42" t="s">
        <v>55</v>
      </c>
      <c r="H283" s="42">
        <v>1</v>
      </c>
      <c r="I283" s="61">
        <v>40000</v>
      </c>
      <c r="J283" s="42">
        <v>2</v>
      </c>
      <c r="K283" s="321">
        <f t="shared" si="5"/>
        <v>20000</v>
      </c>
      <c r="L283" s="62">
        <v>45874</v>
      </c>
      <c r="M283" s="62">
        <v>46238</v>
      </c>
      <c r="N283" s="63" t="s">
        <v>520</v>
      </c>
      <c r="O283" s="42" t="s">
        <v>13</v>
      </c>
      <c r="P283" s="42" t="s">
        <v>1</v>
      </c>
      <c r="Q283" s="64" t="s">
        <v>1201</v>
      </c>
      <c r="R283" s="63" t="s">
        <v>556</v>
      </c>
      <c r="S283" s="63" t="s">
        <v>1202</v>
      </c>
      <c r="T283" s="63"/>
      <c r="U283" s="63"/>
      <c r="V283" s="63"/>
      <c r="W283" s="63"/>
      <c r="X283" s="63"/>
      <c r="Y283" s="63"/>
      <c r="Z283" s="63"/>
      <c r="AA283" s="63"/>
      <c r="AB283" s="63"/>
      <c r="AC283" s="63" t="s">
        <v>1188</v>
      </c>
      <c r="AD283" s="16" t="s">
        <v>63</v>
      </c>
      <c r="AE283" s="42"/>
      <c r="AF283" s="63"/>
    </row>
    <row r="284" spans="2:32" ht="15" hidden="1" customHeight="1" x14ac:dyDescent="0.3">
      <c r="B284" s="16" t="s">
        <v>14</v>
      </c>
      <c r="C284" s="68" t="s">
        <v>1203</v>
      </c>
      <c r="D284" s="132" t="s">
        <v>997</v>
      </c>
      <c r="E284" s="101" t="s">
        <v>1204</v>
      </c>
      <c r="F284" s="43">
        <v>45882</v>
      </c>
      <c r="G284" s="42" t="s">
        <v>55</v>
      </c>
      <c r="H284" s="42">
        <v>1</v>
      </c>
      <c r="I284" s="61">
        <v>84000</v>
      </c>
      <c r="J284" s="42">
        <v>3</v>
      </c>
      <c r="K284" s="321">
        <f t="shared" si="5"/>
        <v>28000</v>
      </c>
      <c r="L284" s="62">
        <v>45839</v>
      </c>
      <c r="M284" s="62">
        <v>46203</v>
      </c>
      <c r="N284" s="63" t="s">
        <v>520</v>
      </c>
      <c r="O284" s="42" t="s">
        <v>13</v>
      </c>
      <c r="P284" s="42"/>
      <c r="Q284" s="64" t="s">
        <v>190</v>
      </c>
      <c r="R284" s="63" t="s">
        <v>807</v>
      </c>
      <c r="S284" s="64" t="s">
        <v>192</v>
      </c>
      <c r="T284" s="63" t="s">
        <v>1205</v>
      </c>
      <c r="U284" s="63" t="s">
        <v>1200</v>
      </c>
      <c r="V284" s="63"/>
      <c r="W284" s="63"/>
      <c r="X284" s="63"/>
      <c r="Y284" s="63"/>
      <c r="Z284" s="63"/>
      <c r="AA284" s="63"/>
      <c r="AB284" s="63"/>
      <c r="AC284" s="63" t="s">
        <v>96</v>
      </c>
      <c r="AD284" s="42" t="s">
        <v>97</v>
      </c>
      <c r="AE284" s="42" t="s">
        <v>494</v>
      </c>
      <c r="AF284" s="63" t="s">
        <v>667</v>
      </c>
    </row>
    <row r="285" spans="2:32" ht="15" hidden="1" customHeight="1" x14ac:dyDescent="0.3">
      <c r="B285" s="16" t="s">
        <v>14</v>
      </c>
      <c r="C285" s="39" t="s">
        <v>1206</v>
      </c>
      <c r="D285" s="232" t="s">
        <v>1207</v>
      </c>
      <c r="E285" s="50">
        <v>401230020</v>
      </c>
      <c r="F285" s="55">
        <v>45878</v>
      </c>
      <c r="G285" s="26" t="s">
        <v>55</v>
      </c>
      <c r="H285" s="26">
        <v>1</v>
      </c>
      <c r="I285" s="56">
        <v>76000</v>
      </c>
      <c r="J285" s="26">
        <v>2</v>
      </c>
      <c r="K285" s="321">
        <f t="shared" si="5"/>
        <v>38000</v>
      </c>
      <c r="L285" s="57">
        <v>45839</v>
      </c>
      <c r="M285" s="57">
        <v>46203</v>
      </c>
      <c r="N285" s="58" t="s">
        <v>520</v>
      </c>
      <c r="O285" s="26" t="s">
        <v>13</v>
      </c>
      <c r="P285" s="26"/>
      <c r="Q285" s="59" t="s">
        <v>483</v>
      </c>
      <c r="R285" s="58" t="s">
        <v>1208</v>
      </c>
      <c r="S285" s="58" t="s">
        <v>607</v>
      </c>
      <c r="T285" s="58"/>
      <c r="U285" s="58"/>
      <c r="V285" s="58"/>
      <c r="W285" s="58"/>
      <c r="X285" s="58"/>
      <c r="Y285" s="58"/>
      <c r="Z285" s="58"/>
      <c r="AA285" s="58"/>
      <c r="AB285" s="58"/>
      <c r="AC285" s="58" t="s">
        <v>96</v>
      </c>
      <c r="AD285" s="26" t="s">
        <v>97</v>
      </c>
      <c r="AE285" s="26"/>
      <c r="AF285" s="58" t="s">
        <v>667</v>
      </c>
    </row>
    <row r="286" spans="2:32" ht="15" hidden="1" customHeight="1" x14ac:dyDescent="0.3">
      <c r="B286" s="16" t="s">
        <v>14</v>
      </c>
      <c r="C286" s="68" t="s">
        <v>1206</v>
      </c>
      <c r="D286" s="132" t="s">
        <v>1207</v>
      </c>
      <c r="E286" s="84">
        <v>401230026</v>
      </c>
      <c r="F286" s="43">
        <v>45878</v>
      </c>
      <c r="G286" s="42" t="s">
        <v>55</v>
      </c>
      <c r="H286" s="152">
        <v>4</v>
      </c>
      <c r="I286" s="61">
        <f>76000*4</f>
        <v>304000</v>
      </c>
      <c r="J286" s="42">
        <v>2</v>
      </c>
      <c r="K286" s="321">
        <f t="shared" si="5"/>
        <v>152000</v>
      </c>
      <c r="L286" s="62">
        <v>45839</v>
      </c>
      <c r="M286" s="62">
        <v>46203</v>
      </c>
      <c r="N286" s="63" t="s">
        <v>520</v>
      </c>
      <c r="O286" s="42" t="s">
        <v>13</v>
      </c>
      <c r="P286" s="42"/>
      <c r="Q286" s="64" t="s">
        <v>483</v>
      </c>
      <c r="R286" s="63" t="s">
        <v>147</v>
      </c>
      <c r="S286" s="63" t="s">
        <v>607</v>
      </c>
      <c r="T286" s="63"/>
      <c r="U286" s="63"/>
      <c r="V286" s="63"/>
      <c r="W286" s="63"/>
      <c r="X286" s="63"/>
      <c r="Y286" s="63"/>
      <c r="Z286" s="63"/>
      <c r="AA286" s="63"/>
      <c r="AB286" s="63"/>
      <c r="AC286" s="63" t="s">
        <v>96</v>
      </c>
      <c r="AD286" s="42" t="s">
        <v>97</v>
      </c>
      <c r="AE286" s="42"/>
      <c r="AF286" s="63" t="s">
        <v>667</v>
      </c>
    </row>
    <row r="287" spans="2:32" ht="15" hidden="1" customHeight="1" x14ac:dyDescent="0.3">
      <c r="B287" s="16" t="s">
        <v>14</v>
      </c>
      <c r="C287" s="216" t="s">
        <v>948</v>
      </c>
      <c r="D287" s="262" t="s">
        <v>987</v>
      </c>
      <c r="E287" s="217">
        <v>931669</v>
      </c>
      <c r="F287" s="43">
        <v>45871</v>
      </c>
      <c r="G287" s="42" t="s">
        <v>55</v>
      </c>
      <c r="H287" s="42">
        <v>1</v>
      </c>
      <c r="I287" s="61">
        <v>18620</v>
      </c>
      <c r="J287" s="42">
        <v>1</v>
      </c>
      <c r="K287" s="321">
        <f t="shared" si="5"/>
        <v>18620</v>
      </c>
      <c r="L287" s="62">
        <v>45839</v>
      </c>
      <c r="M287" s="62">
        <v>45930</v>
      </c>
      <c r="N287" s="63" t="s">
        <v>19</v>
      </c>
      <c r="O287" s="42" t="s">
        <v>1209</v>
      </c>
      <c r="P287" s="42"/>
      <c r="Q287" s="64" t="s">
        <v>168</v>
      </c>
      <c r="R287" s="63" t="s">
        <v>1210</v>
      </c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 t="s">
        <v>551</v>
      </c>
      <c r="AD287" s="16" t="s">
        <v>207</v>
      </c>
      <c r="AE287" s="42">
        <v>0</v>
      </c>
      <c r="AF287" s="63"/>
    </row>
    <row r="288" spans="2:32" ht="15" hidden="1" customHeight="1" x14ac:dyDescent="0.3">
      <c r="B288" s="16" t="s">
        <v>14</v>
      </c>
      <c r="C288" s="142" t="s">
        <v>1211</v>
      </c>
      <c r="D288" s="249" t="s">
        <v>906</v>
      </c>
      <c r="E288" s="84">
        <v>4800001110</v>
      </c>
      <c r="F288" s="43">
        <v>45887</v>
      </c>
      <c r="G288" s="116" t="s">
        <v>703</v>
      </c>
      <c r="H288" s="42">
        <v>1</v>
      </c>
      <c r="I288" s="61">
        <v>356250</v>
      </c>
      <c r="J288" s="42">
        <v>3</v>
      </c>
      <c r="K288" s="321">
        <f t="shared" si="5"/>
        <v>118750</v>
      </c>
      <c r="L288" s="62">
        <v>45958</v>
      </c>
      <c r="M288" s="62">
        <v>46322</v>
      </c>
      <c r="N288" s="63" t="s">
        <v>520</v>
      </c>
      <c r="O288" s="42" t="s">
        <v>13</v>
      </c>
      <c r="P288" s="42"/>
      <c r="Q288" s="64" t="s">
        <v>1212</v>
      </c>
      <c r="R288" s="63" t="s">
        <v>653</v>
      </c>
      <c r="S288" s="63" t="s">
        <v>1213</v>
      </c>
      <c r="T288" s="63"/>
      <c r="U288" s="63" t="s">
        <v>1214</v>
      </c>
      <c r="V288" s="63"/>
      <c r="W288" s="63"/>
      <c r="X288" s="63"/>
      <c r="Y288" s="63"/>
      <c r="Z288" s="63"/>
      <c r="AA288" s="63"/>
      <c r="AB288" s="63"/>
      <c r="AC288" s="63" t="s">
        <v>834</v>
      </c>
      <c r="AD288" s="16" t="s">
        <v>207</v>
      </c>
      <c r="AE288" s="42" t="s">
        <v>494</v>
      </c>
      <c r="AF288" s="63" t="s">
        <v>1215</v>
      </c>
    </row>
    <row r="289" spans="2:32" ht="15" hidden="1" customHeight="1" x14ac:dyDescent="0.3">
      <c r="B289" s="16" t="s">
        <v>14</v>
      </c>
      <c r="C289" s="143" t="s">
        <v>1216</v>
      </c>
      <c r="D289" s="263" t="s">
        <v>176</v>
      </c>
      <c r="E289" s="164">
        <v>1500003169</v>
      </c>
      <c r="F289" s="40">
        <v>45860</v>
      </c>
      <c r="G289" s="26" t="s">
        <v>55</v>
      </c>
      <c r="H289" s="26">
        <v>1</v>
      </c>
      <c r="I289" s="56">
        <v>98900</v>
      </c>
      <c r="J289" s="26">
        <v>3</v>
      </c>
      <c r="K289" s="321">
        <f t="shared" si="5"/>
        <v>32966.666666666664</v>
      </c>
      <c r="L289" s="57">
        <v>45853</v>
      </c>
      <c r="M289" s="57">
        <v>46217</v>
      </c>
      <c r="N289" s="58" t="s">
        <v>520</v>
      </c>
      <c r="O289" s="26" t="s">
        <v>13</v>
      </c>
      <c r="P289" s="26" t="s">
        <v>1</v>
      </c>
      <c r="Q289" s="59" t="s">
        <v>1176</v>
      </c>
      <c r="R289" s="58" t="s">
        <v>1217</v>
      </c>
      <c r="S289" s="59" t="s">
        <v>1178</v>
      </c>
      <c r="T289" s="58" t="s">
        <v>1100</v>
      </c>
      <c r="U289" s="58" t="s">
        <v>1180</v>
      </c>
      <c r="V289" s="58"/>
      <c r="W289" s="58"/>
      <c r="X289" s="58"/>
      <c r="Y289" s="58"/>
      <c r="Z289" s="58"/>
      <c r="AA289" s="58"/>
      <c r="AB289" s="58"/>
      <c r="AC289" s="58" t="s">
        <v>183</v>
      </c>
      <c r="AD289" s="26" t="s">
        <v>97</v>
      </c>
      <c r="AE289" s="26">
        <v>2</v>
      </c>
      <c r="AF289" s="58" t="s">
        <v>1218</v>
      </c>
    </row>
    <row r="290" spans="2:32" ht="15" hidden="1" customHeight="1" x14ac:dyDescent="0.3">
      <c r="B290" s="16" t="s">
        <v>14</v>
      </c>
      <c r="C290" s="282" t="s">
        <v>779</v>
      </c>
      <c r="D290" s="252" t="s">
        <v>558</v>
      </c>
      <c r="E290" s="149">
        <v>2500252147</v>
      </c>
      <c r="F290" s="43">
        <v>45883</v>
      </c>
      <c r="G290" s="42" t="s">
        <v>55</v>
      </c>
      <c r="H290" s="42">
        <v>1</v>
      </c>
      <c r="I290" s="61">
        <v>148435</v>
      </c>
      <c r="J290" s="42">
        <v>3</v>
      </c>
      <c r="K290" s="321">
        <f t="shared" si="5"/>
        <v>49478.333333333336</v>
      </c>
      <c r="L290" s="62">
        <v>45870</v>
      </c>
      <c r="M290" s="62">
        <v>46234</v>
      </c>
      <c r="N290" s="63" t="s">
        <v>520</v>
      </c>
      <c r="O290" s="42" t="s">
        <v>13</v>
      </c>
      <c r="P290" s="42" t="s">
        <v>1</v>
      </c>
      <c r="Q290" s="64" t="s">
        <v>665</v>
      </c>
      <c r="R290" s="63" t="s">
        <v>1219</v>
      </c>
      <c r="S290" s="64" t="s">
        <v>361</v>
      </c>
      <c r="T290" s="63" t="s">
        <v>597</v>
      </c>
      <c r="U290" s="63" t="s">
        <v>1080</v>
      </c>
      <c r="V290" s="63"/>
      <c r="W290" s="63"/>
      <c r="X290" s="63"/>
      <c r="Y290" s="63"/>
      <c r="Z290" s="63"/>
      <c r="AA290" s="63"/>
      <c r="AB290" s="63"/>
      <c r="AC290" s="63" t="s">
        <v>281</v>
      </c>
      <c r="AD290" s="42" t="s">
        <v>97</v>
      </c>
      <c r="AE290" s="42">
        <v>3</v>
      </c>
      <c r="AF290" s="171">
        <v>1</v>
      </c>
    </row>
    <row r="291" spans="2:32" ht="15" hidden="1" customHeight="1" x14ac:dyDescent="0.3">
      <c r="B291" s="16" t="s">
        <v>14</v>
      </c>
      <c r="C291" s="142" t="s">
        <v>1172</v>
      </c>
      <c r="D291" s="249" t="s">
        <v>1016</v>
      </c>
      <c r="E291" s="84">
        <v>7100081242</v>
      </c>
      <c r="F291" s="136">
        <v>45895</v>
      </c>
      <c r="G291" s="42" t="s">
        <v>55</v>
      </c>
      <c r="H291" s="42">
        <v>1</v>
      </c>
      <c r="I291" s="61">
        <v>81000</v>
      </c>
      <c r="J291" s="42">
        <v>3</v>
      </c>
      <c r="K291" s="325">
        <f t="shared" si="5"/>
        <v>27000</v>
      </c>
      <c r="L291" s="62">
        <v>45809</v>
      </c>
      <c r="M291" s="62">
        <v>46173</v>
      </c>
      <c r="N291" s="63" t="s">
        <v>520</v>
      </c>
      <c r="O291" s="42" t="s">
        <v>13</v>
      </c>
      <c r="P291" s="42"/>
      <c r="Q291" s="64" t="s">
        <v>81</v>
      </c>
      <c r="R291" s="63" t="s">
        <v>82</v>
      </c>
      <c r="S291" s="64" t="s">
        <v>83</v>
      </c>
      <c r="T291" s="63" t="s">
        <v>1056</v>
      </c>
      <c r="U291" s="63" t="s">
        <v>404</v>
      </c>
      <c r="V291" s="63"/>
      <c r="W291" s="63"/>
      <c r="X291" s="63"/>
      <c r="Y291" s="63"/>
      <c r="Z291" s="63"/>
      <c r="AA291" s="63"/>
      <c r="AB291" s="63"/>
      <c r="AC291" s="63" t="s">
        <v>1220</v>
      </c>
      <c r="AD291" s="16" t="s">
        <v>63</v>
      </c>
      <c r="AE291" s="42">
        <v>3</v>
      </c>
      <c r="AF291" s="63" t="s">
        <v>667</v>
      </c>
    </row>
    <row r="292" spans="2:32" ht="15" hidden="1" customHeight="1" x14ac:dyDescent="0.3">
      <c r="B292" s="16" t="s">
        <v>14</v>
      </c>
      <c r="C292" s="68" t="s">
        <v>1221</v>
      </c>
      <c r="D292" s="132" t="s">
        <v>1159</v>
      </c>
      <c r="E292" s="303">
        <v>3300005366</v>
      </c>
      <c r="F292" s="43">
        <v>45881</v>
      </c>
      <c r="G292" s="42" t="s">
        <v>55</v>
      </c>
      <c r="H292" s="42">
        <v>7</v>
      </c>
      <c r="I292" s="61">
        <v>418222</v>
      </c>
      <c r="J292" s="42">
        <v>2</v>
      </c>
      <c r="K292" s="321">
        <f t="shared" si="5"/>
        <v>209111</v>
      </c>
      <c r="L292" s="62">
        <v>45870</v>
      </c>
      <c r="M292" s="62">
        <v>46234</v>
      </c>
      <c r="N292" s="63" t="s">
        <v>520</v>
      </c>
      <c r="O292" s="42" t="s">
        <v>13</v>
      </c>
      <c r="P292" s="42"/>
      <c r="Q292" s="64" t="s">
        <v>424</v>
      </c>
      <c r="R292" s="63" t="s">
        <v>443</v>
      </c>
      <c r="S292" s="63" t="s">
        <v>426</v>
      </c>
      <c r="T292" s="63"/>
      <c r="U292" s="63"/>
      <c r="V292" s="63"/>
      <c r="W292" s="63"/>
      <c r="X292" s="63"/>
      <c r="Y292" s="63"/>
      <c r="Z292" s="63"/>
      <c r="AA292" s="63"/>
      <c r="AB292" s="63"/>
      <c r="AC292" s="63" t="s">
        <v>507</v>
      </c>
      <c r="AD292" s="16" t="s">
        <v>63</v>
      </c>
      <c r="AE292" s="42">
        <v>2</v>
      </c>
      <c r="AF292" s="63" t="s">
        <v>667</v>
      </c>
    </row>
    <row r="293" spans="2:32" ht="15" hidden="1" customHeight="1" x14ac:dyDescent="0.3">
      <c r="B293" s="16" t="s">
        <v>14</v>
      </c>
      <c r="C293" s="68" t="s">
        <v>1222</v>
      </c>
      <c r="D293" s="132" t="s">
        <v>1223</v>
      </c>
      <c r="E293" s="101" t="s">
        <v>1224</v>
      </c>
      <c r="F293" s="136">
        <v>45897</v>
      </c>
      <c r="G293" s="42" t="s">
        <v>55</v>
      </c>
      <c r="H293" s="42">
        <v>1</v>
      </c>
      <c r="I293" s="61">
        <v>85500</v>
      </c>
      <c r="J293" s="42">
        <v>3</v>
      </c>
      <c r="K293" s="321">
        <f t="shared" si="5"/>
        <v>28500</v>
      </c>
      <c r="L293" s="62">
        <v>45748</v>
      </c>
      <c r="M293" s="62">
        <v>46112</v>
      </c>
      <c r="N293" s="63" t="s">
        <v>19</v>
      </c>
      <c r="O293" s="42" t="s">
        <v>5</v>
      </c>
      <c r="P293" s="42"/>
      <c r="Q293" s="64" t="s">
        <v>357</v>
      </c>
      <c r="R293" s="63" t="s">
        <v>753</v>
      </c>
      <c r="S293" s="64" t="s">
        <v>665</v>
      </c>
      <c r="T293" s="63" t="s">
        <v>944</v>
      </c>
      <c r="U293" s="64" t="s">
        <v>361</v>
      </c>
      <c r="V293" s="63" t="s">
        <v>556</v>
      </c>
      <c r="W293" s="63"/>
      <c r="X293" s="63"/>
      <c r="Y293" s="63"/>
      <c r="Z293" s="63"/>
      <c r="AA293" s="63"/>
      <c r="AB293" s="63"/>
      <c r="AC293" s="63" t="s">
        <v>507</v>
      </c>
      <c r="AD293" s="16" t="s">
        <v>63</v>
      </c>
      <c r="AE293" s="42">
        <v>3</v>
      </c>
      <c r="AF293" s="63" t="s">
        <v>667</v>
      </c>
    </row>
    <row r="294" spans="2:32" ht="15" hidden="1" customHeight="1" x14ac:dyDescent="0.3">
      <c r="B294" s="16" t="s">
        <v>14</v>
      </c>
      <c r="C294" s="132" t="s">
        <v>1225</v>
      </c>
      <c r="D294" s="135" t="s">
        <v>1031</v>
      </c>
      <c r="E294" s="84">
        <v>4513032914</v>
      </c>
      <c r="F294" s="43">
        <v>45895</v>
      </c>
      <c r="G294" s="42" t="s">
        <v>55</v>
      </c>
      <c r="H294" s="42">
        <v>11</v>
      </c>
      <c r="I294" s="61">
        <v>506000</v>
      </c>
      <c r="J294" s="42">
        <v>3</v>
      </c>
      <c r="K294" s="321">
        <f t="shared" si="5"/>
        <v>168666.66666666666</v>
      </c>
      <c r="L294" s="62">
        <v>45870</v>
      </c>
      <c r="M294" s="62">
        <v>46234</v>
      </c>
      <c r="N294" s="63" t="s">
        <v>520</v>
      </c>
      <c r="O294" s="42" t="s">
        <v>13</v>
      </c>
      <c r="P294" s="42"/>
      <c r="Q294" s="64" t="s">
        <v>665</v>
      </c>
      <c r="R294" s="63" t="s">
        <v>1217</v>
      </c>
      <c r="S294" s="64" t="s">
        <v>361</v>
      </c>
      <c r="T294" s="63" t="s">
        <v>1226</v>
      </c>
      <c r="U294" s="63" t="s">
        <v>1080</v>
      </c>
      <c r="V294" s="63"/>
      <c r="W294" s="63"/>
      <c r="X294" s="63"/>
      <c r="Y294" s="63"/>
      <c r="Z294" s="63"/>
      <c r="AA294" s="63"/>
      <c r="AB294" s="63"/>
      <c r="AC294" s="63" t="s">
        <v>478</v>
      </c>
      <c r="AD294" s="16" t="s">
        <v>63</v>
      </c>
      <c r="AE294" s="42">
        <v>5</v>
      </c>
      <c r="AF294" s="63" t="s">
        <v>667</v>
      </c>
    </row>
    <row r="295" spans="2:32" ht="15" hidden="1" customHeight="1" x14ac:dyDescent="0.3">
      <c r="B295" s="16" t="s">
        <v>14</v>
      </c>
      <c r="C295" s="132" t="s">
        <v>663</v>
      </c>
      <c r="D295" s="135" t="s">
        <v>1227</v>
      </c>
      <c r="E295" s="84">
        <v>4507666140</v>
      </c>
      <c r="F295" s="43">
        <v>45895</v>
      </c>
      <c r="G295" s="42" t="s">
        <v>55</v>
      </c>
      <c r="H295" s="42">
        <v>6</v>
      </c>
      <c r="I295" s="61">
        <v>540000</v>
      </c>
      <c r="J295" s="42">
        <v>3</v>
      </c>
      <c r="K295" s="321">
        <f t="shared" si="5"/>
        <v>180000</v>
      </c>
      <c r="L295" s="62">
        <v>45839</v>
      </c>
      <c r="M295" s="62">
        <v>46203</v>
      </c>
      <c r="N295" s="63" t="s">
        <v>520</v>
      </c>
      <c r="O295" s="42" t="s">
        <v>13</v>
      </c>
      <c r="P295" s="42"/>
      <c r="Q295" s="64" t="s">
        <v>190</v>
      </c>
      <c r="R295" s="63" t="s">
        <v>707</v>
      </c>
      <c r="S295" s="64" t="s">
        <v>192</v>
      </c>
      <c r="T295" s="63" t="s">
        <v>1228</v>
      </c>
      <c r="U295" s="63" t="s">
        <v>194</v>
      </c>
      <c r="V295" s="63"/>
      <c r="W295" s="63"/>
      <c r="X295" s="63"/>
      <c r="Y295" s="63"/>
      <c r="Z295" s="63"/>
      <c r="AA295" s="63"/>
      <c r="AB295" s="63"/>
      <c r="AC295" s="63" t="s">
        <v>478</v>
      </c>
      <c r="AD295" s="16" t="s">
        <v>63</v>
      </c>
      <c r="AE295" s="42">
        <v>3</v>
      </c>
      <c r="AF295" s="63" t="s">
        <v>667</v>
      </c>
    </row>
    <row r="296" spans="2:32" ht="15" hidden="1" customHeight="1" x14ac:dyDescent="0.3">
      <c r="B296" s="16" t="s">
        <v>14</v>
      </c>
      <c r="C296" s="132" t="s">
        <v>1229</v>
      </c>
      <c r="D296" s="132" t="s">
        <v>1230</v>
      </c>
      <c r="E296" s="168">
        <v>5500011884</v>
      </c>
      <c r="F296" s="43">
        <v>45898</v>
      </c>
      <c r="G296" s="42" t="s">
        <v>55</v>
      </c>
      <c r="H296" s="42">
        <v>1</v>
      </c>
      <c r="I296" s="61">
        <v>84000</v>
      </c>
      <c r="J296" s="42">
        <v>3</v>
      </c>
      <c r="K296" s="321">
        <f t="shared" si="5"/>
        <v>28000</v>
      </c>
      <c r="L296" s="62">
        <v>45901</v>
      </c>
      <c r="M296" s="62">
        <v>46265</v>
      </c>
      <c r="N296" s="63" t="s">
        <v>520</v>
      </c>
      <c r="O296" s="42" t="s">
        <v>1231</v>
      </c>
      <c r="P296" s="42"/>
      <c r="Q296" s="64" t="s">
        <v>345</v>
      </c>
      <c r="R296" s="63" t="s">
        <v>673</v>
      </c>
      <c r="S296" s="64" t="s">
        <v>347</v>
      </c>
      <c r="T296" s="63" t="s">
        <v>1232</v>
      </c>
      <c r="U296" s="63" t="s">
        <v>348</v>
      </c>
      <c r="V296" s="63"/>
      <c r="W296" s="63"/>
      <c r="X296" s="63"/>
      <c r="Y296" s="63"/>
      <c r="Z296" s="63"/>
      <c r="AA296" s="63"/>
      <c r="AB296" s="63"/>
      <c r="AC296" s="63" t="s">
        <v>96</v>
      </c>
      <c r="AD296" s="42" t="s">
        <v>97</v>
      </c>
      <c r="AE296" s="42">
        <v>2</v>
      </c>
      <c r="AF296" s="63" t="s">
        <v>667</v>
      </c>
    </row>
    <row r="297" spans="2:32" ht="15" hidden="1" customHeight="1" x14ac:dyDescent="0.3">
      <c r="B297" s="16" t="s">
        <v>14</v>
      </c>
      <c r="C297" s="103" t="s">
        <v>1233</v>
      </c>
      <c r="D297" s="135" t="s">
        <v>131</v>
      </c>
      <c r="E297" s="84" t="s">
        <v>1234</v>
      </c>
      <c r="F297" s="43">
        <v>45901</v>
      </c>
      <c r="G297" s="42" t="s">
        <v>55</v>
      </c>
      <c r="H297" s="42">
        <v>1</v>
      </c>
      <c r="I297" s="61">
        <v>84000</v>
      </c>
      <c r="J297" s="42">
        <v>2</v>
      </c>
      <c r="K297" s="321">
        <f t="shared" si="5"/>
        <v>42000</v>
      </c>
      <c r="L297" s="62">
        <v>45901</v>
      </c>
      <c r="M297" s="62">
        <v>46265</v>
      </c>
      <c r="N297" s="63" t="s">
        <v>520</v>
      </c>
      <c r="O297" s="42" t="s">
        <v>1231</v>
      </c>
      <c r="P297" s="42"/>
      <c r="Q297" s="64" t="s">
        <v>625</v>
      </c>
      <c r="R297" s="63" t="s">
        <v>854</v>
      </c>
      <c r="S297" s="63" t="s">
        <v>1235</v>
      </c>
      <c r="T297" s="63"/>
      <c r="U297" s="63"/>
      <c r="V297" s="63"/>
      <c r="W297" s="63"/>
      <c r="X297" s="63"/>
      <c r="Y297" s="63"/>
      <c r="Z297" s="63"/>
      <c r="AA297" s="63"/>
      <c r="AB297" s="63"/>
      <c r="AC297" s="63" t="s">
        <v>485</v>
      </c>
      <c r="AD297" s="16" t="s">
        <v>63</v>
      </c>
      <c r="AE297" s="42">
        <v>2</v>
      </c>
      <c r="AF297" s="44" t="s">
        <v>657</v>
      </c>
    </row>
    <row r="298" spans="2:32" ht="15" hidden="1" customHeight="1" x14ac:dyDescent="0.3">
      <c r="B298" s="16" t="s">
        <v>14</v>
      </c>
      <c r="C298" s="142" t="s">
        <v>1236</v>
      </c>
      <c r="D298" s="249" t="s">
        <v>1237</v>
      </c>
      <c r="E298" s="84">
        <v>4503803719</v>
      </c>
      <c r="F298" s="43">
        <v>45890</v>
      </c>
      <c r="G298" s="42" t="s">
        <v>55</v>
      </c>
      <c r="H298" s="42">
        <v>1</v>
      </c>
      <c r="I298" s="61">
        <v>75000</v>
      </c>
      <c r="J298" s="42">
        <v>3</v>
      </c>
      <c r="K298" s="321">
        <f t="shared" si="5"/>
        <v>25000</v>
      </c>
      <c r="L298" s="62">
        <v>45870</v>
      </c>
      <c r="M298" s="62">
        <v>46234</v>
      </c>
      <c r="N298" s="63" t="s">
        <v>998</v>
      </c>
      <c r="O298" s="42" t="s">
        <v>1231</v>
      </c>
      <c r="P298" s="42"/>
      <c r="Q298" s="64" t="s">
        <v>665</v>
      </c>
      <c r="R298" s="63" t="s">
        <v>1238</v>
      </c>
      <c r="S298" s="64" t="s">
        <v>361</v>
      </c>
      <c r="T298" s="63" t="s">
        <v>1239</v>
      </c>
      <c r="U298" s="63" t="s">
        <v>1080</v>
      </c>
      <c r="V298" s="63"/>
      <c r="W298" s="63"/>
      <c r="X298" s="63"/>
      <c r="Y298" s="63"/>
      <c r="Z298" s="63"/>
      <c r="AA298" s="63"/>
      <c r="AB298" s="63"/>
      <c r="AC298" s="63" t="s">
        <v>478</v>
      </c>
      <c r="AD298" s="16" t="s">
        <v>63</v>
      </c>
      <c r="AE298" s="42">
        <v>2</v>
      </c>
      <c r="AF298" s="44" t="s">
        <v>657</v>
      </c>
    </row>
    <row r="299" spans="2:32" ht="15" hidden="1" customHeight="1" x14ac:dyDescent="0.3">
      <c r="B299" s="16" t="s">
        <v>14</v>
      </c>
      <c r="C299" s="117" t="s">
        <v>1240</v>
      </c>
      <c r="D299" s="248" t="s">
        <v>1241</v>
      </c>
      <c r="E299" s="50" t="s">
        <v>1242</v>
      </c>
      <c r="F299" s="55">
        <v>45905</v>
      </c>
      <c r="G299" s="26" t="s">
        <v>55</v>
      </c>
      <c r="H299" s="26">
        <v>1</v>
      </c>
      <c r="I299" s="56">
        <v>60400</v>
      </c>
      <c r="J299" s="26">
        <v>2</v>
      </c>
      <c r="K299" s="321">
        <f t="shared" si="5"/>
        <v>30200</v>
      </c>
      <c r="L299" s="57">
        <v>45901</v>
      </c>
      <c r="M299" s="57">
        <v>46265</v>
      </c>
      <c r="N299" s="58" t="s">
        <v>520</v>
      </c>
      <c r="O299" s="26" t="s">
        <v>1231</v>
      </c>
      <c r="P299" s="26"/>
      <c r="Q299" s="59" t="s">
        <v>625</v>
      </c>
      <c r="R299" s="58" t="s">
        <v>171</v>
      </c>
      <c r="S299" s="58" t="s">
        <v>1235</v>
      </c>
      <c r="T299" s="58"/>
      <c r="U299" s="58"/>
      <c r="V299" s="58"/>
      <c r="W299" s="58"/>
      <c r="X299" s="58"/>
      <c r="Y299" s="58"/>
      <c r="Z299" s="58"/>
      <c r="AA299" s="58"/>
      <c r="AB299" s="58"/>
      <c r="AC299" s="58" t="s">
        <v>485</v>
      </c>
      <c r="AD299" s="16" t="s">
        <v>63</v>
      </c>
      <c r="AE299" s="26">
        <v>2</v>
      </c>
      <c r="AF299" s="54" t="s">
        <v>657</v>
      </c>
    </row>
    <row r="300" spans="2:32" ht="15" hidden="1" customHeight="1" x14ac:dyDescent="0.3">
      <c r="B300" s="16" t="s">
        <v>14</v>
      </c>
      <c r="C300" s="117" t="s">
        <v>195</v>
      </c>
      <c r="D300" s="248" t="s">
        <v>558</v>
      </c>
      <c r="E300" s="14" t="s">
        <v>1243</v>
      </c>
      <c r="F300" s="55">
        <v>45901</v>
      </c>
      <c r="G300" s="26" t="s">
        <v>55</v>
      </c>
      <c r="H300" s="26">
        <v>9</v>
      </c>
      <c r="I300" s="56">
        <f>1459883.52/2</f>
        <v>729941.76</v>
      </c>
      <c r="J300" s="26">
        <v>4</v>
      </c>
      <c r="K300" s="321">
        <f t="shared" si="5"/>
        <v>182485.44</v>
      </c>
      <c r="L300" s="57">
        <v>45901</v>
      </c>
      <c r="M300" s="57">
        <v>46265</v>
      </c>
      <c r="N300" s="58" t="s">
        <v>520</v>
      </c>
      <c r="O300" s="26" t="s">
        <v>1231</v>
      </c>
      <c r="P300" s="26"/>
      <c r="Q300" s="59" t="s">
        <v>1131</v>
      </c>
      <c r="R300" s="58" t="s">
        <v>1091</v>
      </c>
      <c r="S300" s="59" t="s">
        <v>1133</v>
      </c>
      <c r="T300" s="58" t="s">
        <v>291</v>
      </c>
      <c r="U300" s="58" t="s">
        <v>1134</v>
      </c>
      <c r="V300" s="58"/>
      <c r="W300" s="58" t="s">
        <v>1244</v>
      </c>
      <c r="X300" s="58"/>
      <c r="Y300" s="58"/>
      <c r="Z300" s="58"/>
      <c r="AA300" s="58"/>
      <c r="AB300" s="58"/>
      <c r="AC300" s="58" t="s">
        <v>281</v>
      </c>
      <c r="AD300" s="26" t="s">
        <v>97</v>
      </c>
      <c r="AE300" s="26" t="s">
        <v>494</v>
      </c>
      <c r="AF300" s="54" t="s">
        <v>657</v>
      </c>
    </row>
    <row r="301" spans="2:32" ht="15" hidden="1" customHeight="1" x14ac:dyDescent="0.3">
      <c r="B301" s="16" t="s">
        <v>14</v>
      </c>
      <c r="C301" s="142" t="s">
        <v>195</v>
      </c>
      <c r="D301" s="249" t="s">
        <v>558</v>
      </c>
      <c r="E301" s="25" t="s">
        <v>1243</v>
      </c>
      <c r="F301" s="43">
        <v>45901</v>
      </c>
      <c r="G301" s="42" t="s">
        <v>55</v>
      </c>
      <c r="H301" s="42"/>
      <c r="I301" s="61">
        <f>1459883.52/2</f>
        <v>729941.76</v>
      </c>
      <c r="J301" s="42">
        <v>4</v>
      </c>
      <c r="K301" s="321">
        <f t="shared" si="5"/>
        <v>182485.44</v>
      </c>
      <c r="L301" s="57">
        <v>46266</v>
      </c>
      <c r="M301" s="62">
        <v>46630</v>
      </c>
      <c r="N301" s="63" t="s">
        <v>520</v>
      </c>
      <c r="O301" s="42" t="s">
        <v>1231</v>
      </c>
      <c r="P301" s="42"/>
      <c r="Q301" s="63" t="s">
        <v>1245</v>
      </c>
      <c r="R301" s="63"/>
      <c r="S301" s="63" t="s">
        <v>1246</v>
      </c>
      <c r="T301" s="63"/>
      <c r="U301" s="63" t="s">
        <v>1247</v>
      </c>
      <c r="V301" s="63"/>
      <c r="W301" s="63" t="s">
        <v>1248</v>
      </c>
      <c r="X301" s="63"/>
      <c r="Y301" s="63"/>
      <c r="Z301" s="63"/>
      <c r="AA301" s="63"/>
      <c r="AB301" s="63"/>
      <c r="AC301" s="63" t="s">
        <v>281</v>
      </c>
      <c r="AD301" s="42" t="s">
        <v>97</v>
      </c>
      <c r="AE301" s="42" t="s">
        <v>494</v>
      </c>
      <c r="AF301" s="44" t="s">
        <v>657</v>
      </c>
    </row>
    <row r="302" spans="2:32" ht="15" hidden="1" customHeight="1" x14ac:dyDescent="0.3">
      <c r="B302" s="16" t="s">
        <v>14</v>
      </c>
      <c r="C302" s="117" t="s">
        <v>1249</v>
      </c>
      <c r="D302" s="248" t="s">
        <v>151</v>
      </c>
      <c r="E302" s="50">
        <v>4509091008</v>
      </c>
      <c r="F302" s="55">
        <v>45909</v>
      </c>
      <c r="G302" s="26" t="s">
        <v>55</v>
      </c>
      <c r="H302" s="26">
        <v>1</v>
      </c>
      <c r="I302" s="56">
        <f>172000/2</f>
        <v>86000</v>
      </c>
      <c r="J302" s="26">
        <v>2</v>
      </c>
      <c r="K302" s="321">
        <f t="shared" si="5"/>
        <v>43000</v>
      </c>
      <c r="L302" s="57">
        <v>45870</v>
      </c>
      <c r="M302" s="57">
        <v>46234</v>
      </c>
      <c r="N302" s="58" t="s">
        <v>998</v>
      </c>
      <c r="O302" s="26" t="s">
        <v>1231</v>
      </c>
      <c r="P302" s="26" t="s">
        <v>1</v>
      </c>
      <c r="Q302" s="59" t="s">
        <v>424</v>
      </c>
      <c r="R302" s="58" t="s">
        <v>432</v>
      </c>
      <c r="S302" s="58" t="s">
        <v>426</v>
      </c>
      <c r="T302" s="58"/>
      <c r="U302" s="58"/>
      <c r="V302" s="58"/>
      <c r="W302" s="58"/>
      <c r="X302" s="58"/>
      <c r="Y302" s="58"/>
      <c r="Z302" s="58"/>
      <c r="AA302" s="58"/>
      <c r="AB302" s="58"/>
      <c r="AC302" s="58" t="s">
        <v>478</v>
      </c>
      <c r="AD302" s="16" t="s">
        <v>63</v>
      </c>
      <c r="AE302" s="26">
        <v>3</v>
      </c>
      <c r="AF302" s="58" t="s">
        <v>1250</v>
      </c>
    </row>
    <row r="303" spans="2:32" ht="15" hidden="1" customHeight="1" x14ac:dyDescent="0.3">
      <c r="B303" s="16" t="s">
        <v>14</v>
      </c>
      <c r="C303" s="142" t="s">
        <v>1249</v>
      </c>
      <c r="D303" s="249" t="s">
        <v>151</v>
      </c>
      <c r="E303" s="84">
        <v>4509091008</v>
      </c>
      <c r="F303" s="43">
        <v>45909</v>
      </c>
      <c r="G303" s="42" t="s">
        <v>55</v>
      </c>
      <c r="H303" s="42"/>
      <c r="I303" s="61">
        <f>172000/2</f>
        <v>86000</v>
      </c>
      <c r="J303" s="42">
        <v>2</v>
      </c>
      <c r="K303" s="321">
        <f t="shared" si="5"/>
        <v>43000</v>
      </c>
      <c r="L303" s="62">
        <v>46235</v>
      </c>
      <c r="M303" s="62">
        <v>46599</v>
      </c>
      <c r="N303" s="63" t="s">
        <v>998</v>
      </c>
      <c r="O303" s="42" t="s">
        <v>1231</v>
      </c>
      <c r="P303" s="42" t="s">
        <v>1</v>
      </c>
      <c r="Q303" s="63" t="s">
        <v>427</v>
      </c>
      <c r="R303" s="63"/>
      <c r="S303" s="63" t="s">
        <v>428</v>
      </c>
      <c r="T303" s="63"/>
      <c r="U303" s="63"/>
      <c r="V303" s="63"/>
      <c r="W303" s="63"/>
      <c r="X303" s="63"/>
      <c r="Y303" s="63"/>
      <c r="Z303" s="63"/>
      <c r="AA303" s="63"/>
      <c r="AB303" s="63"/>
      <c r="AC303" s="63" t="s">
        <v>478</v>
      </c>
      <c r="AD303" s="16" t="s">
        <v>63</v>
      </c>
      <c r="AE303" s="42">
        <v>3</v>
      </c>
      <c r="AF303" s="63" t="s">
        <v>1250</v>
      </c>
    </row>
    <row r="304" spans="2:32" ht="15" hidden="1" customHeight="1" x14ac:dyDescent="0.3">
      <c r="B304" s="16" t="s">
        <v>14</v>
      </c>
      <c r="C304" s="142" t="s">
        <v>1002</v>
      </c>
      <c r="D304" s="249" t="s">
        <v>151</v>
      </c>
      <c r="E304" s="168">
        <v>4501010798</v>
      </c>
      <c r="F304" s="43">
        <v>45868</v>
      </c>
      <c r="G304" s="42" t="s">
        <v>55</v>
      </c>
      <c r="H304" s="42">
        <v>1</v>
      </c>
      <c r="I304" s="61">
        <v>90000</v>
      </c>
      <c r="J304" s="42">
        <v>3</v>
      </c>
      <c r="K304" s="321">
        <f t="shared" si="5"/>
        <v>30000</v>
      </c>
      <c r="L304" s="62">
        <v>45748</v>
      </c>
      <c r="M304" s="62">
        <v>46112</v>
      </c>
      <c r="N304" s="63" t="s">
        <v>19</v>
      </c>
      <c r="O304" s="42" t="s">
        <v>3</v>
      </c>
      <c r="P304" s="42"/>
      <c r="Q304" s="64" t="s">
        <v>357</v>
      </c>
      <c r="R304" s="63" t="s">
        <v>898</v>
      </c>
      <c r="S304" s="64" t="s">
        <v>665</v>
      </c>
      <c r="T304" s="63" t="s">
        <v>1251</v>
      </c>
      <c r="U304" s="64" t="s">
        <v>361</v>
      </c>
      <c r="V304" s="63" t="s">
        <v>1252</v>
      </c>
      <c r="W304" s="63"/>
      <c r="X304" s="63"/>
      <c r="Y304" s="63"/>
      <c r="Z304" s="63"/>
      <c r="AA304" s="63"/>
      <c r="AB304" s="63"/>
      <c r="AC304" s="63" t="s">
        <v>478</v>
      </c>
      <c r="AD304" s="16" t="s">
        <v>63</v>
      </c>
      <c r="AE304" s="42">
        <v>3</v>
      </c>
      <c r="AF304" s="63" t="s">
        <v>1253</v>
      </c>
    </row>
    <row r="305" spans="2:32" ht="15" hidden="1" customHeight="1" x14ac:dyDescent="0.3">
      <c r="B305" s="16" t="s">
        <v>14</v>
      </c>
      <c r="C305" s="68" t="s">
        <v>527</v>
      </c>
      <c r="D305" s="132" t="s">
        <v>151</v>
      </c>
      <c r="E305" s="84" t="s">
        <v>1254</v>
      </c>
      <c r="F305" s="43">
        <v>45916</v>
      </c>
      <c r="G305" s="42" t="s">
        <v>55</v>
      </c>
      <c r="H305" s="42">
        <v>3</v>
      </c>
      <c r="I305" s="61">
        <v>266976</v>
      </c>
      <c r="J305" s="42">
        <v>3</v>
      </c>
      <c r="K305" s="321">
        <f t="shared" si="5"/>
        <v>88992</v>
      </c>
      <c r="L305" s="62">
        <v>45901</v>
      </c>
      <c r="M305" s="62">
        <v>46265</v>
      </c>
      <c r="N305" s="63" t="s">
        <v>520</v>
      </c>
      <c r="O305" s="42" t="s">
        <v>1231</v>
      </c>
      <c r="P305" s="42"/>
      <c r="Q305" s="64" t="s">
        <v>345</v>
      </c>
      <c r="R305" s="63" t="s">
        <v>985</v>
      </c>
      <c r="S305" s="63" t="s">
        <v>347</v>
      </c>
      <c r="T305" s="63"/>
      <c r="U305" s="63" t="s">
        <v>348</v>
      </c>
      <c r="V305" s="63"/>
      <c r="W305" s="63"/>
      <c r="X305" s="63"/>
      <c r="Y305" s="63"/>
      <c r="Z305" s="63"/>
      <c r="AA305" s="63"/>
      <c r="AB305" s="63"/>
      <c r="AC305" s="63" t="s">
        <v>507</v>
      </c>
      <c r="AD305" s="16" t="s">
        <v>63</v>
      </c>
      <c r="AE305" s="42">
        <v>3</v>
      </c>
      <c r="AF305" s="142" t="s">
        <v>1255</v>
      </c>
    </row>
    <row r="306" spans="2:32" ht="15" hidden="1" customHeight="1" x14ac:dyDescent="0.3">
      <c r="B306" s="16" t="s">
        <v>14</v>
      </c>
      <c r="C306" s="117" t="s">
        <v>685</v>
      </c>
      <c r="D306" s="248" t="s">
        <v>151</v>
      </c>
      <c r="E306" s="50">
        <v>4513115639</v>
      </c>
      <c r="F306" s="43">
        <v>45915</v>
      </c>
      <c r="G306" s="42" t="s">
        <v>55</v>
      </c>
      <c r="H306" s="42">
        <v>1</v>
      </c>
      <c r="I306" s="61">
        <v>46000</v>
      </c>
      <c r="J306" s="42">
        <v>3</v>
      </c>
      <c r="K306" s="321">
        <f t="shared" si="5"/>
        <v>15333.333333333334</v>
      </c>
      <c r="L306" s="62">
        <v>45870</v>
      </c>
      <c r="M306" s="62">
        <v>46234</v>
      </c>
      <c r="N306" s="63" t="s">
        <v>520</v>
      </c>
      <c r="O306" s="42" t="s">
        <v>1231</v>
      </c>
      <c r="P306" s="42"/>
      <c r="Q306" s="64" t="s">
        <v>901</v>
      </c>
      <c r="R306" s="63" t="s">
        <v>1256</v>
      </c>
      <c r="S306" s="64" t="s">
        <v>361</v>
      </c>
      <c r="T306" s="63" t="s">
        <v>688</v>
      </c>
      <c r="U306" s="63" t="s">
        <v>1257</v>
      </c>
      <c r="V306" s="63"/>
      <c r="W306" s="63"/>
      <c r="X306" s="63"/>
      <c r="Y306" s="63"/>
      <c r="Z306" s="63"/>
      <c r="AA306" s="63"/>
      <c r="AB306" s="63"/>
      <c r="AC306" s="63" t="s">
        <v>478</v>
      </c>
      <c r="AD306" s="16" t="s">
        <v>63</v>
      </c>
      <c r="AE306" s="42">
        <v>5</v>
      </c>
      <c r="AF306" s="63" t="s">
        <v>667</v>
      </c>
    </row>
    <row r="307" spans="2:32" ht="15" hidden="1" customHeight="1" x14ac:dyDescent="0.3">
      <c r="B307" s="16" t="s">
        <v>14</v>
      </c>
      <c r="C307" s="37" t="s">
        <v>1095</v>
      </c>
      <c r="D307" s="236" t="s">
        <v>1258</v>
      </c>
      <c r="E307" s="182">
        <v>9709372716</v>
      </c>
      <c r="F307" s="55">
        <v>45916</v>
      </c>
      <c r="G307" s="26" t="s">
        <v>55</v>
      </c>
      <c r="H307" s="26">
        <v>2</v>
      </c>
      <c r="I307" s="56">
        <f>480000/3</f>
        <v>160000</v>
      </c>
      <c r="J307" s="26">
        <v>4</v>
      </c>
      <c r="K307" s="321">
        <f t="shared" si="5"/>
        <v>40000</v>
      </c>
      <c r="L307" s="57">
        <v>45870</v>
      </c>
      <c r="M307" s="57">
        <v>46234</v>
      </c>
      <c r="N307" s="58" t="s">
        <v>520</v>
      </c>
      <c r="O307" s="26" t="s">
        <v>1231</v>
      </c>
      <c r="P307" s="26"/>
      <c r="Q307" s="59" t="s">
        <v>267</v>
      </c>
      <c r="R307" s="58" t="s">
        <v>1003</v>
      </c>
      <c r="S307" s="59" t="s">
        <v>269</v>
      </c>
      <c r="T307" s="58" t="s">
        <v>930</v>
      </c>
      <c r="U307" s="58" t="s">
        <v>442</v>
      </c>
      <c r="V307" s="58"/>
      <c r="W307" s="58" t="s">
        <v>444</v>
      </c>
      <c r="X307" s="58"/>
      <c r="Y307" s="58"/>
      <c r="Z307" s="58"/>
      <c r="AA307" s="58"/>
      <c r="AB307" s="58"/>
      <c r="AC307" s="58" t="s">
        <v>619</v>
      </c>
      <c r="AD307" s="16" t="s">
        <v>63</v>
      </c>
      <c r="AE307" s="26">
        <v>4</v>
      </c>
      <c r="AF307" s="63" t="s">
        <v>667</v>
      </c>
    </row>
    <row r="308" spans="2:32" ht="15" hidden="1" customHeight="1" x14ac:dyDescent="0.3">
      <c r="B308" s="16" t="s">
        <v>14</v>
      </c>
      <c r="C308" s="37" t="s">
        <v>1095</v>
      </c>
      <c r="D308" s="236" t="s">
        <v>1258</v>
      </c>
      <c r="E308" s="182">
        <v>9709372716</v>
      </c>
      <c r="F308" s="55">
        <v>45916</v>
      </c>
      <c r="G308" s="26" t="s">
        <v>55</v>
      </c>
      <c r="H308" s="26"/>
      <c r="I308" s="56">
        <f>480000/3</f>
        <v>160000</v>
      </c>
      <c r="J308" s="26">
        <v>4</v>
      </c>
      <c r="K308" s="321">
        <f t="shared" si="5"/>
        <v>40000</v>
      </c>
      <c r="L308" s="57">
        <v>46235</v>
      </c>
      <c r="M308" s="57">
        <v>46599</v>
      </c>
      <c r="N308" s="58" t="s">
        <v>520</v>
      </c>
      <c r="O308" s="26" t="s">
        <v>1231</v>
      </c>
      <c r="P308" s="26"/>
      <c r="Q308" s="58" t="s">
        <v>445</v>
      </c>
      <c r="R308" s="58"/>
      <c r="S308" s="58" t="s">
        <v>456</v>
      </c>
      <c r="T308" s="58"/>
      <c r="U308" s="58" t="s">
        <v>457</v>
      </c>
      <c r="V308" s="58"/>
      <c r="W308" s="58" t="s">
        <v>458</v>
      </c>
      <c r="X308" s="58"/>
      <c r="Y308" s="58"/>
      <c r="Z308" s="58"/>
      <c r="AA308" s="58"/>
      <c r="AB308" s="58"/>
      <c r="AC308" s="58" t="s">
        <v>619</v>
      </c>
      <c r="AD308" s="16" t="s">
        <v>63</v>
      </c>
      <c r="AE308" s="26">
        <v>4</v>
      </c>
      <c r="AF308" s="63" t="s">
        <v>667</v>
      </c>
    </row>
    <row r="309" spans="2:32" ht="15" hidden="1" customHeight="1" x14ac:dyDescent="0.3">
      <c r="B309" s="16" t="s">
        <v>14</v>
      </c>
      <c r="C309" s="86" t="s">
        <v>1095</v>
      </c>
      <c r="D309" s="264" t="s">
        <v>1258</v>
      </c>
      <c r="E309" s="87">
        <v>9709372716</v>
      </c>
      <c r="F309" s="43">
        <v>45916</v>
      </c>
      <c r="G309" s="42" t="s">
        <v>55</v>
      </c>
      <c r="H309" s="42"/>
      <c r="I309" s="61">
        <f>480000/3</f>
        <v>160000</v>
      </c>
      <c r="J309" s="42">
        <v>4</v>
      </c>
      <c r="K309" s="321">
        <f t="shared" si="5"/>
        <v>40000</v>
      </c>
      <c r="L309" s="62">
        <v>46600</v>
      </c>
      <c r="M309" s="62">
        <v>46965</v>
      </c>
      <c r="N309" s="63" t="s">
        <v>520</v>
      </c>
      <c r="O309" s="42" t="s">
        <v>1231</v>
      </c>
      <c r="P309" s="42"/>
      <c r="Q309" s="63" t="s">
        <v>459</v>
      </c>
      <c r="R309" s="63"/>
      <c r="S309" s="63" t="s">
        <v>893</v>
      </c>
      <c r="T309" s="63"/>
      <c r="U309" s="63" t="s">
        <v>894</v>
      </c>
      <c r="V309" s="63"/>
      <c r="W309" s="63" t="s">
        <v>1259</v>
      </c>
      <c r="X309" s="63"/>
      <c r="Y309" s="63"/>
      <c r="Z309" s="63"/>
      <c r="AA309" s="63"/>
      <c r="AB309" s="63"/>
      <c r="AC309" s="63" t="s">
        <v>619</v>
      </c>
      <c r="AD309" s="16" t="s">
        <v>63</v>
      </c>
      <c r="AE309" s="42">
        <v>4</v>
      </c>
      <c r="AF309" s="63" t="s">
        <v>667</v>
      </c>
    </row>
    <row r="310" spans="2:32" ht="15" hidden="1" customHeight="1" x14ac:dyDescent="0.3">
      <c r="B310" s="16" t="s">
        <v>14</v>
      </c>
      <c r="C310" s="39" t="s">
        <v>775</v>
      </c>
      <c r="D310" s="232" t="s">
        <v>1260</v>
      </c>
      <c r="E310" s="183">
        <v>2710001257</v>
      </c>
      <c r="F310" s="55">
        <v>45926</v>
      </c>
      <c r="G310" s="26" t="s">
        <v>55</v>
      </c>
      <c r="H310" s="26">
        <v>2</v>
      </c>
      <c r="I310" s="56">
        <v>170000</v>
      </c>
      <c r="J310" s="26">
        <v>2</v>
      </c>
      <c r="K310" s="321">
        <f t="shared" si="5"/>
        <v>85000</v>
      </c>
      <c r="L310" s="57">
        <v>45915</v>
      </c>
      <c r="M310" s="57">
        <v>46279</v>
      </c>
      <c r="N310" s="58" t="s">
        <v>520</v>
      </c>
      <c r="O310" s="26" t="s">
        <v>1231</v>
      </c>
      <c r="P310" s="26"/>
      <c r="Q310" s="59" t="s">
        <v>1261</v>
      </c>
      <c r="R310" s="58" t="s">
        <v>1262</v>
      </c>
      <c r="S310" s="58" t="s">
        <v>1263</v>
      </c>
      <c r="T310" s="58"/>
      <c r="U310" s="58"/>
      <c r="V310" s="58"/>
      <c r="W310" s="58"/>
      <c r="X310" s="58"/>
      <c r="Y310" s="58"/>
      <c r="Z310" s="58"/>
      <c r="AA310" s="58"/>
      <c r="AB310" s="58"/>
      <c r="AC310" s="58" t="s">
        <v>485</v>
      </c>
      <c r="AD310" s="16" t="s">
        <v>63</v>
      </c>
      <c r="AE310" s="26">
        <v>2</v>
      </c>
      <c r="AF310" s="117" t="s">
        <v>1264</v>
      </c>
    </row>
    <row r="311" spans="2:32" ht="15" hidden="1" customHeight="1" x14ac:dyDescent="0.3">
      <c r="B311" s="16" t="s">
        <v>14</v>
      </c>
      <c r="C311" s="68" t="s">
        <v>1172</v>
      </c>
      <c r="D311" s="132" t="s">
        <v>1016</v>
      </c>
      <c r="E311" s="84">
        <v>7100107808</v>
      </c>
      <c r="F311" s="43">
        <v>45904</v>
      </c>
      <c r="G311" s="42" t="s">
        <v>55</v>
      </c>
      <c r="H311" s="42">
        <v>1</v>
      </c>
      <c r="I311" s="61">
        <v>81000</v>
      </c>
      <c r="J311" s="42">
        <v>3</v>
      </c>
      <c r="K311" s="321">
        <f t="shared" si="5"/>
        <v>27000</v>
      </c>
      <c r="L311" s="62">
        <v>45901</v>
      </c>
      <c r="M311" s="62">
        <v>46265</v>
      </c>
      <c r="N311" s="63" t="s">
        <v>520</v>
      </c>
      <c r="O311" s="42" t="s">
        <v>1231</v>
      </c>
      <c r="P311" s="42"/>
      <c r="Q311" s="64" t="s">
        <v>345</v>
      </c>
      <c r="R311" s="63" t="s">
        <v>582</v>
      </c>
      <c r="S311" s="64" t="s">
        <v>347</v>
      </c>
      <c r="T311" s="63" t="s">
        <v>1009</v>
      </c>
      <c r="U311" s="63" t="s">
        <v>348</v>
      </c>
      <c r="V311" s="63"/>
      <c r="W311" s="63"/>
      <c r="X311" s="63"/>
      <c r="Y311" s="63"/>
      <c r="Z311" s="63"/>
      <c r="AA311" s="63"/>
      <c r="AB311" s="63"/>
      <c r="AC311" s="63" t="s">
        <v>619</v>
      </c>
      <c r="AD311" s="16" t="s">
        <v>63</v>
      </c>
      <c r="AE311" s="42">
        <v>3</v>
      </c>
      <c r="AF311" s="63" t="s">
        <v>667</v>
      </c>
    </row>
    <row r="312" spans="2:32" ht="15" hidden="1" customHeight="1" x14ac:dyDescent="0.3">
      <c r="B312" s="16" t="s">
        <v>14</v>
      </c>
      <c r="C312" s="94" t="s">
        <v>1265</v>
      </c>
      <c r="D312" s="247" t="s">
        <v>388</v>
      </c>
      <c r="E312" s="149">
        <v>3800035834</v>
      </c>
      <c r="F312" s="43">
        <v>45926</v>
      </c>
      <c r="G312" s="42" t="s">
        <v>55</v>
      </c>
      <c r="H312" s="42">
        <v>1</v>
      </c>
      <c r="I312" s="61">
        <v>58000</v>
      </c>
      <c r="J312" s="42">
        <v>2</v>
      </c>
      <c r="K312" s="321">
        <f t="shared" si="5"/>
        <v>29000</v>
      </c>
      <c r="L312" s="62">
        <v>45901</v>
      </c>
      <c r="M312" s="62">
        <v>46265</v>
      </c>
      <c r="N312" s="63" t="s">
        <v>520</v>
      </c>
      <c r="O312" s="42" t="s">
        <v>1231</v>
      </c>
      <c r="P312" s="184"/>
      <c r="Q312" s="64" t="s">
        <v>625</v>
      </c>
      <c r="R312" s="63" t="s">
        <v>1085</v>
      </c>
      <c r="S312" s="63" t="s">
        <v>1235</v>
      </c>
      <c r="T312" s="63"/>
      <c r="U312" s="63"/>
      <c r="V312" s="63"/>
      <c r="W312" s="63"/>
      <c r="X312" s="63"/>
      <c r="Y312" s="63"/>
      <c r="Z312" s="63"/>
      <c r="AA312" s="63"/>
      <c r="AB312" s="63"/>
      <c r="AC312" s="63" t="s">
        <v>478</v>
      </c>
      <c r="AD312" s="16" t="s">
        <v>63</v>
      </c>
      <c r="AE312" s="42">
        <v>2</v>
      </c>
      <c r="AF312" s="63" t="s">
        <v>1266</v>
      </c>
    </row>
    <row r="313" spans="2:32" ht="15" hidden="1" customHeight="1" x14ac:dyDescent="0.3">
      <c r="B313" s="16" t="s">
        <v>14</v>
      </c>
      <c r="C313" s="39" t="s">
        <v>195</v>
      </c>
      <c r="D313" s="232" t="s">
        <v>858</v>
      </c>
      <c r="E313" s="50" t="s">
        <v>1267</v>
      </c>
      <c r="F313" s="55">
        <v>45925</v>
      </c>
      <c r="G313" s="26" t="s">
        <v>55</v>
      </c>
      <c r="H313" s="26">
        <v>9</v>
      </c>
      <c r="I313" s="56">
        <v>506340</v>
      </c>
      <c r="J313" s="26">
        <v>4</v>
      </c>
      <c r="K313" s="321">
        <f t="shared" si="5"/>
        <v>126585</v>
      </c>
      <c r="L313" s="57">
        <v>45940</v>
      </c>
      <c r="M313" s="57">
        <v>46304</v>
      </c>
      <c r="N313" s="58" t="s">
        <v>520</v>
      </c>
      <c r="O313" s="26" t="s">
        <v>1231</v>
      </c>
      <c r="P313" s="185"/>
      <c r="Q313" s="59" t="s">
        <v>1268</v>
      </c>
      <c r="R313" s="58" t="s">
        <v>917</v>
      </c>
      <c r="S313" s="59" t="s">
        <v>1269</v>
      </c>
      <c r="T313" s="58" t="s">
        <v>930</v>
      </c>
      <c r="U313" s="58" t="s">
        <v>1270</v>
      </c>
      <c r="V313" s="58"/>
      <c r="W313" s="58" t="s">
        <v>1271</v>
      </c>
      <c r="X313" s="58"/>
      <c r="Y313" s="58"/>
      <c r="Z313" s="58"/>
      <c r="AA313" s="58"/>
      <c r="AB313" s="58"/>
      <c r="AC313" s="58" t="s">
        <v>551</v>
      </c>
      <c r="AD313" s="16" t="s">
        <v>207</v>
      </c>
      <c r="AE313" s="26">
        <v>3</v>
      </c>
      <c r="AF313" s="58" t="s">
        <v>1272</v>
      </c>
    </row>
    <row r="314" spans="2:32" ht="15" hidden="1" customHeight="1" x14ac:dyDescent="0.3">
      <c r="B314" s="16" t="s">
        <v>14</v>
      </c>
      <c r="C314" s="39" t="s">
        <v>195</v>
      </c>
      <c r="D314" s="232" t="s">
        <v>858</v>
      </c>
      <c r="E314" s="50" t="s">
        <v>1267</v>
      </c>
      <c r="F314" s="55">
        <v>45925</v>
      </c>
      <c r="G314" s="26" t="s">
        <v>55</v>
      </c>
      <c r="H314" s="26"/>
      <c r="I314" s="56">
        <v>506340</v>
      </c>
      <c r="J314" s="26">
        <v>4</v>
      </c>
      <c r="K314" s="321">
        <f t="shared" si="5"/>
        <v>126585</v>
      </c>
      <c r="L314" s="57">
        <v>46305</v>
      </c>
      <c r="M314" s="57">
        <v>46669</v>
      </c>
      <c r="N314" s="58" t="s">
        <v>520</v>
      </c>
      <c r="O314" s="26" t="s">
        <v>1231</v>
      </c>
      <c r="P314" s="186"/>
      <c r="Q314" s="58" t="s">
        <v>1273</v>
      </c>
      <c r="R314" s="58"/>
      <c r="S314" s="58" t="s">
        <v>1274</v>
      </c>
      <c r="T314" s="58"/>
      <c r="U314" s="58" t="s">
        <v>1275</v>
      </c>
      <c r="V314" s="58"/>
      <c r="W314" s="58" t="s">
        <v>1276</v>
      </c>
      <c r="X314" s="58"/>
      <c r="Y314" s="58"/>
      <c r="Z314" s="58"/>
      <c r="AA314" s="58"/>
      <c r="AB314" s="58"/>
      <c r="AC314" s="58" t="s">
        <v>551</v>
      </c>
      <c r="AD314" s="16" t="s">
        <v>207</v>
      </c>
      <c r="AE314" s="26">
        <v>3</v>
      </c>
      <c r="AF314" s="58" t="s">
        <v>1272</v>
      </c>
    </row>
    <row r="315" spans="2:32" ht="15" hidden="1" customHeight="1" x14ac:dyDescent="0.3">
      <c r="B315" s="16" t="s">
        <v>14</v>
      </c>
      <c r="C315" s="39" t="s">
        <v>1277</v>
      </c>
      <c r="D315" s="232" t="s">
        <v>858</v>
      </c>
      <c r="E315" s="125" t="s">
        <v>1278</v>
      </c>
      <c r="F315" s="55">
        <v>45924</v>
      </c>
      <c r="G315" s="26" t="s">
        <v>55</v>
      </c>
      <c r="H315" s="26">
        <v>5</v>
      </c>
      <c r="I315" s="56">
        <v>310400</v>
      </c>
      <c r="J315" s="26">
        <v>4</v>
      </c>
      <c r="K315" s="321">
        <f t="shared" si="5"/>
        <v>77600</v>
      </c>
      <c r="L315" s="57">
        <v>45931</v>
      </c>
      <c r="M315" s="57">
        <v>46295</v>
      </c>
      <c r="N315" s="58" t="s">
        <v>520</v>
      </c>
      <c r="O315" s="26" t="s">
        <v>1231</v>
      </c>
      <c r="P315" s="26"/>
      <c r="Q315" s="59" t="s">
        <v>228</v>
      </c>
      <c r="R315" s="58" t="s">
        <v>718</v>
      </c>
      <c r="S315" s="59" t="s">
        <v>396</v>
      </c>
      <c r="T315" s="58" t="s">
        <v>1252</v>
      </c>
      <c r="U315" s="58" t="s">
        <v>397</v>
      </c>
      <c r="V315" s="58"/>
      <c r="W315" s="58" t="s">
        <v>496</v>
      </c>
      <c r="X315" s="58"/>
      <c r="Y315" s="58"/>
      <c r="Z315" s="58"/>
      <c r="AA315" s="58"/>
      <c r="AB315" s="58"/>
      <c r="AC315" s="58" t="s">
        <v>551</v>
      </c>
      <c r="AD315" s="16" t="s">
        <v>207</v>
      </c>
      <c r="AE315" s="26">
        <v>3</v>
      </c>
      <c r="AF315" s="58" t="s">
        <v>1272</v>
      </c>
    </row>
    <row r="316" spans="2:32" ht="15" hidden="1" customHeight="1" x14ac:dyDescent="0.3">
      <c r="B316" s="16" t="s">
        <v>14</v>
      </c>
      <c r="C316" s="39" t="s">
        <v>1277</v>
      </c>
      <c r="D316" s="232" t="s">
        <v>858</v>
      </c>
      <c r="E316" s="125" t="s">
        <v>1278</v>
      </c>
      <c r="F316" s="55">
        <v>45924</v>
      </c>
      <c r="G316" s="26" t="s">
        <v>55</v>
      </c>
      <c r="H316" s="26"/>
      <c r="I316" s="56">
        <v>310400</v>
      </c>
      <c r="J316" s="26">
        <v>4</v>
      </c>
      <c r="K316" s="321">
        <f t="shared" si="5"/>
        <v>77600</v>
      </c>
      <c r="L316" s="57">
        <v>46296</v>
      </c>
      <c r="M316" s="57">
        <v>46660</v>
      </c>
      <c r="N316" s="58" t="s">
        <v>520</v>
      </c>
      <c r="O316" s="26" t="s">
        <v>1231</v>
      </c>
      <c r="P316" s="26"/>
      <c r="Q316" s="58" t="s">
        <v>497</v>
      </c>
      <c r="R316" s="58"/>
      <c r="S316" s="58" t="s">
        <v>498</v>
      </c>
      <c r="T316" s="58"/>
      <c r="U316" s="58" t="s">
        <v>499</v>
      </c>
      <c r="V316" s="58"/>
      <c r="W316" s="58" t="s">
        <v>500</v>
      </c>
      <c r="X316" s="58"/>
      <c r="Y316" s="58"/>
      <c r="Z316" s="58"/>
      <c r="AA316" s="58"/>
      <c r="AB316" s="58"/>
      <c r="AC316" s="58" t="s">
        <v>551</v>
      </c>
      <c r="AD316" s="16" t="s">
        <v>207</v>
      </c>
      <c r="AE316" s="26">
        <v>3</v>
      </c>
      <c r="AF316" s="58" t="s">
        <v>1272</v>
      </c>
    </row>
    <row r="317" spans="2:32" ht="15" hidden="1" customHeight="1" x14ac:dyDescent="0.3">
      <c r="B317" s="16" t="s">
        <v>14</v>
      </c>
      <c r="C317" s="68" t="s">
        <v>1277</v>
      </c>
      <c r="D317" s="132" t="s">
        <v>858</v>
      </c>
      <c r="E317" s="121" t="s">
        <v>1278</v>
      </c>
      <c r="F317" s="43">
        <v>45924</v>
      </c>
      <c r="G317" s="42" t="s">
        <v>55</v>
      </c>
      <c r="H317" s="42"/>
      <c r="I317" s="61">
        <v>310400</v>
      </c>
      <c r="J317" s="42">
        <v>4</v>
      </c>
      <c r="K317" s="321">
        <f t="shared" si="5"/>
        <v>77600</v>
      </c>
      <c r="L317" s="62">
        <v>46661</v>
      </c>
      <c r="M317" s="62">
        <v>47026</v>
      </c>
      <c r="N317" s="63" t="s">
        <v>520</v>
      </c>
      <c r="O317" s="42" t="s">
        <v>1231</v>
      </c>
      <c r="P317" s="42"/>
      <c r="Q317" s="62" t="s">
        <v>501</v>
      </c>
      <c r="R317" s="63"/>
      <c r="S317" s="63" t="s">
        <v>674</v>
      </c>
      <c r="T317" s="63"/>
      <c r="U317" s="63" t="s">
        <v>1279</v>
      </c>
      <c r="V317" s="63"/>
      <c r="W317" s="63" t="s">
        <v>1280</v>
      </c>
      <c r="X317" s="63"/>
      <c r="Y317" s="63"/>
      <c r="Z317" s="63"/>
      <c r="AA317" s="63"/>
      <c r="AB317" s="63"/>
      <c r="AC317" s="63" t="s">
        <v>551</v>
      </c>
      <c r="AD317" s="16" t="s">
        <v>207</v>
      </c>
      <c r="AE317" s="42">
        <v>3</v>
      </c>
      <c r="AF317" s="63" t="s">
        <v>1272</v>
      </c>
    </row>
    <row r="318" spans="2:32" ht="15" hidden="1" customHeight="1" x14ac:dyDescent="0.3">
      <c r="B318" s="16" t="s">
        <v>14</v>
      </c>
      <c r="C318" s="65" t="s">
        <v>1281</v>
      </c>
      <c r="D318" s="132" t="s">
        <v>1282</v>
      </c>
      <c r="E318" s="42">
        <v>9200015089</v>
      </c>
      <c r="F318" s="43">
        <v>45912</v>
      </c>
      <c r="G318" s="42"/>
      <c r="H318" s="42"/>
      <c r="I318" s="61">
        <v>145000</v>
      </c>
      <c r="J318" s="42"/>
      <c r="K318" s="321" t="e">
        <f t="shared" si="5"/>
        <v>#DIV/0!</v>
      </c>
      <c r="L318" s="62"/>
      <c r="M318" s="62"/>
      <c r="N318" s="63" t="s">
        <v>998</v>
      </c>
      <c r="O318" s="42" t="s">
        <v>1231</v>
      </c>
      <c r="P318" s="42" t="s">
        <v>1283</v>
      </c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 t="s">
        <v>1188</v>
      </c>
      <c r="AD318" s="42" t="s">
        <v>968</v>
      </c>
      <c r="AE318" s="42"/>
      <c r="AF318" s="63"/>
    </row>
    <row r="319" spans="2:32" ht="15" hidden="1" customHeight="1" x14ac:dyDescent="0.3">
      <c r="B319" s="16" t="s">
        <v>14</v>
      </c>
      <c r="C319" s="39" t="s">
        <v>1103</v>
      </c>
      <c r="D319" s="232" t="s">
        <v>176</v>
      </c>
      <c r="E319" s="331" t="s">
        <v>1284</v>
      </c>
      <c r="F319" s="55">
        <v>45924</v>
      </c>
      <c r="G319" s="26" t="s">
        <v>55</v>
      </c>
      <c r="H319" s="26">
        <v>1</v>
      </c>
      <c r="I319" s="56">
        <v>90000</v>
      </c>
      <c r="J319" s="26">
        <v>3</v>
      </c>
      <c r="K319" s="321">
        <f t="shared" si="5"/>
        <v>30000</v>
      </c>
      <c r="L319" s="57">
        <v>45901</v>
      </c>
      <c r="M319" s="57">
        <v>46265</v>
      </c>
      <c r="N319" s="58" t="s">
        <v>520</v>
      </c>
      <c r="O319" s="26" t="s">
        <v>1285</v>
      </c>
      <c r="P319" s="26"/>
      <c r="Q319" s="59" t="s">
        <v>345</v>
      </c>
      <c r="R319" s="58" t="s">
        <v>1286</v>
      </c>
      <c r="S319" s="59" t="s">
        <v>347</v>
      </c>
      <c r="T319" s="58" t="s">
        <v>1287</v>
      </c>
      <c r="U319" s="58" t="s">
        <v>348</v>
      </c>
      <c r="V319" s="58"/>
      <c r="W319" s="58"/>
      <c r="X319" s="58"/>
      <c r="Y319" s="58"/>
      <c r="Z319" s="58"/>
      <c r="AA319" s="58"/>
      <c r="AB319" s="58"/>
      <c r="AC319" s="58" t="s">
        <v>183</v>
      </c>
      <c r="AD319" s="26" t="s">
        <v>97</v>
      </c>
      <c r="AE319" s="26">
        <v>2</v>
      </c>
      <c r="AF319" s="58" t="s">
        <v>1272</v>
      </c>
    </row>
    <row r="320" spans="2:32" ht="15" hidden="1" customHeight="1" x14ac:dyDescent="0.3">
      <c r="B320" s="16" t="s">
        <v>14</v>
      </c>
      <c r="C320" s="39" t="s">
        <v>1288</v>
      </c>
      <c r="D320" s="232" t="s">
        <v>1114</v>
      </c>
      <c r="E320" s="42">
        <v>4504881247</v>
      </c>
      <c r="F320" s="55">
        <v>45917</v>
      </c>
      <c r="G320" s="26" t="s">
        <v>55</v>
      </c>
      <c r="H320" s="26">
        <v>10</v>
      </c>
      <c r="I320" s="56">
        <v>850000</v>
      </c>
      <c r="J320" s="26">
        <v>4</v>
      </c>
      <c r="K320" s="321">
        <f t="shared" si="5"/>
        <v>212500</v>
      </c>
      <c r="L320" s="57">
        <v>45901</v>
      </c>
      <c r="M320" s="57">
        <v>46265</v>
      </c>
      <c r="N320" s="58" t="s">
        <v>520</v>
      </c>
      <c r="O320" s="26" t="s">
        <v>1285</v>
      </c>
      <c r="P320" s="26"/>
      <c r="Q320" s="59" t="s">
        <v>1131</v>
      </c>
      <c r="R320" s="58" t="s">
        <v>247</v>
      </c>
      <c r="S320" s="59" t="s">
        <v>1133</v>
      </c>
      <c r="T320" s="58" t="s">
        <v>747</v>
      </c>
      <c r="U320" s="59" t="s">
        <v>1134</v>
      </c>
      <c r="V320" s="58" t="s">
        <v>1289</v>
      </c>
      <c r="W320" s="58" t="s">
        <v>1244</v>
      </c>
      <c r="X320" s="58"/>
      <c r="Y320" s="58"/>
      <c r="Z320" s="58"/>
      <c r="AA320" s="58"/>
      <c r="AB320" s="58"/>
      <c r="AC320" s="58" t="s">
        <v>183</v>
      </c>
      <c r="AD320" s="26" t="s">
        <v>97</v>
      </c>
      <c r="AE320" s="26">
        <v>4</v>
      </c>
      <c r="AF320" s="58" t="s">
        <v>1290</v>
      </c>
    </row>
    <row r="321" spans="1:32" ht="15" hidden="1" customHeight="1" x14ac:dyDescent="0.3">
      <c r="B321" s="16" t="s">
        <v>14</v>
      </c>
      <c r="C321" s="39" t="s">
        <v>1291</v>
      </c>
      <c r="D321" s="232" t="s">
        <v>176</v>
      </c>
      <c r="E321" s="42">
        <v>5600003069</v>
      </c>
      <c r="F321" s="55">
        <v>45890</v>
      </c>
      <c r="G321" s="26" t="s">
        <v>55</v>
      </c>
      <c r="H321" s="26">
        <v>1</v>
      </c>
      <c r="I321" s="56">
        <v>94500</v>
      </c>
      <c r="J321" s="26">
        <v>2</v>
      </c>
      <c r="K321" s="321">
        <f t="shared" si="5"/>
        <v>47250</v>
      </c>
      <c r="L321" s="57">
        <v>45901</v>
      </c>
      <c r="M321" s="57">
        <v>46265</v>
      </c>
      <c r="N321" s="58" t="s">
        <v>998</v>
      </c>
      <c r="O321" s="26" t="s">
        <v>1285</v>
      </c>
      <c r="P321" s="26" t="s">
        <v>1</v>
      </c>
      <c r="Q321" s="59" t="s">
        <v>625</v>
      </c>
      <c r="R321" s="58" t="s">
        <v>1091</v>
      </c>
      <c r="S321" s="58" t="s">
        <v>1235</v>
      </c>
      <c r="T321" s="58"/>
      <c r="U321" s="58"/>
      <c r="V321" s="58"/>
      <c r="W321" s="58"/>
      <c r="X321" s="58"/>
      <c r="Y321" s="58"/>
      <c r="Z321" s="58"/>
      <c r="AA321" s="58"/>
      <c r="AB321" s="58"/>
      <c r="AC321" s="58" t="s">
        <v>183</v>
      </c>
      <c r="AD321" s="26" t="s">
        <v>97</v>
      </c>
      <c r="AE321" s="26">
        <v>2</v>
      </c>
      <c r="AF321" s="58" t="s">
        <v>1292</v>
      </c>
    </row>
    <row r="322" spans="1:32" ht="15" hidden="1" customHeight="1" x14ac:dyDescent="0.3">
      <c r="B322" s="16" t="s">
        <v>14</v>
      </c>
      <c r="C322" s="576" t="s">
        <v>508</v>
      </c>
      <c r="D322" s="259" t="s">
        <v>866</v>
      </c>
      <c r="E322" s="104" t="s">
        <v>1293</v>
      </c>
      <c r="F322" s="180">
        <v>45926</v>
      </c>
      <c r="G322" s="42" t="s">
        <v>55</v>
      </c>
      <c r="H322" s="42">
        <v>1</v>
      </c>
      <c r="I322" s="61">
        <v>89000</v>
      </c>
      <c r="J322" s="42">
        <v>3</v>
      </c>
      <c r="K322" s="321">
        <f t="shared" si="5"/>
        <v>29666.666666666668</v>
      </c>
      <c r="L322" s="62">
        <v>45931</v>
      </c>
      <c r="M322" s="62">
        <v>46295</v>
      </c>
      <c r="N322" s="63" t="s">
        <v>520</v>
      </c>
      <c r="O322" s="42" t="s">
        <v>1285</v>
      </c>
      <c r="P322" s="42"/>
      <c r="Q322" s="64" t="s">
        <v>83</v>
      </c>
      <c r="R322" s="63" t="s">
        <v>1294</v>
      </c>
      <c r="S322" s="64" t="s">
        <v>404</v>
      </c>
      <c r="T322" s="63" t="s">
        <v>1295</v>
      </c>
      <c r="U322" s="63" t="s">
        <v>406</v>
      </c>
      <c r="V322" s="63" t="s">
        <v>1045</v>
      </c>
      <c r="W322" s="63"/>
      <c r="X322" s="63"/>
      <c r="Y322" s="63"/>
      <c r="Z322" s="63"/>
      <c r="AA322" s="63"/>
      <c r="AB322" s="63"/>
      <c r="AC322" s="63" t="s">
        <v>96</v>
      </c>
      <c r="AD322" s="42" t="s">
        <v>97</v>
      </c>
      <c r="AE322" s="42" t="s">
        <v>494</v>
      </c>
      <c r="AF322" s="573" t="s">
        <v>1296</v>
      </c>
    </row>
    <row r="323" spans="1:32" ht="15" hidden="1" customHeight="1" x14ac:dyDescent="0.3">
      <c r="B323" s="16" t="s">
        <v>14</v>
      </c>
      <c r="C323" s="74" t="s">
        <v>1297</v>
      </c>
      <c r="D323" s="130" t="s">
        <v>1298</v>
      </c>
      <c r="E323" s="607" t="s">
        <v>1299</v>
      </c>
      <c r="F323" s="40">
        <v>45934</v>
      </c>
      <c r="G323" s="26" t="s">
        <v>55</v>
      </c>
      <c r="H323" s="26">
        <v>3</v>
      </c>
      <c r="I323" s="56">
        <v>303600</v>
      </c>
      <c r="J323" s="26">
        <v>3</v>
      </c>
      <c r="K323" s="321">
        <f t="shared" si="5"/>
        <v>101200</v>
      </c>
      <c r="L323" s="57">
        <v>45931</v>
      </c>
      <c r="M323" s="57">
        <v>46295</v>
      </c>
      <c r="N323" s="58" t="s">
        <v>520</v>
      </c>
      <c r="O323" s="26" t="s">
        <v>1285</v>
      </c>
      <c r="P323" s="26"/>
      <c r="Q323" s="59" t="s">
        <v>83</v>
      </c>
      <c r="R323" s="58" t="s">
        <v>417</v>
      </c>
      <c r="S323" s="58" t="s">
        <v>404</v>
      </c>
      <c r="T323" s="58"/>
      <c r="U323" s="58" t="s">
        <v>406</v>
      </c>
      <c r="V323" s="58"/>
      <c r="W323" s="58"/>
      <c r="X323" s="58"/>
      <c r="Y323" s="58"/>
      <c r="Z323" s="58"/>
      <c r="AA323" s="58"/>
      <c r="AB323" s="58"/>
      <c r="AC323" s="58" t="s">
        <v>834</v>
      </c>
      <c r="AD323" s="16" t="s">
        <v>207</v>
      </c>
      <c r="AE323" s="26">
        <v>3</v>
      </c>
      <c r="AF323" s="54" t="s">
        <v>667</v>
      </c>
    </row>
    <row r="324" spans="1:32" ht="15" hidden="1" customHeight="1" x14ac:dyDescent="0.3">
      <c r="B324" s="16" t="s">
        <v>14</v>
      </c>
      <c r="C324" s="576" t="s">
        <v>1300</v>
      </c>
      <c r="D324" s="577" t="s">
        <v>841</v>
      </c>
      <c r="E324" s="267" t="s">
        <v>1301</v>
      </c>
      <c r="F324" s="60">
        <v>45937</v>
      </c>
      <c r="G324" s="42" t="s">
        <v>55</v>
      </c>
      <c r="H324" s="42">
        <v>1</v>
      </c>
      <c r="I324" s="61">
        <v>52800</v>
      </c>
      <c r="J324" s="42">
        <v>1</v>
      </c>
      <c r="K324" s="321">
        <f t="shared" si="5"/>
        <v>52800</v>
      </c>
      <c r="L324" s="62">
        <v>45931</v>
      </c>
      <c r="M324" s="62">
        <v>46295</v>
      </c>
      <c r="N324" s="63" t="s">
        <v>520</v>
      </c>
      <c r="O324" s="42" t="s">
        <v>1285</v>
      </c>
      <c r="P324" s="42"/>
      <c r="Q324" s="63" t="s">
        <v>1302</v>
      </c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 t="s">
        <v>485</v>
      </c>
      <c r="AD324" s="16" t="s">
        <v>63</v>
      </c>
      <c r="AE324" s="42">
        <v>2</v>
      </c>
      <c r="AF324" s="44" t="s">
        <v>1303</v>
      </c>
    </row>
    <row r="325" spans="1:32" ht="15" hidden="1" customHeight="1" x14ac:dyDescent="0.3">
      <c r="A325" s="58"/>
      <c r="B325" s="16" t="s">
        <v>14</v>
      </c>
      <c r="C325" s="575" t="s">
        <v>1304</v>
      </c>
      <c r="D325" s="571" t="s">
        <v>906</v>
      </c>
      <c r="E325" s="572">
        <v>2400019724</v>
      </c>
      <c r="F325" s="43">
        <v>45938</v>
      </c>
      <c r="G325" s="116" t="s">
        <v>703</v>
      </c>
      <c r="H325" s="42">
        <v>1</v>
      </c>
      <c r="I325" s="61">
        <v>350000</v>
      </c>
      <c r="J325" s="42">
        <v>3</v>
      </c>
      <c r="K325" s="321">
        <f>I325/2</f>
        <v>175000</v>
      </c>
      <c r="L325" s="62">
        <v>45938</v>
      </c>
      <c r="M325" s="62">
        <v>46302</v>
      </c>
      <c r="N325" s="63" t="s">
        <v>520</v>
      </c>
      <c r="O325" s="42" t="s">
        <v>1285</v>
      </c>
      <c r="P325" s="42"/>
      <c r="Q325" s="64" t="s">
        <v>1305</v>
      </c>
      <c r="R325" s="63" t="s">
        <v>1306</v>
      </c>
      <c r="S325" s="64" t="s">
        <v>1307</v>
      </c>
      <c r="T325" s="63" t="s">
        <v>1308</v>
      </c>
      <c r="U325" s="63" t="s">
        <v>1309</v>
      </c>
      <c r="V325" s="63"/>
      <c r="W325" s="63"/>
      <c r="X325" s="63"/>
      <c r="Y325" s="63"/>
      <c r="Z325" s="63"/>
      <c r="AA325" s="63"/>
      <c r="AB325" s="63"/>
      <c r="AC325" s="63" t="s">
        <v>834</v>
      </c>
      <c r="AD325" s="16" t="s">
        <v>207</v>
      </c>
      <c r="AE325" s="42" t="s">
        <v>1310</v>
      </c>
      <c r="AF325" s="63" t="s">
        <v>1311</v>
      </c>
    </row>
    <row r="326" spans="1:32" ht="15" hidden="1" customHeight="1" x14ac:dyDescent="0.3">
      <c r="B326" s="16" t="s">
        <v>14</v>
      </c>
      <c r="C326" s="68" t="s">
        <v>1312</v>
      </c>
      <c r="D326" s="265" t="s">
        <v>1313</v>
      </c>
      <c r="E326" s="177">
        <v>2800095345</v>
      </c>
      <c r="F326" s="43">
        <v>45947</v>
      </c>
      <c r="G326" s="42" t="s">
        <v>643</v>
      </c>
      <c r="H326" s="42">
        <v>2</v>
      </c>
      <c r="I326" s="61">
        <v>172872</v>
      </c>
      <c r="J326" s="42">
        <v>2</v>
      </c>
      <c r="K326" s="321">
        <f t="shared" si="5"/>
        <v>86436</v>
      </c>
      <c r="L326" s="62">
        <v>45931</v>
      </c>
      <c r="M326" s="62">
        <v>46295</v>
      </c>
      <c r="N326" s="63" t="s">
        <v>520</v>
      </c>
      <c r="O326" s="42" t="s">
        <v>1285</v>
      </c>
      <c r="P326" s="42"/>
      <c r="Q326" s="64" t="s">
        <v>465</v>
      </c>
      <c r="R326" s="63" t="s">
        <v>1314</v>
      </c>
      <c r="S326" s="63" t="s">
        <v>467</v>
      </c>
      <c r="T326" s="63"/>
      <c r="U326" s="63"/>
      <c r="V326" s="63"/>
      <c r="W326" s="63"/>
      <c r="X326" s="63"/>
      <c r="Y326" s="63"/>
      <c r="Z326" s="63"/>
      <c r="AA326" s="63"/>
      <c r="AB326" s="63"/>
      <c r="AC326" s="63" t="s">
        <v>96</v>
      </c>
      <c r="AD326" s="42" t="s">
        <v>97</v>
      </c>
      <c r="AE326" s="42">
        <v>6</v>
      </c>
      <c r="AF326" s="63" t="s">
        <v>667</v>
      </c>
    </row>
    <row r="327" spans="1:32" ht="15" hidden="1" customHeight="1" x14ac:dyDescent="0.3">
      <c r="B327" s="16" t="s">
        <v>14</v>
      </c>
      <c r="C327" s="575" t="s">
        <v>905</v>
      </c>
      <c r="D327" s="571" t="s">
        <v>545</v>
      </c>
      <c r="E327" s="572">
        <v>1100035324</v>
      </c>
      <c r="F327" s="43">
        <v>45938</v>
      </c>
      <c r="G327" s="42" t="s">
        <v>643</v>
      </c>
      <c r="H327" s="42">
        <v>2</v>
      </c>
      <c r="I327" s="61">
        <v>142500</v>
      </c>
      <c r="J327" s="42">
        <v>2</v>
      </c>
      <c r="K327" s="321">
        <f t="shared" si="5"/>
        <v>71250</v>
      </c>
      <c r="L327" s="62">
        <v>45962</v>
      </c>
      <c r="M327" s="62">
        <v>46326</v>
      </c>
      <c r="N327" s="63" t="s">
        <v>520</v>
      </c>
      <c r="O327" s="42" t="s">
        <v>1285</v>
      </c>
      <c r="P327" s="42"/>
      <c r="Q327" s="64" t="s">
        <v>330</v>
      </c>
      <c r="R327" s="63" t="s">
        <v>441</v>
      </c>
      <c r="S327" s="63" t="s">
        <v>1315</v>
      </c>
      <c r="T327" s="63"/>
      <c r="U327" s="63"/>
      <c r="V327" s="63"/>
      <c r="W327" s="63"/>
      <c r="X327" s="63"/>
      <c r="Y327" s="63"/>
      <c r="Z327" s="63"/>
      <c r="AA327" s="63"/>
      <c r="AB327" s="63"/>
      <c r="AC327" s="63" t="s">
        <v>551</v>
      </c>
      <c r="AD327" s="16" t="s">
        <v>207</v>
      </c>
      <c r="AE327" s="42">
        <v>3</v>
      </c>
      <c r="AF327" s="63" t="s">
        <v>667</v>
      </c>
    </row>
    <row r="328" spans="1:32" ht="15" hidden="1" customHeight="1" x14ac:dyDescent="0.3">
      <c r="B328" s="16" t="s">
        <v>14</v>
      </c>
      <c r="C328" s="575" t="s">
        <v>1316</v>
      </c>
      <c r="D328" s="571" t="s">
        <v>1317</v>
      </c>
      <c r="E328" s="269" t="s">
        <v>1318</v>
      </c>
      <c r="F328" s="43">
        <v>45918</v>
      </c>
      <c r="G328" s="42" t="s">
        <v>643</v>
      </c>
      <c r="H328" s="42">
        <v>2</v>
      </c>
      <c r="I328" s="61">
        <v>160000</v>
      </c>
      <c r="J328" s="42">
        <v>2</v>
      </c>
      <c r="K328" s="321">
        <f t="shared" si="5"/>
        <v>80000</v>
      </c>
      <c r="L328" s="62">
        <v>45901</v>
      </c>
      <c r="M328" s="62">
        <v>46265</v>
      </c>
      <c r="N328" s="63" t="s">
        <v>520</v>
      </c>
      <c r="O328" s="42" t="s">
        <v>1285</v>
      </c>
      <c r="P328" s="42"/>
      <c r="Q328" s="64" t="s">
        <v>625</v>
      </c>
      <c r="R328" s="63" t="s">
        <v>765</v>
      </c>
      <c r="S328" s="63" t="s">
        <v>1235</v>
      </c>
      <c r="T328" s="63"/>
      <c r="U328" s="63"/>
      <c r="V328" s="63"/>
      <c r="W328" s="63"/>
      <c r="X328" s="63"/>
      <c r="Y328" s="63"/>
      <c r="Z328" s="63"/>
      <c r="AA328" s="63"/>
      <c r="AB328" s="63"/>
      <c r="AC328" s="63" t="s">
        <v>478</v>
      </c>
      <c r="AD328" s="16" t="s">
        <v>63</v>
      </c>
      <c r="AE328" s="42">
        <v>3</v>
      </c>
      <c r="AF328" s="63" t="s">
        <v>1319</v>
      </c>
    </row>
    <row r="329" spans="1:32" ht="15" hidden="1" customHeight="1" x14ac:dyDescent="0.3">
      <c r="B329" s="16" t="s">
        <v>14</v>
      </c>
      <c r="C329" s="575" t="s">
        <v>658</v>
      </c>
      <c r="D329" s="571" t="s">
        <v>1320</v>
      </c>
      <c r="E329" s="269" t="s">
        <v>1321</v>
      </c>
      <c r="F329" s="43">
        <v>45953</v>
      </c>
      <c r="G329" s="187" t="s">
        <v>703</v>
      </c>
      <c r="H329" s="42">
        <v>1</v>
      </c>
      <c r="I329" s="61">
        <v>460000</v>
      </c>
      <c r="J329" s="42">
        <v>4</v>
      </c>
      <c r="K329" s="321">
        <f t="shared" ref="K329:K392" si="6">I329/J329</f>
        <v>115000</v>
      </c>
      <c r="L329" s="62">
        <v>45962</v>
      </c>
      <c r="M329" s="62">
        <v>46326</v>
      </c>
      <c r="N329" s="63" t="s">
        <v>520</v>
      </c>
      <c r="O329" s="42" t="s">
        <v>1285</v>
      </c>
      <c r="P329" s="42"/>
      <c r="Q329" s="64" t="s">
        <v>269</v>
      </c>
      <c r="R329" s="63" t="s">
        <v>653</v>
      </c>
      <c r="S329" s="64" t="s">
        <v>442</v>
      </c>
      <c r="T329" s="63" t="s">
        <v>1322</v>
      </c>
      <c r="U329" s="63" t="s">
        <v>444</v>
      </c>
      <c r="V329" s="63"/>
      <c r="W329" s="63" t="s">
        <v>445</v>
      </c>
      <c r="X329" s="63"/>
      <c r="Y329" s="63"/>
      <c r="Z329" s="63"/>
      <c r="AA329" s="63"/>
      <c r="AB329" s="63"/>
      <c r="AC329" s="63" t="s">
        <v>183</v>
      </c>
      <c r="AD329" s="42" t="s">
        <v>968</v>
      </c>
      <c r="AE329" s="42" t="s">
        <v>494</v>
      </c>
      <c r="AF329" s="63" t="s">
        <v>1323</v>
      </c>
    </row>
    <row r="330" spans="1:32" ht="15" hidden="1" customHeight="1" x14ac:dyDescent="0.3">
      <c r="B330" s="16" t="s">
        <v>14</v>
      </c>
      <c r="C330" s="575" t="s">
        <v>905</v>
      </c>
      <c r="D330" s="571" t="s">
        <v>151</v>
      </c>
      <c r="E330" s="572">
        <v>1100035470</v>
      </c>
      <c r="F330" s="43">
        <v>45959</v>
      </c>
      <c r="G330" s="42" t="s">
        <v>643</v>
      </c>
      <c r="H330" s="42">
        <v>2</v>
      </c>
      <c r="I330" s="61">
        <v>134000</v>
      </c>
      <c r="J330" s="42">
        <v>2</v>
      </c>
      <c r="K330" s="321">
        <f t="shared" si="6"/>
        <v>67000</v>
      </c>
      <c r="L330" s="62">
        <v>45870</v>
      </c>
      <c r="M330" s="62">
        <v>46234</v>
      </c>
      <c r="N330" s="63" t="s">
        <v>520</v>
      </c>
      <c r="O330" s="42" t="s">
        <v>1285</v>
      </c>
      <c r="P330" s="42"/>
      <c r="Q330" s="64" t="s">
        <v>424</v>
      </c>
      <c r="R330" s="63" t="s">
        <v>1324</v>
      </c>
      <c r="S330" s="63" t="s">
        <v>426</v>
      </c>
      <c r="T330" s="63"/>
      <c r="U330" s="63"/>
      <c r="V330" s="63"/>
      <c r="W330" s="63"/>
      <c r="X330" s="63"/>
      <c r="Y330" s="63"/>
      <c r="Z330" s="63"/>
      <c r="AA330" s="63"/>
      <c r="AB330" s="63"/>
      <c r="AC330" s="63" t="s">
        <v>1325</v>
      </c>
      <c r="AD330" s="16" t="s">
        <v>63</v>
      </c>
      <c r="AE330" s="42">
        <v>3</v>
      </c>
      <c r="AF330" s="63" t="s">
        <v>667</v>
      </c>
    </row>
    <row r="331" spans="1:32" ht="15" hidden="1" customHeight="1" x14ac:dyDescent="0.3">
      <c r="B331" s="16" t="s">
        <v>14</v>
      </c>
      <c r="C331" s="68" t="s">
        <v>1326</v>
      </c>
      <c r="D331" s="132" t="s">
        <v>151</v>
      </c>
      <c r="E331" s="42">
        <v>700672062</v>
      </c>
      <c r="F331" s="43">
        <v>45957</v>
      </c>
      <c r="G331" s="42" t="s">
        <v>643</v>
      </c>
      <c r="H331" s="42">
        <v>3</v>
      </c>
      <c r="I331" s="61">
        <f>96000*3</f>
        <v>288000</v>
      </c>
      <c r="J331" s="42">
        <v>3</v>
      </c>
      <c r="K331" s="321">
        <f t="shared" si="6"/>
        <v>96000</v>
      </c>
      <c r="L331" s="62">
        <v>45870</v>
      </c>
      <c r="M331" s="62">
        <v>46234</v>
      </c>
      <c r="N331" s="63" t="s">
        <v>520</v>
      </c>
      <c r="O331" s="42" t="s">
        <v>1285</v>
      </c>
      <c r="P331" s="42"/>
      <c r="Q331" s="64" t="s">
        <v>665</v>
      </c>
      <c r="R331" s="63" t="s">
        <v>73</v>
      </c>
      <c r="S331" s="64" t="s">
        <v>361</v>
      </c>
      <c r="T331" s="63" t="s">
        <v>1239</v>
      </c>
      <c r="U331" s="63" t="s">
        <v>1080</v>
      </c>
      <c r="V331" s="63"/>
      <c r="W331" s="63"/>
      <c r="X331" s="63"/>
      <c r="Y331" s="63"/>
      <c r="Z331" s="63"/>
      <c r="AA331" s="63"/>
      <c r="AB331" s="63"/>
      <c r="AC331" s="63" t="s">
        <v>507</v>
      </c>
      <c r="AD331" s="16" t="s">
        <v>63</v>
      </c>
      <c r="AE331" s="42">
        <v>3</v>
      </c>
      <c r="AF331" s="63" t="s">
        <v>1327</v>
      </c>
    </row>
    <row r="332" spans="1:32" ht="15" hidden="1" customHeight="1" x14ac:dyDescent="0.3">
      <c r="B332" s="16" t="s">
        <v>14</v>
      </c>
      <c r="C332" s="576" t="s">
        <v>1328</v>
      </c>
      <c r="D332" s="577" t="s">
        <v>841</v>
      </c>
      <c r="E332" s="578">
        <v>470075997</v>
      </c>
      <c r="F332" s="60">
        <v>45936</v>
      </c>
      <c r="G332" s="42" t="s">
        <v>643</v>
      </c>
      <c r="H332" s="42">
        <v>2</v>
      </c>
      <c r="I332" s="61">
        <v>176000</v>
      </c>
      <c r="J332" s="42">
        <v>1</v>
      </c>
      <c r="K332" s="321">
        <f t="shared" si="6"/>
        <v>176000</v>
      </c>
      <c r="L332" s="62">
        <v>45955</v>
      </c>
      <c r="M332" s="62">
        <v>46319</v>
      </c>
      <c r="N332" s="63" t="s">
        <v>520</v>
      </c>
      <c r="O332" s="42" t="s">
        <v>1285</v>
      </c>
      <c r="P332" s="42"/>
      <c r="Q332" s="63" t="s">
        <v>1329</v>
      </c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 t="s">
        <v>485</v>
      </c>
      <c r="AD332" s="16" t="s">
        <v>63</v>
      </c>
      <c r="AE332" s="42">
        <v>2</v>
      </c>
      <c r="AF332" s="63" t="s">
        <v>1127</v>
      </c>
    </row>
    <row r="333" spans="1:32" ht="15" hidden="1" customHeight="1" x14ac:dyDescent="0.3">
      <c r="B333" s="16" t="s">
        <v>14</v>
      </c>
      <c r="C333" s="68" t="s">
        <v>1330</v>
      </c>
      <c r="D333" s="132" t="s">
        <v>1230</v>
      </c>
      <c r="E333" s="125" t="s">
        <v>1331</v>
      </c>
      <c r="F333" s="43">
        <v>45955</v>
      </c>
      <c r="G333" s="42" t="s">
        <v>643</v>
      </c>
      <c r="H333" s="42">
        <v>1</v>
      </c>
      <c r="I333" s="61">
        <v>109200</v>
      </c>
      <c r="J333" s="42">
        <v>3</v>
      </c>
      <c r="K333" s="321">
        <f t="shared" si="6"/>
        <v>36400</v>
      </c>
      <c r="L333" s="62">
        <v>45950</v>
      </c>
      <c r="M333" s="62">
        <v>46314</v>
      </c>
      <c r="N333" s="63" t="s">
        <v>520</v>
      </c>
      <c r="O333" s="42" t="s">
        <v>1285</v>
      </c>
      <c r="P333" s="42"/>
      <c r="Q333" s="64" t="s">
        <v>1332</v>
      </c>
      <c r="R333" s="63" t="s">
        <v>1009</v>
      </c>
      <c r="S333" s="63" t="s">
        <v>1333</v>
      </c>
      <c r="T333" s="63"/>
      <c r="U333" s="63" t="s">
        <v>1334</v>
      </c>
      <c r="V333" s="63"/>
      <c r="W333" s="63"/>
      <c r="X333" s="63"/>
      <c r="Y333" s="63"/>
      <c r="Z333" s="63"/>
      <c r="AA333" s="63"/>
      <c r="AB333" s="63"/>
      <c r="AC333" s="63" t="s">
        <v>96</v>
      </c>
      <c r="AD333" s="42" t="s">
        <v>968</v>
      </c>
      <c r="AE333" s="42">
        <v>3</v>
      </c>
      <c r="AF333" s="63" t="s">
        <v>1335</v>
      </c>
    </row>
    <row r="334" spans="1:32" ht="15" hidden="1" customHeight="1" x14ac:dyDescent="0.3">
      <c r="B334" s="16" t="s">
        <v>14</v>
      </c>
      <c r="C334" s="94" t="s">
        <v>1336</v>
      </c>
      <c r="D334" s="247" t="s">
        <v>388</v>
      </c>
      <c r="E334" s="104">
        <v>3800044370</v>
      </c>
      <c r="F334" s="60">
        <v>45964</v>
      </c>
      <c r="G334" s="42" t="s">
        <v>643</v>
      </c>
      <c r="H334" s="42">
        <v>2</v>
      </c>
      <c r="I334" s="61">
        <v>148500</v>
      </c>
      <c r="J334" s="42">
        <v>2</v>
      </c>
      <c r="K334" s="321">
        <f t="shared" si="6"/>
        <v>74250</v>
      </c>
      <c r="L334" s="62">
        <v>45870</v>
      </c>
      <c r="M334" s="62">
        <v>46234</v>
      </c>
      <c r="N334" s="63" t="s">
        <v>520</v>
      </c>
      <c r="O334" s="42" t="s">
        <v>1337</v>
      </c>
      <c r="P334" s="42"/>
      <c r="Q334" s="64" t="s">
        <v>424</v>
      </c>
      <c r="R334" s="63" t="s">
        <v>626</v>
      </c>
      <c r="S334" s="63" t="s">
        <v>426</v>
      </c>
      <c r="T334" s="63"/>
      <c r="U334" s="63"/>
      <c r="V334" s="63"/>
      <c r="W334" s="63"/>
      <c r="X334" s="63"/>
      <c r="Y334" s="63"/>
      <c r="Z334" s="63"/>
      <c r="AA334" s="63"/>
      <c r="AB334" s="63"/>
      <c r="AC334" s="63" t="s">
        <v>478</v>
      </c>
      <c r="AD334" s="16" t="s">
        <v>63</v>
      </c>
      <c r="AE334" s="42">
        <v>2</v>
      </c>
      <c r="AF334" s="63" t="s">
        <v>799</v>
      </c>
    </row>
    <row r="335" spans="1:32" ht="15" hidden="1" customHeight="1" x14ac:dyDescent="0.3">
      <c r="B335" s="16" t="s">
        <v>14</v>
      </c>
      <c r="C335" s="573" t="s">
        <v>527</v>
      </c>
      <c r="D335" s="574" t="s">
        <v>131</v>
      </c>
      <c r="E335" s="579">
        <v>7001113889</v>
      </c>
      <c r="F335" s="43">
        <v>45964</v>
      </c>
      <c r="G335" s="42" t="s">
        <v>643</v>
      </c>
      <c r="H335" s="42">
        <v>1</v>
      </c>
      <c r="I335" s="61">
        <v>78750</v>
      </c>
      <c r="J335" s="42">
        <v>2</v>
      </c>
      <c r="K335" s="321">
        <f t="shared" si="6"/>
        <v>39375</v>
      </c>
      <c r="L335" s="62">
        <v>45962</v>
      </c>
      <c r="M335" s="62">
        <v>46326</v>
      </c>
      <c r="N335" s="63" t="s">
        <v>520</v>
      </c>
      <c r="O335" s="42" t="s">
        <v>1337</v>
      </c>
      <c r="P335" s="42"/>
      <c r="Q335" s="64" t="s">
        <v>330</v>
      </c>
      <c r="R335" s="63" t="s">
        <v>1338</v>
      </c>
      <c r="S335" s="63" t="s">
        <v>1339</v>
      </c>
      <c r="T335" s="63"/>
      <c r="U335" s="63"/>
      <c r="V335" s="63"/>
      <c r="W335" s="63"/>
      <c r="X335" s="63"/>
      <c r="Y335" s="63"/>
      <c r="Z335" s="63"/>
      <c r="AA335" s="63"/>
      <c r="AB335" s="63"/>
      <c r="AC335" s="63" t="s">
        <v>485</v>
      </c>
      <c r="AD335" s="16" t="s">
        <v>63</v>
      </c>
      <c r="AE335" s="42">
        <v>2</v>
      </c>
      <c r="AF335" s="63" t="s">
        <v>799</v>
      </c>
    </row>
    <row r="336" spans="1:32" ht="15" hidden="1" customHeight="1" x14ac:dyDescent="0.3">
      <c r="B336" s="16" t="s">
        <v>14</v>
      </c>
      <c r="C336" s="68" t="s">
        <v>1340</v>
      </c>
      <c r="D336" s="135" t="s">
        <v>1341</v>
      </c>
      <c r="E336" s="42">
        <v>1443021479</v>
      </c>
      <c r="F336" s="43">
        <v>45961</v>
      </c>
      <c r="G336" s="42" t="s">
        <v>643</v>
      </c>
      <c r="H336" s="42">
        <v>1</v>
      </c>
      <c r="I336" s="61">
        <v>70000</v>
      </c>
      <c r="J336" s="42">
        <v>2</v>
      </c>
      <c r="K336" s="321">
        <f t="shared" si="6"/>
        <v>35000</v>
      </c>
      <c r="L336" s="62">
        <v>45962</v>
      </c>
      <c r="M336" s="62">
        <v>46326</v>
      </c>
      <c r="N336" s="63" t="s">
        <v>520</v>
      </c>
      <c r="O336" s="42" t="s">
        <v>1337</v>
      </c>
      <c r="P336" s="42"/>
      <c r="Q336" s="63" t="s">
        <v>330</v>
      </c>
      <c r="R336" s="63"/>
      <c r="S336" s="63" t="s">
        <v>1339</v>
      </c>
      <c r="T336" s="63"/>
      <c r="U336" s="63"/>
      <c r="V336" s="63"/>
      <c r="W336" s="63"/>
      <c r="X336" s="63"/>
      <c r="Y336" s="63"/>
      <c r="Z336" s="63"/>
      <c r="AA336" s="63"/>
      <c r="AB336" s="63"/>
      <c r="AC336" s="63" t="s">
        <v>478</v>
      </c>
      <c r="AD336" s="16" t="s">
        <v>63</v>
      </c>
      <c r="AE336" s="42">
        <v>2</v>
      </c>
      <c r="AF336" s="63" t="s">
        <v>667</v>
      </c>
    </row>
    <row r="337" spans="2:32" ht="15" hidden="1" customHeight="1" x14ac:dyDescent="0.3">
      <c r="B337" s="16" t="s">
        <v>14</v>
      </c>
      <c r="C337" s="68" t="s">
        <v>1340</v>
      </c>
      <c r="D337" s="135" t="s">
        <v>1341</v>
      </c>
      <c r="E337" s="42">
        <v>1443021480</v>
      </c>
      <c r="F337" s="43">
        <v>45961</v>
      </c>
      <c r="G337" s="42" t="s">
        <v>643</v>
      </c>
      <c r="H337" s="42">
        <v>1</v>
      </c>
      <c r="I337" s="61">
        <v>70000</v>
      </c>
      <c r="J337" s="42">
        <v>2</v>
      </c>
      <c r="K337" s="321">
        <f t="shared" si="6"/>
        <v>35000</v>
      </c>
      <c r="L337" s="62">
        <v>45962</v>
      </c>
      <c r="M337" s="62">
        <v>46326</v>
      </c>
      <c r="N337" s="63" t="s">
        <v>520</v>
      </c>
      <c r="O337" s="42" t="s">
        <v>1337</v>
      </c>
      <c r="P337" s="42"/>
      <c r="Q337" s="63" t="s">
        <v>330</v>
      </c>
      <c r="R337" s="63"/>
      <c r="S337" s="63" t="s">
        <v>1339</v>
      </c>
      <c r="T337" s="63"/>
      <c r="U337" s="63"/>
      <c r="V337" s="63"/>
      <c r="W337" s="63"/>
      <c r="X337" s="63"/>
      <c r="Y337" s="63"/>
      <c r="Z337" s="63"/>
      <c r="AA337" s="63"/>
      <c r="AB337" s="63"/>
      <c r="AC337" s="63" t="s">
        <v>478</v>
      </c>
      <c r="AD337" s="16" t="s">
        <v>63</v>
      </c>
      <c r="AE337" s="42">
        <v>2</v>
      </c>
      <c r="AF337" s="63" t="s">
        <v>667</v>
      </c>
    </row>
    <row r="338" spans="2:32" ht="15" hidden="1" customHeight="1" x14ac:dyDescent="0.3">
      <c r="B338" s="16" t="s">
        <v>14</v>
      </c>
      <c r="C338" s="575" t="s">
        <v>1342</v>
      </c>
      <c r="D338" s="571" t="s">
        <v>447</v>
      </c>
      <c r="E338" s="572">
        <v>1000105113</v>
      </c>
      <c r="F338" s="43">
        <v>45961</v>
      </c>
      <c r="G338" s="42" t="s">
        <v>643</v>
      </c>
      <c r="H338" s="42">
        <v>2</v>
      </c>
      <c r="I338" s="61">
        <v>171712</v>
      </c>
      <c r="J338" s="42">
        <v>3</v>
      </c>
      <c r="K338" s="321">
        <f t="shared" si="6"/>
        <v>57237.333333333336</v>
      </c>
      <c r="L338" s="62">
        <v>45962</v>
      </c>
      <c r="M338" s="62">
        <v>46326</v>
      </c>
      <c r="N338" s="63" t="s">
        <v>520</v>
      </c>
      <c r="O338" s="42" t="s">
        <v>1337</v>
      </c>
      <c r="P338" s="42"/>
      <c r="Q338" s="64" t="s">
        <v>192</v>
      </c>
      <c r="R338" s="63" t="s">
        <v>1343</v>
      </c>
      <c r="S338" s="63" t="s">
        <v>194</v>
      </c>
      <c r="T338" s="63"/>
      <c r="U338" s="63" t="s">
        <v>1344</v>
      </c>
      <c r="V338" s="63"/>
      <c r="W338" s="63"/>
      <c r="X338" s="63"/>
      <c r="Y338" s="63"/>
      <c r="Z338" s="63"/>
      <c r="AA338" s="63"/>
      <c r="AB338" s="63"/>
      <c r="AC338" s="63" t="s">
        <v>281</v>
      </c>
      <c r="AD338" s="42" t="s">
        <v>97</v>
      </c>
      <c r="AE338" s="42">
        <v>3</v>
      </c>
      <c r="AF338" s="63" t="s">
        <v>1345</v>
      </c>
    </row>
    <row r="339" spans="2:32" ht="15" hidden="1" customHeight="1" x14ac:dyDescent="0.3">
      <c r="B339" s="16" t="s">
        <v>14</v>
      </c>
      <c r="C339" s="68" t="s">
        <v>1346</v>
      </c>
      <c r="D339" s="571" t="s">
        <v>447</v>
      </c>
      <c r="E339" s="330" t="s">
        <v>1347</v>
      </c>
      <c r="F339" s="43">
        <v>45960</v>
      </c>
      <c r="G339" s="42" t="s">
        <v>643</v>
      </c>
      <c r="H339" s="42">
        <v>13</v>
      </c>
      <c r="I339" s="61">
        <v>1150488</v>
      </c>
      <c r="J339" s="42">
        <v>6</v>
      </c>
      <c r="K339" s="321">
        <f t="shared" si="6"/>
        <v>191748</v>
      </c>
      <c r="L339" s="62">
        <v>45901</v>
      </c>
      <c r="M339" s="62">
        <v>46446</v>
      </c>
      <c r="N339" s="63" t="s">
        <v>520</v>
      </c>
      <c r="O339" s="42" t="s">
        <v>1337</v>
      </c>
      <c r="P339" s="42"/>
      <c r="Q339" s="64" t="s">
        <v>1348</v>
      </c>
      <c r="R339" s="63" t="s">
        <v>1349</v>
      </c>
      <c r="S339" s="64" t="s">
        <v>1133</v>
      </c>
      <c r="T339" s="63" t="s">
        <v>386</v>
      </c>
      <c r="U339" s="63" t="s">
        <v>1134</v>
      </c>
      <c r="V339" s="63" t="s">
        <v>1350</v>
      </c>
      <c r="W339" s="63" t="s">
        <v>1244</v>
      </c>
      <c r="X339" s="63" t="s">
        <v>1350</v>
      </c>
      <c r="Y339" s="63" t="s">
        <v>1245</v>
      </c>
      <c r="Z339" s="63" t="s">
        <v>1351</v>
      </c>
      <c r="AA339" s="63" t="s">
        <v>1246</v>
      </c>
      <c r="AB339" s="63"/>
      <c r="AC339" s="63" t="s">
        <v>281</v>
      </c>
      <c r="AD339" s="42" t="s">
        <v>97</v>
      </c>
      <c r="AE339" s="42">
        <v>3</v>
      </c>
      <c r="AF339" s="63" t="s">
        <v>1352</v>
      </c>
    </row>
    <row r="340" spans="2:32" ht="15" hidden="1" customHeight="1" x14ac:dyDescent="0.3">
      <c r="B340" s="16" t="s">
        <v>14</v>
      </c>
      <c r="C340" s="68" t="s">
        <v>1353</v>
      </c>
      <c r="D340" s="135" t="s">
        <v>1354</v>
      </c>
      <c r="E340" s="174">
        <v>4900003846</v>
      </c>
      <c r="F340" s="43">
        <v>45966</v>
      </c>
      <c r="G340" s="42" t="s">
        <v>643</v>
      </c>
      <c r="H340" s="42">
        <v>1</v>
      </c>
      <c r="I340" s="61">
        <v>85560</v>
      </c>
      <c r="J340" s="42">
        <v>3</v>
      </c>
      <c r="K340" s="321">
        <f t="shared" si="6"/>
        <v>28520</v>
      </c>
      <c r="L340" s="62">
        <v>45932</v>
      </c>
      <c r="M340" s="62">
        <v>46296</v>
      </c>
      <c r="N340" s="63" t="s">
        <v>520</v>
      </c>
      <c r="O340" s="42" t="s">
        <v>1337</v>
      </c>
      <c r="P340" s="42"/>
      <c r="Q340" s="64" t="s">
        <v>1355</v>
      </c>
      <c r="R340" s="63" t="s">
        <v>1105</v>
      </c>
      <c r="S340" s="63" t="s">
        <v>1356</v>
      </c>
      <c r="T340" s="63"/>
      <c r="U340" s="63" t="s">
        <v>1357</v>
      </c>
      <c r="V340" s="63"/>
      <c r="W340" s="63"/>
      <c r="X340" s="63"/>
      <c r="Y340" s="63"/>
      <c r="Z340" s="63"/>
      <c r="AA340" s="63"/>
      <c r="AB340" s="63"/>
      <c r="AC340" s="63" t="s">
        <v>485</v>
      </c>
      <c r="AD340" s="16" t="s">
        <v>63</v>
      </c>
      <c r="AE340" s="42">
        <v>4</v>
      </c>
      <c r="AF340" s="63" t="s">
        <v>1358</v>
      </c>
    </row>
    <row r="341" spans="2:32" ht="15" hidden="1" customHeight="1" x14ac:dyDescent="0.3">
      <c r="B341" s="16" t="s">
        <v>14</v>
      </c>
      <c r="C341" s="575" t="s">
        <v>1359</v>
      </c>
      <c r="D341" s="571" t="s">
        <v>1360</v>
      </c>
      <c r="E341" s="572">
        <v>4500035457</v>
      </c>
      <c r="F341" s="43">
        <v>45942</v>
      </c>
      <c r="G341" s="42" t="s">
        <v>643</v>
      </c>
      <c r="H341" s="42">
        <v>1</v>
      </c>
      <c r="I341" s="61">
        <v>175000</v>
      </c>
      <c r="J341" s="42">
        <v>2</v>
      </c>
      <c r="K341" s="321">
        <f t="shared" si="6"/>
        <v>87500</v>
      </c>
      <c r="L341" s="62">
        <v>45942</v>
      </c>
      <c r="M341" s="62">
        <v>46306</v>
      </c>
      <c r="N341" s="63" t="s">
        <v>520</v>
      </c>
      <c r="O341" s="42" t="s">
        <v>1337</v>
      </c>
      <c r="P341" s="42"/>
      <c r="Q341" s="64" t="s">
        <v>1361</v>
      </c>
      <c r="R341" s="62" t="s">
        <v>84</v>
      </c>
      <c r="S341" s="63" t="s">
        <v>1362</v>
      </c>
      <c r="T341" s="63"/>
      <c r="U341" s="63"/>
      <c r="V341" s="63"/>
      <c r="W341" s="63"/>
      <c r="X341" s="63"/>
      <c r="Y341" s="63"/>
      <c r="Z341" s="63"/>
      <c r="AA341" s="63"/>
      <c r="AB341" s="63"/>
      <c r="AC341" s="63" t="s">
        <v>128</v>
      </c>
      <c r="AD341" s="42" t="s">
        <v>129</v>
      </c>
      <c r="AE341" s="42">
        <v>2</v>
      </c>
      <c r="AF341" s="63" t="s">
        <v>1363</v>
      </c>
    </row>
    <row r="342" spans="2:32" ht="15" hidden="1" customHeight="1" x14ac:dyDescent="0.3">
      <c r="B342" s="16" t="s">
        <v>14</v>
      </c>
      <c r="C342" s="68" t="s">
        <v>1364</v>
      </c>
      <c r="D342" s="132" t="s">
        <v>997</v>
      </c>
      <c r="E342" s="335">
        <v>4400000465</v>
      </c>
      <c r="F342" s="43">
        <v>45974</v>
      </c>
      <c r="G342" s="42" t="s">
        <v>643</v>
      </c>
      <c r="H342" s="42">
        <v>3</v>
      </c>
      <c r="I342" s="61">
        <v>300000</v>
      </c>
      <c r="J342" s="42">
        <v>2</v>
      </c>
      <c r="K342" s="321">
        <f t="shared" si="6"/>
        <v>150000</v>
      </c>
      <c r="L342" s="62">
        <v>45962</v>
      </c>
      <c r="M342" s="62">
        <v>46326</v>
      </c>
      <c r="N342" s="63" t="s">
        <v>520</v>
      </c>
      <c r="O342" s="42" t="s">
        <v>1337</v>
      </c>
      <c r="P342" s="42"/>
      <c r="Q342" s="64" t="s">
        <v>330</v>
      </c>
      <c r="R342" s="63" t="s">
        <v>1044</v>
      </c>
      <c r="S342" s="63" t="s">
        <v>1339</v>
      </c>
      <c r="T342" s="63"/>
      <c r="U342" s="63"/>
      <c r="V342" s="63"/>
      <c r="W342" s="63"/>
      <c r="X342" s="63"/>
      <c r="Y342" s="63"/>
      <c r="Z342" s="63"/>
      <c r="AA342" s="63"/>
      <c r="AB342" s="63"/>
      <c r="AC342" s="63" t="s">
        <v>96</v>
      </c>
      <c r="AD342" s="42" t="s">
        <v>97</v>
      </c>
      <c r="AE342" s="42">
        <v>3</v>
      </c>
      <c r="AF342" s="63" t="s">
        <v>1365</v>
      </c>
    </row>
    <row r="343" spans="2:32" ht="15" hidden="1" customHeight="1" x14ac:dyDescent="0.3">
      <c r="B343" s="16" t="s">
        <v>14</v>
      </c>
      <c r="C343" s="68" t="s">
        <v>1011</v>
      </c>
      <c r="D343" s="81" t="s">
        <v>1012</v>
      </c>
      <c r="E343" s="50" t="s">
        <v>1366</v>
      </c>
      <c r="F343" s="43">
        <v>45974</v>
      </c>
      <c r="G343" s="42" t="s">
        <v>643</v>
      </c>
      <c r="H343" s="42">
        <v>1</v>
      </c>
      <c r="I343" s="61">
        <v>55200</v>
      </c>
      <c r="J343" s="42">
        <v>2</v>
      </c>
      <c r="K343" s="321">
        <f t="shared" si="6"/>
        <v>27600</v>
      </c>
      <c r="L343" s="62">
        <v>46023</v>
      </c>
      <c r="M343" s="62">
        <v>46387</v>
      </c>
      <c r="N343" s="63" t="s">
        <v>520</v>
      </c>
      <c r="O343" s="42" t="s">
        <v>1337</v>
      </c>
      <c r="P343" s="42"/>
      <c r="Q343" s="63" t="s">
        <v>607</v>
      </c>
      <c r="R343" s="63"/>
      <c r="S343" s="63" t="s">
        <v>608</v>
      </c>
      <c r="T343" s="63"/>
      <c r="U343" s="63"/>
      <c r="V343" s="63"/>
      <c r="W343" s="63"/>
      <c r="X343" s="63"/>
      <c r="Y343" s="63"/>
      <c r="Z343" s="63"/>
      <c r="AA343" s="63"/>
      <c r="AB343" s="63"/>
      <c r="AC343" s="63" t="s">
        <v>619</v>
      </c>
      <c r="AD343" s="16" t="s">
        <v>63</v>
      </c>
      <c r="AE343" s="42" t="s">
        <v>1367</v>
      </c>
      <c r="AF343" s="63" t="s">
        <v>835</v>
      </c>
    </row>
    <row r="344" spans="2:32" ht="15" hidden="1" customHeight="1" x14ac:dyDescent="0.3">
      <c r="B344" s="16" t="s">
        <v>14</v>
      </c>
      <c r="C344" s="68" t="s">
        <v>195</v>
      </c>
      <c r="D344" s="571" t="s">
        <v>447</v>
      </c>
      <c r="E344" s="269" t="s">
        <v>1368</v>
      </c>
      <c r="F344" s="43">
        <v>45978</v>
      </c>
      <c r="G344" s="42" t="s">
        <v>643</v>
      </c>
      <c r="H344" s="42">
        <v>23</v>
      </c>
      <c r="I344" s="61">
        <v>1413120</v>
      </c>
      <c r="J344" s="42">
        <v>4</v>
      </c>
      <c r="K344" s="325">
        <f t="shared" si="6"/>
        <v>353280</v>
      </c>
      <c r="L344" s="62">
        <v>45979</v>
      </c>
      <c r="M344" s="62">
        <v>46343</v>
      </c>
      <c r="N344" s="63" t="s">
        <v>520</v>
      </c>
      <c r="O344" s="42" t="s">
        <v>1337</v>
      </c>
      <c r="P344" s="42"/>
      <c r="Q344" s="64" t="s">
        <v>1369</v>
      </c>
      <c r="R344" s="63" t="s">
        <v>441</v>
      </c>
      <c r="S344" s="63" t="s">
        <v>1370</v>
      </c>
      <c r="T344" s="63"/>
      <c r="U344" s="63" t="s">
        <v>1371</v>
      </c>
      <c r="V344" s="63"/>
      <c r="W344" s="63" t="s">
        <v>1372</v>
      </c>
      <c r="X344" s="63"/>
      <c r="Y344" s="63"/>
      <c r="Z344" s="63"/>
      <c r="AA344" s="63"/>
      <c r="AB344" s="63"/>
      <c r="AC344" s="63" t="s">
        <v>96</v>
      </c>
      <c r="AD344" s="42" t="s">
        <v>97</v>
      </c>
      <c r="AE344" s="42" t="s">
        <v>494</v>
      </c>
      <c r="AF344" s="63" t="s">
        <v>667</v>
      </c>
    </row>
    <row r="345" spans="2:32" ht="15" hidden="1" customHeight="1" x14ac:dyDescent="0.3">
      <c r="B345" s="16" t="s">
        <v>14</v>
      </c>
      <c r="C345" s="565" t="s">
        <v>1359</v>
      </c>
      <c r="D345" s="566" t="s">
        <v>1360</v>
      </c>
      <c r="E345" s="570">
        <v>4500035464</v>
      </c>
      <c r="F345" s="55">
        <v>45943</v>
      </c>
      <c r="G345" s="26" t="s">
        <v>643</v>
      </c>
      <c r="H345" s="26">
        <v>2</v>
      </c>
      <c r="I345" s="56">
        <v>175000</v>
      </c>
      <c r="J345" s="26">
        <v>1</v>
      </c>
      <c r="K345" s="321">
        <f t="shared" si="6"/>
        <v>175000</v>
      </c>
      <c r="L345" s="57">
        <v>45943</v>
      </c>
      <c r="M345" s="57">
        <v>46124</v>
      </c>
      <c r="N345" s="58" t="s">
        <v>520</v>
      </c>
      <c r="O345" s="42" t="s">
        <v>1337</v>
      </c>
      <c r="P345" s="26"/>
      <c r="Q345" s="59" t="s">
        <v>1373</v>
      </c>
      <c r="R345" s="58" t="s">
        <v>1374</v>
      </c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 t="s">
        <v>128</v>
      </c>
      <c r="AD345" s="26" t="s">
        <v>129</v>
      </c>
      <c r="AE345" s="26">
        <v>2</v>
      </c>
      <c r="AF345" s="58" t="s">
        <v>1272</v>
      </c>
    </row>
    <row r="346" spans="2:32" ht="15" hidden="1" customHeight="1" x14ac:dyDescent="0.3">
      <c r="B346" s="16" t="s">
        <v>14</v>
      </c>
      <c r="C346" s="575" t="s">
        <v>1359</v>
      </c>
      <c r="D346" s="571" t="s">
        <v>1360</v>
      </c>
      <c r="E346" s="572">
        <v>4500035465</v>
      </c>
      <c r="F346" s="43">
        <v>45943</v>
      </c>
      <c r="G346" s="42" t="s">
        <v>643</v>
      </c>
      <c r="H346" s="42">
        <v>2</v>
      </c>
      <c r="I346" s="61">
        <v>175000</v>
      </c>
      <c r="J346" s="42">
        <v>1</v>
      </c>
      <c r="K346" s="321">
        <f t="shared" si="6"/>
        <v>175000</v>
      </c>
      <c r="L346" s="62">
        <v>46125</v>
      </c>
      <c r="M346" s="62">
        <v>46307</v>
      </c>
      <c r="N346" s="63" t="s">
        <v>520</v>
      </c>
      <c r="O346" s="42" t="s">
        <v>1337</v>
      </c>
      <c r="P346" s="42"/>
      <c r="Q346" s="63" t="s">
        <v>1375</v>
      </c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 t="s">
        <v>128</v>
      </c>
      <c r="AD346" s="42" t="s">
        <v>129</v>
      </c>
      <c r="AE346" s="42">
        <v>2</v>
      </c>
      <c r="AF346" s="63" t="s">
        <v>1272</v>
      </c>
    </row>
    <row r="347" spans="2:32" ht="15" hidden="1" customHeight="1" x14ac:dyDescent="0.3">
      <c r="B347" s="16" t="s">
        <v>14</v>
      </c>
      <c r="C347" s="608" t="s">
        <v>948</v>
      </c>
      <c r="D347" s="609" t="s">
        <v>987</v>
      </c>
      <c r="E347" s="217">
        <v>948530</v>
      </c>
      <c r="F347" s="43">
        <v>45971</v>
      </c>
      <c r="G347" s="42" t="s">
        <v>643</v>
      </c>
      <c r="H347" s="42">
        <v>1</v>
      </c>
      <c r="I347" s="61">
        <v>18620</v>
      </c>
      <c r="J347" s="42">
        <v>1</v>
      </c>
      <c r="K347" s="321">
        <f t="shared" si="6"/>
        <v>18620</v>
      </c>
      <c r="L347" s="62">
        <v>45931</v>
      </c>
      <c r="M347" s="62">
        <v>46022</v>
      </c>
      <c r="N347" s="63" t="s">
        <v>19</v>
      </c>
      <c r="O347" s="42" t="s">
        <v>1376</v>
      </c>
      <c r="P347" s="42"/>
      <c r="Q347" s="64" t="s">
        <v>228</v>
      </c>
      <c r="R347" s="63" t="s">
        <v>967</v>
      </c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 t="s">
        <v>551</v>
      </c>
      <c r="AD347" s="16" t="s">
        <v>207</v>
      </c>
      <c r="AE347" s="42"/>
      <c r="AF347" s="63" t="s">
        <v>1272</v>
      </c>
    </row>
    <row r="348" spans="2:32" ht="15" hidden="1" customHeight="1" x14ac:dyDescent="0.3">
      <c r="B348" s="16" t="s">
        <v>14</v>
      </c>
      <c r="C348" s="68" t="s">
        <v>1377</v>
      </c>
      <c r="D348" s="132" t="s">
        <v>151</v>
      </c>
      <c r="E348" s="579">
        <v>4500089503</v>
      </c>
      <c r="F348" s="43">
        <v>45980</v>
      </c>
      <c r="G348" s="42" t="s">
        <v>643</v>
      </c>
      <c r="H348" s="42">
        <v>1</v>
      </c>
      <c r="I348" s="61">
        <v>100008</v>
      </c>
      <c r="J348" s="42">
        <v>3</v>
      </c>
      <c r="K348" s="321">
        <f t="shared" si="6"/>
        <v>33336</v>
      </c>
      <c r="L348" s="62">
        <v>45981</v>
      </c>
      <c r="M348" s="62">
        <v>46345</v>
      </c>
      <c r="N348" s="63" t="s">
        <v>520</v>
      </c>
      <c r="O348" s="42" t="s">
        <v>1337</v>
      </c>
      <c r="P348" s="42"/>
      <c r="Q348" s="64" t="s">
        <v>1378</v>
      </c>
      <c r="R348" s="63" t="s">
        <v>1162</v>
      </c>
      <c r="S348" s="63" t="s">
        <v>1379</v>
      </c>
      <c r="T348" s="63"/>
      <c r="U348" s="63" t="s">
        <v>1380</v>
      </c>
      <c r="V348" s="63"/>
      <c r="W348" s="63"/>
      <c r="X348" s="63"/>
      <c r="Y348" s="63"/>
      <c r="Z348" s="63"/>
      <c r="AA348" s="63"/>
      <c r="AB348" s="63"/>
      <c r="AC348" s="63" t="s">
        <v>507</v>
      </c>
      <c r="AD348" s="16" t="s">
        <v>63</v>
      </c>
      <c r="AE348" s="42">
        <v>3</v>
      </c>
      <c r="AF348" s="63" t="s">
        <v>1272</v>
      </c>
    </row>
    <row r="349" spans="2:32" ht="15" hidden="1" customHeight="1" x14ac:dyDescent="0.3">
      <c r="B349" s="16" t="s">
        <v>14</v>
      </c>
      <c r="C349" s="575" t="s">
        <v>658</v>
      </c>
      <c r="D349" s="571" t="s">
        <v>388</v>
      </c>
      <c r="E349" s="269" t="s">
        <v>1381</v>
      </c>
      <c r="F349" s="43">
        <v>45981</v>
      </c>
      <c r="G349" s="42" t="s">
        <v>643</v>
      </c>
      <c r="H349" s="42">
        <v>3</v>
      </c>
      <c r="I349" s="61">
        <v>204000</v>
      </c>
      <c r="J349" s="42">
        <v>2</v>
      </c>
      <c r="K349" s="325">
        <f t="shared" si="6"/>
        <v>102000</v>
      </c>
      <c r="L349" s="62">
        <v>45809</v>
      </c>
      <c r="M349" s="62">
        <v>46173</v>
      </c>
      <c r="N349" s="63" t="s">
        <v>520</v>
      </c>
      <c r="O349" s="42" t="s">
        <v>1337</v>
      </c>
      <c r="P349" s="42"/>
      <c r="Q349" s="64" t="s">
        <v>125</v>
      </c>
      <c r="R349" s="63" t="s">
        <v>346</v>
      </c>
      <c r="S349" s="63" t="s">
        <v>127</v>
      </c>
      <c r="T349" s="63"/>
      <c r="U349" s="63"/>
      <c r="V349" s="63"/>
      <c r="W349" s="63"/>
      <c r="X349" s="63"/>
      <c r="Y349" s="63"/>
      <c r="Z349" s="63"/>
      <c r="AA349" s="63"/>
      <c r="AB349" s="63"/>
      <c r="AC349" s="63" t="s">
        <v>478</v>
      </c>
      <c r="AD349" s="16" t="s">
        <v>63</v>
      </c>
      <c r="AE349" s="42">
        <v>3</v>
      </c>
      <c r="AF349" s="63" t="s">
        <v>1272</v>
      </c>
    </row>
    <row r="350" spans="2:32" ht="15" hidden="1" customHeight="1" x14ac:dyDescent="0.3">
      <c r="B350" s="16" t="s">
        <v>14</v>
      </c>
      <c r="C350" s="580" t="s">
        <v>1382</v>
      </c>
      <c r="D350" s="581" t="s">
        <v>1383</v>
      </c>
      <c r="E350" s="149">
        <v>3100343411</v>
      </c>
      <c r="F350" s="43">
        <v>45981</v>
      </c>
      <c r="G350" s="42" t="s">
        <v>643</v>
      </c>
      <c r="H350" s="42">
        <v>1</v>
      </c>
      <c r="I350" s="61">
        <v>55000</v>
      </c>
      <c r="J350" s="42">
        <v>1</v>
      </c>
      <c r="K350" s="321">
        <f t="shared" si="6"/>
        <v>55000</v>
      </c>
      <c r="L350" s="62">
        <v>45870</v>
      </c>
      <c r="M350" s="218">
        <v>46234</v>
      </c>
      <c r="N350" s="63"/>
      <c r="O350" s="43"/>
      <c r="P350" s="42"/>
      <c r="Q350" s="63" t="s">
        <v>1384</v>
      </c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 t="s">
        <v>507</v>
      </c>
      <c r="AD350" s="16" t="s">
        <v>63</v>
      </c>
      <c r="AE350" s="42" t="s">
        <v>1367</v>
      </c>
      <c r="AF350" s="63" t="s">
        <v>667</v>
      </c>
    </row>
    <row r="351" spans="2:32" ht="15" hidden="1" customHeight="1" x14ac:dyDescent="0.3">
      <c r="B351" s="16" t="s">
        <v>14</v>
      </c>
      <c r="C351" s="575" t="s">
        <v>1385</v>
      </c>
      <c r="D351" s="571" t="s">
        <v>151</v>
      </c>
      <c r="E351" s="175">
        <v>4500088897</v>
      </c>
      <c r="F351" s="345">
        <v>45958</v>
      </c>
      <c r="G351" s="42" t="s">
        <v>643</v>
      </c>
      <c r="H351" s="42">
        <v>2</v>
      </c>
      <c r="I351" s="61">
        <v>90000</v>
      </c>
      <c r="J351" s="42">
        <v>1</v>
      </c>
      <c r="K351" s="321">
        <f t="shared" si="6"/>
        <v>90000</v>
      </c>
      <c r="L351" s="62">
        <v>45962</v>
      </c>
      <c r="M351" s="62">
        <v>46326</v>
      </c>
      <c r="N351" s="63" t="s">
        <v>520</v>
      </c>
      <c r="O351" s="42" t="s">
        <v>1337</v>
      </c>
      <c r="P351" s="42"/>
      <c r="Q351" s="63" t="s">
        <v>1386</v>
      </c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 t="s">
        <v>478</v>
      </c>
      <c r="AD351" s="16" t="s">
        <v>63</v>
      </c>
      <c r="AE351" s="42">
        <v>1</v>
      </c>
      <c r="AF351" s="63" t="s">
        <v>667</v>
      </c>
    </row>
    <row r="352" spans="2:32" ht="15" hidden="1" customHeight="1" x14ac:dyDescent="0.3">
      <c r="B352" s="16" t="s">
        <v>14</v>
      </c>
      <c r="C352" s="576" t="s">
        <v>948</v>
      </c>
      <c r="D352" s="577" t="s">
        <v>987</v>
      </c>
      <c r="E352" s="104">
        <v>946532</v>
      </c>
      <c r="F352" s="60">
        <v>45955</v>
      </c>
      <c r="G352" s="42" t="s">
        <v>643</v>
      </c>
      <c r="H352" s="42">
        <v>2</v>
      </c>
      <c r="I352" s="61">
        <v>148960</v>
      </c>
      <c r="J352" s="42">
        <v>4</v>
      </c>
      <c r="K352" s="321">
        <f t="shared" si="6"/>
        <v>37240</v>
      </c>
      <c r="L352" s="62">
        <v>45962</v>
      </c>
      <c r="M352" s="62">
        <v>46326</v>
      </c>
      <c r="N352" s="63" t="s">
        <v>520</v>
      </c>
      <c r="O352" s="42"/>
      <c r="P352" s="42"/>
      <c r="Q352" s="64" t="s">
        <v>269</v>
      </c>
      <c r="R352" s="63" t="s">
        <v>1387</v>
      </c>
      <c r="S352" s="64" t="s">
        <v>442</v>
      </c>
      <c r="T352" s="63" t="s">
        <v>443</v>
      </c>
      <c r="U352" s="63" t="s">
        <v>444</v>
      </c>
      <c r="V352" s="63"/>
      <c r="W352" s="63" t="s">
        <v>445</v>
      </c>
      <c r="X352" s="63"/>
      <c r="Y352" s="63"/>
      <c r="Z352" s="63"/>
      <c r="AA352" s="63"/>
      <c r="AB352" s="63"/>
      <c r="AC352" s="63" t="s">
        <v>551</v>
      </c>
      <c r="AD352" s="16" t="s">
        <v>207</v>
      </c>
      <c r="AE352" s="42">
        <v>4</v>
      </c>
      <c r="AF352" s="171">
        <v>1</v>
      </c>
    </row>
    <row r="353" spans="2:32" ht="15" hidden="1" customHeight="1" x14ac:dyDescent="0.3">
      <c r="B353" s="16" t="s">
        <v>14</v>
      </c>
      <c r="C353" s="39" t="s">
        <v>1095</v>
      </c>
      <c r="D353" s="562" t="s">
        <v>1258</v>
      </c>
      <c r="E353" s="26">
        <v>4513730038</v>
      </c>
      <c r="F353" s="343">
        <v>45973</v>
      </c>
      <c r="G353" s="26" t="s">
        <v>643</v>
      </c>
      <c r="H353" s="26">
        <v>1</v>
      </c>
      <c r="I353" s="56">
        <v>82000</v>
      </c>
      <c r="J353" s="26">
        <v>4</v>
      </c>
      <c r="K353" s="321">
        <f t="shared" si="6"/>
        <v>20500</v>
      </c>
      <c r="L353" s="57">
        <v>45870</v>
      </c>
      <c r="M353" s="57">
        <v>46234</v>
      </c>
      <c r="N353" s="63" t="s">
        <v>520</v>
      </c>
      <c r="O353" s="26"/>
      <c r="P353" s="26"/>
      <c r="Q353" s="59" t="s">
        <v>267</v>
      </c>
      <c r="R353" s="58" t="s">
        <v>1388</v>
      </c>
      <c r="S353" s="59" t="s">
        <v>269</v>
      </c>
      <c r="T353" s="58" t="s">
        <v>270</v>
      </c>
      <c r="U353" s="58" t="s">
        <v>442</v>
      </c>
      <c r="V353" s="58"/>
      <c r="W353" s="58" t="s">
        <v>444</v>
      </c>
      <c r="X353" s="58"/>
      <c r="Y353" s="58"/>
      <c r="Z353" s="58"/>
      <c r="AA353" s="58"/>
      <c r="AB353" s="58"/>
      <c r="AC353" s="58" t="s">
        <v>619</v>
      </c>
      <c r="AD353" s="16" t="s">
        <v>63</v>
      </c>
      <c r="AE353" s="26">
        <v>4</v>
      </c>
      <c r="AF353" s="58" t="s">
        <v>667</v>
      </c>
    </row>
    <row r="354" spans="2:32" ht="15" hidden="1" customHeight="1" x14ac:dyDescent="0.3">
      <c r="B354" s="16" t="s">
        <v>14</v>
      </c>
      <c r="C354" s="39" t="s">
        <v>1095</v>
      </c>
      <c r="D354" s="562" t="s">
        <v>1258</v>
      </c>
      <c r="E354" s="26">
        <v>4513730038</v>
      </c>
      <c r="F354" s="343">
        <v>45973</v>
      </c>
      <c r="G354" s="26" t="s">
        <v>643</v>
      </c>
      <c r="H354" s="26"/>
      <c r="I354" s="56">
        <v>82000</v>
      </c>
      <c r="J354" s="26">
        <v>4</v>
      </c>
      <c r="K354" s="321">
        <f t="shared" si="6"/>
        <v>20500</v>
      </c>
      <c r="L354" s="57">
        <v>46235</v>
      </c>
      <c r="M354" s="57">
        <v>46599</v>
      </c>
      <c r="N354" s="63" t="s">
        <v>520</v>
      </c>
      <c r="O354" s="26"/>
      <c r="P354" s="26"/>
      <c r="Q354" s="58" t="s">
        <v>445</v>
      </c>
      <c r="R354" s="58"/>
      <c r="S354" s="58" t="s">
        <v>456</v>
      </c>
      <c r="T354" s="58"/>
      <c r="U354" s="58" t="s">
        <v>457</v>
      </c>
      <c r="V354" s="58"/>
      <c r="W354" s="58" t="s">
        <v>458</v>
      </c>
      <c r="X354" s="58"/>
      <c r="Y354" s="58"/>
      <c r="Z354" s="58"/>
      <c r="AA354" s="58"/>
      <c r="AB354" s="58"/>
      <c r="AC354" s="58" t="s">
        <v>619</v>
      </c>
      <c r="AD354" s="16" t="s">
        <v>63</v>
      </c>
      <c r="AE354" s="26">
        <v>4</v>
      </c>
      <c r="AF354" s="58" t="s">
        <v>667</v>
      </c>
    </row>
    <row r="355" spans="2:32" ht="15" hidden="1" customHeight="1" x14ac:dyDescent="0.3">
      <c r="B355" s="16" t="s">
        <v>14</v>
      </c>
      <c r="C355" s="68" t="s">
        <v>1095</v>
      </c>
      <c r="D355" s="582" t="s">
        <v>1258</v>
      </c>
      <c r="E355" s="42">
        <v>4513730038</v>
      </c>
      <c r="F355" s="345">
        <v>45973</v>
      </c>
      <c r="G355" s="42" t="s">
        <v>643</v>
      </c>
      <c r="H355" s="42"/>
      <c r="I355" s="61">
        <v>90200</v>
      </c>
      <c r="J355" s="42">
        <v>4</v>
      </c>
      <c r="K355" s="321">
        <f t="shared" si="6"/>
        <v>22550</v>
      </c>
      <c r="L355" s="62">
        <v>46600</v>
      </c>
      <c r="M355" s="62">
        <v>46965</v>
      </c>
      <c r="N355" s="63" t="s">
        <v>520</v>
      </c>
      <c r="O355" s="42"/>
      <c r="P355" s="42"/>
      <c r="Q355" s="63" t="s">
        <v>459</v>
      </c>
      <c r="R355" s="63"/>
      <c r="S355" s="63" t="s">
        <v>893</v>
      </c>
      <c r="T355" s="63"/>
      <c r="U355" s="63" t="s">
        <v>894</v>
      </c>
      <c r="V355" s="63"/>
      <c r="W355" s="63" t="s">
        <v>1259</v>
      </c>
      <c r="X355" s="63"/>
      <c r="Y355" s="63"/>
      <c r="Z355" s="63"/>
      <c r="AA355" s="63"/>
      <c r="AB355" s="63"/>
      <c r="AC355" s="63" t="s">
        <v>619</v>
      </c>
      <c r="AD355" s="16" t="s">
        <v>63</v>
      </c>
      <c r="AE355" s="42">
        <v>4</v>
      </c>
      <c r="AF355" s="63" t="s">
        <v>667</v>
      </c>
    </row>
    <row r="356" spans="2:32" ht="15" hidden="1" customHeight="1" x14ac:dyDescent="0.3">
      <c r="B356" s="16" t="s">
        <v>14</v>
      </c>
      <c r="C356" s="575" t="s">
        <v>1389</v>
      </c>
      <c r="D356" s="571" t="s">
        <v>1088</v>
      </c>
      <c r="E356" s="188">
        <v>132964</v>
      </c>
      <c r="F356" s="345">
        <v>45981</v>
      </c>
      <c r="G356" s="42" t="s">
        <v>643</v>
      </c>
      <c r="H356" s="42">
        <v>4</v>
      </c>
      <c r="I356" s="61">
        <v>300000</v>
      </c>
      <c r="J356" s="42">
        <v>4</v>
      </c>
      <c r="K356" s="321">
        <f t="shared" si="6"/>
        <v>75000</v>
      </c>
      <c r="L356" s="62">
        <v>45931</v>
      </c>
      <c r="M356" s="62">
        <v>46295</v>
      </c>
      <c r="N356" s="63" t="s">
        <v>520</v>
      </c>
      <c r="O356" s="42"/>
      <c r="P356" s="42"/>
      <c r="Q356" s="64" t="s">
        <v>228</v>
      </c>
      <c r="R356" s="63" t="s">
        <v>873</v>
      </c>
      <c r="S356" s="64" t="s">
        <v>396</v>
      </c>
      <c r="T356" s="63" t="s">
        <v>1093</v>
      </c>
      <c r="U356" s="63" t="s">
        <v>397</v>
      </c>
      <c r="V356" s="63"/>
      <c r="W356" s="63" t="s">
        <v>496</v>
      </c>
      <c r="X356" s="63"/>
      <c r="Y356" s="63"/>
      <c r="Z356" s="63"/>
      <c r="AA356" s="63"/>
      <c r="AB356" s="63"/>
      <c r="AC356" s="63" t="s">
        <v>96</v>
      </c>
      <c r="AD356" s="42" t="s">
        <v>97</v>
      </c>
      <c r="AE356" s="42">
        <v>4</v>
      </c>
      <c r="AF356" s="63" t="s">
        <v>667</v>
      </c>
    </row>
    <row r="357" spans="2:32" ht="15" hidden="1" customHeight="1" x14ac:dyDescent="0.3">
      <c r="B357" s="16" t="s">
        <v>14</v>
      </c>
      <c r="C357" s="575" t="s">
        <v>1158</v>
      </c>
      <c r="D357" s="571" t="s">
        <v>801</v>
      </c>
      <c r="E357" s="175">
        <v>1600036220</v>
      </c>
      <c r="F357" s="345">
        <v>46000</v>
      </c>
      <c r="G357" s="42" t="s">
        <v>643</v>
      </c>
      <c r="H357" s="42">
        <v>1</v>
      </c>
      <c r="I357" s="61">
        <v>71250</v>
      </c>
      <c r="J357" s="42">
        <v>3</v>
      </c>
      <c r="K357" s="321">
        <f t="shared" si="6"/>
        <v>23750</v>
      </c>
      <c r="L357" s="62">
        <v>45658</v>
      </c>
      <c r="M357" s="62">
        <v>46387</v>
      </c>
      <c r="N357" s="63" t="s">
        <v>520</v>
      </c>
      <c r="O357" s="42"/>
      <c r="P357" s="42"/>
      <c r="Q357" s="64" t="s">
        <v>347</v>
      </c>
      <c r="R357" s="63" t="s">
        <v>626</v>
      </c>
      <c r="S357" s="63" t="s">
        <v>348</v>
      </c>
      <c r="T357" s="63"/>
      <c r="U357" s="63" t="s">
        <v>349</v>
      </c>
      <c r="V357" s="63"/>
      <c r="W357" s="63"/>
      <c r="X357" s="63"/>
      <c r="Y357" s="63"/>
      <c r="Z357" s="63"/>
      <c r="AA357" s="63"/>
      <c r="AB357" s="63"/>
      <c r="AC357" s="63" t="s">
        <v>485</v>
      </c>
      <c r="AD357" s="16" t="s">
        <v>63</v>
      </c>
      <c r="AE357" s="42">
        <v>3</v>
      </c>
      <c r="AF357" s="63" t="s">
        <v>804</v>
      </c>
    </row>
    <row r="358" spans="2:32" ht="15" hidden="1" customHeight="1" x14ac:dyDescent="0.3">
      <c r="B358" s="16" t="s">
        <v>14</v>
      </c>
      <c r="C358" s="575" t="s">
        <v>1390</v>
      </c>
      <c r="D358" s="571" t="s">
        <v>1391</v>
      </c>
      <c r="E358" s="175" t="s">
        <v>1392</v>
      </c>
      <c r="F358" s="345">
        <v>46003</v>
      </c>
      <c r="G358" s="42" t="s">
        <v>643</v>
      </c>
      <c r="H358" s="42">
        <v>1</v>
      </c>
      <c r="I358" s="61">
        <v>86000</v>
      </c>
      <c r="J358" s="42">
        <v>2</v>
      </c>
      <c r="K358" s="321">
        <f t="shared" si="6"/>
        <v>43000</v>
      </c>
      <c r="L358" s="62">
        <v>46003</v>
      </c>
      <c r="M358" s="62">
        <v>46367</v>
      </c>
      <c r="N358" s="63" t="s">
        <v>520</v>
      </c>
      <c r="O358" s="42"/>
      <c r="P358" s="42"/>
      <c r="Q358" s="64" t="s">
        <v>1393</v>
      </c>
      <c r="R358" s="63" t="s">
        <v>930</v>
      </c>
      <c r="S358" s="63" t="s">
        <v>1394</v>
      </c>
      <c r="T358" s="63"/>
      <c r="U358" s="63"/>
      <c r="V358" s="63"/>
      <c r="W358" s="63"/>
      <c r="X358" s="63"/>
      <c r="Y358" s="63"/>
      <c r="Z358" s="63"/>
      <c r="AA358" s="63"/>
      <c r="AB358" s="63"/>
      <c r="AC358" s="63" t="s">
        <v>485</v>
      </c>
      <c r="AD358" s="16" t="s">
        <v>63</v>
      </c>
      <c r="AE358" s="42">
        <v>2</v>
      </c>
      <c r="AF358" s="63" t="s">
        <v>804</v>
      </c>
    </row>
    <row r="359" spans="2:32" ht="15" hidden="1" customHeight="1" x14ac:dyDescent="0.3">
      <c r="B359" s="16" t="s">
        <v>14</v>
      </c>
      <c r="C359" s="58" t="s">
        <v>1395</v>
      </c>
      <c r="D359" s="54" t="s">
        <v>86</v>
      </c>
      <c r="E359" s="26" t="s">
        <v>1396</v>
      </c>
      <c r="F359" s="55">
        <v>46000</v>
      </c>
      <c r="G359" s="116" t="s">
        <v>703</v>
      </c>
      <c r="H359" s="26">
        <v>1</v>
      </c>
      <c r="I359" s="56">
        <v>220000</v>
      </c>
      <c r="J359" s="26">
        <v>4</v>
      </c>
      <c r="K359" s="321">
        <f t="shared" si="6"/>
        <v>55000</v>
      </c>
      <c r="L359" s="57">
        <v>46023</v>
      </c>
      <c r="M359" s="57">
        <v>46387</v>
      </c>
      <c r="N359" s="63" t="s">
        <v>520</v>
      </c>
      <c r="O359" s="26"/>
      <c r="P359" s="26"/>
      <c r="Q359" s="59" t="s">
        <v>396</v>
      </c>
      <c r="R359" s="58" t="s">
        <v>1397</v>
      </c>
      <c r="S359" s="58" t="s">
        <v>397</v>
      </c>
      <c r="T359" s="58"/>
      <c r="U359" s="58" t="s">
        <v>496</v>
      </c>
      <c r="V359" s="58"/>
      <c r="W359" s="58" t="s">
        <v>497</v>
      </c>
      <c r="X359" s="58"/>
      <c r="Y359" s="58"/>
      <c r="Z359" s="58"/>
      <c r="AA359" s="58"/>
      <c r="AB359" s="58"/>
      <c r="AC359" s="58" t="s">
        <v>96</v>
      </c>
      <c r="AD359" s="26" t="s">
        <v>97</v>
      </c>
      <c r="AE359" s="26" t="s">
        <v>494</v>
      </c>
      <c r="AF359" s="58" t="s">
        <v>667</v>
      </c>
    </row>
    <row r="360" spans="2:32" ht="15" hidden="1" customHeight="1" x14ac:dyDescent="0.3">
      <c r="B360" s="16" t="s">
        <v>14</v>
      </c>
      <c r="C360" s="58" t="s">
        <v>1395</v>
      </c>
      <c r="D360" s="54" t="s">
        <v>86</v>
      </c>
      <c r="E360" s="26" t="s">
        <v>1396</v>
      </c>
      <c r="F360" s="55">
        <v>46000</v>
      </c>
      <c r="G360" s="26"/>
      <c r="H360" s="26"/>
      <c r="I360" s="56">
        <v>220000</v>
      </c>
      <c r="J360" s="26">
        <v>4</v>
      </c>
      <c r="K360" s="321">
        <f t="shared" si="6"/>
        <v>55000</v>
      </c>
      <c r="L360" s="57">
        <v>46388</v>
      </c>
      <c r="M360" s="57">
        <v>46752</v>
      </c>
      <c r="N360" s="63" t="s">
        <v>520</v>
      </c>
      <c r="O360" s="26"/>
      <c r="P360" s="26"/>
      <c r="Q360" s="58" t="s">
        <v>498</v>
      </c>
      <c r="R360" s="58"/>
      <c r="S360" s="58" t="s">
        <v>499</v>
      </c>
      <c r="T360" s="58"/>
      <c r="U360" s="58" t="s">
        <v>500</v>
      </c>
      <c r="V360" s="58"/>
      <c r="W360" s="58" t="s">
        <v>501</v>
      </c>
      <c r="X360" s="58"/>
      <c r="Y360" s="58"/>
      <c r="Z360" s="58"/>
      <c r="AA360" s="58"/>
      <c r="AB360" s="58"/>
      <c r="AC360" s="58" t="s">
        <v>96</v>
      </c>
      <c r="AD360" s="26" t="s">
        <v>97</v>
      </c>
      <c r="AE360" s="26" t="s">
        <v>494</v>
      </c>
      <c r="AF360" s="58" t="s">
        <v>667</v>
      </c>
    </row>
    <row r="361" spans="2:32" ht="15" hidden="1" customHeight="1" x14ac:dyDescent="0.3">
      <c r="B361" s="16" t="s">
        <v>14</v>
      </c>
      <c r="C361" s="63" t="s">
        <v>1395</v>
      </c>
      <c r="D361" s="44" t="s">
        <v>86</v>
      </c>
      <c r="E361" s="42" t="s">
        <v>1396</v>
      </c>
      <c r="F361" s="43">
        <v>46000</v>
      </c>
      <c r="G361" s="42"/>
      <c r="H361" s="42"/>
      <c r="I361" s="61">
        <v>220000</v>
      </c>
      <c r="J361" s="42">
        <v>4</v>
      </c>
      <c r="K361" s="321">
        <f t="shared" si="6"/>
        <v>55000</v>
      </c>
      <c r="L361" s="62">
        <v>46753</v>
      </c>
      <c r="M361" s="62">
        <v>47118</v>
      </c>
      <c r="N361" s="63" t="s">
        <v>520</v>
      </c>
      <c r="O361" s="42"/>
      <c r="P361" s="42"/>
      <c r="Q361" s="63" t="s">
        <v>674</v>
      </c>
      <c r="R361" s="63"/>
      <c r="S361" s="63" t="s">
        <v>1279</v>
      </c>
      <c r="T361" s="63"/>
      <c r="U361" s="63" t="s">
        <v>1280</v>
      </c>
      <c r="V361" s="63"/>
      <c r="W361" s="63" t="s">
        <v>1398</v>
      </c>
      <c r="X361" s="63"/>
      <c r="Y361" s="63"/>
      <c r="Z361" s="63"/>
      <c r="AA361" s="63"/>
      <c r="AB361" s="63"/>
      <c r="AC361" s="63" t="s">
        <v>96</v>
      </c>
      <c r="AD361" s="42" t="s">
        <v>97</v>
      </c>
      <c r="AE361" s="42" t="s">
        <v>494</v>
      </c>
      <c r="AF361" s="63" t="s">
        <v>667</v>
      </c>
    </row>
    <row r="362" spans="2:32" ht="15" hidden="1" customHeight="1" x14ac:dyDescent="0.3">
      <c r="B362" s="16" t="s">
        <v>14</v>
      </c>
      <c r="C362" s="576" t="s">
        <v>508</v>
      </c>
      <c r="D362" s="577" t="s">
        <v>866</v>
      </c>
      <c r="E362" s="189" t="s">
        <v>1399</v>
      </c>
      <c r="F362" s="345">
        <v>46002</v>
      </c>
      <c r="G362" s="42" t="s">
        <v>643</v>
      </c>
      <c r="H362" s="42">
        <v>2</v>
      </c>
      <c r="I362" s="61">
        <v>178000</v>
      </c>
      <c r="J362" s="42">
        <v>3</v>
      </c>
      <c r="K362" s="321">
        <f t="shared" si="6"/>
        <v>59333.333333333336</v>
      </c>
      <c r="L362" s="62">
        <v>46011</v>
      </c>
      <c r="M362" s="62">
        <v>46375</v>
      </c>
      <c r="N362" s="63" t="s">
        <v>520</v>
      </c>
      <c r="O362" s="42"/>
      <c r="P362" s="42"/>
      <c r="Q362" s="64" t="s">
        <v>1400</v>
      </c>
      <c r="R362" s="63" t="s">
        <v>1401</v>
      </c>
      <c r="S362" s="63" t="s">
        <v>1402</v>
      </c>
      <c r="T362" s="63" t="s">
        <v>1403</v>
      </c>
      <c r="U362" s="63" t="s">
        <v>1404</v>
      </c>
      <c r="V362" s="63"/>
      <c r="W362" s="63"/>
      <c r="X362" s="63"/>
      <c r="Y362" s="63"/>
      <c r="Z362" s="63"/>
      <c r="AA362" s="63"/>
      <c r="AB362" s="63"/>
      <c r="AC362" s="63" t="s">
        <v>96</v>
      </c>
      <c r="AD362" s="42" t="s">
        <v>97</v>
      </c>
      <c r="AE362" s="42" t="s">
        <v>494</v>
      </c>
      <c r="AF362" s="190" t="s">
        <v>1405</v>
      </c>
    </row>
    <row r="363" spans="2:32" ht="15" hidden="1" customHeight="1" x14ac:dyDescent="0.3">
      <c r="B363" s="16" t="s">
        <v>14</v>
      </c>
      <c r="C363" s="573" t="s">
        <v>527</v>
      </c>
      <c r="D363" s="574" t="s">
        <v>131</v>
      </c>
      <c r="E363" s="84">
        <v>7001094920</v>
      </c>
      <c r="F363" s="345">
        <v>45947</v>
      </c>
      <c r="G363" s="42" t="s">
        <v>643</v>
      </c>
      <c r="H363" s="42">
        <v>1</v>
      </c>
      <c r="I363" s="61">
        <v>78750</v>
      </c>
      <c r="J363" s="42">
        <v>2</v>
      </c>
      <c r="K363" s="321">
        <f t="shared" si="6"/>
        <v>39375</v>
      </c>
      <c r="L363" s="62">
        <v>45931</v>
      </c>
      <c r="M363" s="62">
        <v>46295</v>
      </c>
      <c r="N363" s="63" t="s">
        <v>520</v>
      </c>
      <c r="O363" s="63"/>
      <c r="P363" s="63"/>
      <c r="Q363" s="64" t="s">
        <v>465</v>
      </c>
      <c r="R363" s="63" t="s">
        <v>1314</v>
      </c>
      <c r="S363" s="63" t="s">
        <v>467</v>
      </c>
      <c r="T363" s="63"/>
      <c r="U363" s="63"/>
      <c r="V363" s="63"/>
      <c r="W363" s="63"/>
      <c r="X363" s="63"/>
      <c r="Y363" s="63"/>
      <c r="Z363" s="63"/>
      <c r="AA363" s="63"/>
      <c r="AB363" s="63"/>
      <c r="AC363" s="63" t="s">
        <v>485</v>
      </c>
      <c r="AD363" s="16" t="s">
        <v>63</v>
      </c>
      <c r="AE363" s="42">
        <v>2</v>
      </c>
      <c r="AF363" s="63" t="s">
        <v>799</v>
      </c>
    </row>
    <row r="364" spans="2:32" ht="15" hidden="1" customHeight="1" x14ac:dyDescent="0.3">
      <c r="B364" s="16" t="s">
        <v>14</v>
      </c>
      <c r="C364" s="573" t="s">
        <v>527</v>
      </c>
      <c r="D364" s="574" t="s">
        <v>131</v>
      </c>
      <c r="E364" s="84">
        <v>7001175723</v>
      </c>
      <c r="F364" s="345">
        <v>46019</v>
      </c>
      <c r="G364" s="42" t="s">
        <v>643</v>
      </c>
      <c r="H364" s="42">
        <v>1</v>
      </c>
      <c r="I364" s="61">
        <v>78750</v>
      </c>
      <c r="J364" s="42">
        <v>2</v>
      </c>
      <c r="K364" s="321">
        <f t="shared" si="6"/>
        <v>39375</v>
      </c>
      <c r="L364" s="62">
        <v>45658</v>
      </c>
      <c r="M364" s="62">
        <v>46387</v>
      </c>
      <c r="N364" s="63" t="s">
        <v>520</v>
      </c>
      <c r="O364" s="63"/>
      <c r="P364" s="63"/>
      <c r="Q364" s="64" t="s">
        <v>607</v>
      </c>
      <c r="R364" s="63" t="s">
        <v>1338</v>
      </c>
      <c r="S364" s="63" t="s">
        <v>608</v>
      </c>
      <c r="T364" s="63"/>
      <c r="U364" s="63"/>
      <c r="V364" s="63"/>
      <c r="W364" s="63"/>
      <c r="X364" s="63"/>
      <c r="Y364" s="63"/>
      <c r="Z364" s="63"/>
      <c r="AA364" s="63"/>
      <c r="AB364" s="63"/>
      <c r="AC364" s="63" t="s">
        <v>485</v>
      </c>
      <c r="AD364" s="16" t="s">
        <v>63</v>
      </c>
      <c r="AE364" s="42">
        <v>2</v>
      </c>
      <c r="AF364" s="63" t="s">
        <v>799</v>
      </c>
    </row>
    <row r="365" spans="2:32" ht="15" hidden="1" customHeight="1" x14ac:dyDescent="0.3">
      <c r="B365" s="16" t="s">
        <v>14</v>
      </c>
      <c r="C365" s="575" t="s">
        <v>609</v>
      </c>
      <c r="D365" s="571" t="s">
        <v>131</v>
      </c>
      <c r="E365" s="297">
        <v>2100055536</v>
      </c>
      <c r="F365" s="345">
        <v>46017</v>
      </c>
      <c r="G365" s="42" t="s">
        <v>643</v>
      </c>
      <c r="H365" s="42">
        <v>2</v>
      </c>
      <c r="I365" s="61">
        <v>180000</v>
      </c>
      <c r="J365" s="42">
        <v>2</v>
      </c>
      <c r="K365" s="321">
        <f t="shared" si="6"/>
        <v>90000</v>
      </c>
      <c r="L365" s="62">
        <v>46014</v>
      </c>
      <c r="M365" s="62">
        <v>46378</v>
      </c>
      <c r="N365" s="63" t="s">
        <v>520</v>
      </c>
      <c r="O365" s="63"/>
      <c r="P365" s="63"/>
      <c r="Q365" s="64" t="s">
        <v>1406</v>
      </c>
      <c r="R365" s="63" t="s">
        <v>1169</v>
      </c>
      <c r="S365" s="63" t="s">
        <v>1407</v>
      </c>
      <c r="T365" s="63"/>
      <c r="U365" s="63"/>
      <c r="V365" s="63"/>
      <c r="W365" s="63"/>
      <c r="X365" s="63"/>
      <c r="Y365" s="63"/>
      <c r="Z365" s="63"/>
      <c r="AA365" s="63"/>
      <c r="AB365" s="63"/>
      <c r="AC365" s="63" t="s">
        <v>485</v>
      </c>
      <c r="AD365" s="16" t="s">
        <v>63</v>
      </c>
      <c r="AE365" s="42">
        <v>2</v>
      </c>
      <c r="AF365" s="63" t="s">
        <v>667</v>
      </c>
    </row>
    <row r="366" spans="2:32" ht="15" hidden="1" customHeight="1" x14ac:dyDescent="0.3">
      <c r="B366" s="16" t="s">
        <v>14</v>
      </c>
      <c r="C366" s="575" t="s">
        <v>130</v>
      </c>
      <c r="D366" s="571" t="s">
        <v>131</v>
      </c>
      <c r="E366" s="175">
        <v>6800050248</v>
      </c>
      <c r="F366" s="345">
        <v>46015</v>
      </c>
      <c r="G366" s="42" t="s">
        <v>643</v>
      </c>
      <c r="H366" s="42">
        <v>1</v>
      </c>
      <c r="I366" s="61">
        <v>90000</v>
      </c>
      <c r="J366" s="42">
        <v>3</v>
      </c>
      <c r="K366" s="321">
        <f t="shared" si="6"/>
        <v>30000</v>
      </c>
      <c r="L366" s="62">
        <v>46023</v>
      </c>
      <c r="M366" s="62">
        <v>46387</v>
      </c>
      <c r="N366" s="63" t="s">
        <v>520</v>
      </c>
      <c r="O366" s="63"/>
      <c r="P366" s="63"/>
      <c r="Q366" s="64" t="s">
        <v>347</v>
      </c>
      <c r="R366" s="63" t="s">
        <v>828</v>
      </c>
      <c r="S366" s="63" t="s">
        <v>348</v>
      </c>
      <c r="T366" s="63"/>
      <c r="U366" s="63" t="s">
        <v>349</v>
      </c>
      <c r="V366" s="63"/>
      <c r="W366" s="63"/>
      <c r="X366" s="63"/>
      <c r="Y366" s="63"/>
      <c r="Z366" s="63"/>
      <c r="AA366" s="63"/>
      <c r="AB366" s="63"/>
      <c r="AC366" s="63" t="s">
        <v>485</v>
      </c>
      <c r="AD366" s="16" t="s">
        <v>63</v>
      </c>
      <c r="AE366" s="42">
        <v>2</v>
      </c>
      <c r="AF366" s="63" t="s">
        <v>1408</v>
      </c>
    </row>
    <row r="367" spans="2:32" ht="15" hidden="1" customHeight="1" x14ac:dyDescent="0.3">
      <c r="B367" s="16" t="s">
        <v>14</v>
      </c>
      <c r="C367" s="575" t="s">
        <v>1385</v>
      </c>
      <c r="D367" s="571" t="s">
        <v>151</v>
      </c>
      <c r="E367" s="175">
        <v>4500089764</v>
      </c>
      <c r="F367" s="345">
        <v>46006</v>
      </c>
      <c r="G367" s="42" t="s">
        <v>643</v>
      </c>
      <c r="H367" s="42">
        <v>1</v>
      </c>
      <c r="I367" s="61">
        <v>45000</v>
      </c>
      <c r="J367" s="42">
        <v>1</v>
      </c>
      <c r="K367" s="321">
        <f t="shared" si="6"/>
        <v>45000</v>
      </c>
      <c r="L367" s="62">
        <v>45992</v>
      </c>
      <c r="M367" s="62">
        <v>46356</v>
      </c>
      <c r="N367" s="63" t="s">
        <v>520</v>
      </c>
      <c r="O367" s="63"/>
      <c r="P367" s="63"/>
      <c r="Q367" s="64" t="s">
        <v>1409</v>
      </c>
      <c r="R367" s="63" t="s">
        <v>1093</v>
      </c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 t="s">
        <v>478</v>
      </c>
      <c r="AD367" s="16" t="s">
        <v>63</v>
      </c>
      <c r="AE367" s="42">
        <v>1</v>
      </c>
      <c r="AF367" s="63" t="s">
        <v>667</v>
      </c>
    </row>
    <row r="368" spans="2:32" ht="15" hidden="1" customHeight="1" x14ac:dyDescent="0.3">
      <c r="B368" s="25" t="s">
        <v>14</v>
      </c>
      <c r="C368" s="68" t="s">
        <v>1410</v>
      </c>
      <c r="D368" s="582" t="s">
        <v>447</v>
      </c>
      <c r="E368" s="219" t="s">
        <v>1411</v>
      </c>
      <c r="F368" s="345">
        <v>46020</v>
      </c>
      <c r="G368" s="42" t="s">
        <v>643</v>
      </c>
      <c r="H368" s="42">
        <v>3</v>
      </c>
      <c r="I368" s="61">
        <v>333000</v>
      </c>
      <c r="J368" s="42">
        <v>4</v>
      </c>
      <c r="K368" s="321">
        <f t="shared" si="6"/>
        <v>83250</v>
      </c>
      <c r="L368" s="62">
        <v>46023</v>
      </c>
      <c r="M368" s="62">
        <v>46387</v>
      </c>
      <c r="N368" s="63" t="s">
        <v>520</v>
      </c>
      <c r="O368" s="63"/>
      <c r="P368" s="63"/>
      <c r="Q368" s="64" t="s">
        <v>396</v>
      </c>
      <c r="R368" s="63" t="s">
        <v>1412</v>
      </c>
      <c r="S368" s="63" t="s">
        <v>397</v>
      </c>
      <c r="T368" s="63"/>
      <c r="U368" s="63" t="s">
        <v>496</v>
      </c>
      <c r="V368" s="63"/>
      <c r="W368" s="63" t="s">
        <v>497</v>
      </c>
      <c r="X368" s="63"/>
      <c r="Y368" s="63"/>
      <c r="Z368" s="63"/>
      <c r="AA368" s="63"/>
      <c r="AB368" s="63"/>
      <c r="AC368" s="63" t="s">
        <v>96</v>
      </c>
      <c r="AD368" s="42" t="s">
        <v>97</v>
      </c>
      <c r="AE368" s="42" t="s">
        <v>494</v>
      </c>
      <c r="AF368" s="63" t="s">
        <v>799</v>
      </c>
    </row>
    <row r="369" spans="2:32" ht="15" customHeight="1" x14ac:dyDescent="0.3">
      <c r="B369" s="42" t="s">
        <v>0</v>
      </c>
      <c r="C369" s="575" t="s">
        <v>565</v>
      </c>
      <c r="D369" s="571" t="s">
        <v>566</v>
      </c>
      <c r="E369" s="175">
        <v>1011707106</v>
      </c>
      <c r="F369" s="345">
        <v>46025</v>
      </c>
      <c r="G369" s="42" t="s">
        <v>643</v>
      </c>
      <c r="H369" s="42">
        <v>1</v>
      </c>
      <c r="I369" s="61">
        <v>82450</v>
      </c>
      <c r="J369" s="42">
        <v>2</v>
      </c>
      <c r="K369" s="325">
        <f t="shared" si="6"/>
        <v>41225</v>
      </c>
      <c r="L369" s="62">
        <v>45992</v>
      </c>
      <c r="M369" s="62">
        <v>46356</v>
      </c>
      <c r="N369" s="63" t="s">
        <v>520</v>
      </c>
      <c r="O369" s="42"/>
      <c r="P369" s="42"/>
      <c r="Q369" s="64" t="s">
        <v>127</v>
      </c>
      <c r="R369" s="63" t="s">
        <v>1413</v>
      </c>
      <c r="S369" s="63" t="s">
        <v>1414</v>
      </c>
      <c r="T369" s="63"/>
      <c r="U369" s="63"/>
      <c r="V369" s="63"/>
      <c r="W369" s="63"/>
      <c r="X369" s="63"/>
      <c r="Y369" s="63"/>
      <c r="Z369" s="63"/>
      <c r="AA369" s="63"/>
      <c r="AB369" s="63"/>
      <c r="AC369" s="63" t="s">
        <v>551</v>
      </c>
      <c r="AD369" s="16" t="s">
        <v>207</v>
      </c>
      <c r="AE369" s="42">
        <v>1</v>
      </c>
      <c r="AF369" s="63"/>
    </row>
    <row r="370" spans="2:32" ht="15" customHeight="1" x14ac:dyDescent="0.3">
      <c r="B370" s="42" t="s">
        <v>0</v>
      </c>
      <c r="C370" s="68" t="s">
        <v>1415</v>
      </c>
      <c r="D370" s="132" t="s">
        <v>1416</v>
      </c>
      <c r="E370" s="300">
        <v>2125011222</v>
      </c>
      <c r="F370" s="345">
        <v>46000</v>
      </c>
      <c r="G370" s="42" t="s">
        <v>643</v>
      </c>
      <c r="H370" s="42">
        <v>2</v>
      </c>
      <c r="I370" s="61">
        <v>311948</v>
      </c>
      <c r="J370" s="42">
        <v>2</v>
      </c>
      <c r="K370" s="321">
        <f t="shared" si="6"/>
        <v>155974</v>
      </c>
      <c r="L370" s="62">
        <v>46023</v>
      </c>
      <c r="M370" s="62">
        <v>46387</v>
      </c>
      <c r="N370" s="63" t="s">
        <v>520</v>
      </c>
      <c r="O370" s="42"/>
      <c r="P370" s="42"/>
      <c r="Q370" s="63" t="s">
        <v>607</v>
      </c>
      <c r="R370" s="63"/>
      <c r="S370" s="63" t="s">
        <v>608</v>
      </c>
      <c r="T370" s="63"/>
      <c r="U370" s="63"/>
      <c r="V370" s="63"/>
      <c r="W370" s="63"/>
      <c r="X370" s="63"/>
      <c r="Y370" s="63"/>
      <c r="Z370" s="63"/>
      <c r="AA370" s="63"/>
      <c r="AB370" s="63"/>
      <c r="AC370" s="63" t="s">
        <v>281</v>
      </c>
      <c r="AD370" s="42" t="s">
        <v>97</v>
      </c>
      <c r="AE370" s="42">
        <v>2</v>
      </c>
      <c r="AF370" s="63" t="s">
        <v>667</v>
      </c>
    </row>
    <row r="371" spans="2:32" ht="15" customHeight="1" x14ac:dyDescent="0.3">
      <c r="B371" s="42" t="s">
        <v>0</v>
      </c>
      <c r="C371" s="68" t="s">
        <v>1417</v>
      </c>
      <c r="D371" s="132" t="s">
        <v>86</v>
      </c>
      <c r="E371" s="297">
        <v>4200321224</v>
      </c>
      <c r="F371" s="345">
        <v>46014</v>
      </c>
      <c r="G371" s="42" t="s">
        <v>643</v>
      </c>
      <c r="H371" s="42">
        <v>5</v>
      </c>
      <c r="I371" s="61">
        <v>544860</v>
      </c>
      <c r="J371" s="42">
        <v>4</v>
      </c>
      <c r="K371" s="321">
        <f t="shared" si="6"/>
        <v>136215</v>
      </c>
      <c r="L371" s="62">
        <v>46023</v>
      </c>
      <c r="M371" s="62">
        <v>46387</v>
      </c>
      <c r="N371" s="63" t="s">
        <v>520</v>
      </c>
      <c r="O371" s="42"/>
      <c r="P371" s="42"/>
      <c r="Q371" s="64" t="s">
        <v>396</v>
      </c>
      <c r="R371" s="63" t="s">
        <v>1418</v>
      </c>
      <c r="S371" s="63" t="s">
        <v>397</v>
      </c>
      <c r="T371" s="63"/>
      <c r="U371" s="63" t="s">
        <v>496</v>
      </c>
      <c r="V371" s="63"/>
      <c r="W371" s="63" t="s">
        <v>497</v>
      </c>
      <c r="X371" s="63"/>
      <c r="Y371" s="63"/>
      <c r="Z371" s="63"/>
      <c r="AA371" s="63"/>
      <c r="AB371" s="63"/>
      <c r="AC371" s="63" t="s">
        <v>281</v>
      </c>
      <c r="AD371" s="42" t="s">
        <v>97</v>
      </c>
      <c r="AE371" s="42">
        <v>4</v>
      </c>
      <c r="AF371" s="63" t="s">
        <v>1345</v>
      </c>
    </row>
    <row r="372" spans="2:32" ht="15" customHeight="1" x14ac:dyDescent="0.3">
      <c r="B372" s="42" t="s">
        <v>0</v>
      </c>
      <c r="C372" s="610" t="s">
        <v>604</v>
      </c>
      <c r="D372" s="132" t="s">
        <v>1419</v>
      </c>
      <c r="E372" s="121">
        <v>5700203580</v>
      </c>
      <c r="F372" s="345">
        <v>45996</v>
      </c>
      <c r="G372" s="42" t="s">
        <v>643</v>
      </c>
      <c r="H372" s="42">
        <v>1</v>
      </c>
      <c r="I372" s="61">
        <v>118335</v>
      </c>
      <c r="J372" s="42">
        <v>3</v>
      </c>
      <c r="K372" s="321">
        <f t="shared" si="6"/>
        <v>39445</v>
      </c>
      <c r="L372" s="62">
        <v>46023</v>
      </c>
      <c r="M372" s="62">
        <v>46387</v>
      </c>
      <c r="N372" s="63" t="s">
        <v>520</v>
      </c>
      <c r="O372" s="42"/>
      <c r="P372" s="42"/>
      <c r="Q372" s="63" t="s">
        <v>607</v>
      </c>
      <c r="R372" s="63"/>
      <c r="S372" s="63" t="s">
        <v>608</v>
      </c>
      <c r="T372" s="63"/>
      <c r="U372" s="63"/>
      <c r="V372" s="63"/>
      <c r="W372" s="63"/>
      <c r="X372" s="63"/>
      <c r="Y372" s="63"/>
      <c r="Z372" s="63"/>
      <c r="AA372" s="63"/>
      <c r="AB372" s="63"/>
      <c r="AC372" s="63" t="s">
        <v>281</v>
      </c>
      <c r="AD372" s="42" t="s">
        <v>97</v>
      </c>
      <c r="AE372" s="42">
        <v>2</v>
      </c>
      <c r="AF372" s="63" t="s">
        <v>1345</v>
      </c>
    </row>
    <row r="373" spans="2:32" ht="15" customHeight="1" x14ac:dyDescent="0.3">
      <c r="B373" s="42" t="s">
        <v>0</v>
      </c>
      <c r="C373" s="575" t="s">
        <v>614</v>
      </c>
      <c r="D373" s="571" t="s">
        <v>447</v>
      </c>
      <c r="E373" s="221" t="s">
        <v>1420</v>
      </c>
      <c r="F373" s="345">
        <v>46009</v>
      </c>
      <c r="G373" s="42" t="s">
        <v>643</v>
      </c>
      <c r="H373" s="42">
        <v>1</v>
      </c>
      <c r="I373" s="61">
        <v>76440</v>
      </c>
      <c r="J373" s="42">
        <v>3</v>
      </c>
      <c r="K373" s="321">
        <f t="shared" si="6"/>
        <v>25480</v>
      </c>
      <c r="L373" s="62">
        <v>46023</v>
      </c>
      <c r="M373" s="62">
        <v>46387</v>
      </c>
      <c r="N373" s="63" t="s">
        <v>520</v>
      </c>
      <c r="O373" s="42"/>
      <c r="P373" s="42"/>
      <c r="Q373" s="64" t="s">
        <v>347</v>
      </c>
      <c r="R373" s="63" t="s">
        <v>331</v>
      </c>
      <c r="S373" s="63" t="s">
        <v>348</v>
      </c>
      <c r="T373" s="63"/>
      <c r="U373" s="63" t="s">
        <v>349</v>
      </c>
      <c r="V373" s="63"/>
      <c r="W373" s="63"/>
      <c r="X373" s="63"/>
      <c r="Y373" s="63"/>
      <c r="Z373" s="63"/>
      <c r="AA373" s="63"/>
      <c r="AB373" s="63"/>
      <c r="AC373" s="63" t="s">
        <v>281</v>
      </c>
      <c r="AD373" s="42" t="s">
        <v>97</v>
      </c>
      <c r="AE373" s="42">
        <v>3</v>
      </c>
      <c r="AF373" s="63" t="s">
        <v>1060</v>
      </c>
    </row>
    <row r="374" spans="2:32" ht="15" customHeight="1" x14ac:dyDescent="0.3">
      <c r="B374" s="26" t="s">
        <v>0</v>
      </c>
      <c r="C374" s="39" t="s">
        <v>640</v>
      </c>
      <c r="D374" s="562" t="s">
        <v>1421</v>
      </c>
      <c r="E374" s="220" t="s">
        <v>1422</v>
      </c>
      <c r="F374" s="343">
        <v>45996</v>
      </c>
      <c r="G374" s="26" t="s">
        <v>643</v>
      </c>
      <c r="H374" s="26">
        <v>34</v>
      </c>
      <c r="I374" s="56">
        <v>2068693.64</v>
      </c>
      <c r="J374" s="26">
        <v>3</v>
      </c>
      <c r="K374" s="321">
        <f t="shared" si="6"/>
        <v>689564.54666666663</v>
      </c>
      <c r="L374" s="57">
        <v>46003</v>
      </c>
      <c r="M374" s="57">
        <v>46367</v>
      </c>
      <c r="N374" s="58" t="s">
        <v>520</v>
      </c>
      <c r="O374" s="26"/>
      <c r="P374" s="26"/>
      <c r="Q374" s="59" t="s">
        <v>1423</v>
      </c>
      <c r="R374" s="58" t="s">
        <v>1252</v>
      </c>
      <c r="S374" s="58" t="s">
        <v>1424</v>
      </c>
      <c r="T374" s="58"/>
      <c r="U374" s="58" t="s">
        <v>1425</v>
      </c>
      <c r="V374" s="58"/>
      <c r="W374" s="58"/>
      <c r="X374" s="58"/>
      <c r="Y374" s="58"/>
      <c r="Z374" s="58"/>
      <c r="AA374" s="58"/>
      <c r="AB374" s="58"/>
      <c r="AC374" s="58" t="s">
        <v>281</v>
      </c>
      <c r="AD374" s="26" t="s">
        <v>97</v>
      </c>
      <c r="AE374" s="26">
        <v>3</v>
      </c>
      <c r="AF374" s="58" t="s">
        <v>1345</v>
      </c>
    </row>
    <row r="375" spans="2:32" ht="15" hidden="1" customHeight="1" x14ac:dyDescent="0.3">
      <c r="B375" s="42" t="s">
        <v>0</v>
      </c>
      <c r="C375" s="68" t="s">
        <v>640</v>
      </c>
      <c r="D375" s="582" t="s">
        <v>1421</v>
      </c>
      <c r="E375" s="222" t="s">
        <v>1422</v>
      </c>
      <c r="F375" s="345">
        <v>45996</v>
      </c>
      <c r="G375" s="42" t="s">
        <v>643</v>
      </c>
      <c r="H375" s="42"/>
      <c r="I375" s="61">
        <v>2068693.64</v>
      </c>
      <c r="J375" s="42">
        <v>3</v>
      </c>
      <c r="K375" s="321">
        <f t="shared" si="6"/>
        <v>689564.54666666663</v>
      </c>
      <c r="L375" s="62">
        <v>46368</v>
      </c>
      <c r="M375" s="62">
        <v>46732</v>
      </c>
      <c r="N375" s="63" t="s">
        <v>520</v>
      </c>
      <c r="O375" s="42"/>
      <c r="P375" s="42"/>
      <c r="Q375" s="63" t="s">
        <v>1426</v>
      </c>
      <c r="R375" s="63"/>
      <c r="S375" s="63" t="s">
        <v>1427</v>
      </c>
      <c r="T375" s="63"/>
      <c r="U375" s="63" t="s">
        <v>1428</v>
      </c>
      <c r="V375" s="63"/>
      <c r="W375" s="63"/>
      <c r="X375" s="63"/>
      <c r="Y375" s="63"/>
      <c r="Z375" s="63"/>
      <c r="AA375" s="63"/>
      <c r="AB375" s="63"/>
      <c r="AC375" s="63" t="s">
        <v>281</v>
      </c>
      <c r="AD375" s="42" t="s">
        <v>97</v>
      </c>
      <c r="AE375" s="42">
        <v>3</v>
      </c>
      <c r="AF375" s="63" t="s">
        <v>1345</v>
      </c>
    </row>
    <row r="376" spans="2:32" ht="15" customHeight="1" x14ac:dyDescent="0.3">
      <c r="B376" s="42" t="s">
        <v>0</v>
      </c>
      <c r="C376" s="575" t="s">
        <v>1429</v>
      </c>
      <c r="D376" s="571" t="s">
        <v>388</v>
      </c>
      <c r="E376" s="297" t="s">
        <v>1430</v>
      </c>
      <c r="F376" s="345">
        <v>46010</v>
      </c>
      <c r="G376" s="42" t="s">
        <v>643</v>
      </c>
      <c r="H376" s="42">
        <v>6</v>
      </c>
      <c r="I376" s="61">
        <v>493800</v>
      </c>
      <c r="J376" s="42">
        <v>2</v>
      </c>
      <c r="K376" s="321">
        <f t="shared" si="6"/>
        <v>246900</v>
      </c>
      <c r="L376" s="62">
        <v>46023</v>
      </c>
      <c r="M376" s="62">
        <v>46387</v>
      </c>
      <c r="N376" s="63" t="s">
        <v>520</v>
      </c>
      <c r="O376" s="42"/>
      <c r="P376" s="42"/>
      <c r="Q376" s="63" t="s">
        <v>607</v>
      </c>
      <c r="R376" s="63"/>
      <c r="S376" s="63" t="s">
        <v>608</v>
      </c>
      <c r="T376" s="63"/>
      <c r="U376" s="63"/>
      <c r="V376" s="63"/>
      <c r="W376" s="63"/>
      <c r="X376" s="63"/>
      <c r="Y376" s="63"/>
      <c r="Z376" s="63"/>
      <c r="AA376" s="63"/>
      <c r="AB376" s="63"/>
      <c r="AC376" s="63" t="s">
        <v>619</v>
      </c>
      <c r="AD376" s="16" t="s">
        <v>63</v>
      </c>
      <c r="AE376" s="42">
        <v>3</v>
      </c>
      <c r="AF376" s="63" t="s">
        <v>667</v>
      </c>
    </row>
    <row r="377" spans="2:32" ht="15" customHeight="1" x14ac:dyDescent="0.3">
      <c r="B377" s="42" t="s">
        <v>0</v>
      </c>
      <c r="C377" s="575" t="s">
        <v>518</v>
      </c>
      <c r="D377" s="571" t="s">
        <v>176</v>
      </c>
      <c r="E377" s="175">
        <v>4518267425</v>
      </c>
      <c r="F377" s="345">
        <v>46027</v>
      </c>
      <c r="G377" s="42" t="s">
        <v>643</v>
      </c>
      <c r="H377" s="42">
        <v>1</v>
      </c>
      <c r="I377" s="61">
        <v>77200</v>
      </c>
      <c r="J377" s="42">
        <v>4</v>
      </c>
      <c r="K377" s="321">
        <f t="shared" si="6"/>
        <v>19300</v>
      </c>
      <c r="L377" s="62">
        <v>46023</v>
      </c>
      <c r="M377" s="62">
        <v>46387</v>
      </c>
      <c r="N377" s="63" t="s">
        <v>520</v>
      </c>
      <c r="O377" s="42"/>
      <c r="P377" s="42"/>
      <c r="Q377" s="64" t="s">
        <v>396</v>
      </c>
      <c r="R377" s="63" t="s">
        <v>909</v>
      </c>
      <c r="S377" s="63" t="s">
        <v>397</v>
      </c>
      <c r="T377" s="63"/>
      <c r="U377" s="63" t="s">
        <v>496</v>
      </c>
      <c r="V377" s="63"/>
      <c r="W377" s="63" t="s">
        <v>497</v>
      </c>
      <c r="X377" s="63"/>
      <c r="Y377" s="63"/>
      <c r="Z377" s="63"/>
      <c r="AA377" s="63"/>
      <c r="AB377" s="63"/>
      <c r="AC377" s="63" t="s">
        <v>183</v>
      </c>
      <c r="AD377" s="42" t="s">
        <v>97</v>
      </c>
      <c r="AE377" s="42">
        <v>3</v>
      </c>
      <c r="AF377" s="63" t="s">
        <v>1431</v>
      </c>
    </row>
    <row r="378" spans="2:32" ht="15" customHeight="1" x14ac:dyDescent="0.3">
      <c r="B378" s="42" t="s">
        <v>0</v>
      </c>
      <c r="C378" s="575" t="s">
        <v>518</v>
      </c>
      <c r="D378" s="571" t="s">
        <v>176</v>
      </c>
      <c r="E378" s="175">
        <v>4518267076</v>
      </c>
      <c r="F378" s="345">
        <v>46027</v>
      </c>
      <c r="G378" s="42" t="s">
        <v>643</v>
      </c>
      <c r="H378" s="42">
        <v>2</v>
      </c>
      <c r="I378" s="61">
        <v>179600</v>
      </c>
      <c r="J378" s="42">
        <v>4</v>
      </c>
      <c r="K378" s="321">
        <f t="shared" si="6"/>
        <v>44900</v>
      </c>
      <c r="L378" s="62">
        <v>46023</v>
      </c>
      <c r="M378" s="62">
        <v>46387</v>
      </c>
      <c r="N378" s="63" t="s">
        <v>520</v>
      </c>
      <c r="O378" s="42"/>
      <c r="P378" s="42"/>
      <c r="Q378" s="64" t="s">
        <v>396</v>
      </c>
      <c r="R378" s="63" t="s">
        <v>909</v>
      </c>
      <c r="S378" s="63" t="s">
        <v>397</v>
      </c>
      <c r="T378" s="63"/>
      <c r="U378" s="63" t="s">
        <v>496</v>
      </c>
      <c r="V378" s="63"/>
      <c r="W378" s="63" t="s">
        <v>497</v>
      </c>
      <c r="X378" s="63"/>
      <c r="Y378" s="63"/>
      <c r="Z378" s="63"/>
      <c r="AA378" s="63"/>
      <c r="AB378" s="63"/>
      <c r="AC378" s="63" t="s">
        <v>183</v>
      </c>
      <c r="AD378" s="42" t="s">
        <v>97</v>
      </c>
      <c r="AE378" s="42">
        <v>3</v>
      </c>
      <c r="AF378" s="63" t="s">
        <v>1431</v>
      </c>
    </row>
    <row r="379" spans="2:32" ht="15" customHeight="1" x14ac:dyDescent="0.3">
      <c r="B379" s="42" t="s">
        <v>0</v>
      </c>
      <c r="C379" s="575" t="s">
        <v>604</v>
      </c>
      <c r="D379" s="571" t="s">
        <v>1012</v>
      </c>
      <c r="E379" s="297">
        <v>5700206412</v>
      </c>
      <c r="F379" s="345">
        <v>46027</v>
      </c>
      <c r="G379" s="42" t="s">
        <v>643</v>
      </c>
      <c r="H379" s="42">
        <v>12</v>
      </c>
      <c r="I379" s="61">
        <v>1373715</v>
      </c>
      <c r="J379" s="42">
        <v>2</v>
      </c>
      <c r="K379" s="321">
        <f t="shared" si="6"/>
        <v>686857.5</v>
      </c>
      <c r="L379" s="62">
        <v>46023</v>
      </c>
      <c r="M379" s="62">
        <v>46387</v>
      </c>
      <c r="N379" s="63" t="s">
        <v>520</v>
      </c>
      <c r="O379" s="42"/>
      <c r="P379" s="42"/>
      <c r="Q379" s="63" t="s">
        <v>607</v>
      </c>
      <c r="R379" s="63"/>
      <c r="S379" s="63" t="s">
        <v>608</v>
      </c>
      <c r="T379" s="63"/>
      <c r="U379" s="63"/>
      <c r="V379" s="63"/>
      <c r="W379" s="63"/>
      <c r="X379" s="63"/>
      <c r="Y379" s="63"/>
      <c r="Z379" s="63"/>
      <c r="AA379" s="63"/>
      <c r="AB379" s="63"/>
      <c r="AC379" s="63" t="s">
        <v>619</v>
      </c>
      <c r="AD379" s="16" t="s">
        <v>63</v>
      </c>
      <c r="AE379" s="42">
        <v>3</v>
      </c>
      <c r="AF379" s="63" t="s">
        <v>799</v>
      </c>
    </row>
    <row r="380" spans="2:32" ht="15" customHeight="1" x14ac:dyDescent="0.3">
      <c r="B380" s="26" t="s">
        <v>0</v>
      </c>
      <c r="C380" s="583" t="s">
        <v>598</v>
      </c>
      <c r="D380" s="584" t="s">
        <v>1354</v>
      </c>
      <c r="E380" s="267">
        <v>3800059115</v>
      </c>
      <c r="F380" s="343">
        <v>46028</v>
      </c>
      <c r="G380" s="26" t="s">
        <v>643</v>
      </c>
      <c r="H380" s="26">
        <v>3</v>
      </c>
      <c r="I380" s="56">
        <v>174000</v>
      </c>
      <c r="J380" s="26">
        <v>2</v>
      </c>
      <c r="K380" s="321">
        <f t="shared" si="6"/>
        <v>87000</v>
      </c>
      <c r="L380" s="57">
        <v>46023</v>
      </c>
      <c r="M380" s="57">
        <v>46387</v>
      </c>
      <c r="N380" s="58" t="s">
        <v>520</v>
      </c>
      <c r="O380" s="26"/>
      <c r="P380" s="26"/>
      <c r="Q380" s="59" t="s">
        <v>607</v>
      </c>
      <c r="R380" s="58" t="s">
        <v>1432</v>
      </c>
      <c r="S380" s="58" t="s">
        <v>608</v>
      </c>
      <c r="T380" s="58"/>
      <c r="U380" s="58"/>
      <c r="V380" s="58"/>
      <c r="W380" s="58"/>
      <c r="X380" s="58"/>
      <c r="Y380" s="58"/>
      <c r="Z380" s="58"/>
      <c r="AA380" s="58"/>
      <c r="AB380" s="58"/>
      <c r="AC380" s="58" t="s">
        <v>485</v>
      </c>
      <c r="AD380" s="16" t="s">
        <v>63</v>
      </c>
      <c r="AE380" s="26">
        <v>2</v>
      </c>
      <c r="AF380" s="58" t="s">
        <v>799</v>
      </c>
    </row>
    <row r="381" spans="2:32" ht="15" customHeight="1" x14ac:dyDescent="0.3">
      <c r="B381" s="42" t="s">
        <v>0</v>
      </c>
      <c r="C381" s="575" t="s">
        <v>1433</v>
      </c>
      <c r="D381" s="571" t="s">
        <v>434</v>
      </c>
      <c r="E381" s="297" t="s">
        <v>1434</v>
      </c>
      <c r="F381" s="345">
        <v>45666</v>
      </c>
      <c r="G381" s="116" t="s">
        <v>703</v>
      </c>
      <c r="H381" s="42">
        <v>19</v>
      </c>
      <c r="I381" s="61">
        <v>3915197</v>
      </c>
      <c r="J381" s="42">
        <v>4</v>
      </c>
      <c r="K381" s="321">
        <f t="shared" si="6"/>
        <v>978799.25</v>
      </c>
      <c r="L381" s="62">
        <v>46034</v>
      </c>
      <c r="M381" s="62">
        <v>46398</v>
      </c>
      <c r="N381" s="63" t="s">
        <v>520</v>
      </c>
      <c r="O381" s="42"/>
      <c r="P381" s="42"/>
      <c r="Q381" s="64" t="s">
        <v>1435</v>
      </c>
      <c r="R381" s="63" t="s">
        <v>1436</v>
      </c>
      <c r="S381" s="63" t="s">
        <v>1437</v>
      </c>
      <c r="T381" s="63"/>
      <c r="U381" s="63" t="s">
        <v>1438</v>
      </c>
      <c r="V381" s="63"/>
      <c r="W381" s="63" t="s">
        <v>1439</v>
      </c>
      <c r="X381" s="63"/>
      <c r="Y381" s="63"/>
      <c r="Z381" s="63"/>
      <c r="AA381" s="63"/>
      <c r="AB381" s="63"/>
      <c r="AC381" s="63" t="s">
        <v>281</v>
      </c>
      <c r="AD381" s="42" t="s">
        <v>97</v>
      </c>
      <c r="AE381" s="42" t="s">
        <v>494</v>
      </c>
      <c r="AF381" s="44" t="s">
        <v>1345</v>
      </c>
    </row>
    <row r="382" spans="2:32" ht="15" customHeight="1" x14ac:dyDescent="0.3">
      <c r="B382" s="42" t="s">
        <v>0</v>
      </c>
      <c r="C382" s="576" t="s">
        <v>614</v>
      </c>
      <c r="D382" s="577" t="s">
        <v>447</v>
      </c>
      <c r="E382" s="290" t="s">
        <v>1440</v>
      </c>
      <c r="F382" s="611">
        <v>46000</v>
      </c>
      <c r="G382" s="42" t="s">
        <v>643</v>
      </c>
      <c r="H382" s="42">
        <v>1</v>
      </c>
      <c r="I382" s="61">
        <v>76440</v>
      </c>
      <c r="J382" s="42">
        <v>3</v>
      </c>
      <c r="K382" s="321">
        <f t="shared" si="6"/>
        <v>25480</v>
      </c>
      <c r="L382" s="62">
        <v>45992</v>
      </c>
      <c r="M382" s="62">
        <v>46356</v>
      </c>
      <c r="N382" s="63" t="s">
        <v>520</v>
      </c>
      <c r="O382" s="42"/>
      <c r="P382" s="42"/>
      <c r="Q382" s="64" t="s">
        <v>361</v>
      </c>
      <c r="R382" s="63" t="s">
        <v>1412</v>
      </c>
      <c r="S382" s="63" t="s">
        <v>1080</v>
      </c>
      <c r="T382" s="63"/>
      <c r="U382" s="63" t="s">
        <v>1108</v>
      </c>
      <c r="V382" s="63"/>
      <c r="W382" s="63"/>
      <c r="X382" s="63"/>
      <c r="Y382" s="63"/>
      <c r="Z382" s="63"/>
      <c r="AA382" s="63"/>
      <c r="AB382" s="63"/>
      <c r="AC382" s="63" t="s">
        <v>281</v>
      </c>
      <c r="AD382" s="42" t="s">
        <v>97</v>
      </c>
      <c r="AE382" s="42">
        <v>3</v>
      </c>
      <c r="AF382" s="63" t="s">
        <v>1441</v>
      </c>
    </row>
    <row r="383" spans="2:32" ht="15" customHeight="1" x14ac:dyDescent="0.3">
      <c r="B383" s="42" t="s">
        <v>0</v>
      </c>
      <c r="C383" s="575" t="s">
        <v>195</v>
      </c>
      <c r="D383" s="571" t="s">
        <v>447</v>
      </c>
      <c r="E383" s="175" t="s">
        <v>255</v>
      </c>
      <c r="F383" s="345" t="s">
        <v>1442</v>
      </c>
      <c r="G383" s="42" t="s">
        <v>643</v>
      </c>
      <c r="H383" s="42">
        <v>3</v>
      </c>
      <c r="I383" s="61">
        <v>177000</v>
      </c>
      <c r="J383" s="42">
        <v>4</v>
      </c>
      <c r="K383" s="321">
        <f t="shared" si="6"/>
        <v>44250</v>
      </c>
      <c r="L383" s="62">
        <v>46054</v>
      </c>
      <c r="M383" s="62">
        <v>46418</v>
      </c>
      <c r="N383" s="63" t="s">
        <v>520</v>
      </c>
      <c r="O383" s="42"/>
      <c r="P383" s="42"/>
      <c r="Q383" s="64" t="s">
        <v>442</v>
      </c>
      <c r="R383" s="63" t="s">
        <v>1226</v>
      </c>
      <c r="S383" s="63" t="s">
        <v>444</v>
      </c>
      <c r="T383" s="63"/>
      <c r="U383" s="63" t="s">
        <v>1443</v>
      </c>
      <c r="V383" s="63"/>
      <c r="W383" s="63" t="s">
        <v>456</v>
      </c>
      <c r="X383" s="63"/>
      <c r="Y383" s="63"/>
      <c r="Z383" s="63"/>
      <c r="AA383" s="63"/>
      <c r="AB383" s="63"/>
      <c r="AC383" s="63" t="s">
        <v>96</v>
      </c>
      <c r="AD383" s="42" t="s">
        <v>97</v>
      </c>
      <c r="AE383" s="42" t="s">
        <v>494</v>
      </c>
      <c r="AF383" s="63"/>
    </row>
    <row r="384" spans="2:32" ht="15" customHeight="1" x14ac:dyDescent="0.3">
      <c r="B384" s="42" t="s">
        <v>0</v>
      </c>
      <c r="C384" s="68" t="s">
        <v>1444</v>
      </c>
      <c r="D384" s="81" t="s">
        <v>841</v>
      </c>
      <c r="E384" s="300" t="s">
        <v>1445</v>
      </c>
      <c r="F384" s="345">
        <v>46021</v>
      </c>
      <c r="G384" s="42" t="s">
        <v>643</v>
      </c>
      <c r="H384" s="42">
        <v>7</v>
      </c>
      <c r="I384" s="61">
        <v>371000</v>
      </c>
      <c r="J384" s="42">
        <v>2</v>
      </c>
      <c r="K384" s="321">
        <f t="shared" si="6"/>
        <v>185500</v>
      </c>
      <c r="L384" s="62">
        <v>46023</v>
      </c>
      <c r="M384" s="62">
        <v>46387</v>
      </c>
      <c r="N384" s="63" t="s">
        <v>520</v>
      </c>
      <c r="O384" s="42"/>
      <c r="P384" s="42"/>
      <c r="Q384" s="63" t="s">
        <v>486</v>
      </c>
      <c r="R384" s="63"/>
      <c r="S384" s="63" t="s">
        <v>608</v>
      </c>
      <c r="T384" s="63"/>
      <c r="U384" s="63"/>
      <c r="V384" s="63"/>
      <c r="W384" s="63"/>
      <c r="X384" s="63"/>
      <c r="Y384" s="63"/>
      <c r="Z384" s="63"/>
      <c r="AA384" s="63"/>
      <c r="AB384" s="63"/>
      <c r="AC384" s="63" t="s">
        <v>485</v>
      </c>
      <c r="AD384" s="16" t="s">
        <v>63</v>
      </c>
      <c r="AE384" s="42">
        <v>2</v>
      </c>
      <c r="AF384" s="63" t="s">
        <v>1446</v>
      </c>
    </row>
    <row r="385" spans="2:32" ht="15" customHeight="1" x14ac:dyDescent="0.3">
      <c r="B385" s="42" t="s">
        <v>0</v>
      </c>
      <c r="C385" s="68" t="s">
        <v>1447</v>
      </c>
      <c r="D385" s="132" t="s">
        <v>388</v>
      </c>
      <c r="E385" s="84">
        <v>3800061135</v>
      </c>
      <c r="F385" s="345">
        <v>46035</v>
      </c>
      <c r="G385" s="42" t="s">
        <v>643</v>
      </c>
      <c r="H385" s="42">
        <v>3</v>
      </c>
      <c r="I385" s="61">
        <v>174000</v>
      </c>
      <c r="J385" s="42">
        <v>2</v>
      </c>
      <c r="K385" s="321">
        <f t="shared" si="6"/>
        <v>87000</v>
      </c>
      <c r="L385" s="62">
        <v>46023</v>
      </c>
      <c r="M385" s="62">
        <v>46387</v>
      </c>
      <c r="N385" s="63" t="s">
        <v>520</v>
      </c>
      <c r="O385" s="42"/>
      <c r="P385" s="42"/>
      <c r="Q385" s="63" t="s">
        <v>607</v>
      </c>
      <c r="R385" s="63"/>
      <c r="S385" s="63" t="s">
        <v>608</v>
      </c>
      <c r="T385" s="63"/>
      <c r="U385" s="63"/>
      <c r="V385" s="63"/>
      <c r="W385" s="63"/>
      <c r="X385" s="63"/>
      <c r="Y385" s="63"/>
      <c r="Z385" s="63"/>
      <c r="AA385" s="63"/>
      <c r="AB385" s="63"/>
      <c r="AC385" s="63" t="s">
        <v>478</v>
      </c>
      <c r="AD385" s="16" t="s">
        <v>63</v>
      </c>
      <c r="AE385" s="42">
        <v>2</v>
      </c>
      <c r="AF385" s="63" t="s">
        <v>667</v>
      </c>
    </row>
    <row r="386" spans="2:32" ht="15" customHeight="1" x14ac:dyDescent="0.3">
      <c r="B386" s="42" t="s">
        <v>0</v>
      </c>
      <c r="C386" s="68" t="s">
        <v>1448</v>
      </c>
      <c r="D386" s="81" t="s">
        <v>151</v>
      </c>
      <c r="E386" s="266" t="s">
        <v>1449</v>
      </c>
      <c r="F386" s="345">
        <v>46031</v>
      </c>
      <c r="G386" s="42" t="s">
        <v>643</v>
      </c>
      <c r="H386" s="42">
        <v>1</v>
      </c>
      <c r="I386" s="61">
        <v>160000</v>
      </c>
      <c r="J386" s="42">
        <v>3</v>
      </c>
      <c r="K386" s="321">
        <f t="shared" si="6"/>
        <v>53333.333333333336</v>
      </c>
      <c r="L386" s="62">
        <v>46023</v>
      </c>
      <c r="M386" s="62">
        <v>46387</v>
      </c>
      <c r="N386" s="63" t="s">
        <v>520</v>
      </c>
      <c r="O386" s="42"/>
      <c r="P386" s="42"/>
      <c r="Q386" s="64" t="s">
        <v>347</v>
      </c>
      <c r="R386" s="63" t="s">
        <v>1450</v>
      </c>
      <c r="S386" s="63" t="s">
        <v>348</v>
      </c>
      <c r="T386" s="63"/>
      <c r="U386" s="63" t="s">
        <v>349</v>
      </c>
      <c r="V386" s="63"/>
      <c r="W386" s="63"/>
      <c r="X386" s="63"/>
      <c r="Y386" s="63"/>
      <c r="Z386" s="63"/>
      <c r="AA386" s="63"/>
      <c r="AB386" s="63"/>
      <c r="AC386" s="63" t="s">
        <v>507</v>
      </c>
      <c r="AD386" s="16" t="s">
        <v>63</v>
      </c>
      <c r="AE386" s="42">
        <v>3</v>
      </c>
      <c r="AF386" s="63" t="s">
        <v>667</v>
      </c>
    </row>
    <row r="387" spans="2:32" ht="15" customHeight="1" x14ac:dyDescent="0.3">
      <c r="B387" s="42" t="s">
        <v>0</v>
      </c>
      <c r="C387" s="575" t="s">
        <v>1451</v>
      </c>
      <c r="D387" s="571" t="s">
        <v>151</v>
      </c>
      <c r="E387" s="84">
        <v>8182414</v>
      </c>
      <c r="F387" s="345">
        <v>46034</v>
      </c>
      <c r="G387" s="42" t="s">
        <v>643</v>
      </c>
      <c r="H387" s="42">
        <v>3</v>
      </c>
      <c r="I387" s="61">
        <v>232497</v>
      </c>
      <c r="J387" s="42">
        <v>3</v>
      </c>
      <c r="K387" s="321">
        <f t="shared" si="6"/>
        <v>77499</v>
      </c>
      <c r="L387" s="62">
        <v>46023</v>
      </c>
      <c r="M387" s="62">
        <v>46387</v>
      </c>
      <c r="N387" s="63" t="s">
        <v>520</v>
      </c>
      <c r="O387" s="42"/>
      <c r="P387" s="42"/>
      <c r="Q387" s="64" t="s">
        <v>347</v>
      </c>
      <c r="R387" s="63" t="s">
        <v>331</v>
      </c>
      <c r="S387" s="63" t="s">
        <v>348</v>
      </c>
      <c r="T387" s="63"/>
      <c r="U387" s="63" t="s">
        <v>349</v>
      </c>
      <c r="V387" s="63"/>
      <c r="W387" s="63"/>
      <c r="X387" s="63"/>
      <c r="Y387" s="63"/>
      <c r="Z387" s="63"/>
      <c r="AA387" s="63"/>
      <c r="AB387" s="63"/>
      <c r="AC387" s="63" t="s">
        <v>478</v>
      </c>
      <c r="AD387" s="16" t="s">
        <v>63</v>
      </c>
      <c r="AE387" s="42">
        <v>3</v>
      </c>
      <c r="AF387" s="63" t="s">
        <v>667</v>
      </c>
    </row>
    <row r="388" spans="2:32" ht="15" customHeight="1" x14ac:dyDescent="0.3">
      <c r="B388" s="42" t="s">
        <v>0</v>
      </c>
      <c r="C388" s="576" t="s">
        <v>1452</v>
      </c>
      <c r="D388" s="577" t="s">
        <v>1453</v>
      </c>
      <c r="E388" s="189" t="s">
        <v>1454</v>
      </c>
      <c r="F388" s="345">
        <v>45960</v>
      </c>
      <c r="G388" s="42" t="s">
        <v>643</v>
      </c>
      <c r="H388" s="42">
        <v>1</v>
      </c>
      <c r="I388" s="61">
        <v>93800</v>
      </c>
      <c r="J388" s="42">
        <v>3</v>
      </c>
      <c r="K388" s="321">
        <f t="shared" si="6"/>
        <v>31266.666666666668</v>
      </c>
      <c r="L388" s="62">
        <v>45931</v>
      </c>
      <c r="M388" s="62">
        <v>46295</v>
      </c>
      <c r="N388" s="63" t="s">
        <v>520</v>
      </c>
      <c r="O388" s="42"/>
      <c r="P388" s="42"/>
      <c r="Q388" s="64" t="s">
        <v>83</v>
      </c>
      <c r="R388" s="63" t="s">
        <v>454</v>
      </c>
      <c r="S388" s="64" t="s">
        <v>1455</v>
      </c>
      <c r="T388" s="63" t="s">
        <v>695</v>
      </c>
      <c r="U388" s="63" t="s">
        <v>406</v>
      </c>
      <c r="V388" s="63"/>
      <c r="W388" s="63"/>
      <c r="X388" s="63"/>
      <c r="Y388" s="63"/>
      <c r="Z388" s="63"/>
      <c r="AA388" s="63"/>
      <c r="AB388" s="63"/>
      <c r="AC388" s="63" t="s">
        <v>183</v>
      </c>
      <c r="AD388" s="42" t="s">
        <v>968</v>
      </c>
      <c r="AE388" s="42">
        <v>1</v>
      </c>
      <c r="AF388" s="63" t="s">
        <v>799</v>
      </c>
    </row>
    <row r="389" spans="2:32" ht="15" customHeight="1" x14ac:dyDescent="0.3">
      <c r="B389" s="42" t="s">
        <v>0</v>
      </c>
      <c r="C389" s="575" t="s">
        <v>544</v>
      </c>
      <c r="D389" s="571" t="s">
        <v>545</v>
      </c>
      <c r="E389" s="175">
        <v>1250053807</v>
      </c>
      <c r="F389" s="345">
        <v>46027</v>
      </c>
      <c r="G389" s="42" t="s">
        <v>643</v>
      </c>
      <c r="H389" s="42">
        <v>2</v>
      </c>
      <c r="I389" s="61">
        <v>156000</v>
      </c>
      <c r="J389" s="42">
        <v>3</v>
      </c>
      <c r="K389" s="321">
        <f t="shared" si="6"/>
        <v>52000</v>
      </c>
      <c r="L389" s="62">
        <v>46035</v>
      </c>
      <c r="M389" s="62">
        <v>46399</v>
      </c>
      <c r="N389" s="63" t="s">
        <v>520</v>
      </c>
      <c r="O389" s="42"/>
      <c r="P389" s="42"/>
      <c r="Q389" s="64" t="s">
        <v>1456</v>
      </c>
      <c r="R389" s="63" t="s">
        <v>1162</v>
      </c>
      <c r="S389" s="63" t="s">
        <v>1457</v>
      </c>
      <c r="T389" s="63"/>
      <c r="U389" s="63" t="s">
        <v>1458</v>
      </c>
      <c r="V389" s="63"/>
      <c r="W389" s="63"/>
      <c r="X389" s="63"/>
      <c r="Y389" s="63"/>
      <c r="Z389" s="63"/>
      <c r="AA389" s="63"/>
      <c r="AB389" s="63"/>
      <c r="AC389" s="63" t="s">
        <v>551</v>
      </c>
      <c r="AD389" s="16" t="s">
        <v>207</v>
      </c>
      <c r="AE389" s="42">
        <v>3</v>
      </c>
      <c r="AF389" s="63" t="s">
        <v>799</v>
      </c>
    </row>
    <row r="390" spans="2:32" ht="15" customHeight="1" x14ac:dyDescent="0.3">
      <c r="B390" s="42" t="s">
        <v>0</v>
      </c>
      <c r="C390" s="68" t="s">
        <v>595</v>
      </c>
      <c r="D390" s="81" t="s">
        <v>596</v>
      </c>
      <c r="E390" s="298">
        <v>7710030270</v>
      </c>
      <c r="F390" s="345">
        <v>46034</v>
      </c>
      <c r="G390" s="42" t="s">
        <v>643</v>
      </c>
      <c r="H390" s="42">
        <v>10</v>
      </c>
      <c r="I390" s="61">
        <v>500000</v>
      </c>
      <c r="J390" s="42">
        <v>2</v>
      </c>
      <c r="K390" s="321">
        <f t="shared" si="6"/>
        <v>250000</v>
      </c>
      <c r="L390" s="62">
        <v>46023</v>
      </c>
      <c r="M390" s="62">
        <v>46387</v>
      </c>
      <c r="N390" s="63" t="s">
        <v>520</v>
      </c>
      <c r="O390" s="42"/>
      <c r="P390" s="42"/>
      <c r="Q390" s="63" t="s">
        <v>607</v>
      </c>
      <c r="R390" s="63"/>
      <c r="S390" s="63" t="s">
        <v>608</v>
      </c>
      <c r="T390" s="63"/>
      <c r="U390" s="63"/>
      <c r="V390" s="63"/>
      <c r="W390" s="63"/>
      <c r="X390" s="63"/>
      <c r="Y390" s="63"/>
      <c r="Z390" s="63"/>
      <c r="AA390" s="63"/>
      <c r="AB390" s="63"/>
      <c r="AC390" s="63" t="s">
        <v>478</v>
      </c>
      <c r="AD390" s="16" t="s">
        <v>63</v>
      </c>
      <c r="AE390" s="42">
        <v>2</v>
      </c>
      <c r="AF390" s="63" t="s">
        <v>667</v>
      </c>
    </row>
    <row r="391" spans="2:32" ht="15" customHeight="1" x14ac:dyDescent="0.3">
      <c r="B391" s="26" t="s">
        <v>0</v>
      </c>
      <c r="C391" s="39" t="s">
        <v>1330</v>
      </c>
      <c r="D391" s="232" t="s">
        <v>323</v>
      </c>
      <c r="E391" s="50" t="s">
        <v>1459</v>
      </c>
      <c r="F391" s="343">
        <v>46032</v>
      </c>
      <c r="G391" s="26" t="s">
        <v>643</v>
      </c>
      <c r="H391" s="26">
        <v>1</v>
      </c>
      <c r="I391" s="56">
        <v>109200</v>
      </c>
      <c r="J391" s="26">
        <v>3</v>
      </c>
      <c r="K391" s="321">
        <f t="shared" si="6"/>
        <v>36400</v>
      </c>
      <c r="L391" s="57">
        <v>46023</v>
      </c>
      <c r="M391" s="57">
        <v>46387</v>
      </c>
      <c r="N391" s="58" t="s">
        <v>520</v>
      </c>
      <c r="O391" s="26"/>
      <c r="P391" s="26"/>
      <c r="Q391" s="59" t="s">
        <v>347</v>
      </c>
      <c r="R391" s="58" t="s">
        <v>1314</v>
      </c>
      <c r="S391" s="58" t="s">
        <v>348</v>
      </c>
      <c r="T391" s="58"/>
      <c r="U391" s="58" t="s">
        <v>349</v>
      </c>
      <c r="V391" s="58"/>
      <c r="W391" s="58"/>
      <c r="X391" s="58"/>
      <c r="Y391" s="58"/>
      <c r="Z391" s="58"/>
      <c r="AA391" s="58"/>
      <c r="AB391" s="58"/>
      <c r="AC391" s="58" t="s">
        <v>96</v>
      </c>
      <c r="AD391" s="26" t="s">
        <v>97</v>
      </c>
      <c r="AE391" s="26" t="s">
        <v>494</v>
      </c>
      <c r="AF391" s="58" t="s">
        <v>667</v>
      </c>
    </row>
    <row r="392" spans="2:32" ht="15" customHeight="1" x14ac:dyDescent="0.3">
      <c r="B392" s="26" t="s">
        <v>0</v>
      </c>
      <c r="C392" s="39" t="s">
        <v>195</v>
      </c>
      <c r="D392" s="566" t="s">
        <v>447</v>
      </c>
      <c r="E392" s="299" t="s">
        <v>1460</v>
      </c>
      <c r="F392" s="343">
        <v>46043</v>
      </c>
      <c r="G392" s="26" t="s">
        <v>643</v>
      </c>
      <c r="H392" s="26">
        <v>11</v>
      </c>
      <c r="I392" s="56">
        <v>706090</v>
      </c>
      <c r="J392" s="26">
        <v>4</v>
      </c>
      <c r="K392" s="321">
        <f t="shared" si="6"/>
        <v>176522.5</v>
      </c>
      <c r="L392" s="57">
        <v>46043</v>
      </c>
      <c r="M392" s="57">
        <v>46407</v>
      </c>
      <c r="N392" s="58" t="s">
        <v>520</v>
      </c>
      <c r="O392" s="26"/>
      <c r="P392" s="26"/>
      <c r="Q392" s="59" t="s">
        <v>1461</v>
      </c>
      <c r="R392" s="58" t="s">
        <v>1050</v>
      </c>
      <c r="S392" s="58" t="s">
        <v>1462</v>
      </c>
      <c r="T392" s="58"/>
      <c r="U392" s="58" t="s">
        <v>1463</v>
      </c>
      <c r="V392" s="58"/>
      <c r="W392" s="58" t="s">
        <v>1464</v>
      </c>
      <c r="X392" s="58"/>
      <c r="Y392" s="58"/>
      <c r="Z392" s="58"/>
      <c r="AA392" s="58"/>
      <c r="AB392" s="58"/>
      <c r="AC392" s="58" t="s">
        <v>96</v>
      </c>
      <c r="AD392" s="26" t="s">
        <v>97</v>
      </c>
      <c r="AE392" s="26" t="s">
        <v>494</v>
      </c>
      <c r="AF392" s="58" t="s">
        <v>667</v>
      </c>
    </row>
    <row r="393" spans="2:32" ht="15" hidden="1" customHeight="1" x14ac:dyDescent="0.3">
      <c r="B393" s="26" t="s">
        <v>0</v>
      </c>
      <c r="C393" s="39" t="s">
        <v>195</v>
      </c>
      <c r="D393" s="566" t="s">
        <v>447</v>
      </c>
      <c r="E393" s="269" t="s">
        <v>1460</v>
      </c>
      <c r="F393" s="343">
        <v>46043</v>
      </c>
      <c r="G393" s="26" t="s">
        <v>643</v>
      </c>
      <c r="H393" s="26"/>
      <c r="I393" s="56">
        <v>706090</v>
      </c>
      <c r="J393" s="26">
        <v>4</v>
      </c>
      <c r="K393" s="321">
        <f t="shared" ref="K393:K456" si="7">I393/J393</f>
        <v>176522.5</v>
      </c>
      <c r="L393" s="57">
        <v>46408</v>
      </c>
      <c r="M393" s="57">
        <v>46772</v>
      </c>
      <c r="N393" s="58" t="s">
        <v>520</v>
      </c>
      <c r="O393" s="26"/>
      <c r="P393" s="26"/>
      <c r="Q393" s="58" t="s">
        <v>1465</v>
      </c>
      <c r="R393" s="58"/>
      <c r="S393" s="58" t="s">
        <v>1466</v>
      </c>
      <c r="T393" s="58"/>
      <c r="U393" s="58" t="s">
        <v>1467</v>
      </c>
      <c r="V393" s="58"/>
      <c r="W393" s="58" t="s">
        <v>1468</v>
      </c>
      <c r="X393" s="58"/>
      <c r="Y393" s="58"/>
      <c r="Z393" s="58"/>
      <c r="AA393" s="58"/>
      <c r="AB393" s="58"/>
      <c r="AC393" s="58" t="s">
        <v>96</v>
      </c>
      <c r="AD393" s="26" t="s">
        <v>97</v>
      </c>
      <c r="AE393" s="26" t="s">
        <v>494</v>
      </c>
      <c r="AF393" s="58" t="s">
        <v>667</v>
      </c>
    </row>
    <row r="394" spans="2:32" ht="15" hidden="1" customHeight="1" x14ac:dyDescent="0.3">
      <c r="B394" s="42" t="s">
        <v>0</v>
      </c>
      <c r="C394" s="68" t="s">
        <v>195</v>
      </c>
      <c r="D394" s="571" t="s">
        <v>447</v>
      </c>
      <c r="E394" s="175" t="s">
        <v>1460</v>
      </c>
      <c r="F394" s="345">
        <v>46043</v>
      </c>
      <c r="G394" s="42" t="s">
        <v>643</v>
      </c>
      <c r="H394" s="42"/>
      <c r="I394" s="61">
        <v>706090</v>
      </c>
      <c r="J394" s="42">
        <v>4</v>
      </c>
      <c r="K394" s="321">
        <f t="shared" si="7"/>
        <v>176522.5</v>
      </c>
      <c r="L394" s="62">
        <v>46773</v>
      </c>
      <c r="M394" s="62">
        <v>47138</v>
      </c>
      <c r="N394" s="63" t="s">
        <v>520</v>
      </c>
      <c r="O394" s="42"/>
      <c r="P394" s="42"/>
      <c r="Q394" s="63" t="s">
        <v>1469</v>
      </c>
      <c r="R394" s="63"/>
      <c r="S394" s="63" t="s">
        <v>1470</v>
      </c>
      <c r="T394" s="63"/>
      <c r="U394" s="63" t="s">
        <v>1471</v>
      </c>
      <c r="V394" s="63"/>
      <c r="W394" s="63" t="s">
        <v>1472</v>
      </c>
      <c r="X394" s="63"/>
      <c r="Y394" s="63"/>
      <c r="Z394" s="63"/>
      <c r="AA394" s="63"/>
      <c r="AB394" s="63"/>
      <c r="AC394" s="63" t="s">
        <v>96</v>
      </c>
      <c r="AD394" s="42" t="s">
        <v>97</v>
      </c>
      <c r="AE394" s="42" t="s">
        <v>494</v>
      </c>
      <c r="AF394" s="63" t="s">
        <v>667</v>
      </c>
    </row>
    <row r="395" spans="2:32" ht="15" customHeight="1" x14ac:dyDescent="0.3">
      <c r="B395" s="42" t="s">
        <v>0</v>
      </c>
      <c r="C395" s="575" t="s">
        <v>1473</v>
      </c>
      <c r="D395" s="571" t="s">
        <v>1474</v>
      </c>
      <c r="E395" s="297">
        <v>4340105757</v>
      </c>
      <c r="F395" s="345">
        <v>46020</v>
      </c>
      <c r="G395" s="42" t="s">
        <v>643</v>
      </c>
      <c r="H395" s="42">
        <v>8</v>
      </c>
      <c r="I395" s="61">
        <v>736117.2</v>
      </c>
      <c r="J395" s="42">
        <v>3</v>
      </c>
      <c r="K395" s="321">
        <f t="shared" si="7"/>
        <v>245372.4</v>
      </c>
      <c r="L395" s="62">
        <v>46023</v>
      </c>
      <c r="M395" s="62">
        <v>46387</v>
      </c>
      <c r="N395" s="63" t="s">
        <v>520</v>
      </c>
      <c r="O395" s="42"/>
      <c r="P395" s="42"/>
      <c r="Q395" s="64" t="s">
        <v>347</v>
      </c>
      <c r="R395" s="63" t="s">
        <v>1475</v>
      </c>
      <c r="S395" s="63" t="s">
        <v>348</v>
      </c>
      <c r="T395" s="63"/>
      <c r="U395" s="63" t="s">
        <v>349</v>
      </c>
      <c r="V395" s="63"/>
      <c r="W395" s="63"/>
      <c r="X395" s="63"/>
      <c r="Y395" s="63"/>
      <c r="Z395" s="63"/>
      <c r="AA395" s="63"/>
      <c r="AB395" s="63"/>
      <c r="AC395" s="63" t="s">
        <v>551</v>
      </c>
      <c r="AD395" s="16" t="s">
        <v>207</v>
      </c>
      <c r="AE395" s="42">
        <v>3</v>
      </c>
      <c r="AF395" s="63" t="s">
        <v>667</v>
      </c>
    </row>
    <row r="396" spans="2:32" ht="15" customHeight="1" x14ac:dyDescent="0.3">
      <c r="B396" s="42" t="s">
        <v>0</v>
      </c>
      <c r="C396" s="94" t="s">
        <v>614</v>
      </c>
      <c r="D396" s="247" t="s">
        <v>984</v>
      </c>
      <c r="E396" s="95" t="s">
        <v>1476</v>
      </c>
      <c r="F396" s="612">
        <v>46028</v>
      </c>
      <c r="G396" s="42" t="s">
        <v>643</v>
      </c>
      <c r="H396" s="42">
        <v>1</v>
      </c>
      <c r="I396" s="61">
        <v>76440</v>
      </c>
      <c r="J396" s="42">
        <v>3</v>
      </c>
      <c r="K396" s="321">
        <f t="shared" si="7"/>
        <v>25480</v>
      </c>
      <c r="L396" s="62">
        <v>46023</v>
      </c>
      <c r="M396" s="62">
        <v>46387</v>
      </c>
      <c r="N396" s="63" t="s">
        <v>520</v>
      </c>
      <c r="O396" s="42"/>
      <c r="P396" s="42"/>
      <c r="Q396" s="64" t="s">
        <v>347</v>
      </c>
      <c r="R396" s="63" t="s">
        <v>1169</v>
      </c>
      <c r="S396" s="63" t="s">
        <v>348</v>
      </c>
      <c r="T396" s="63"/>
      <c r="U396" s="63" t="s">
        <v>349</v>
      </c>
      <c r="V396" s="63"/>
      <c r="W396" s="63"/>
      <c r="X396" s="63"/>
      <c r="Y396" s="63"/>
      <c r="Z396" s="63"/>
      <c r="AA396" s="63"/>
      <c r="AB396" s="63"/>
      <c r="AC396" s="63" t="s">
        <v>281</v>
      </c>
      <c r="AD396" s="42" t="s">
        <v>97</v>
      </c>
      <c r="AE396" s="42">
        <v>3</v>
      </c>
      <c r="AF396" s="63" t="s">
        <v>1060</v>
      </c>
    </row>
    <row r="397" spans="2:32" ht="15" customHeight="1" x14ac:dyDescent="0.3">
      <c r="B397" s="42" t="s">
        <v>0</v>
      </c>
      <c r="C397" s="94" t="s">
        <v>614</v>
      </c>
      <c r="D397" s="162" t="s">
        <v>1016</v>
      </c>
      <c r="E397" s="163" t="s">
        <v>1477</v>
      </c>
      <c r="F397" s="613">
        <v>46041</v>
      </c>
      <c r="G397" s="42" t="s">
        <v>643</v>
      </c>
      <c r="H397" s="42">
        <v>2</v>
      </c>
      <c r="I397" s="61">
        <v>152880</v>
      </c>
      <c r="J397" s="42">
        <v>3</v>
      </c>
      <c r="K397" s="321">
        <f t="shared" si="7"/>
        <v>50960</v>
      </c>
      <c r="L397" s="62">
        <v>46023</v>
      </c>
      <c r="M397" s="62">
        <v>46387</v>
      </c>
      <c r="N397" s="63" t="s">
        <v>520</v>
      </c>
      <c r="O397" s="42"/>
      <c r="P397" s="42"/>
      <c r="Q397" s="64" t="s">
        <v>347</v>
      </c>
      <c r="R397" s="63" t="s">
        <v>1450</v>
      </c>
      <c r="S397" s="63" t="s">
        <v>348</v>
      </c>
      <c r="T397" s="63"/>
      <c r="U397" s="63" t="s">
        <v>349</v>
      </c>
      <c r="V397" s="63"/>
      <c r="W397" s="63"/>
      <c r="X397" s="63"/>
      <c r="Y397" s="63"/>
      <c r="Z397" s="63"/>
      <c r="AA397" s="63"/>
      <c r="AB397" s="63"/>
      <c r="AC397" s="63" t="s">
        <v>619</v>
      </c>
      <c r="AD397" s="16" t="s">
        <v>63</v>
      </c>
      <c r="AE397" s="42">
        <v>3</v>
      </c>
      <c r="AF397" s="63" t="s">
        <v>1060</v>
      </c>
    </row>
    <row r="398" spans="2:32" ht="15" customHeight="1" x14ac:dyDescent="0.3">
      <c r="B398" s="42" t="s">
        <v>0</v>
      </c>
      <c r="C398" s="68" t="s">
        <v>614</v>
      </c>
      <c r="D398" s="81" t="s">
        <v>1016</v>
      </c>
      <c r="E398" s="158" t="s">
        <v>1478</v>
      </c>
      <c r="F398" s="345">
        <v>46029</v>
      </c>
      <c r="G398" s="42" t="s">
        <v>643</v>
      </c>
      <c r="H398" s="42">
        <v>2</v>
      </c>
      <c r="I398" s="61">
        <v>152880</v>
      </c>
      <c r="J398" s="42">
        <v>3</v>
      </c>
      <c r="K398" s="321">
        <f t="shared" si="7"/>
        <v>50960</v>
      </c>
      <c r="L398" s="62">
        <v>46023</v>
      </c>
      <c r="M398" s="62">
        <v>46387</v>
      </c>
      <c r="N398" s="63" t="s">
        <v>520</v>
      </c>
      <c r="O398" s="42"/>
      <c r="P398" s="42"/>
      <c r="Q398" s="64" t="s">
        <v>347</v>
      </c>
      <c r="R398" s="63" t="s">
        <v>909</v>
      </c>
      <c r="S398" s="63" t="s">
        <v>348</v>
      </c>
      <c r="T398" s="63"/>
      <c r="U398" s="63" t="s">
        <v>349</v>
      </c>
      <c r="V398" s="63"/>
      <c r="W398" s="63"/>
      <c r="X398" s="63"/>
      <c r="Y398" s="63"/>
      <c r="Z398" s="63"/>
      <c r="AA398" s="63"/>
      <c r="AB398" s="63"/>
      <c r="AC398" s="63" t="s">
        <v>619</v>
      </c>
      <c r="AD398" s="16" t="s">
        <v>63</v>
      </c>
      <c r="AE398" s="42">
        <v>3</v>
      </c>
      <c r="AF398" s="63" t="s">
        <v>1060</v>
      </c>
    </row>
    <row r="399" spans="2:32" ht="15" customHeight="1" x14ac:dyDescent="0.3">
      <c r="B399" s="42" t="s">
        <v>0</v>
      </c>
      <c r="C399" s="575" t="s">
        <v>1429</v>
      </c>
      <c r="D399" s="571" t="s">
        <v>388</v>
      </c>
      <c r="E399" s="297" t="s">
        <v>1479</v>
      </c>
      <c r="F399" s="614">
        <v>46035</v>
      </c>
      <c r="G399" s="42" t="s">
        <v>643</v>
      </c>
      <c r="H399" s="42">
        <v>4</v>
      </c>
      <c r="I399" s="61">
        <v>329200</v>
      </c>
      <c r="J399" s="42">
        <v>2</v>
      </c>
      <c r="K399" s="321">
        <f t="shared" si="7"/>
        <v>164600</v>
      </c>
      <c r="L399" s="62">
        <v>46023</v>
      </c>
      <c r="M399" s="62">
        <v>46387</v>
      </c>
      <c r="N399" s="63" t="s">
        <v>520</v>
      </c>
      <c r="O399" s="42"/>
      <c r="P399" s="42"/>
      <c r="Q399" s="63" t="s">
        <v>607</v>
      </c>
      <c r="R399" s="63"/>
      <c r="S399" s="63" t="s">
        <v>608</v>
      </c>
      <c r="T399" s="63"/>
      <c r="U399" s="63"/>
      <c r="V399" s="63"/>
      <c r="W399" s="63"/>
      <c r="X399" s="63"/>
      <c r="Y399" s="63"/>
      <c r="Z399" s="63"/>
      <c r="AA399" s="63"/>
      <c r="AB399" s="63"/>
      <c r="AC399" s="63" t="s">
        <v>619</v>
      </c>
      <c r="AD399" s="16" t="s">
        <v>63</v>
      </c>
      <c r="AE399" s="42">
        <v>3</v>
      </c>
      <c r="AF399" s="63" t="s">
        <v>667</v>
      </c>
    </row>
    <row r="400" spans="2:32" ht="15" customHeight="1" x14ac:dyDescent="0.3">
      <c r="B400" s="42" t="s">
        <v>0</v>
      </c>
      <c r="C400" s="575" t="s">
        <v>1480</v>
      </c>
      <c r="D400" s="571" t="s">
        <v>1481</v>
      </c>
      <c r="E400" s="175">
        <v>6025000320</v>
      </c>
      <c r="F400" s="345">
        <v>45986</v>
      </c>
      <c r="G400" s="42" t="s">
        <v>643</v>
      </c>
      <c r="H400" s="42">
        <v>1</v>
      </c>
      <c r="I400" s="61">
        <v>115500</v>
      </c>
      <c r="J400" s="42">
        <v>3</v>
      </c>
      <c r="K400" s="325">
        <f t="shared" si="7"/>
        <v>38500</v>
      </c>
      <c r="L400" s="62">
        <v>45931</v>
      </c>
      <c r="M400" s="62">
        <v>46295</v>
      </c>
      <c r="N400" s="63" t="s">
        <v>520</v>
      </c>
      <c r="O400" s="42"/>
      <c r="P400" s="42"/>
      <c r="Q400" s="64" t="s">
        <v>83</v>
      </c>
      <c r="R400" s="63" t="s">
        <v>573</v>
      </c>
      <c r="S400" s="63" t="s">
        <v>404</v>
      </c>
      <c r="T400" s="63"/>
      <c r="U400" s="63" t="s">
        <v>406</v>
      </c>
      <c r="V400" s="63"/>
      <c r="W400" s="63"/>
      <c r="X400" s="63"/>
      <c r="Y400" s="63"/>
      <c r="Z400" s="63"/>
      <c r="AA400" s="63"/>
      <c r="AB400" s="63"/>
      <c r="AC400" s="63" t="s">
        <v>183</v>
      </c>
      <c r="AD400" s="42" t="s">
        <v>97</v>
      </c>
      <c r="AE400" s="42">
        <v>3</v>
      </c>
      <c r="AF400" s="63" t="s">
        <v>667</v>
      </c>
    </row>
    <row r="401" spans="1:32" ht="15" customHeight="1" x14ac:dyDescent="0.3">
      <c r="B401" s="26" t="s">
        <v>0</v>
      </c>
      <c r="C401" s="565" t="s">
        <v>604</v>
      </c>
      <c r="D401" s="566" t="s">
        <v>620</v>
      </c>
      <c r="E401" s="304">
        <v>5700204128</v>
      </c>
      <c r="F401" s="343">
        <v>46030</v>
      </c>
      <c r="G401" s="26" t="s">
        <v>643</v>
      </c>
      <c r="H401" s="26">
        <v>8</v>
      </c>
      <c r="I401" s="56">
        <f>1893360/2</f>
        <v>946680</v>
      </c>
      <c r="J401" s="26">
        <v>2</v>
      </c>
      <c r="K401" s="321">
        <f t="shared" si="7"/>
        <v>473340</v>
      </c>
      <c r="L401" s="57">
        <v>46023</v>
      </c>
      <c r="M401" s="57">
        <v>46387</v>
      </c>
      <c r="N401" s="58" t="s">
        <v>520</v>
      </c>
      <c r="O401" s="26"/>
      <c r="P401" s="26"/>
      <c r="Q401" s="59" t="s">
        <v>486</v>
      </c>
      <c r="R401" s="58" t="s">
        <v>798</v>
      </c>
      <c r="S401" s="58" t="s">
        <v>608</v>
      </c>
      <c r="T401" s="58"/>
      <c r="U401" s="58"/>
      <c r="V401" s="58"/>
      <c r="W401" s="58"/>
      <c r="X401" s="58"/>
      <c r="Y401" s="58"/>
      <c r="Z401" s="58"/>
      <c r="AA401" s="58"/>
      <c r="AB401" s="58"/>
      <c r="AC401" s="58" t="s">
        <v>619</v>
      </c>
      <c r="AD401" s="16" t="s">
        <v>63</v>
      </c>
      <c r="AE401" s="26">
        <v>3</v>
      </c>
      <c r="AF401" s="58" t="s">
        <v>799</v>
      </c>
    </row>
    <row r="402" spans="1:32" ht="15" hidden="1" customHeight="1" x14ac:dyDescent="0.3">
      <c r="B402" s="42" t="s">
        <v>0</v>
      </c>
      <c r="C402" s="575" t="s">
        <v>604</v>
      </c>
      <c r="D402" s="571" t="s">
        <v>620</v>
      </c>
      <c r="E402" s="175">
        <v>5700204128</v>
      </c>
      <c r="F402" s="345">
        <v>46030</v>
      </c>
      <c r="G402" s="42" t="s">
        <v>643</v>
      </c>
      <c r="H402" s="42"/>
      <c r="I402" s="61">
        <f>1893360/2</f>
        <v>946680</v>
      </c>
      <c r="J402" s="42">
        <v>2</v>
      </c>
      <c r="K402" s="321">
        <f t="shared" si="7"/>
        <v>473340</v>
      </c>
      <c r="L402" s="62">
        <v>46388</v>
      </c>
      <c r="M402" s="62">
        <v>46752</v>
      </c>
      <c r="N402" s="63" t="s">
        <v>520</v>
      </c>
      <c r="O402" s="42"/>
      <c r="P402" s="42"/>
      <c r="Q402" s="63" t="s">
        <v>1119</v>
      </c>
      <c r="R402" s="63"/>
      <c r="S402" s="63" t="s">
        <v>1482</v>
      </c>
      <c r="T402" s="63"/>
      <c r="U402" s="63"/>
      <c r="V402" s="63"/>
      <c r="W402" s="63"/>
      <c r="X402" s="63"/>
      <c r="Y402" s="63"/>
      <c r="Z402" s="63"/>
      <c r="AA402" s="63"/>
      <c r="AB402" s="63"/>
      <c r="AC402" s="63" t="s">
        <v>619</v>
      </c>
      <c r="AD402" s="16" t="s">
        <v>63</v>
      </c>
      <c r="AE402" s="42">
        <v>3</v>
      </c>
      <c r="AF402" s="63" t="s">
        <v>799</v>
      </c>
    </row>
    <row r="403" spans="1:32" ht="15" customHeight="1" x14ac:dyDescent="0.3">
      <c r="B403" s="42" t="s">
        <v>0</v>
      </c>
      <c r="C403" s="68" t="s">
        <v>614</v>
      </c>
      <c r="D403" s="132" t="s">
        <v>1483</v>
      </c>
      <c r="E403" s="274" t="s">
        <v>1484</v>
      </c>
      <c r="F403" s="345">
        <v>45677</v>
      </c>
      <c r="G403" s="42" t="s">
        <v>643</v>
      </c>
      <c r="H403" s="42">
        <v>2</v>
      </c>
      <c r="I403" s="61">
        <v>158000</v>
      </c>
      <c r="J403" s="42">
        <v>3</v>
      </c>
      <c r="K403" s="321">
        <f t="shared" si="7"/>
        <v>52666.666666666664</v>
      </c>
      <c r="L403" s="62">
        <v>46054</v>
      </c>
      <c r="M403" s="62">
        <v>46418</v>
      </c>
      <c r="N403" s="63" t="s">
        <v>520</v>
      </c>
      <c r="O403" s="42"/>
      <c r="P403" s="42"/>
      <c r="Q403" s="64" t="s">
        <v>1455</v>
      </c>
      <c r="R403" s="63" t="s">
        <v>1485</v>
      </c>
      <c r="S403" s="63" t="s">
        <v>406</v>
      </c>
      <c r="T403" s="63"/>
      <c r="U403" s="63" t="s">
        <v>407</v>
      </c>
      <c r="V403" s="63"/>
      <c r="W403" s="63"/>
      <c r="X403" s="63"/>
      <c r="Y403" s="63"/>
      <c r="Z403" s="63"/>
      <c r="AA403" s="63"/>
      <c r="AB403" s="63"/>
      <c r="AC403" s="63" t="s">
        <v>834</v>
      </c>
      <c r="AD403" s="16" t="s">
        <v>207</v>
      </c>
      <c r="AE403" s="42">
        <v>3</v>
      </c>
      <c r="AF403" s="63" t="s">
        <v>829</v>
      </c>
    </row>
    <row r="404" spans="1:32" ht="15" customHeight="1" x14ac:dyDescent="0.3">
      <c r="B404" s="42" t="s">
        <v>0</v>
      </c>
      <c r="C404" s="68" t="s">
        <v>614</v>
      </c>
      <c r="D404" s="132" t="s">
        <v>1483</v>
      </c>
      <c r="E404" s="276" t="s">
        <v>1486</v>
      </c>
      <c r="F404" s="345">
        <v>46006</v>
      </c>
      <c r="G404" s="42" t="s">
        <v>643</v>
      </c>
      <c r="H404" s="42">
        <v>3</v>
      </c>
      <c r="I404" s="61">
        <v>237000</v>
      </c>
      <c r="J404" s="42">
        <v>3</v>
      </c>
      <c r="K404" s="321">
        <f t="shared" si="7"/>
        <v>79000</v>
      </c>
      <c r="L404" s="62">
        <v>46023</v>
      </c>
      <c r="M404" s="62">
        <v>46387</v>
      </c>
      <c r="N404" s="63" t="s">
        <v>520</v>
      </c>
      <c r="O404" s="42"/>
      <c r="P404" s="42"/>
      <c r="Q404" s="64" t="s">
        <v>347</v>
      </c>
      <c r="R404" s="63" t="s">
        <v>1262</v>
      </c>
      <c r="S404" s="63" t="s">
        <v>348</v>
      </c>
      <c r="T404" s="63"/>
      <c r="U404" s="63" t="s">
        <v>349</v>
      </c>
      <c r="V404" s="63"/>
      <c r="W404" s="63"/>
      <c r="X404" s="63"/>
      <c r="Y404" s="63"/>
      <c r="Z404" s="63"/>
      <c r="AA404" s="63"/>
      <c r="AB404" s="63"/>
      <c r="AC404" s="63" t="s">
        <v>834</v>
      </c>
      <c r="AD404" s="16" t="s">
        <v>207</v>
      </c>
      <c r="AE404" s="42">
        <v>3</v>
      </c>
      <c r="AF404" s="63" t="s">
        <v>799</v>
      </c>
    </row>
    <row r="405" spans="1:32" ht="15" customHeight="1" x14ac:dyDescent="0.3">
      <c r="B405" s="26" t="s">
        <v>0</v>
      </c>
      <c r="C405" s="39" t="s">
        <v>1487</v>
      </c>
      <c r="D405" s="350" t="s">
        <v>841</v>
      </c>
      <c r="E405" s="301">
        <v>91049299</v>
      </c>
      <c r="F405" s="343">
        <v>46035</v>
      </c>
      <c r="G405" s="26" t="s">
        <v>643</v>
      </c>
      <c r="H405" s="26">
        <v>5</v>
      </c>
      <c r="I405" s="56">
        <v>275625</v>
      </c>
      <c r="J405" s="26">
        <v>2</v>
      </c>
      <c r="K405" s="321">
        <f t="shared" si="7"/>
        <v>137812.5</v>
      </c>
      <c r="L405" s="57">
        <v>46023</v>
      </c>
      <c r="M405" s="57">
        <v>46387</v>
      </c>
      <c r="N405" s="58" t="s">
        <v>520</v>
      </c>
      <c r="O405" s="26"/>
      <c r="P405" s="26"/>
      <c r="Q405" s="58" t="s">
        <v>607</v>
      </c>
      <c r="R405" s="58"/>
      <c r="S405" s="58" t="s">
        <v>608</v>
      </c>
      <c r="T405" s="58"/>
      <c r="U405" s="58"/>
      <c r="V405" s="58"/>
      <c r="W405" s="58"/>
      <c r="X405" s="58"/>
      <c r="Y405" s="58"/>
      <c r="Z405" s="58"/>
      <c r="AA405" s="58"/>
      <c r="AB405" s="58"/>
      <c r="AC405" s="58" t="s">
        <v>485</v>
      </c>
      <c r="AD405" s="16" t="s">
        <v>63</v>
      </c>
      <c r="AE405" s="26">
        <v>3</v>
      </c>
      <c r="AF405" s="58" t="s">
        <v>1488</v>
      </c>
    </row>
    <row r="406" spans="1:32" ht="15" hidden="1" customHeight="1" x14ac:dyDescent="0.3">
      <c r="B406" s="26" t="s">
        <v>0</v>
      </c>
      <c r="C406" s="39" t="s">
        <v>1487</v>
      </c>
      <c r="D406" s="350" t="s">
        <v>841</v>
      </c>
      <c r="E406" s="275">
        <v>91049299</v>
      </c>
      <c r="F406" s="343">
        <v>46035</v>
      </c>
      <c r="G406" s="26" t="s">
        <v>643</v>
      </c>
      <c r="H406" s="26"/>
      <c r="I406" s="56">
        <v>275625</v>
      </c>
      <c r="J406" s="26">
        <v>2</v>
      </c>
      <c r="K406" s="321">
        <f t="shared" si="7"/>
        <v>137812.5</v>
      </c>
      <c r="L406" s="57">
        <v>46388</v>
      </c>
      <c r="M406" s="57">
        <v>46752</v>
      </c>
      <c r="N406" s="58" t="s">
        <v>520</v>
      </c>
      <c r="O406" s="26"/>
      <c r="P406" s="26"/>
      <c r="Q406" s="58" t="s">
        <v>1119</v>
      </c>
      <c r="R406" s="58"/>
      <c r="S406" s="58" t="s">
        <v>1482</v>
      </c>
      <c r="T406" s="58"/>
      <c r="U406" s="58"/>
      <c r="V406" s="58"/>
      <c r="W406" s="58"/>
      <c r="X406" s="58"/>
      <c r="Y406" s="58"/>
      <c r="Z406" s="58"/>
      <c r="AA406" s="58"/>
      <c r="AB406" s="58"/>
      <c r="AC406" s="58" t="s">
        <v>485</v>
      </c>
      <c r="AD406" s="16" t="s">
        <v>63</v>
      </c>
      <c r="AE406" s="26">
        <v>3</v>
      </c>
      <c r="AF406" s="58" t="s">
        <v>1488</v>
      </c>
    </row>
    <row r="407" spans="1:32" ht="15" hidden="1" customHeight="1" x14ac:dyDescent="0.3">
      <c r="B407" s="42" t="s">
        <v>0</v>
      </c>
      <c r="C407" s="68" t="s">
        <v>1487</v>
      </c>
      <c r="D407" s="135" t="s">
        <v>841</v>
      </c>
      <c r="E407" s="174">
        <v>91049299</v>
      </c>
      <c r="F407" s="345">
        <v>46035</v>
      </c>
      <c r="G407" s="42" t="s">
        <v>643</v>
      </c>
      <c r="H407" s="42"/>
      <c r="I407" s="61">
        <v>275625</v>
      </c>
      <c r="J407" s="42">
        <v>2</v>
      </c>
      <c r="K407" s="321">
        <f t="shared" si="7"/>
        <v>137812.5</v>
      </c>
      <c r="L407" s="62">
        <v>46753</v>
      </c>
      <c r="M407" s="62">
        <v>47118</v>
      </c>
      <c r="N407" s="63" t="s">
        <v>520</v>
      </c>
      <c r="O407" s="42"/>
      <c r="P407" s="42"/>
      <c r="Q407" s="63" t="s">
        <v>1489</v>
      </c>
      <c r="R407" s="63"/>
      <c r="S407" s="63" t="s">
        <v>1490</v>
      </c>
      <c r="T407" s="63"/>
      <c r="U407" s="63"/>
      <c r="V407" s="63"/>
      <c r="W407" s="63"/>
      <c r="X407" s="63"/>
      <c r="Y407" s="63"/>
      <c r="Z407" s="63"/>
      <c r="AA407" s="63"/>
      <c r="AB407" s="63"/>
      <c r="AC407" s="63" t="s">
        <v>485</v>
      </c>
      <c r="AD407" s="16" t="s">
        <v>63</v>
      </c>
      <c r="AE407" s="42">
        <v>3</v>
      </c>
      <c r="AF407" s="63" t="s">
        <v>1488</v>
      </c>
    </row>
    <row r="408" spans="1:32" ht="15" hidden="1" customHeight="1" x14ac:dyDescent="0.3">
      <c r="B408" s="207" t="s">
        <v>2</v>
      </c>
      <c r="C408" s="575" t="s">
        <v>195</v>
      </c>
      <c r="D408" s="571" t="s">
        <v>1491</v>
      </c>
      <c r="E408" s="175" t="s">
        <v>1492</v>
      </c>
      <c r="F408" s="345">
        <v>45982</v>
      </c>
      <c r="G408" s="42" t="s">
        <v>643</v>
      </c>
      <c r="H408" s="42">
        <v>5</v>
      </c>
      <c r="I408" s="61">
        <v>287100</v>
      </c>
      <c r="J408" s="42">
        <v>4</v>
      </c>
      <c r="K408" s="325">
        <f t="shared" si="7"/>
        <v>71775</v>
      </c>
      <c r="L408" s="62">
        <v>45992</v>
      </c>
      <c r="M408" s="62">
        <v>46356</v>
      </c>
      <c r="N408" s="63" t="s">
        <v>520</v>
      </c>
      <c r="O408" s="42"/>
      <c r="P408" s="42"/>
      <c r="Q408" s="64" t="s">
        <v>1133</v>
      </c>
      <c r="R408" s="63" t="s">
        <v>1173</v>
      </c>
      <c r="S408" s="63" t="s">
        <v>1134</v>
      </c>
      <c r="T408" s="63"/>
      <c r="U408" s="63" t="s">
        <v>1244</v>
      </c>
      <c r="V408" s="63"/>
      <c r="W408" s="63" t="s">
        <v>1245</v>
      </c>
      <c r="X408" s="63"/>
      <c r="Y408" s="63"/>
      <c r="Z408" s="63"/>
      <c r="AA408" s="63"/>
      <c r="AB408" s="63"/>
      <c r="AC408" s="63" t="s">
        <v>551</v>
      </c>
      <c r="AD408" s="16" t="s">
        <v>207</v>
      </c>
      <c r="AE408" s="42">
        <v>4</v>
      </c>
      <c r="AF408" s="63"/>
    </row>
    <row r="409" spans="1:32" ht="15" hidden="1" customHeight="1" x14ac:dyDescent="0.3">
      <c r="B409" s="42" t="s">
        <v>2</v>
      </c>
      <c r="C409" s="68" t="s">
        <v>1493</v>
      </c>
      <c r="D409" s="132" t="s">
        <v>1114</v>
      </c>
      <c r="E409" s="121" t="s">
        <v>1494</v>
      </c>
      <c r="F409" s="345">
        <v>45995</v>
      </c>
      <c r="G409" s="42" t="s">
        <v>643</v>
      </c>
      <c r="H409" s="42">
        <v>1</v>
      </c>
      <c r="I409" s="61">
        <v>90000</v>
      </c>
      <c r="J409" s="42">
        <v>3</v>
      </c>
      <c r="K409" s="321">
        <f t="shared" si="7"/>
        <v>30000</v>
      </c>
      <c r="L409" s="62">
        <v>45992</v>
      </c>
      <c r="M409" s="62">
        <v>46356</v>
      </c>
      <c r="N409" s="63" t="s">
        <v>520</v>
      </c>
      <c r="O409" s="42"/>
      <c r="P409" s="42"/>
      <c r="Q409" s="64" t="s">
        <v>361</v>
      </c>
      <c r="R409" s="63" t="s">
        <v>386</v>
      </c>
      <c r="S409" s="63" t="s">
        <v>1080</v>
      </c>
      <c r="T409" s="63"/>
      <c r="U409" s="63" t="s">
        <v>1108</v>
      </c>
      <c r="V409" s="63"/>
      <c r="W409" s="63"/>
      <c r="X409" s="63"/>
      <c r="Y409" s="63"/>
      <c r="Z409" s="63"/>
      <c r="AA409" s="63"/>
      <c r="AB409" s="63"/>
      <c r="AC409" s="63" t="s">
        <v>183</v>
      </c>
      <c r="AD409" s="42" t="s">
        <v>97</v>
      </c>
      <c r="AE409" s="42">
        <v>3</v>
      </c>
      <c r="AF409" s="63" t="s">
        <v>667</v>
      </c>
    </row>
    <row r="410" spans="1:32" ht="15" hidden="1" customHeight="1" x14ac:dyDescent="0.3">
      <c r="B410" s="42" t="s">
        <v>2</v>
      </c>
      <c r="C410" s="575" t="s">
        <v>587</v>
      </c>
      <c r="D410" s="571" t="s">
        <v>176</v>
      </c>
      <c r="E410" s="175">
        <v>4800014029</v>
      </c>
      <c r="F410" s="614">
        <v>46043</v>
      </c>
      <c r="G410" s="42" t="s">
        <v>643</v>
      </c>
      <c r="H410" s="42">
        <v>1</v>
      </c>
      <c r="I410" s="61">
        <v>90667</v>
      </c>
      <c r="J410" s="42">
        <v>2</v>
      </c>
      <c r="K410" s="321">
        <f t="shared" si="7"/>
        <v>45333.5</v>
      </c>
      <c r="L410" s="62">
        <v>46054</v>
      </c>
      <c r="M410" s="62">
        <v>46418</v>
      </c>
      <c r="N410" s="63" t="s">
        <v>520</v>
      </c>
      <c r="O410" s="42"/>
      <c r="P410" s="42"/>
      <c r="Q410" s="63" t="s">
        <v>426</v>
      </c>
      <c r="R410" s="63"/>
      <c r="S410" s="63" t="s">
        <v>427</v>
      </c>
      <c r="T410" s="63"/>
      <c r="U410" s="63"/>
      <c r="V410" s="63"/>
      <c r="W410" s="63"/>
      <c r="X410" s="63"/>
      <c r="Y410" s="63"/>
      <c r="Z410" s="63"/>
      <c r="AA410" s="63"/>
      <c r="AB410" s="63"/>
      <c r="AC410" s="63" t="s">
        <v>183</v>
      </c>
      <c r="AD410" s="42" t="s">
        <v>97</v>
      </c>
      <c r="AE410" s="42">
        <v>3</v>
      </c>
      <c r="AF410" s="63" t="s">
        <v>1495</v>
      </c>
    </row>
    <row r="411" spans="1:32" ht="15" hidden="1" customHeight="1" x14ac:dyDescent="0.3">
      <c r="A411" s="7" t="s">
        <v>1496</v>
      </c>
      <c r="B411" s="42" t="s">
        <v>2</v>
      </c>
      <c r="C411" s="575" t="s">
        <v>1497</v>
      </c>
      <c r="D411" s="571" t="s">
        <v>447</v>
      </c>
      <c r="E411" s="42" t="s">
        <v>1498</v>
      </c>
      <c r="F411" s="345">
        <v>46046</v>
      </c>
      <c r="G411" s="42" t="s">
        <v>643</v>
      </c>
      <c r="H411" s="42">
        <v>2</v>
      </c>
      <c r="I411" s="61">
        <v>156090</v>
      </c>
      <c r="J411" s="42">
        <v>3</v>
      </c>
      <c r="K411" s="321">
        <f t="shared" si="7"/>
        <v>52030</v>
      </c>
      <c r="L411" s="62">
        <v>46023</v>
      </c>
      <c r="M411" s="62">
        <v>46387</v>
      </c>
      <c r="N411" s="63" t="s">
        <v>520</v>
      </c>
      <c r="O411" s="42"/>
      <c r="P411" s="42"/>
      <c r="Q411" s="64" t="s">
        <v>347</v>
      </c>
      <c r="R411" s="63" t="s">
        <v>495</v>
      </c>
      <c r="S411" s="63" t="s">
        <v>348</v>
      </c>
      <c r="T411" s="63" t="s">
        <v>1499</v>
      </c>
      <c r="U411" s="63" t="s">
        <v>349</v>
      </c>
      <c r="V411" s="63" t="s">
        <v>1500</v>
      </c>
      <c r="W411" s="63"/>
      <c r="X411" s="63"/>
      <c r="Y411" s="63"/>
      <c r="Z411" s="63"/>
      <c r="AA411" s="63"/>
      <c r="AB411" s="63"/>
      <c r="AC411" s="63" t="s">
        <v>281</v>
      </c>
      <c r="AD411" s="42" t="s">
        <v>97</v>
      </c>
      <c r="AE411" s="42">
        <v>3</v>
      </c>
      <c r="AF411" s="63"/>
    </row>
    <row r="412" spans="1:32" ht="15" hidden="1" customHeight="1" x14ac:dyDescent="0.3">
      <c r="B412" s="42" t="s">
        <v>2</v>
      </c>
      <c r="C412" s="575" t="s">
        <v>1501</v>
      </c>
      <c r="D412" s="571" t="s">
        <v>151</v>
      </c>
      <c r="E412" s="175">
        <v>10105567</v>
      </c>
      <c r="F412" s="345">
        <v>46055</v>
      </c>
      <c r="G412" s="42" t="s">
        <v>643</v>
      </c>
      <c r="H412" s="42">
        <v>1</v>
      </c>
      <c r="I412" s="61">
        <v>60000</v>
      </c>
      <c r="J412" s="42">
        <v>3</v>
      </c>
      <c r="K412" s="321">
        <f t="shared" si="7"/>
        <v>20000</v>
      </c>
      <c r="L412" s="62">
        <v>46023</v>
      </c>
      <c r="M412" s="62">
        <v>46387</v>
      </c>
      <c r="N412" s="63" t="s">
        <v>520</v>
      </c>
      <c r="O412" s="42"/>
      <c r="P412" s="42"/>
      <c r="Q412" s="63" t="s">
        <v>347</v>
      </c>
      <c r="R412" s="63"/>
      <c r="S412" s="63" t="s">
        <v>348</v>
      </c>
      <c r="T412" s="63"/>
      <c r="U412" s="63" t="s">
        <v>349</v>
      </c>
      <c r="V412" s="63"/>
      <c r="W412" s="63"/>
      <c r="X412" s="63"/>
      <c r="Y412" s="63"/>
      <c r="Z412" s="63"/>
      <c r="AA412" s="63"/>
      <c r="AB412" s="63"/>
      <c r="AC412" s="63" t="s">
        <v>478</v>
      </c>
      <c r="AD412" s="16" t="s">
        <v>63</v>
      </c>
      <c r="AE412" s="42">
        <v>5</v>
      </c>
      <c r="AF412" s="63" t="s">
        <v>667</v>
      </c>
    </row>
    <row r="413" spans="1:32" ht="15" hidden="1" customHeight="1" x14ac:dyDescent="0.3">
      <c r="B413" s="42" t="s">
        <v>2</v>
      </c>
      <c r="C413" s="575" t="s">
        <v>1502</v>
      </c>
      <c r="D413" s="571" t="s">
        <v>151</v>
      </c>
      <c r="E413" s="42">
        <v>10105566</v>
      </c>
      <c r="F413" s="345">
        <v>46055</v>
      </c>
      <c r="G413" s="42" t="s">
        <v>643</v>
      </c>
      <c r="H413" s="42">
        <v>1</v>
      </c>
      <c r="I413" s="61">
        <v>60000</v>
      </c>
      <c r="J413" s="42">
        <v>3</v>
      </c>
      <c r="K413" s="321">
        <f t="shared" si="7"/>
        <v>20000</v>
      </c>
      <c r="L413" s="62">
        <v>46023</v>
      </c>
      <c r="M413" s="62">
        <v>46387</v>
      </c>
      <c r="N413" s="63" t="s">
        <v>520</v>
      </c>
      <c r="O413" s="42"/>
      <c r="P413" s="42"/>
      <c r="Q413" s="63" t="s">
        <v>347</v>
      </c>
      <c r="R413" s="63"/>
      <c r="S413" s="63" t="s">
        <v>348</v>
      </c>
      <c r="T413" s="63"/>
      <c r="U413" s="63" t="s">
        <v>349</v>
      </c>
      <c r="V413" s="63"/>
      <c r="W413" s="63"/>
      <c r="X413" s="63"/>
      <c r="Y413" s="63"/>
      <c r="Z413" s="63"/>
      <c r="AA413" s="63"/>
      <c r="AB413" s="63"/>
      <c r="AC413" s="63" t="s">
        <v>478</v>
      </c>
      <c r="AD413" s="16" t="s">
        <v>63</v>
      </c>
      <c r="AE413" s="42">
        <v>5</v>
      </c>
      <c r="AF413" s="63" t="s">
        <v>667</v>
      </c>
    </row>
    <row r="414" spans="1:32" ht="15" hidden="1" customHeight="1" x14ac:dyDescent="0.3">
      <c r="B414" s="42" t="s">
        <v>2</v>
      </c>
      <c r="C414" s="575" t="s">
        <v>1503</v>
      </c>
      <c r="D414" s="571" t="s">
        <v>151</v>
      </c>
      <c r="E414" s="175">
        <v>10105569</v>
      </c>
      <c r="F414" s="345">
        <v>46055</v>
      </c>
      <c r="G414" s="42" t="s">
        <v>643</v>
      </c>
      <c r="H414" s="42">
        <v>1</v>
      </c>
      <c r="I414" s="61">
        <v>60000</v>
      </c>
      <c r="J414" s="42">
        <v>3</v>
      </c>
      <c r="K414" s="321">
        <f t="shared" si="7"/>
        <v>20000</v>
      </c>
      <c r="L414" s="62">
        <v>46023</v>
      </c>
      <c r="M414" s="62">
        <v>46387</v>
      </c>
      <c r="N414" s="63" t="s">
        <v>520</v>
      </c>
      <c r="O414" s="42"/>
      <c r="P414" s="42"/>
      <c r="Q414" s="63" t="s">
        <v>347</v>
      </c>
      <c r="R414" s="63"/>
      <c r="S414" s="63" t="s">
        <v>348</v>
      </c>
      <c r="T414" s="63"/>
      <c r="U414" s="63" t="s">
        <v>349</v>
      </c>
      <c r="V414" s="63"/>
      <c r="W414" s="63"/>
      <c r="X414" s="63"/>
      <c r="Y414" s="63"/>
      <c r="Z414" s="63"/>
      <c r="AA414" s="63"/>
      <c r="AB414" s="63"/>
      <c r="AC414" s="63" t="s">
        <v>478</v>
      </c>
      <c r="AD414" s="16" t="s">
        <v>63</v>
      </c>
      <c r="AE414" s="42">
        <v>5</v>
      </c>
      <c r="AF414" s="63" t="s">
        <v>667</v>
      </c>
    </row>
    <row r="415" spans="1:32" ht="15" hidden="1" customHeight="1" x14ac:dyDescent="0.3">
      <c r="B415" s="42" t="s">
        <v>2</v>
      </c>
      <c r="C415" s="575" t="s">
        <v>1504</v>
      </c>
      <c r="D415" s="571" t="s">
        <v>151</v>
      </c>
      <c r="E415" s="175">
        <v>10105568</v>
      </c>
      <c r="F415" s="345">
        <v>46055</v>
      </c>
      <c r="G415" s="42" t="s">
        <v>643</v>
      </c>
      <c r="H415" s="42">
        <v>1</v>
      </c>
      <c r="I415" s="61">
        <v>60000</v>
      </c>
      <c r="J415" s="42">
        <v>3</v>
      </c>
      <c r="K415" s="321">
        <f t="shared" si="7"/>
        <v>20000</v>
      </c>
      <c r="L415" s="62">
        <v>46023</v>
      </c>
      <c r="M415" s="62">
        <v>46387</v>
      </c>
      <c r="N415" s="63" t="s">
        <v>520</v>
      </c>
      <c r="O415" s="42"/>
      <c r="P415" s="42"/>
      <c r="Q415" s="63" t="s">
        <v>347</v>
      </c>
      <c r="R415" s="63"/>
      <c r="S415" s="63" t="s">
        <v>348</v>
      </c>
      <c r="T415" s="63"/>
      <c r="U415" s="63" t="s">
        <v>349</v>
      </c>
      <c r="V415" s="63"/>
      <c r="W415" s="63"/>
      <c r="X415" s="63"/>
      <c r="Y415" s="63"/>
      <c r="Z415" s="63"/>
      <c r="AA415" s="63"/>
      <c r="AB415" s="63"/>
      <c r="AC415" s="63" t="s">
        <v>478</v>
      </c>
      <c r="AD415" s="16" t="s">
        <v>63</v>
      </c>
      <c r="AE415" s="42">
        <v>5</v>
      </c>
      <c r="AF415" s="63" t="s">
        <v>667</v>
      </c>
    </row>
    <row r="416" spans="1:32" ht="15" hidden="1" customHeight="1" x14ac:dyDescent="0.3">
      <c r="B416" s="42" t="s">
        <v>2</v>
      </c>
      <c r="C416" s="575" t="s">
        <v>1505</v>
      </c>
      <c r="D416" s="571" t="s">
        <v>151</v>
      </c>
      <c r="E416" s="42">
        <v>10105571</v>
      </c>
      <c r="F416" s="345">
        <v>46055</v>
      </c>
      <c r="G416" s="42" t="s">
        <v>643</v>
      </c>
      <c r="H416" s="42">
        <v>1</v>
      </c>
      <c r="I416" s="61">
        <v>60000</v>
      </c>
      <c r="J416" s="42">
        <v>3</v>
      </c>
      <c r="K416" s="321">
        <f t="shared" si="7"/>
        <v>20000</v>
      </c>
      <c r="L416" s="62">
        <v>46023</v>
      </c>
      <c r="M416" s="62">
        <v>46387</v>
      </c>
      <c r="N416" s="63" t="s">
        <v>520</v>
      </c>
      <c r="O416" s="42"/>
      <c r="P416" s="42"/>
      <c r="Q416" s="63" t="s">
        <v>347</v>
      </c>
      <c r="R416" s="63"/>
      <c r="S416" s="63" t="s">
        <v>348</v>
      </c>
      <c r="T416" s="63"/>
      <c r="U416" s="63" t="s">
        <v>349</v>
      </c>
      <c r="V416" s="63"/>
      <c r="W416" s="63"/>
      <c r="X416" s="63"/>
      <c r="Y416" s="63"/>
      <c r="Z416" s="63"/>
      <c r="AA416" s="63"/>
      <c r="AB416" s="63"/>
      <c r="AC416" s="63" t="s">
        <v>478</v>
      </c>
      <c r="AD416" s="16" t="s">
        <v>63</v>
      </c>
      <c r="AE416" s="42">
        <v>5</v>
      </c>
      <c r="AF416" s="63" t="s">
        <v>667</v>
      </c>
    </row>
    <row r="417" spans="1:32" ht="15" hidden="1" customHeight="1" x14ac:dyDescent="0.3">
      <c r="B417" s="42" t="s">
        <v>2</v>
      </c>
      <c r="C417" s="575" t="s">
        <v>1506</v>
      </c>
      <c r="D417" s="571" t="s">
        <v>151</v>
      </c>
      <c r="E417" s="42">
        <v>10105572</v>
      </c>
      <c r="F417" s="345">
        <v>46055</v>
      </c>
      <c r="G417" s="42" t="s">
        <v>643</v>
      </c>
      <c r="H417" s="42">
        <v>2</v>
      </c>
      <c r="I417" s="61">
        <v>120000</v>
      </c>
      <c r="J417" s="42">
        <v>3</v>
      </c>
      <c r="K417" s="321">
        <f t="shared" si="7"/>
        <v>40000</v>
      </c>
      <c r="L417" s="62">
        <v>46023</v>
      </c>
      <c r="M417" s="62">
        <v>46387</v>
      </c>
      <c r="N417" s="63" t="s">
        <v>520</v>
      </c>
      <c r="O417" s="42"/>
      <c r="P417" s="42"/>
      <c r="Q417" s="63" t="s">
        <v>347</v>
      </c>
      <c r="R417" s="63"/>
      <c r="S417" s="63" t="s">
        <v>348</v>
      </c>
      <c r="T417" s="63"/>
      <c r="U417" s="63" t="s">
        <v>349</v>
      </c>
      <c r="V417" s="63"/>
      <c r="W417" s="63"/>
      <c r="X417" s="63"/>
      <c r="Y417" s="63"/>
      <c r="Z417" s="63"/>
      <c r="AA417" s="63"/>
      <c r="AB417" s="63"/>
      <c r="AC417" s="63" t="s">
        <v>478</v>
      </c>
      <c r="AD417" s="16" t="s">
        <v>63</v>
      </c>
      <c r="AE417" s="42">
        <v>5</v>
      </c>
      <c r="AF417" s="63" t="s">
        <v>667</v>
      </c>
    </row>
    <row r="418" spans="1:32" ht="15" hidden="1" customHeight="1" x14ac:dyDescent="0.3">
      <c r="B418" s="42" t="s">
        <v>2</v>
      </c>
      <c r="C418" s="575" t="s">
        <v>1507</v>
      </c>
      <c r="D418" s="571" t="s">
        <v>151</v>
      </c>
      <c r="E418" s="42">
        <v>10105574</v>
      </c>
      <c r="F418" s="345">
        <v>46055</v>
      </c>
      <c r="G418" s="42" t="s">
        <v>643</v>
      </c>
      <c r="H418" s="42">
        <v>1</v>
      </c>
      <c r="I418" s="61">
        <v>60000</v>
      </c>
      <c r="J418" s="42">
        <v>3</v>
      </c>
      <c r="K418" s="321">
        <f t="shared" si="7"/>
        <v>20000</v>
      </c>
      <c r="L418" s="62">
        <v>46023</v>
      </c>
      <c r="M418" s="62">
        <v>46387</v>
      </c>
      <c r="N418" s="63" t="s">
        <v>520</v>
      </c>
      <c r="O418" s="42"/>
      <c r="P418" s="42"/>
      <c r="Q418" s="63" t="s">
        <v>347</v>
      </c>
      <c r="R418" s="63"/>
      <c r="S418" s="63" t="s">
        <v>348</v>
      </c>
      <c r="T418" s="63"/>
      <c r="U418" s="63" t="s">
        <v>349</v>
      </c>
      <c r="V418" s="63"/>
      <c r="W418" s="63"/>
      <c r="X418" s="63"/>
      <c r="Y418" s="63"/>
      <c r="Z418" s="63"/>
      <c r="AA418" s="63"/>
      <c r="AB418" s="63"/>
      <c r="AC418" s="63" t="s">
        <v>478</v>
      </c>
      <c r="AD418" s="16" t="s">
        <v>63</v>
      </c>
      <c r="AE418" s="42">
        <v>5</v>
      </c>
      <c r="AF418" s="63" t="s">
        <v>667</v>
      </c>
    </row>
    <row r="419" spans="1:32" ht="15" hidden="1" customHeight="1" x14ac:dyDescent="0.3">
      <c r="B419" s="42" t="s">
        <v>2</v>
      </c>
      <c r="C419" s="575" t="s">
        <v>1508</v>
      </c>
      <c r="D419" s="571" t="s">
        <v>151</v>
      </c>
      <c r="E419" s="42">
        <v>10105573</v>
      </c>
      <c r="F419" s="345">
        <v>46055</v>
      </c>
      <c r="G419" s="42" t="s">
        <v>643</v>
      </c>
      <c r="H419" s="42">
        <v>2</v>
      </c>
      <c r="I419" s="61">
        <v>120000</v>
      </c>
      <c r="J419" s="42">
        <v>3</v>
      </c>
      <c r="K419" s="321">
        <f t="shared" si="7"/>
        <v>40000</v>
      </c>
      <c r="L419" s="62">
        <v>46023</v>
      </c>
      <c r="M419" s="62">
        <v>46387</v>
      </c>
      <c r="N419" s="63" t="s">
        <v>520</v>
      </c>
      <c r="O419" s="42"/>
      <c r="P419" s="42"/>
      <c r="Q419" s="63" t="s">
        <v>347</v>
      </c>
      <c r="R419" s="63"/>
      <c r="S419" s="63" t="s">
        <v>348</v>
      </c>
      <c r="T419" s="63"/>
      <c r="U419" s="63" t="s">
        <v>349</v>
      </c>
      <c r="V419" s="63"/>
      <c r="W419" s="63"/>
      <c r="X419" s="63"/>
      <c r="Y419" s="63"/>
      <c r="Z419" s="63"/>
      <c r="AA419" s="63"/>
      <c r="AB419" s="63"/>
      <c r="AC419" s="63" t="s">
        <v>478</v>
      </c>
      <c r="AD419" s="16" t="s">
        <v>63</v>
      </c>
      <c r="AE419" s="42">
        <v>3</v>
      </c>
      <c r="AF419" s="63" t="s">
        <v>667</v>
      </c>
    </row>
    <row r="420" spans="1:32" ht="15" hidden="1" customHeight="1" x14ac:dyDescent="0.3">
      <c r="B420" s="42" t="s">
        <v>2</v>
      </c>
      <c r="C420" s="575" t="s">
        <v>1509</v>
      </c>
      <c r="D420" s="571" t="s">
        <v>151</v>
      </c>
      <c r="E420" s="42">
        <v>10105565</v>
      </c>
      <c r="F420" s="345">
        <v>46055</v>
      </c>
      <c r="G420" s="42" t="s">
        <v>643</v>
      </c>
      <c r="H420" s="42">
        <v>1</v>
      </c>
      <c r="I420" s="61">
        <v>60000</v>
      </c>
      <c r="J420" s="42">
        <v>3</v>
      </c>
      <c r="K420" s="321">
        <f t="shared" si="7"/>
        <v>20000</v>
      </c>
      <c r="L420" s="62">
        <v>46023</v>
      </c>
      <c r="M420" s="62">
        <v>46387</v>
      </c>
      <c r="N420" s="63" t="s">
        <v>520</v>
      </c>
      <c r="O420" s="42"/>
      <c r="P420" s="42"/>
      <c r="Q420" s="63" t="s">
        <v>347</v>
      </c>
      <c r="R420" s="63"/>
      <c r="S420" s="63" t="s">
        <v>348</v>
      </c>
      <c r="T420" s="63"/>
      <c r="U420" s="63" t="s">
        <v>349</v>
      </c>
      <c r="V420" s="63"/>
      <c r="W420" s="63"/>
      <c r="X420" s="63"/>
      <c r="Y420" s="63"/>
      <c r="Z420" s="63"/>
      <c r="AA420" s="63"/>
      <c r="AB420" s="63"/>
      <c r="AC420" s="63" t="s">
        <v>478</v>
      </c>
      <c r="AD420" s="16" t="s">
        <v>63</v>
      </c>
      <c r="AE420" s="42">
        <v>3</v>
      </c>
      <c r="AF420" s="63" t="s">
        <v>667</v>
      </c>
    </row>
    <row r="421" spans="1:32" ht="15" hidden="1" customHeight="1" x14ac:dyDescent="0.3">
      <c r="B421" s="42" t="s">
        <v>2</v>
      </c>
      <c r="C421" s="575" t="s">
        <v>557</v>
      </c>
      <c r="D421" s="571" t="s">
        <v>558</v>
      </c>
      <c r="E421" s="175" t="s">
        <v>1510</v>
      </c>
      <c r="F421" s="345">
        <v>46050</v>
      </c>
      <c r="G421" s="42" t="s">
        <v>643</v>
      </c>
      <c r="H421" s="42">
        <v>1</v>
      </c>
      <c r="I421" s="61">
        <v>134698</v>
      </c>
      <c r="J421" s="42">
        <v>4</v>
      </c>
      <c r="K421" s="321">
        <f t="shared" si="7"/>
        <v>33674.5</v>
      </c>
      <c r="L421" s="62">
        <v>46053</v>
      </c>
      <c r="M421" s="62">
        <v>46417</v>
      </c>
      <c r="N421" s="63" t="s">
        <v>520</v>
      </c>
      <c r="O421" s="42"/>
      <c r="P421" s="42"/>
      <c r="Q421" s="64" t="s">
        <v>1511</v>
      </c>
      <c r="R421" s="63" t="s">
        <v>712</v>
      </c>
      <c r="S421" s="63" t="s">
        <v>444</v>
      </c>
      <c r="T421" s="63"/>
      <c r="U421" s="63" t="s">
        <v>445</v>
      </c>
      <c r="V421" s="63"/>
      <c r="W421" s="63" t="s">
        <v>1512</v>
      </c>
      <c r="X421" s="63"/>
      <c r="Y421" s="63"/>
      <c r="Z421" s="63"/>
      <c r="AA421" s="63"/>
      <c r="AB421" s="63"/>
      <c r="AC421" s="63" t="s">
        <v>281</v>
      </c>
      <c r="AD421" s="42" t="s">
        <v>97</v>
      </c>
      <c r="AE421" s="42" t="s">
        <v>494</v>
      </c>
      <c r="AF421" s="63" t="s">
        <v>1345</v>
      </c>
    </row>
    <row r="422" spans="1:32" ht="15" hidden="1" customHeight="1" x14ac:dyDescent="0.3">
      <c r="B422" s="42" t="s">
        <v>2</v>
      </c>
      <c r="C422" s="575" t="s">
        <v>1513</v>
      </c>
      <c r="D422" s="571" t="s">
        <v>1129</v>
      </c>
      <c r="E422" s="297">
        <v>4200020634</v>
      </c>
      <c r="F422" s="345">
        <v>46045</v>
      </c>
      <c r="G422" s="42" t="s">
        <v>643</v>
      </c>
      <c r="H422" s="42">
        <v>2</v>
      </c>
      <c r="I422" s="61">
        <v>344709.4</v>
      </c>
      <c r="J422" s="42">
        <v>3</v>
      </c>
      <c r="K422" s="321">
        <f t="shared" si="7"/>
        <v>114903.13333333335</v>
      </c>
      <c r="L422" s="62">
        <v>46045</v>
      </c>
      <c r="M422" s="62">
        <v>46409</v>
      </c>
      <c r="N422" s="63" t="s">
        <v>520</v>
      </c>
      <c r="O422" s="42"/>
      <c r="P422" s="42"/>
      <c r="Q422" s="64" t="s">
        <v>1514</v>
      </c>
      <c r="R422" s="63" t="s">
        <v>1515</v>
      </c>
      <c r="S422" s="63" t="s">
        <v>1516</v>
      </c>
      <c r="T422" s="63"/>
      <c r="U422" s="63" t="s">
        <v>1517</v>
      </c>
      <c r="V422" s="63"/>
      <c r="W422" s="63"/>
      <c r="X422" s="63"/>
      <c r="Y422" s="63"/>
      <c r="Z422" s="63"/>
      <c r="AA422" s="63"/>
      <c r="AB422" s="63"/>
      <c r="AC422" s="63" t="s">
        <v>281</v>
      </c>
      <c r="AD422" s="42" t="s">
        <v>97</v>
      </c>
      <c r="AE422" s="42">
        <v>3</v>
      </c>
      <c r="AF422" s="63" t="s">
        <v>667</v>
      </c>
    </row>
    <row r="423" spans="1:32" ht="15" hidden="1" customHeight="1" x14ac:dyDescent="0.3">
      <c r="B423" s="42" t="s">
        <v>2</v>
      </c>
      <c r="C423" s="580" t="s">
        <v>1518</v>
      </c>
      <c r="D423" s="581" t="s">
        <v>131</v>
      </c>
      <c r="E423" s="149">
        <v>1300004372</v>
      </c>
      <c r="F423" s="611">
        <v>46042</v>
      </c>
      <c r="G423" s="42" t="s">
        <v>643</v>
      </c>
      <c r="H423" s="42">
        <v>1</v>
      </c>
      <c r="I423" s="61">
        <v>78000</v>
      </c>
      <c r="J423" s="42">
        <v>3</v>
      </c>
      <c r="K423" s="321">
        <f t="shared" si="7"/>
        <v>26000</v>
      </c>
      <c r="L423" s="62">
        <v>46054</v>
      </c>
      <c r="M423" s="62">
        <v>46418</v>
      </c>
      <c r="N423" s="63" t="s">
        <v>520</v>
      </c>
      <c r="O423" s="42"/>
      <c r="P423" s="42"/>
      <c r="Q423" s="64" t="s">
        <v>404</v>
      </c>
      <c r="R423" s="63" t="s">
        <v>1239</v>
      </c>
      <c r="S423" s="63" t="s">
        <v>406</v>
      </c>
      <c r="T423" s="63"/>
      <c r="U423" s="63" t="s">
        <v>407</v>
      </c>
      <c r="V423" s="63"/>
      <c r="W423" s="63"/>
      <c r="X423" s="63"/>
      <c r="Y423" s="63"/>
      <c r="Z423" s="63"/>
      <c r="AA423" s="63"/>
      <c r="AB423" s="63"/>
      <c r="AC423" s="63" t="s">
        <v>485</v>
      </c>
      <c r="AD423" s="16" t="s">
        <v>63</v>
      </c>
      <c r="AE423" s="42">
        <v>4</v>
      </c>
      <c r="AF423" s="63" t="s">
        <v>1519</v>
      </c>
    </row>
    <row r="424" spans="1:32" ht="15" hidden="1" customHeight="1" x14ac:dyDescent="0.3">
      <c r="B424" s="42" t="s">
        <v>2</v>
      </c>
      <c r="C424" s="573" t="s">
        <v>1520</v>
      </c>
      <c r="D424" s="574" t="s">
        <v>151</v>
      </c>
      <c r="E424" s="84">
        <v>7100008763</v>
      </c>
      <c r="F424" s="345">
        <v>46006</v>
      </c>
      <c r="G424" s="42" t="s">
        <v>643</v>
      </c>
      <c r="H424" s="42">
        <v>1</v>
      </c>
      <c r="I424" s="61">
        <v>75000</v>
      </c>
      <c r="J424" s="42">
        <v>3</v>
      </c>
      <c r="K424" s="321">
        <f t="shared" si="7"/>
        <v>25000</v>
      </c>
      <c r="L424" s="62">
        <v>46023</v>
      </c>
      <c r="M424" s="62">
        <v>46387</v>
      </c>
      <c r="N424" s="63" t="s">
        <v>520</v>
      </c>
      <c r="O424" s="42"/>
      <c r="P424" s="42"/>
      <c r="Q424" s="64" t="s">
        <v>347</v>
      </c>
      <c r="R424" s="62" t="s">
        <v>726</v>
      </c>
      <c r="S424" s="63" t="s">
        <v>348</v>
      </c>
      <c r="T424" s="63"/>
      <c r="U424" s="63" t="s">
        <v>349</v>
      </c>
      <c r="V424" s="63"/>
      <c r="W424" s="63"/>
      <c r="X424" s="63"/>
      <c r="Y424" s="63"/>
      <c r="Z424" s="63"/>
      <c r="AA424" s="63"/>
      <c r="AB424" s="63"/>
      <c r="AC424" s="63" t="s">
        <v>478</v>
      </c>
      <c r="AD424" s="16" t="s">
        <v>63</v>
      </c>
      <c r="AE424" s="42">
        <v>3</v>
      </c>
      <c r="AF424" s="63" t="s">
        <v>1319</v>
      </c>
    </row>
    <row r="425" spans="1:32" ht="15" hidden="1" customHeight="1" x14ac:dyDescent="0.3">
      <c r="B425" s="42" t="s">
        <v>2</v>
      </c>
      <c r="C425" s="575" t="s">
        <v>1521</v>
      </c>
      <c r="D425" s="571" t="s">
        <v>151</v>
      </c>
      <c r="E425" s="175">
        <v>7100007753</v>
      </c>
      <c r="F425" s="614">
        <v>45975</v>
      </c>
      <c r="G425" s="42" t="s">
        <v>643</v>
      </c>
      <c r="H425" s="42">
        <v>1</v>
      </c>
      <c r="I425" s="61">
        <v>75000</v>
      </c>
      <c r="J425" s="42">
        <v>3</v>
      </c>
      <c r="K425" s="321">
        <f t="shared" si="7"/>
        <v>25000</v>
      </c>
      <c r="L425" s="62">
        <v>45962</v>
      </c>
      <c r="M425" s="62">
        <v>46326</v>
      </c>
      <c r="N425" s="63" t="s">
        <v>520</v>
      </c>
      <c r="O425" s="42"/>
      <c r="P425" s="42"/>
      <c r="Q425" s="64" t="s">
        <v>192</v>
      </c>
      <c r="R425" s="63" t="s">
        <v>291</v>
      </c>
      <c r="S425" s="63" t="s">
        <v>1522</v>
      </c>
      <c r="T425" s="63"/>
      <c r="U425" s="63" t="s">
        <v>1344</v>
      </c>
      <c r="V425" s="63"/>
      <c r="W425" s="63"/>
      <c r="X425" s="63"/>
      <c r="Y425" s="63"/>
      <c r="Z425" s="63"/>
      <c r="AA425" s="63"/>
      <c r="AB425" s="63"/>
      <c r="AC425" s="63" t="s">
        <v>478</v>
      </c>
      <c r="AD425" s="16" t="s">
        <v>63</v>
      </c>
      <c r="AE425" s="42">
        <v>2</v>
      </c>
      <c r="AF425" s="63" t="s">
        <v>667</v>
      </c>
    </row>
    <row r="426" spans="1:32" ht="15" hidden="1" customHeight="1" x14ac:dyDescent="0.3">
      <c r="B426" s="42" t="s">
        <v>2</v>
      </c>
      <c r="C426" s="575" t="s">
        <v>595</v>
      </c>
      <c r="D426" s="571" t="s">
        <v>1012</v>
      </c>
      <c r="E426" s="345" t="s">
        <v>1523</v>
      </c>
      <c r="F426" s="345">
        <v>46029</v>
      </c>
      <c r="G426" s="42" t="s">
        <v>643</v>
      </c>
      <c r="H426" s="42">
        <v>1</v>
      </c>
      <c r="I426" s="61">
        <v>93312</v>
      </c>
      <c r="J426" s="42">
        <v>3</v>
      </c>
      <c r="K426" s="321">
        <f t="shared" si="7"/>
        <v>31104</v>
      </c>
      <c r="L426" s="62">
        <v>46023</v>
      </c>
      <c r="M426" s="62">
        <v>46387</v>
      </c>
      <c r="N426" s="63" t="s">
        <v>520</v>
      </c>
      <c r="O426" s="42"/>
      <c r="P426" s="42"/>
      <c r="Q426" s="64" t="s">
        <v>347</v>
      </c>
      <c r="R426" s="63" t="s">
        <v>1524</v>
      </c>
      <c r="S426" s="63" t="s">
        <v>1525</v>
      </c>
      <c r="T426" s="63"/>
      <c r="U426" s="63" t="s">
        <v>349</v>
      </c>
      <c r="V426" s="63"/>
      <c r="W426" s="63"/>
      <c r="X426" s="63"/>
      <c r="Y426" s="63"/>
      <c r="Z426" s="63"/>
      <c r="AA426" s="63"/>
      <c r="AB426" s="63"/>
      <c r="AC426" s="63" t="s">
        <v>619</v>
      </c>
      <c r="AD426" s="16" t="s">
        <v>63</v>
      </c>
      <c r="AE426" s="42">
        <v>3</v>
      </c>
      <c r="AF426" s="63" t="s">
        <v>799</v>
      </c>
    </row>
    <row r="427" spans="1:32" ht="15" hidden="1" customHeight="1" x14ac:dyDescent="0.3">
      <c r="B427" s="42" t="s">
        <v>2</v>
      </c>
      <c r="C427" s="575" t="s">
        <v>771</v>
      </c>
      <c r="D427" s="571" t="s">
        <v>388</v>
      </c>
      <c r="E427" s="300">
        <v>6000063663</v>
      </c>
      <c r="F427" s="345">
        <v>46045</v>
      </c>
      <c r="G427" s="42" t="s">
        <v>643</v>
      </c>
      <c r="H427" s="42">
        <v>4</v>
      </c>
      <c r="I427" s="61">
        <v>282800</v>
      </c>
      <c r="J427" s="42">
        <v>2</v>
      </c>
      <c r="K427" s="321">
        <f t="shared" si="7"/>
        <v>141400</v>
      </c>
      <c r="L427" s="62">
        <v>46023</v>
      </c>
      <c r="M427" s="62">
        <v>46387</v>
      </c>
      <c r="N427" s="63" t="s">
        <v>520</v>
      </c>
      <c r="O427" s="42"/>
      <c r="P427" s="42"/>
      <c r="Q427" s="63" t="s">
        <v>607</v>
      </c>
      <c r="R427" s="63"/>
      <c r="S427" s="63" t="s">
        <v>608</v>
      </c>
      <c r="T427" s="63"/>
      <c r="U427" s="63"/>
      <c r="V427" s="63"/>
      <c r="W427" s="63"/>
      <c r="X427" s="63"/>
      <c r="Y427" s="63"/>
      <c r="Z427" s="63"/>
      <c r="AA427" s="63"/>
      <c r="AB427" s="63"/>
      <c r="AC427" s="63" t="s">
        <v>619</v>
      </c>
      <c r="AD427" s="16" t="s">
        <v>63</v>
      </c>
      <c r="AE427" s="42">
        <v>2</v>
      </c>
      <c r="AF427" s="63" t="s">
        <v>667</v>
      </c>
    </row>
    <row r="428" spans="1:32" ht="15" hidden="1" customHeight="1" x14ac:dyDescent="0.3">
      <c r="A428" s="279" t="s">
        <v>1526</v>
      </c>
      <c r="B428" s="26" t="s">
        <v>2</v>
      </c>
      <c r="C428" s="277" t="s">
        <v>530</v>
      </c>
      <c r="D428" s="278" t="s">
        <v>176</v>
      </c>
      <c r="E428" s="26">
        <v>16882528</v>
      </c>
      <c r="F428" s="55">
        <v>45670</v>
      </c>
      <c r="G428" s="26" t="s">
        <v>55</v>
      </c>
      <c r="H428" s="26">
        <v>1</v>
      </c>
      <c r="I428" s="56">
        <f>568000/4</f>
        <v>142000</v>
      </c>
      <c r="J428" s="26">
        <v>4</v>
      </c>
      <c r="K428" s="321">
        <f t="shared" si="7"/>
        <v>35500</v>
      </c>
      <c r="L428" s="57">
        <v>45670</v>
      </c>
      <c r="M428" s="57">
        <v>46764</v>
      </c>
      <c r="N428" s="58" t="s">
        <v>520</v>
      </c>
      <c r="O428" s="26"/>
      <c r="P428" s="26"/>
      <c r="Q428" s="58" t="s">
        <v>1527</v>
      </c>
      <c r="R428" s="58"/>
      <c r="S428" s="58" t="s">
        <v>1528</v>
      </c>
      <c r="T428" s="58"/>
      <c r="U428" s="58" t="s">
        <v>1529</v>
      </c>
      <c r="V428" s="58"/>
      <c r="W428" s="58" t="s">
        <v>1530</v>
      </c>
      <c r="X428" s="58"/>
      <c r="Y428" s="58"/>
      <c r="Z428" s="58"/>
      <c r="AA428" s="58"/>
      <c r="AB428" s="58"/>
      <c r="AC428" s="58" t="s">
        <v>183</v>
      </c>
      <c r="AD428" s="26" t="s">
        <v>97</v>
      </c>
      <c r="AE428" s="26">
        <v>4</v>
      </c>
      <c r="AF428" s="58"/>
    </row>
    <row r="429" spans="1:32" ht="15" hidden="1" customHeight="1" x14ac:dyDescent="0.3">
      <c r="B429" s="26" t="s">
        <v>2</v>
      </c>
      <c r="C429" s="277" t="s">
        <v>530</v>
      </c>
      <c r="D429" s="278" t="s">
        <v>535</v>
      </c>
      <c r="E429" s="26">
        <v>16882528</v>
      </c>
      <c r="F429" s="55">
        <v>45670</v>
      </c>
      <c r="G429" s="26" t="s">
        <v>55</v>
      </c>
      <c r="H429" s="26">
        <v>1</v>
      </c>
      <c r="I429" s="56">
        <f>568000/4</f>
        <v>142000</v>
      </c>
      <c r="J429" s="26">
        <v>4</v>
      </c>
      <c r="K429" s="321">
        <f t="shared" si="7"/>
        <v>35500</v>
      </c>
      <c r="L429" s="57">
        <v>45670</v>
      </c>
      <c r="M429" s="57">
        <v>46764</v>
      </c>
      <c r="N429" s="58" t="s">
        <v>520</v>
      </c>
      <c r="O429" s="26"/>
      <c r="P429" s="26"/>
      <c r="Q429" s="59" t="s">
        <v>1527</v>
      </c>
      <c r="R429" s="58" t="s">
        <v>798</v>
      </c>
      <c r="S429" s="58" t="s">
        <v>1528</v>
      </c>
      <c r="T429" s="58"/>
      <c r="U429" s="58" t="s">
        <v>1529</v>
      </c>
      <c r="V429" s="58"/>
      <c r="W429" s="58" t="s">
        <v>1530</v>
      </c>
      <c r="X429" s="58"/>
      <c r="Y429" s="58"/>
      <c r="Z429" s="58"/>
      <c r="AA429" s="58"/>
      <c r="AB429" s="58"/>
      <c r="AC429" s="58" t="s">
        <v>183</v>
      </c>
      <c r="AD429" s="26" t="s">
        <v>97</v>
      </c>
      <c r="AE429" s="26">
        <v>4</v>
      </c>
      <c r="AF429" s="58"/>
    </row>
    <row r="430" spans="1:32" ht="15" hidden="1" customHeight="1" x14ac:dyDescent="0.3">
      <c r="B430" s="26" t="s">
        <v>2</v>
      </c>
      <c r="C430" s="277" t="s">
        <v>530</v>
      </c>
      <c r="D430" s="278" t="s">
        <v>538</v>
      </c>
      <c r="E430" s="26">
        <v>16882528</v>
      </c>
      <c r="F430" s="55">
        <v>45670</v>
      </c>
      <c r="G430" s="26" t="s">
        <v>55</v>
      </c>
      <c r="H430" s="26">
        <v>1</v>
      </c>
      <c r="I430" s="56">
        <f>568000/4</f>
        <v>142000</v>
      </c>
      <c r="J430" s="26">
        <v>4</v>
      </c>
      <c r="K430" s="321">
        <f t="shared" si="7"/>
        <v>35500</v>
      </c>
      <c r="L430" s="57">
        <v>45670</v>
      </c>
      <c r="M430" s="57">
        <v>46764</v>
      </c>
      <c r="N430" s="58" t="s">
        <v>520</v>
      </c>
      <c r="O430" s="26"/>
      <c r="P430" s="26"/>
      <c r="Q430" s="59" t="s">
        <v>1527</v>
      </c>
      <c r="R430" s="58" t="s">
        <v>455</v>
      </c>
      <c r="S430" s="58" t="s">
        <v>1528</v>
      </c>
      <c r="T430" s="58"/>
      <c r="U430" s="58" t="s">
        <v>1529</v>
      </c>
      <c r="V430" s="58"/>
      <c r="W430" s="58" t="s">
        <v>1530</v>
      </c>
      <c r="X430" s="58"/>
      <c r="Y430" s="58"/>
      <c r="Z430" s="58"/>
      <c r="AA430" s="58"/>
      <c r="AB430" s="58"/>
      <c r="AC430" s="58" t="s">
        <v>485</v>
      </c>
      <c r="AD430" s="16" t="s">
        <v>63</v>
      </c>
      <c r="AE430" s="26">
        <v>4</v>
      </c>
      <c r="AF430" s="58"/>
    </row>
    <row r="431" spans="1:32" ht="15" hidden="1" customHeight="1" x14ac:dyDescent="0.3">
      <c r="B431" s="42" t="s">
        <v>2</v>
      </c>
      <c r="C431" s="280" t="s">
        <v>530</v>
      </c>
      <c r="D431" s="281" t="s">
        <v>540</v>
      </c>
      <c r="E431" s="42">
        <v>16882528</v>
      </c>
      <c r="F431" s="43">
        <v>45670</v>
      </c>
      <c r="G431" s="42" t="s">
        <v>55</v>
      </c>
      <c r="H431" s="42">
        <v>1</v>
      </c>
      <c r="I431" s="61">
        <f>568000/4</f>
        <v>142000</v>
      </c>
      <c r="J431" s="42">
        <v>4</v>
      </c>
      <c r="K431" s="321">
        <f t="shared" si="7"/>
        <v>35500</v>
      </c>
      <c r="L431" s="62">
        <v>45670</v>
      </c>
      <c r="M431" s="62">
        <v>46764</v>
      </c>
      <c r="N431" s="63" t="s">
        <v>520</v>
      </c>
      <c r="O431" s="42"/>
      <c r="P431" s="42"/>
      <c r="Q431" s="64" t="s">
        <v>1527</v>
      </c>
      <c r="R431" s="63" t="s">
        <v>149</v>
      </c>
      <c r="S431" s="63" t="s">
        <v>1528</v>
      </c>
      <c r="T431" s="63"/>
      <c r="U431" s="63" t="s">
        <v>1529</v>
      </c>
      <c r="V431" s="63"/>
      <c r="W431" s="63" t="s">
        <v>1530</v>
      </c>
      <c r="X431" s="63"/>
      <c r="Y431" s="63"/>
      <c r="Z431" s="63"/>
      <c r="AA431" s="63"/>
      <c r="AB431" s="63"/>
      <c r="AC431" s="63" t="s">
        <v>128</v>
      </c>
      <c r="AD431" s="42" t="s">
        <v>129</v>
      </c>
      <c r="AE431" s="42">
        <v>4</v>
      </c>
      <c r="AF431" s="63"/>
    </row>
    <row r="432" spans="1:32" ht="15" hidden="1" customHeight="1" x14ac:dyDescent="0.3">
      <c r="B432" s="42" t="s">
        <v>2</v>
      </c>
      <c r="C432" s="68" t="s">
        <v>1069</v>
      </c>
      <c r="D432" s="132" t="s">
        <v>1531</v>
      </c>
      <c r="E432" s="297">
        <v>4400018763</v>
      </c>
      <c r="F432" s="345">
        <v>46041</v>
      </c>
      <c r="G432" s="42" t="s">
        <v>55</v>
      </c>
      <c r="H432" s="42">
        <v>5</v>
      </c>
      <c r="I432" s="61">
        <v>698145</v>
      </c>
      <c r="J432" s="42">
        <v>3</v>
      </c>
      <c r="K432" s="321">
        <f t="shared" si="7"/>
        <v>232715</v>
      </c>
      <c r="L432" s="62">
        <v>46023</v>
      </c>
      <c r="M432" s="62">
        <v>46387</v>
      </c>
      <c r="N432" s="63" t="s">
        <v>520</v>
      </c>
      <c r="O432" s="42"/>
      <c r="P432" s="42"/>
      <c r="Q432" s="64" t="s">
        <v>347</v>
      </c>
      <c r="R432" s="63" t="s">
        <v>1532</v>
      </c>
      <c r="S432" s="63" t="s">
        <v>348</v>
      </c>
      <c r="T432" s="63"/>
      <c r="U432" s="63" t="s">
        <v>349</v>
      </c>
      <c r="V432" s="63"/>
      <c r="W432" s="63"/>
      <c r="X432" s="63"/>
      <c r="Y432" s="63"/>
      <c r="Z432" s="63"/>
      <c r="AA432" s="63"/>
      <c r="AB432" s="63"/>
      <c r="AC432" s="63" t="s">
        <v>281</v>
      </c>
      <c r="AD432" s="42" t="s">
        <v>968</v>
      </c>
      <c r="AE432" s="42">
        <v>3</v>
      </c>
      <c r="AF432" s="63" t="s">
        <v>667</v>
      </c>
    </row>
    <row r="433" spans="2:32" ht="15" hidden="1" customHeight="1" x14ac:dyDescent="0.3">
      <c r="B433" s="42" t="s">
        <v>2</v>
      </c>
      <c r="C433" s="68" t="s">
        <v>647</v>
      </c>
      <c r="D433" s="582" t="s">
        <v>648</v>
      </c>
      <c r="E433" s="313">
        <v>450093582</v>
      </c>
      <c r="F433" s="614">
        <v>46053</v>
      </c>
      <c r="G433" s="42" t="s">
        <v>55</v>
      </c>
      <c r="H433" s="42">
        <v>2</v>
      </c>
      <c r="I433" s="61">
        <v>224000</v>
      </c>
      <c r="J433" s="42">
        <v>2</v>
      </c>
      <c r="K433" s="321">
        <f t="shared" si="7"/>
        <v>112000</v>
      </c>
      <c r="L433" s="62">
        <v>46082</v>
      </c>
      <c r="M433" s="62">
        <v>46446</v>
      </c>
      <c r="N433" s="63" t="s">
        <v>520</v>
      </c>
      <c r="O433" s="42"/>
      <c r="P433" s="42"/>
      <c r="Q433" s="63" t="s">
        <v>1533</v>
      </c>
      <c r="R433" s="63"/>
      <c r="S433" s="63" t="s">
        <v>1534</v>
      </c>
      <c r="T433" s="63"/>
      <c r="U433" s="63"/>
      <c r="V433" s="63"/>
      <c r="W433" s="63"/>
      <c r="X433" s="63"/>
      <c r="Y433" s="63"/>
      <c r="Z433" s="63"/>
      <c r="AA433" s="63"/>
      <c r="AB433" s="63"/>
      <c r="AC433" s="63" t="s">
        <v>1535</v>
      </c>
      <c r="AD433" s="42" t="s">
        <v>97</v>
      </c>
      <c r="AE433" s="42">
        <v>2</v>
      </c>
      <c r="AF433" s="63" t="s">
        <v>1536</v>
      </c>
    </row>
    <row r="434" spans="2:32" ht="15" hidden="1" customHeight="1" x14ac:dyDescent="0.3">
      <c r="B434" s="42" t="s">
        <v>2</v>
      </c>
      <c r="C434" s="575" t="s">
        <v>1537</v>
      </c>
      <c r="D434" s="571" t="s">
        <v>1022</v>
      </c>
      <c r="E434" s="175">
        <v>6460008580</v>
      </c>
      <c r="F434" s="345">
        <v>46052</v>
      </c>
      <c r="G434" s="42" t="s">
        <v>55</v>
      </c>
      <c r="H434" s="42">
        <v>1</v>
      </c>
      <c r="I434" s="61">
        <v>60000</v>
      </c>
      <c r="J434" s="42">
        <v>1</v>
      </c>
      <c r="K434" s="321">
        <f t="shared" si="7"/>
        <v>60000</v>
      </c>
      <c r="L434" s="585">
        <v>46054</v>
      </c>
      <c r="M434" s="585">
        <v>46418</v>
      </c>
      <c r="N434" s="63" t="s">
        <v>520</v>
      </c>
      <c r="O434" s="42"/>
      <c r="P434" s="42"/>
      <c r="Q434" s="63" t="s">
        <v>1538</v>
      </c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 t="s">
        <v>485</v>
      </c>
      <c r="AD434" s="16" t="s">
        <v>63</v>
      </c>
      <c r="AE434" s="42">
        <v>2</v>
      </c>
      <c r="AF434" s="63" t="s">
        <v>1539</v>
      </c>
    </row>
    <row r="435" spans="2:32" ht="15" hidden="1" customHeight="1" x14ac:dyDescent="0.3">
      <c r="B435" s="42" t="s">
        <v>2</v>
      </c>
      <c r="C435" s="576" t="s">
        <v>1540</v>
      </c>
      <c r="D435" s="577" t="s">
        <v>176</v>
      </c>
      <c r="E435" s="189" t="s">
        <v>1541</v>
      </c>
      <c r="F435" s="345">
        <v>45985</v>
      </c>
      <c r="G435" s="42" t="s">
        <v>55</v>
      </c>
      <c r="H435" s="42">
        <v>3</v>
      </c>
      <c r="I435" s="61">
        <v>268500</v>
      </c>
      <c r="J435" s="42">
        <v>3</v>
      </c>
      <c r="K435" s="321">
        <f t="shared" si="7"/>
        <v>89500</v>
      </c>
      <c r="L435" s="585">
        <v>45668</v>
      </c>
      <c r="M435" s="585">
        <v>46326</v>
      </c>
      <c r="N435" s="63" t="s">
        <v>520</v>
      </c>
      <c r="O435" s="42"/>
      <c r="P435" s="42"/>
      <c r="Q435" s="64" t="s">
        <v>192</v>
      </c>
      <c r="R435" s="63" t="s">
        <v>639</v>
      </c>
      <c r="S435" s="63" t="s">
        <v>194</v>
      </c>
      <c r="T435" s="63" t="s">
        <v>1542</v>
      </c>
      <c r="U435" s="63" t="s">
        <v>1344</v>
      </c>
      <c r="V435" s="63" t="s">
        <v>1543</v>
      </c>
      <c r="W435" s="63"/>
      <c r="X435" s="63"/>
      <c r="Y435" s="63"/>
      <c r="Z435" s="63"/>
      <c r="AA435" s="63"/>
      <c r="AB435" s="63"/>
      <c r="AC435" s="63" t="s">
        <v>183</v>
      </c>
      <c r="AD435" s="42" t="s">
        <v>97</v>
      </c>
      <c r="AE435" s="42">
        <v>6</v>
      </c>
      <c r="AF435" s="63" t="s">
        <v>1544</v>
      </c>
    </row>
    <row r="436" spans="2:32" ht="15" hidden="1" customHeight="1" x14ac:dyDescent="0.3">
      <c r="B436" s="26" t="s">
        <v>2</v>
      </c>
      <c r="C436" s="565" t="s">
        <v>195</v>
      </c>
      <c r="D436" s="566" t="s">
        <v>447</v>
      </c>
      <c r="E436" s="304" t="s">
        <v>1545</v>
      </c>
      <c r="F436" s="343">
        <v>46058</v>
      </c>
      <c r="G436" s="26" t="s">
        <v>55</v>
      </c>
      <c r="H436" s="26">
        <v>5</v>
      </c>
      <c r="I436" s="56">
        <v>325000</v>
      </c>
      <c r="J436" s="26">
        <v>4</v>
      </c>
      <c r="K436" s="321">
        <f t="shared" si="7"/>
        <v>81250</v>
      </c>
      <c r="L436" s="567">
        <v>46059</v>
      </c>
      <c r="M436" s="567">
        <v>46423</v>
      </c>
      <c r="N436" s="58" t="s">
        <v>520</v>
      </c>
      <c r="O436" s="26"/>
      <c r="P436" s="26"/>
      <c r="Q436" s="59" t="s">
        <v>1546</v>
      </c>
      <c r="R436" s="58" t="s">
        <v>712</v>
      </c>
      <c r="S436" s="58" t="s">
        <v>1547</v>
      </c>
      <c r="T436" s="58"/>
      <c r="U436" s="58" t="s">
        <v>1548</v>
      </c>
      <c r="V436" s="58"/>
      <c r="W436" s="58" t="s">
        <v>1549</v>
      </c>
      <c r="X436" s="58"/>
      <c r="Y436" s="58"/>
      <c r="Z436" s="58"/>
      <c r="AA436" s="58"/>
      <c r="AB436" s="58"/>
      <c r="AC436" s="58" t="s">
        <v>96</v>
      </c>
      <c r="AD436" s="26" t="s">
        <v>97</v>
      </c>
      <c r="AE436" s="26" t="s">
        <v>494</v>
      </c>
      <c r="AF436" s="58" t="s">
        <v>667</v>
      </c>
    </row>
    <row r="437" spans="2:32" ht="15" hidden="1" customHeight="1" x14ac:dyDescent="0.3">
      <c r="B437" s="26" t="s">
        <v>2</v>
      </c>
      <c r="C437" s="565" t="s">
        <v>195</v>
      </c>
      <c r="D437" s="566" t="s">
        <v>447</v>
      </c>
      <c r="E437" s="269" t="s">
        <v>1545</v>
      </c>
      <c r="F437" s="343">
        <v>46058</v>
      </c>
      <c r="G437" s="26" t="s">
        <v>55</v>
      </c>
      <c r="H437" s="26"/>
      <c r="I437" s="56">
        <v>325000</v>
      </c>
      <c r="J437" s="26">
        <v>4</v>
      </c>
      <c r="K437" s="321">
        <f t="shared" si="7"/>
        <v>81250</v>
      </c>
      <c r="L437" s="57">
        <v>46424</v>
      </c>
      <c r="M437" s="57">
        <v>46788</v>
      </c>
      <c r="N437" s="58" t="s">
        <v>520</v>
      </c>
      <c r="O437" s="26"/>
      <c r="P437" s="26"/>
      <c r="Q437" s="58" t="s">
        <v>1550</v>
      </c>
      <c r="R437" s="58"/>
      <c r="S437" s="58" t="s">
        <v>1551</v>
      </c>
      <c r="T437" s="58"/>
      <c r="U437" s="58" t="s">
        <v>1552</v>
      </c>
      <c r="V437" s="58"/>
      <c r="W437" s="58" t="s">
        <v>1553</v>
      </c>
      <c r="X437" s="58"/>
      <c r="Y437" s="58"/>
      <c r="Z437" s="58"/>
      <c r="AA437" s="58"/>
      <c r="AB437" s="58"/>
      <c r="AC437" s="58" t="s">
        <v>96</v>
      </c>
      <c r="AD437" s="26" t="s">
        <v>97</v>
      </c>
      <c r="AE437" s="26" t="s">
        <v>494</v>
      </c>
      <c r="AF437" s="58" t="s">
        <v>667</v>
      </c>
    </row>
    <row r="438" spans="2:32" ht="15" hidden="1" customHeight="1" x14ac:dyDescent="0.3">
      <c r="B438" s="42" t="s">
        <v>2</v>
      </c>
      <c r="C438" s="575" t="s">
        <v>195</v>
      </c>
      <c r="D438" s="571" t="s">
        <v>447</v>
      </c>
      <c r="E438" s="175" t="s">
        <v>1545</v>
      </c>
      <c r="F438" s="345">
        <v>46058</v>
      </c>
      <c r="G438" s="42" t="s">
        <v>55</v>
      </c>
      <c r="H438" s="42"/>
      <c r="I438" s="61">
        <v>325000</v>
      </c>
      <c r="J438" s="42">
        <v>4</v>
      </c>
      <c r="K438" s="321">
        <f t="shared" si="7"/>
        <v>81250</v>
      </c>
      <c r="L438" s="62">
        <v>46789</v>
      </c>
      <c r="M438" s="62">
        <v>47154</v>
      </c>
      <c r="N438" s="63" t="s">
        <v>520</v>
      </c>
      <c r="O438" s="42"/>
      <c r="P438" s="42"/>
      <c r="Q438" s="63" t="s">
        <v>1554</v>
      </c>
      <c r="R438" s="63"/>
      <c r="S438" s="63" t="s">
        <v>1555</v>
      </c>
      <c r="T438" s="63"/>
      <c r="U438" s="63" t="s">
        <v>1556</v>
      </c>
      <c r="V438" s="63"/>
      <c r="W438" s="63" t="s">
        <v>1557</v>
      </c>
      <c r="X438" s="63"/>
      <c r="Y438" s="63"/>
      <c r="Z438" s="63"/>
      <c r="AA438" s="63"/>
      <c r="AB438" s="63"/>
      <c r="AC438" s="63" t="s">
        <v>96</v>
      </c>
      <c r="AD438" s="42" t="s">
        <v>97</v>
      </c>
      <c r="AE438" s="42" t="s">
        <v>494</v>
      </c>
      <c r="AF438" s="63" t="s">
        <v>667</v>
      </c>
    </row>
    <row r="439" spans="2:32" ht="15" hidden="1" customHeight="1" x14ac:dyDescent="0.3">
      <c r="B439" s="42" t="s">
        <v>2</v>
      </c>
      <c r="C439" s="575" t="s">
        <v>1558</v>
      </c>
      <c r="D439" s="571" t="s">
        <v>151</v>
      </c>
      <c r="E439" s="175">
        <v>10106079</v>
      </c>
      <c r="F439" s="345">
        <v>46062</v>
      </c>
      <c r="G439" s="42" t="s">
        <v>55</v>
      </c>
      <c r="H439" s="42">
        <v>1</v>
      </c>
      <c r="I439" s="61">
        <v>130000</v>
      </c>
      <c r="J439" s="42">
        <v>3</v>
      </c>
      <c r="K439" s="321">
        <f t="shared" si="7"/>
        <v>43333.333333333336</v>
      </c>
      <c r="L439" s="62">
        <v>46023</v>
      </c>
      <c r="M439" s="62">
        <v>46387</v>
      </c>
      <c r="N439" s="63" t="s">
        <v>520</v>
      </c>
      <c r="O439" s="42"/>
      <c r="P439" s="42"/>
      <c r="Q439" s="63" t="s">
        <v>1559</v>
      </c>
      <c r="R439" s="63"/>
      <c r="S439" s="63" t="s">
        <v>348</v>
      </c>
      <c r="T439" s="63"/>
      <c r="U439" s="63" t="s">
        <v>349</v>
      </c>
      <c r="V439" s="63"/>
      <c r="W439" s="63"/>
      <c r="X439" s="63"/>
      <c r="Y439" s="63"/>
      <c r="Z439" s="63"/>
      <c r="AA439" s="63"/>
      <c r="AB439" s="63"/>
      <c r="AC439" s="63" t="s">
        <v>478</v>
      </c>
      <c r="AD439" s="16" t="s">
        <v>63</v>
      </c>
      <c r="AE439" s="42">
        <v>3</v>
      </c>
      <c r="AF439" s="63" t="s">
        <v>667</v>
      </c>
    </row>
    <row r="440" spans="2:32" ht="15" hidden="1" customHeight="1" x14ac:dyDescent="0.3">
      <c r="B440" s="42" t="s">
        <v>2</v>
      </c>
      <c r="C440" s="68" t="s">
        <v>1560</v>
      </c>
      <c r="D440" s="81" t="s">
        <v>388</v>
      </c>
      <c r="E440" s="300">
        <v>4511430093</v>
      </c>
      <c r="F440" s="345">
        <v>46059</v>
      </c>
      <c r="G440" s="42" t="s">
        <v>55</v>
      </c>
      <c r="H440" s="42">
        <v>3</v>
      </c>
      <c r="I440" s="61">
        <v>755305</v>
      </c>
      <c r="J440" s="42">
        <v>4</v>
      </c>
      <c r="K440" s="321">
        <f t="shared" si="7"/>
        <v>188826.25</v>
      </c>
      <c r="L440" s="62">
        <v>46007</v>
      </c>
      <c r="M440" s="62">
        <v>46371</v>
      </c>
      <c r="N440" s="63" t="s">
        <v>520</v>
      </c>
      <c r="O440" s="42"/>
      <c r="P440" s="42"/>
      <c r="Q440" s="64" t="s">
        <v>1561</v>
      </c>
      <c r="R440" s="63" t="s">
        <v>1019</v>
      </c>
      <c r="S440" s="63" t="s">
        <v>1562</v>
      </c>
      <c r="T440" s="63"/>
      <c r="U440" s="63" t="s">
        <v>1563</v>
      </c>
      <c r="V440" s="63"/>
      <c r="W440" s="63" t="s">
        <v>1564</v>
      </c>
      <c r="X440" s="63"/>
      <c r="Y440" s="63"/>
      <c r="Z440" s="63"/>
      <c r="AA440" s="63"/>
      <c r="AB440" s="63"/>
      <c r="AC440" s="63" t="s">
        <v>478</v>
      </c>
      <c r="AD440" s="16" t="s">
        <v>63</v>
      </c>
      <c r="AE440" s="42">
        <v>3</v>
      </c>
      <c r="AF440" s="63" t="s">
        <v>667</v>
      </c>
    </row>
    <row r="441" spans="2:32" ht="15" hidden="1" customHeight="1" x14ac:dyDescent="0.3">
      <c r="B441" s="42" t="s">
        <v>2</v>
      </c>
      <c r="C441" s="575" t="s">
        <v>1385</v>
      </c>
      <c r="D441" s="571" t="s">
        <v>1565</v>
      </c>
      <c r="E441" s="175">
        <v>4500090444</v>
      </c>
      <c r="F441" s="345">
        <v>46060</v>
      </c>
      <c r="G441" s="42" t="s">
        <v>55</v>
      </c>
      <c r="H441" s="42">
        <v>1</v>
      </c>
      <c r="I441" s="61">
        <v>80000</v>
      </c>
      <c r="J441" s="42">
        <v>2</v>
      </c>
      <c r="K441" s="321">
        <f t="shared" si="7"/>
        <v>40000</v>
      </c>
      <c r="L441" s="62">
        <v>46064</v>
      </c>
      <c r="M441" s="62">
        <v>46428</v>
      </c>
      <c r="N441" s="63" t="s">
        <v>520</v>
      </c>
      <c r="O441" s="42"/>
      <c r="P441" s="42"/>
      <c r="Q441" s="63" t="s">
        <v>1566</v>
      </c>
      <c r="R441" s="63"/>
      <c r="S441" s="63" t="s">
        <v>1567</v>
      </c>
      <c r="T441" s="63"/>
      <c r="U441" s="63"/>
      <c r="V441" s="63"/>
      <c r="W441" s="63"/>
      <c r="X441" s="63"/>
      <c r="Y441" s="63"/>
      <c r="Z441" s="63"/>
      <c r="AA441" s="63"/>
      <c r="AB441" s="63"/>
      <c r="AC441" s="63" t="s">
        <v>619</v>
      </c>
      <c r="AD441" s="16" t="s">
        <v>63</v>
      </c>
      <c r="AE441" s="42">
        <v>3</v>
      </c>
      <c r="AF441" s="63" t="s">
        <v>667</v>
      </c>
    </row>
    <row r="442" spans="2:32" ht="15" hidden="1" customHeight="1" x14ac:dyDescent="0.3">
      <c r="B442" s="42" t="s">
        <v>2</v>
      </c>
      <c r="C442" s="68" t="s">
        <v>598</v>
      </c>
      <c r="D442" s="132" t="s">
        <v>599</v>
      </c>
      <c r="E442" s="297">
        <v>3800068846</v>
      </c>
      <c r="F442" s="345">
        <v>46062</v>
      </c>
      <c r="G442" s="42" t="s">
        <v>55</v>
      </c>
      <c r="H442" s="42">
        <v>5</v>
      </c>
      <c r="I442" s="61">
        <v>290000</v>
      </c>
      <c r="J442" s="42">
        <v>2</v>
      </c>
      <c r="K442" s="321">
        <f t="shared" si="7"/>
        <v>145000</v>
      </c>
      <c r="L442" s="585">
        <v>46067</v>
      </c>
      <c r="M442" s="585">
        <v>46431</v>
      </c>
      <c r="N442" s="63" t="s">
        <v>520</v>
      </c>
      <c r="O442" s="42"/>
      <c r="P442" s="42"/>
      <c r="Q442" s="63" t="s">
        <v>1568</v>
      </c>
      <c r="R442" s="63" t="s">
        <v>1569</v>
      </c>
      <c r="S442" s="63" t="s">
        <v>1570</v>
      </c>
      <c r="T442" s="63"/>
      <c r="U442" s="63"/>
      <c r="V442" s="63"/>
      <c r="W442" s="63"/>
      <c r="X442" s="63"/>
      <c r="Y442" s="63"/>
      <c r="Z442" s="63"/>
      <c r="AA442" s="63"/>
      <c r="AB442" s="63"/>
      <c r="AC442" s="63" t="s">
        <v>485</v>
      </c>
      <c r="AD442" s="16" t="s">
        <v>63</v>
      </c>
      <c r="AE442" s="42">
        <v>2</v>
      </c>
      <c r="AF442" s="63" t="s">
        <v>1571</v>
      </c>
    </row>
    <row r="443" spans="2:32" ht="15" hidden="1" customHeight="1" x14ac:dyDescent="0.3">
      <c r="B443" s="42" t="s">
        <v>2</v>
      </c>
      <c r="C443" s="68" t="s">
        <v>130</v>
      </c>
      <c r="D443" s="582" t="s">
        <v>1572</v>
      </c>
      <c r="E443" s="177">
        <v>6800048397</v>
      </c>
      <c r="F443" s="345">
        <v>45882</v>
      </c>
      <c r="G443" s="42" t="s">
        <v>55</v>
      </c>
      <c r="H443" s="42">
        <v>1</v>
      </c>
      <c r="I443" s="61">
        <v>88000</v>
      </c>
      <c r="J443" s="42">
        <v>2</v>
      </c>
      <c r="K443" s="321">
        <f t="shared" si="7"/>
        <v>44000</v>
      </c>
      <c r="L443" s="615">
        <v>45901</v>
      </c>
      <c r="M443" s="615">
        <v>46265</v>
      </c>
      <c r="N443" s="63" t="s">
        <v>520</v>
      </c>
      <c r="O443" s="42"/>
      <c r="P443" s="42"/>
      <c r="Q443" s="64" t="s">
        <v>625</v>
      </c>
      <c r="R443" s="63" t="s">
        <v>1009</v>
      </c>
      <c r="S443" s="63" t="s">
        <v>1235</v>
      </c>
      <c r="T443" s="63"/>
      <c r="U443" s="63"/>
      <c r="V443" s="63"/>
      <c r="W443" s="63"/>
      <c r="X443" s="63"/>
      <c r="Y443" s="63"/>
      <c r="Z443" s="63"/>
      <c r="AA443" s="63"/>
      <c r="AB443" s="63"/>
      <c r="AC443" s="63" t="s">
        <v>183</v>
      </c>
      <c r="AD443" s="42" t="s">
        <v>97</v>
      </c>
      <c r="AE443" s="42">
        <v>2</v>
      </c>
      <c r="AF443" s="63" t="s">
        <v>1573</v>
      </c>
    </row>
    <row r="444" spans="2:32" ht="15" hidden="1" customHeight="1" x14ac:dyDescent="0.3">
      <c r="B444" s="42" t="s">
        <v>2</v>
      </c>
      <c r="C444" s="575" t="s">
        <v>1032</v>
      </c>
      <c r="D444" s="571" t="s">
        <v>1227</v>
      </c>
      <c r="E444" s="175">
        <v>2560049212</v>
      </c>
      <c r="F444" s="345">
        <v>46064</v>
      </c>
      <c r="G444" s="42" t="s">
        <v>55</v>
      </c>
      <c r="H444" s="42">
        <v>2</v>
      </c>
      <c r="I444" s="61">
        <v>180000</v>
      </c>
      <c r="J444" s="42">
        <v>2</v>
      </c>
      <c r="K444" s="321">
        <f t="shared" si="7"/>
        <v>90000</v>
      </c>
      <c r="L444" s="585">
        <v>46054</v>
      </c>
      <c r="M444" s="585">
        <v>46418</v>
      </c>
      <c r="N444" s="63" t="s">
        <v>520</v>
      </c>
      <c r="O444" s="42"/>
      <c r="P444" s="42" t="s">
        <v>1</v>
      </c>
      <c r="Q444" s="63" t="s">
        <v>426</v>
      </c>
      <c r="R444" s="63"/>
      <c r="S444" s="63" t="s">
        <v>427</v>
      </c>
      <c r="T444" s="63"/>
      <c r="U444" s="63"/>
      <c r="V444" s="63"/>
      <c r="W444" s="63"/>
      <c r="X444" s="63"/>
      <c r="Y444" s="63"/>
      <c r="Z444" s="63"/>
      <c r="AA444" s="63"/>
      <c r="AB444" s="63"/>
      <c r="AC444" s="63" t="s">
        <v>507</v>
      </c>
      <c r="AD444" s="16" t="s">
        <v>63</v>
      </c>
      <c r="AE444" s="42">
        <v>3</v>
      </c>
      <c r="AF444" s="63" t="s">
        <v>799</v>
      </c>
    </row>
    <row r="445" spans="2:32" ht="15" hidden="1" customHeight="1" x14ac:dyDescent="0.3">
      <c r="B445" s="42" t="s">
        <v>2</v>
      </c>
      <c r="C445" s="575" t="s">
        <v>1326</v>
      </c>
      <c r="D445" s="571" t="s">
        <v>151</v>
      </c>
      <c r="E445" s="175">
        <v>928978356</v>
      </c>
      <c r="F445" s="345">
        <v>46064</v>
      </c>
      <c r="G445" s="42" t="s">
        <v>55</v>
      </c>
      <c r="H445" s="42">
        <v>1</v>
      </c>
      <c r="I445" s="61">
        <v>96000</v>
      </c>
      <c r="J445" s="42">
        <v>3</v>
      </c>
      <c r="K445" s="321">
        <f t="shared" si="7"/>
        <v>32000</v>
      </c>
      <c r="L445" s="585">
        <v>46064</v>
      </c>
      <c r="M445" s="585">
        <v>46428</v>
      </c>
      <c r="N445" s="63" t="s">
        <v>520</v>
      </c>
      <c r="O445" s="42"/>
      <c r="P445" s="42"/>
      <c r="Q445" s="64" t="s">
        <v>1574</v>
      </c>
      <c r="R445" s="63" t="s">
        <v>1162</v>
      </c>
      <c r="S445" s="63" t="s">
        <v>1575</v>
      </c>
      <c r="T445" s="63"/>
      <c r="U445" s="63" t="s">
        <v>1576</v>
      </c>
      <c r="V445" s="63"/>
      <c r="W445" s="63"/>
      <c r="X445" s="63"/>
      <c r="Y445" s="63"/>
      <c r="Z445" s="63"/>
      <c r="AA445" s="63"/>
      <c r="AB445" s="63"/>
      <c r="AC445" s="63" t="s">
        <v>507</v>
      </c>
      <c r="AD445" s="16" t="s">
        <v>63</v>
      </c>
      <c r="AE445" s="42">
        <v>3</v>
      </c>
      <c r="AF445" s="63" t="s">
        <v>1577</v>
      </c>
    </row>
    <row r="446" spans="2:32" ht="15" hidden="1" customHeight="1" x14ac:dyDescent="0.3">
      <c r="B446" s="26" t="s">
        <v>2</v>
      </c>
      <c r="C446" s="39" t="s">
        <v>1095</v>
      </c>
      <c r="D446" s="350" t="s">
        <v>1578</v>
      </c>
      <c r="E446" s="312">
        <v>9709627472</v>
      </c>
      <c r="F446" s="343">
        <v>46069</v>
      </c>
      <c r="G446" s="26" t="s">
        <v>55</v>
      </c>
      <c r="H446" s="26">
        <v>13</v>
      </c>
      <c r="I446" s="56">
        <v>1040000</v>
      </c>
      <c r="J446" s="26">
        <v>4</v>
      </c>
      <c r="K446" s="321">
        <f t="shared" si="7"/>
        <v>260000</v>
      </c>
      <c r="L446" s="348">
        <v>45668</v>
      </c>
      <c r="M446" s="348">
        <v>46326</v>
      </c>
      <c r="N446" s="58" t="s">
        <v>520</v>
      </c>
      <c r="O446" s="26"/>
      <c r="P446" s="26"/>
      <c r="Q446" s="59" t="s">
        <v>269</v>
      </c>
      <c r="R446" s="58" t="s">
        <v>999</v>
      </c>
      <c r="S446" s="58" t="s">
        <v>442</v>
      </c>
      <c r="T446" s="58"/>
      <c r="U446" s="58" t="s">
        <v>444</v>
      </c>
      <c r="V446" s="58"/>
      <c r="W446" s="58" t="s">
        <v>445</v>
      </c>
      <c r="X446" s="58"/>
      <c r="Y446" s="58"/>
      <c r="Z446" s="58"/>
      <c r="AA446" s="58"/>
      <c r="AB446" s="58"/>
      <c r="AC446" s="58" t="s">
        <v>619</v>
      </c>
      <c r="AD446" s="16" t="s">
        <v>63</v>
      </c>
      <c r="AE446" s="26">
        <v>4</v>
      </c>
      <c r="AF446" s="58" t="s">
        <v>667</v>
      </c>
    </row>
    <row r="447" spans="2:32" ht="15" hidden="1" customHeight="1" x14ac:dyDescent="0.3">
      <c r="B447" s="42" t="s">
        <v>2</v>
      </c>
      <c r="C447" s="68" t="s">
        <v>975</v>
      </c>
      <c r="D447" s="132" t="s">
        <v>1136</v>
      </c>
      <c r="E447" s="121">
        <v>6100013233</v>
      </c>
      <c r="F447" s="345">
        <v>46055</v>
      </c>
      <c r="G447" s="42" t="s">
        <v>55</v>
      </c>
      <c r="H447" s="42">
        <v>1</v>
      </c>
      <c r="I447" s="61">
        <v>112000</v>
      </c>
      <c r="J447" s="42">
        <v>3</v>
      </c>
      <c r="K447" s="321">
        <f t="shared" si="7"/>
        <v>37333.333333333336</v>
      </c>
      <c r="L447" s="615">
        <v>45992</v>
      </c>
      <c r="M447" s="615">
        <v>46356</v>
      </c>
      <c r="N447" s="63" t="s">
        <v>520</v>
      </c>
      <c r="O447" s="42"/>
      <c r="P447" s="42"/>
      <c r="Q447" s="64" t="s">
        <v>361</v>
      </c>
      <c r="R447" s="63" t="s">
        <v>1262</v>
      </c>
      <c r="S447" s="63" t="s">
        <v>1579</v>
      </c>
      <c r="T447" s="63" t="s">
        <v>1580</v>
      </c>
      <c r="U447" s="63" t="s">
        <v>1108</v>
      </c>
      <c r="V447" s="63"/>
      <c r="W447" s="63"/>
      <c r="X447" s="63"/>
      <c r="Y447" s="63"/>
      <c r="Z447" s="63"/>
      <c r="AA447" s="63"/>
      <c r="AB447" s="63"/>
      <c r="AC447" s="63" t="s">
        <v>551</v>
      </c>
      <c r="AD447" s="25" t="s">
        <v>207</v>
      </c>
      <c r="AE447" s="42">
        <v>3</v>
      </c>
      <c r="AF447" s="63" t="s">
        <v>1581</v>
      </c>
    </row>
    <row r="448" spans="2:32" ht="15" hidden="1" customHeight="1" x14ac:dyDescent="0.3">
      <c r="B448" s="42" t="s">
        <v>2</v>
      </c>
      <c r="C448" s="68" t="s">
        <v>502</v>
      </c>
      <c r="D448" s="132" t="s">
        <v>151</v>
      </c>
      <c r="E448" s="274" t="s">
        <v>1582</v>
      </c>
      <c r="F448" s="345">
        <v>46049</v>
      </c>
      <c r="G448" s="42" t="s">
        <v>55</v>
      </c>
      <c r="H448" s="42">
        <v>1</v>
      </c>
      <c r="I448" s="61">
        <v>76440</v>
      </c>
      <c r="J448" s="42">
        <v>3</v>
      </c>
      <c r="K448" s="321">
        <f t="shared" si="7"/>
        <v>25480</v>
      </c>
      <c r="L448" s="615">
        <v>46023</v>
      </c>
      <c r="M448" s="615">
        <v>46387</v>
      </c>
      <c r="N448" s="63" t="s">
        <v>520</v>
      </c>
      <c r="O448" s="42"/>
      <c r="P448" s="42"/>
      <c r="Q448" s="63" t="s">
        <v>347</v>
      </c>
      <c r="R448" s="63"/>
      <c r="S448" s="63" t="s">
        <v>348</v>
      </c>
      <c r="T448" s="63"/>
      <c r="U448" s="63" t="s">
        <v>349</v>
      </c>
      <c r="V448" s="63"/>
      <c r="W448" s="63"/>
      <c r="X448" s="63"/>
      <c r="Y448" s="63"/>
      <c r="Z448" s="63"/>
      <c r="AA448" s="63"/>
      <c r="AB448" s="63"/>
      <c r="AC448" s="63" t="s">
        <v>507</v>
      </c>
      <c r="AD448" s="42" t="s">
        <v>63</v>
      </c>
      <c r="AE448" s="42">
        <v>3</v>
      </c>
      <c r="AF448" s="63" t="s">
        <v>1583</v>
      </c>
    </row>
    <row r="449" spans="2:32" ht="15" hidden="1" customHeight="1" x14ac:dyDescent="0.3">
      <c r="B449" s="42" t="s">
        <v>2</v>
      </c>
      <c r="C449" s="575" t="s">
        <v>1584</v>
      </c>
      <c r="D449" s="571" t="s">
        <v>151</v>
      </c>
      <c r="E449" s="175">
        <v>7408</v>
      </c>
      <c r="F449" s="345">
        <v>46029</v>
      </c>
      <c r="G449" s="42" t="s">
        <v>55</v>
      </c>
      <c r="H449" s="42">
        <v>1</v>
      </c>
      <c r="I449" s="61">
        <v>67500</v>
      </c>
      <c r="J449" s="42">
        <v>3</v>
      </c>
      <c r="K449" s="321">
        <f t="shared" si="7"/>
        <v>22500</v>
      </c>
      <c r="L449" s="585">
        <v>46023</v>
      </c>
      <c r="M449" s="585">
        <v>46387</v>
      </c>
      <c r="N449" s="63" t="s">
        <v>520</v>
      </c>
      <c r="O449" s="42"/>
      <c r="P449" s="42"/>
      <c r="Q449" s="63" t="s">
        <v>347</v>
      </c>
      <c r="R449" s="63"/>
      <c r="S449" s="63" t="s">
        <v>348</v>
      </c>
      <c r="T449" s="63"/>
      <c r="U449" s="63" t="s">
        <v>349</v>
      </c>
      <c r="V449" s="63"/>
      <c r="W449" s="63"/>
      <c r="X449" s="63"/>
      <c r="Y449" s="63"/>
      <c r="Z449" s="63"/>
      <c r="AA449" s="63"/>
      <c r="AB449" s="63"/>
      <c r="AC449" s="63" t="s">
        <v>507</v>
      </c>
      <c r="AD449" s="42" t="s">
        <v>63</v>
      </c>
      <c r="AE449" s="42">
        <v>3</v>
      </c>
      <c r="AF449" s="63" t="s">
        <v>1585</v>
      </c>
    </row>
    <row r="450" spans="2:32" ht="15" hidden="1" customHeight="1" x14ac:dyDescent="0.3">
      <c r="B450" s="26" t="s">
        <v>2</v>
      </c>
      <c r="C450" s="616" t="s">
        <v>948</v>
      </c>
      <c r="D450" s="617" t="s">
        <v>987</v>
      </c>
      <c r="E450" s="127">
        <v>9000005172</v>
      </c>
      <c r="F450" s="55">
        <v>46069</v>
      </c>
      <c r="G450" s="26" t="s">
        <v>55</v>
      </c>
      <c r="H450" s="26">
        <v>1</v>
      </c>
      <c r="I450" s="56">
        <v>18620</v>
      </c>
      <c r="J450" s="26">
        <v>1</v>
      </c>
      <c r="K450" s="321">
        <f t="shared" si="7"/>
        <v>18620</v>
      </c>
      <c r="L450" s="283">
        <v>46023</v>
      </c>
      <c r="M450" s="283">
        <v>46112</v>
      </c>
      <c r="N450" s="58" t="s">
        <v>19</v>
      </c>
      <c r="O450" s="26" t="s">
        <v>3</v>
      </c>
      <c r="P450" s="26"/>
      <c r="Q450" s="59" t="s">
        <v>396</v>
      </c>
      <c r="R450" s="58" t="s">
        <v>1162</v>
      </c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 t="s">
        <v>551</v>
      </c>
      <c r="AD450" s="26" t="s">
        <v>207</v>
      </c>
      <c r="AE450" s="26"/>
      <c r="AF450" s="58"/>
    </row>
    <row r="451" spans="2:32" ht="15" hidden="1" customHeight="1" x14ac:dyDescent="0.3">
      <c r="B451" s="26" t="s">
        <v>2</v>
      </c>
      <c r="C451" s="39" t="s">
        <v>1586</v>
      </c>
      <c r="D451" s="232" t="s">
        <v>151</v>
      </c>
      <c r="E451" s="305" t="s">
        <v>1587</v>
      </c>
      <c r="F451" s="606">
        <v>46045</v>
      </c>
      <c r="G451" s="26" t="s">
        <v>55</v>
      </c>
      <c r="H451" s="26">
        <v>2</v>
      </c>
      <c r="I451" s="56">
        <v>240000</v>
      </c>
      <c r="J451" s="26">
        <v>2</v>
      </c>
      <c r="K451" s="321">
        <f t="shared" si="7"/>
        <v>120000</v>
      </c>
      <c r="L451" s="348">
        <v>46023</v>
      </c>
      <c r="M451" s="348">
        <v>46387</v>
      </c>
      <c r="N451" s="58" t="s">
        <v>520</v>
      </c>
      <c r="O451" s="26"/>
      <c r="P451" s="26"/>
      <c r="Q451" s="58" t="s">
        <v>607</v>
      </c>
      <c r="R451" s="58"/>
      <c r="S451" s="58" t="s">
        <v>608</v>
      </c>
      <c r="T451" s="58"/>
      <c r="U451" s="58"/>
      <c r="V451" s="58"/>
      <c r="W451" s="58"/>
      <c r="X451" s="58"/>
      <c r="Y451" s="58"/>
      <c r="Z451" s="58"/>
      <c r="AA451" s="58"/>
      <c r="AB451" s="58"/>
      <c r="AC451" s="58" t="s">
        <v>478</v>
      </c>
      <c r="AD451" s="26" t="s">
        <v>63</v>
      </c>
      <c r="AE451" s="26">
        <v>3</v>
      </c>
      <c r="AF451" s="58" t="s">
        <v>667</v>
      </c>
    </row>
    <row r="452" spans="2:32" ht="15" hidden="1" customHeight="1" x14ac:dyDescent="0.3">
      <c r="B452" s="42" t="s">
        <v>2</v>
      </c>
      <c r="C452" s="68" t="s">
        <v>1586</v>
      </c>
      <c r="D452" s="132" t="s">
        <v>151</v>
      </c>
      <c r="E452" s="121" t="s">
        <v>1587</v>
      </c>
      <c r="F452" s="614">
        <v>46045</v>
      </c>
      <c r="G452" s="42" t="s">
        <v>55</v>
      </c>
      <c r="H452" s="42">
        <v>2</v>
      </c>
      <c r="I452" s="61">
        <v>240000</v>
      </c>
      <c r="J452" s="42">
        <v>2</v>
      </c>
      <c r="K452" s="321">
        <f t="shared" si="7"/>
        <v>120000</v>
      </c>
      <c r="L452" s="284">
        <v>46388</v>
      </c>
      <c r="M452" s="284">
        <v>46752</v>
      </c>
      <c r="N452" s="63" t="s">
        <v>520</v>
      </c>
      <c r="O452" s="42"/>
      <c r="P452" s="42"/>
      <c r="Q452" s="63" t="s">
        <v>1588</v>
      </c>
      <c r="R452" s="63"/>
      <c r="S452" s="63" t="s">
        <v>1482</v>
      </c>
      <c r="T452" s="63"/>
      <c r="U452" s="63"/>
      <c r="V452" s="63"/>
      <c r="W452" s="63"/>
      <c r="X452" s="63"/>
      <c r="Y452" s="63"/>
      <c r="Z452" s="63"/>
      <c r="AA452" s="63"/>
      <c r="AB452" s="63"/>
      <c r="AC452" s="63" t="s">
        <v>478</v>
      </c>
      <c r="AD452" s="42" t="s">
        <v>63</v>
      </c>
      <c r="AE452" s="42">
        <v>3</v>
      </c>
      <c r="AF452" s="63" t="s">
        <v>667</v>
      </c>
    </row>
    <row r="453" spans="2:32" ht="15" hidden="1" customHeight="1" x14ac:dyDescent="0.3">
      <c r="B453" s="42" t="s">
        <v>2</v>
      </c>
      <c r="C453" s="68" t="s">
        <v>1589</v>
      </c>
      <c r="D453" s="132" t="s">
        <v>1317</v>
      </c>
      <c r="E453" s="121" t="s">
        <v>1590</v>
      </c>
      <c r="F453" s="345">
        <v>46064</v>
      </c>
      <c r="G453" s="42" t="s">
        <v>55</v>
      </c>
      <c r="H453" s="42">
        <v>1</v>
      </c>
      <c r="I453" s="61">
        <v>80000</v>
      </c>
      <c r="J453" s="42">
        <v>2</v>
      </c>
      <c r="K453" s="321">
        <f t="shared" si="7"/>
        <v>40000</v>
      </c>
      <c r="L453" s="615">
        <v>46023</v>
      </c>
      <c r="M453" s="618">
        <v>46387</v>
      </c>
      <c r="N453" s="63" t="s">
        <v>520</v>
      </c>
      <c r="O453" s="42"/>
      <c r="P453" s="42"/>
      <c r="Q453" s="62" t="s">
        <v>607</v>
      </c>
      <c r="R453" s="63"/>
      <c r="S453" s="63" t="s">
        <v>608</v>
      </c>
      <c r="T453" s="63"/>
      <c r="U453" s="63"/>
      <c r="V453" s="63"/>
      <c r="W453" s="63"/>
      <c r="X453" s="63"/>
      <c r="Y453" s="63"/>
      <c r="Z453" s="63"/>
      <c r="AA453" s="63"/>
      <c r="AB453" s="63"/>
      <c r="AC453" s="63" t="s">
        <v>478</v>
      </c>
      <c r="AD453" s="42" t="s">
        <v>63</v>
      </c>
      <c r="AE453" s="42">
        <v>3</v>
      </c>
      <c r="AF453" s="63" t="s">
        <v>1319</v>
      </c>
    </row>
    <row r="454" spans="2:32" ht="15" hidden="1" customHeight="1" x14ac:dyDescent="0.3">
      <c r="B454" s="42" t="s">
        <v>2</v>
      </c>
      <c r="C454" s="68" t="s">
        <v>598</v>
      </c>
      <c r="D454" s="132" t="s">
        <v>388</v>
      </c>
      <c r="E454" s="84">
        <v>3800068822</v>
      </c>
      <c r="F454" s="345">
        <v>46069</v>
      </c>
      <c r="G454" s="42" t="s">
        <v>55</v>
      </c>
      <c r="H454" s="42">
        <v>2</v>
      </c>
      <c r="I454" s="61">
        <v>116000</v>
      </c>
      <c r="J454" s="42">
        <v>2</v>
      </c>
      <c r="K454" s="321">
        <f t="shared" si="7"/>
        <v>58000</v>
      </c>
      <c r="L454" s="615">
        <v>46082</v>
      </c>
      <c r="M454" s="615">
        <v>46446</v>
      </c>
      <c r="N454" s="63" t="s">
        <v>520</v>
      </c>
      <c r="O454" s="42"/>
      <c r="P454" s="42"/>
      <c r="Q454" s="63" t="s">
        <v>1235</v>
      </c>
      <c r="R454" s="63"/>
      <c r="S454" s="63" t="s">
        <v>1534</v>
      </c>
      <c r="T454" s="63"/>
      <c r="U454" s="63"/>
      <c r="V454" s="63"/>
      <c r="W454" s="63"/>
      <c r="X454" s="63"/>
      <c r="Y454" s="63"/>
      <c r="Z454" s="63"/>
      <c r="AA454" s="63"/>
      <c r="AB454" s="63"/>
      <c r="AC454" s="63" t="s">
        <v>478</v>
      </c>
      <c r="AD454" s="42" t="s">
        <v>63</v>
      </c>
      <c r="AE454" s="42">
        <v>2</v>
      </c>
      <c r="AF454" s="63" t="s">
        <v>799</v>
      </c>
    </row>
    <row r="455" spans="2:32" ht="15" hidden="1" customHeight="1" x14ac:dyDescent="0.3">
      <c r="B455" s="42" t="s">
        <v>2</v>
      </c>
      <c r="C455" s="575" t="s">
        <v>1591</v>
      </c>
      <c r="D455" s="571" t="s">
        <v>1592</v>
      </c>
      <c r="E455" s="175">
        <v>4601527055</v>
      </c>
      <c r="F455" s="345">
        <v>46073</v>
      </c>
      <c r="G455" s="42" t="s">
        <v>55</v>
      </c>
      <c r="H455" s="42">
        <v>1</v>
      </c>
      <c r="I455" s="61">
        <v>75000</v>
      </c>
      <c r="J455" s="42">
        <v>3</v>
      </c>
      <c r="K455" s="321">
        <f t="shared" si="7"/>
        <v>25000</v>
      </c>
      <c r="L455" s="585">
        <v>46073</v>
      </c>
      <c r="M455" s="585">
        <v>46437</v>
      </c>
      <c r="N455" s="63" t="s">
        <v>520</v>
      </c>
      <c r="O455" s="42"/>
      <c r="P455" s="42"/>
      <c r="Q455" s="63" t="s">
        <v>1333</v>
      </c>
      <c r="R455" s="63"/>
      <c r="S455" s="63" t="s">
        <v>1334</v>
      </c>
      <c r="T455" s="63"/>
      <c r="U455" s="63" t="s">
        <v>1593</v>
      </c>
      <c r="V455" s="63"/>
      <c r="W455" s="63"/>
      <c r="X455" s="63"/>
      <c r="Y455" s="63"/>
      <c r="Z455" s="63"/>
      <c r="AA455" s="63"/>
      <c r="AB455" s="63"/>
      <c r="AC455" s="63" t="s">
        <v>478</v>
      </c>
      <c r="AD455" s="42" t="s">
        <v>63</v>
      </c>
      <c r="AE455" s="42">
        <v>3</v>
      </c>
      <c r="AF455" s="63"/>
    </row>
    <row r="456" spans="2:32" ht="15" hidden="1" customHeight="1" x14ac:dyDescent="0.3">
      <c r="B456" s="42" t="s">
        <v>2</v>
      </c>
      <c r="C456" s="576" t="s">
        <v>1328</v>
      </c>
      <c r="D456" s="577" t="s">
        <v>841</v>
      </c>
      <c r="E456" s="189">
        <v>470079278</v>
      </c>
      <c r="F456" s="611">
        <v>46055</v>
      </c>
      <c r="G456" s="42" t="s">
        <v>55</v>
      </c>
      <c r="H456" s="42">
        <v>10</v>
      </c>
      <c r="I456" s="61">
        <v>633600</v>
      </c>
      <c r="J456" s="42">
        <v>1</v>
      </c>
      <c r="K456" s="321">
        <f t="shared" si="7"/>
        <v>633600</v>
      </c>
      <c r="L456" s="62">
        <v>46023</v>
      </c>
      <c r="M456" s="62">
        <v>46387</v>
      </c>
      <c r="N456" s="63" t="s">
        <v>520</v>
      </c>
      <c r="O456" s="42"/>
      <c r="P456" s="42"/>
      <c r="Q456" s="63" t="s">
        <v>1594</v>
      </c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 t="s">
        <v>485</v>
      </c>
      <c r="AD456" s="42" t="s">
        <v>63</v>
      </c>
      <c r="AE456" s="42">
        <v>2</v>
      </c>
      <c r="AF456" s="63" t="s">
        <v>1488</v>
      </c>
    </row>
    <row r="457" spans="2:32" ht="15" hidden="1" customHeight="1" x14ac:dyDescent="0.3">
      <c r="B457" s="26" t="s">
        <v>2</v>
      </c>
      <c r="C457" s="565" t="s">
        <v>1595</v>
      </c>
      <c r="D457" s="566" t="s">
        <v>818</v>
      </c>
      <c r="E457" s="304" t="s">
        <v>1596</v>
      </c>
      <c r="F457" s="343">
        <v>46056</v>
      </c>
      <c r="G457" s="26" t="s">
        <v>55</v>
      </c>
      <c r="H457" s="26">
        <v>9</v>
      </c>
      <c r="I457" s="56">
        <v>949104</v>
      </c>
      <c r="J457" s="26">
        <v>3</v>
      </c>
      <c r="K457" s="321">
        <f t="shared" ref="K457:K520" si="8">I457/J457</f>
        <v>316368</v>
      </c>
      <c r="L457" s="567">
        <v>46082</v>
      </c>
      <c r="M457" s="567">
        <v>46446</v>
      </c>
      <c r="N457" s="58" t="s">
        <v>520</v>
      </c>
      <c r="O457" s="26"/>
      <c r="P457" s="26"/>
      <c r="Q457" s="58" t="s">
        <v>194</v>
      </c>
      <c r="R457" s="58"/>
      <c r="S457" s="58" t="s">
        <v>1344</v>
      </c>
      <c r="T457" s="58"/>
      <c r="U457" s="58" t="s">
        <v>1597</v>
      </c>
      <c r="V457" s="58"/>
      <c r="W457" s="58"/>
      <c r="X457" s="58"/>
      <c r="Y457" s="58"/>
      <c r="Z457" s="58"/>
      <c r="AA457" s="58"/>
      <c r="AB457" s="58"/>
      <c r="AC457" s="58" t="s">
        <v>281</v>
      </c>
      <c r="AD457" s="26" t="s">
        <v>97</v>
      </c>
      <c r="AE457" s="26">
        <v>3</v>
      </c>
      <c r="AF457" s="58" t="s">
        <v>1345</v>
      </c>
    </row>
    <row r="458" spans="2:32" ht="15" hidden="1" customHeight="1" x14ac:dyDescent="0.3">
      <c r="B458" s="42" t="s">
        <v>2</v>
      </c>
      <c r="C458" s="575" t="s">
        <v>1595</v>
      </c>
      <c r="D458" s="571" t="s">
        <v>818</v>
      </c>
      <c r="E458" s="175" t="s">
        <v>1596</v>
      </c>
      <c r="F458" s="345">
        <v>46056</v>
      </c>
      <c r="G458" s="42" t="s">
        <v>55</v>
      </c>
      <c r="H458" s="42"/>
      <c r="I458" s="61">
        <v>949104</v>
      </c>
      <c r="J458" s="42">
        <v>3</v>
      </c>
      <c r="K458" s="321">
        <f t="shared" si="8"/>
        <v>316368</v>
      </c>
      <c r="L458" s="284">
        <v>46447</v>
      </c>
      <c r="M458" s="284">
        <v>46812</v>
      </c>
      <c r="N458" s="63" t="s">
        <v>520</v>
      </c>
      <c r="O458" s="42"/>
      <c r="P458" s="42"/>
      <c r="Q458" s="63" t="s">
        <v>1598</v>
      </c>
      <c r="R458" s="63"/>
      <c r="S458" s="63" t="s">
        <v>1599</v>
      </c>
      <c r="T458" s="63"/>
      <c r="U458" s="63" t="s">
        <v>1600</v>
      </c>
      <c r="V458" s="63"/>
      <c r="W458" s="63"/>
      <c r="X458" s="63"/>
      <c r="Y458" s="63"/>
      <c r="Z458" s="63"/>
      <c r="AA458" s="63"/>
      <c r="AB458" s="63"/>
      <c r="AC458" s="63" t="s">
        <v>281</v>
      </c>
      <c r="AD458" s="42" t="s">
        <v>97</v>
      </c>
      <c r="AE458" s="42">
        <v>3</v>
      </c>
      <c r="AF458" s="63" t="s">
        <v>1345</v>
      </c>
    </row>
    <row r="459" spans="2:32" ht="15" hidden="1" customHeight="1" x14ac:dyDescent="0.3">
      <c r="B459" s="26" t="s">
        <v>2</v>
      </c>
      <c r="C459" s="39" t="s">
        <v>889</v>
      </c>
      <c r="D459" s="562" t="s">
        <v>890</v>
      </c>
      <c r="E459" s="50">
        <v>4500037089</v>
      </c>
      <c r="F459" s="343">
        <v>46077</v>
      </c>
      <c r="G459" s="26" t="s">
        <v>55</v>
      </c>
      <c r="H459" s="26">
        <v>2</v>
      </c>
      <c r="I459" s="56">
        <v>217800</v>
      </c>
      <c r="J459" s="26">
        <v>2</v>
      </c>
      <c r="K459" s="321">
        <f t="shared" si="8"/>
        <v>108900</v>
      </c>
      <c r="L459" s="348">
        <v>46054</v>
      </c>
      <c r="M459" s="619">
        <v>46418</v>
      </c>
      <c r="N459" s="58" t="s">
        <v>520</v>
      </c>
      <c r="O459" s="26"/>
      <c r="P459" s="26"/>
      <c r="Q459" s="59" t="s">
        <v>426</v>
      </c>
      <c r="R459" s="58" t="s">
        <v>1338</v>
      </c>
      <c r="S459" s="58" t="s">
        <v>427</v>
      </c>
      <c r="T459" s="58"/>
      <c r="U459" s="58"/>
      <c r="V459" s="58"/>
      <c r="W459" s="58"/>
      <c r="X459" s="58"/>
      <c r="Y459" s="58"/>
      <c r="Z459" s="58"/>
      <c r="AA459" s="58"/>
      <c r="AB459" s="58"/>
      <c r="AC459" s="58" t="s">
        <v>1535</v>
      </c>
      <c r="AD459" s="26" t="s">
        <v>97</v>
      </c>
      <c r="AE459" s="26">
        <v>2</v>
      </c>
      <c r="AF459" s="58" t="s">
        <v>799</v>
      </c>
    </row>
    <row r="460" spans="2:32" ht="15" hidden="1" customHeight="1" x14ac:dyDescent="0.3">
      <c r="B460" s="42" t="s">
        <v>3</v>
      </c>
      <c r="C460" s="68" t="s">
        <v>739</v>
      </c>
      <c r="D460" s="582" t="s">
        <v>1601</v>
      </c>
      <c r="E460" s="303">
        <v>3400016097</v>
      </c>
      <c r="F460" s="345">
        <v>46070</v>
      </c>
      <c r="G460" s="42" t="s">
        <v>55</v>
      </c>
      <c r="H460" s="42">
        <v>10</v>
      </c>
      <c r="I460" s="61">
        <v>700448</v>
      </c>
      <c r="J460" s="42">
        <v>4</v>
      </c>
      <c r="K460" s="321">
        <f t="shared" si="8"/>
        <v>175112</v>
      </c>
      <c r="L460" s="615">
        <v>46054</v>
      </c>
      <c r="M460" s="615">
        <v>46418</v>
      </c>
      <c r="N460" s="63" t="s">
        <v>520</v>
      </c>
      <c r="O460" s="42"/>
      <c r="P460" s="42"/>
      <c r="Q460" s="64" t="s">
        <v>442</v>
      </c>
      <c r="R460" s="63" t="s">
        <v>1602</v>
      </c>
      <c r="S460" s="63" t="s">
        <v>444</v>
      </c>
      <c r="T460" s="63"/>
      <c r="U460" s="63" t="s">
        <v>445</v>
      </c>
      <c r="V460" s="63"/>
      <c r="W460" s="63" t="s">
        <v>456</v>
      </c>
      <c r="X460" s="63"/>
      <c r="Y460" s="63"/>
      <c r="Z460" s="63"/>
      <c r="AA460" s="63"/>
      <c r="AB460" s="63"/>
      <c r="AC460" s="63" t="s">
        <v>96</v>
      </c>
      <c r="AD460" s="42" t="s">
        <v>97</v>
      </c>
      <c r="AE460" s="42" t="s">
        <v>494</v>
      </c>
      <c r="AF460" s="63" t="s">
        <v>835</v>
      </c>
    </row>
    <row r="461" spans="2:32" ht="15" hidden="1" customHeight="1" x14ac:dyDescent="0.3">
      <c r="B461" s="42" t="s">
        <v>3</v>
      </c>
      <c r="C461" s="575" t="s">
        <v>1603</v>
      </c>
      <c r="D461" s="571" t="s">
        <v>590</v>
      </c>
      <c r="E461" s="175">
        <v>2500000150</v>
      </c>
      <c r="F461" s="345">
        <v>46077</v>
      </c>
      <c r="G461" s="42" t="s">
        <v>55</v>
      </c>
      <c r="H461" s="42">
        <v>1</v>
      </c>
      <c r="I461" s="61">
        <v>137749.98000000001</v>
      </c>
      <c r="J461" s="42">
        <v>3</v>
      </c>
      <c r="K461" s="321">
        <f t="shared" si="8"/>
        <v>45916.66</v>
      </c>
      <c r="L461" s="585">
        <v>46082</v>
      </c>
      <c r="M461" s="585">
        <v>46446</v>
      </c>
      <c r="N461" s="63" t="s">
        <v>520</v>
      </c>
      <c r="O461" s="42"/>
      <c r="P461" s="42"/>
      <c r="Q461" s="63" t="s">
        <v>194</v>
      </c>
      <c r="R461" s="63"/>
      <c r="S461" s="63" t="s">
        <v>496</v>
      </c>
      <c r="T461" s="63"/>
      <c r="U461" s="63" t="s">
        <v>1597</v>
      </c>
      <c r="V461" s="63"/>
      <c r="W461" s="63"/>
      <c r="X461" s="63"/>
      <c r="Y461" s="63"/>
      <c r="Z461" s="63"/>
      <c r="AA461" s="63"/>
      <c r="AB461" s="63"/>
      <c r="AC461" s="63" t="s">
        <v>551</v>
      </c>
      <c r="AD461" s="42" t="s">
        <v>207</v>
      </c>
      <c r="AE461" s="42">
        <v>3</v>
      </c>
      <c r="AF461" s="63" t="s">
        <v>667</v>
      </c>
    </row>
    <row r="462" spans="2:32" ht="15" hidden="1" customHeight="1" x14ac:dyDescent="0.3">
      <c r="B462" s="42" t="s">
        <v>3</v>
      </c>
      <c r="C462" s="68" t="s">
        <v>1326</v>
      </c>
      <c r="D462" s="135" t="s">
        <v>151</v>
      </c>
      <c r="E462" s="42">
        <v>929036351</v>
      </c>
      <c r="F462" s="345">
        <v>46078</v>
      </c>
      <c r="G462" s="42" t="s">
        <v>55</v>
      </c>
      <c r="H462" s="42">
        <v>1</v>
      </c>
      <c r="I462" s="61">
        <v>96000</v>
      </c>
      <c r="J462" s="42">
        <v>3</v>
      </c>
      <c r="K462" s="321">
        <f t="shared" si="8"/>
        <v>32000</v>
      </c>
      <c r="L462" s="615">
        <v>46023</v>
      </c>
      <c r="M462" s="615">
        <v>46387</v>
      </c>
      <c r="N462" s="63" t="s">
        <v>520</v>
      </c>
      <c r="O462" s="66"/>
      <c r="P462" s="42"/>
      <c r="Q462" s="63" t="s">
        <v>1559</v>
      </c>
      <c r="R462" s="63"/>
      <c r="S462" s="63" t="s">
        <v>348</v>
      </c>
      <c r="T462" s="63"/>
      <c r="U462" s="63" t="s">
        <v>349</v>
      </c>
      <c r="V462" s="63"/>
      <c r="W462" s="63"/>
      <c r="X462" s="63"/>
      <c r="Y462" s="63"/>
      <c r="Z462" s="63"/>
      <c r="AA462" s="63"/>
      <c r="AB462" s="63"/>
      <c r="AC462" s="63" t="s">
        <v>507</v>
      </c>
      <c r="AD462" s="42" t="s">
        <v>63</v>
      </c>
      <c r="AE462" s="42">
        <v>3</v>
      </c>
      <c r="AF462" s="63" t="s">
        <v>1604</v>
      </c>
    </row>
    <row r="463" spans="2:32" ht="15" hidden="1" customHeight="1" x14ac:dyDescent="0.3">
      <c r="B463" s="42" t="s">
        <v>3</v>
      </c>
      <c r="C463" s="94" t="s">
        <v>614</v>
      </c>
      <c r="D463" s="586" t="s">
        <v>447</v>
      </c>
      <c r="E463" s="318" t="s">
        <v>1605</v>
      </c>
      <c r="F463" s="611">
        <v>46064</v>
      </c>
      <c r="G463" s="42" t="s">
        <v>55</v>
      </c>
      <c r="H463" s="42">
        <v>3</v>
      </c>
      <c r="I463" s="61">
        <v>229320</v>
      </c>
      <c r="J463" s="42">
        <v>3</v>
      </c>
      <c r="K463" s="321">
        <f t="shared" si="8"/>
        <v>76440</v>
      </c>
      <c r="L463" s="615">
        <v>46023</v>
      </c>
      <c r="M463" s="615">
        <v>46387</v>
      </c>
      <c r="N463" s="63" t="s">
        <v>520</v>
      </c>
      <c r="O463" s="63"/>
      <c r="P463" s="63"/>
      <c r="Q463" s="64" t="s">
        <v>1559</v>
      </c>
      <c r="R463" s="63" t="s">
        <v>149</v>
      </c>
      <c r="S463" s="63" t="s">
        <v>348</v>
      </c>
      <c r="T463" s="63"/>
      <c r="U463" s="63" t="s">
        <v>349</v>
      </c>
      <c r="V463" s="63"/>
      <c r="W463" s="63"/>
      <c r="X463" s="63"/>
      <c r="Y463" s="63"/>
      <c r="Z463" s="63"/>
      <c r="AA463" s="63"/>
      <c r="AB463" s="63"/>
      <c r="AC463" s="63" t="s">
        <v>281</v>
      </c>
      <c r="AD463" s="42" t="s">
        <v>97</v>
      </c>
      <c r="AE463" s="42">
        <v>3</v>
      </c>
      <c r="AF463" s="63" t="s">
        <v>1606</v>
      </c>
    </row>
    <row r="464" spans="2:32" ht="15" hidden="1" customHeight="1" x14ac:dyDescent="0.3">
      <c r="B464" s="26" t="s">
        <v>3</v>
      </c>
      <c r="C464" s="565" t="s">
        <v>1607</v>
      </c>
      <c r="D464" s="566" t="s">
        <v>1608</v>
      </c>
      <c r="E464" s="269">
        <v>4500042093</v>
      </c>
      <c r="F464" s="343">
        <v>46065</v>
      </c>
      <c r="G464" s="26" t="s">
        <v>55</v>
      </c>
      <c r="H464" s="26">
        <v>2</v>
      </c>
      <c r="I464" s="56">
        <v>160000</v>
      </c>
      <c r="J464" s="26">
        <v>4</v>
      </c>
      <c r="K464" s="321">
        <f t="shared" si="8"/>
        <v>40000</v>
      </c>
      <c r="L464" s="348">
        <v>46023</v>
      </c>
      <c r="M464" s="348">
        <v>46387</v>
      </c>
      <c r="N464" s="58" t="s">
        <v>520</v>
      </c>
      <c r="O464" s="26"/>
      <c r="P464" s="26"/>
      <c r="Q464" s="59" t="s">
        <v>396</v>
      </c>
      <c r="R464" s="58" t="s">
        <v>466</v>
      </c>
      <c r="S464" s="58" t="s">
        <v>397</v>
      </c>
      <c r="T464" s="58"/>
      <c r="U464" s="58" t="s">
        <v>496</v>
      </c>
      <c r="V464" s="58"/>
      <c r="W464" s="58" t="s">
        <v>497</v>
      </c>
      <c r="X464" s="58"/>
      <c r="Y464" s="58"/>
      <c r="Z464" s="58"/>
      <c r="AA464" s="58"/>
      <c r="AB464" s="58"/>
      <c r="AC464" s="58" t="s">
        <v>619</v>
      </c>
      <c r="AD464" s="26" t="s">
        <v>63</v>
      </c>
      <c r="AE464" s="26">
        <v>4</v>
      </c>
      <c r="AF464" s="58" t="s">
        <v>667</v>
      </c>
    </row>
    <row r="465" spans="2:32" ht="15" hidden="1" customHeight="1" x14ac:dyDescent="0.3">
      <c r="B465" s="26" t="s">
        <v>3</v>
      </c>
      <c r="C465" s="565" t="s">
        <v>1607</v>
      </c>
      <c r="D465" s="566" t="s">
        <v>1608</v>
      </c>
      <c r="E465" s="269">
        <v>4500042093</v>
      </c>
      <c r="F465" s="343">
        <v>46065</v>
      </c>
      <c r="G465" s="26" t="s">
        <v>55</v>
      </c>
      <c r="H465" s="26"/>
      <c r="I465" s="56">
        <v>160000</v>
      </c>
      <c r="J465" s="26">
        <v>4</v>
      </c>
      <c r="K465" s="321">
        <f t="shared" si="8"/>
        <v>40000</v>
      </c>
      <c r="L465" s="283">
        <v>46388</v>
      </c>
      <c r="M465" s="283">
        <v>46752</v>
      </c>
      <c r="N465" s="58" t="s">
        <v>520</v>
      </c>
      <c r="O465" s="26"/>
      <c r="P465" s="26"/>
      <c r="Q465" s="58" t="s">
        <v>498</v>
      </c>
      <c r="R465" s="58"/>
      <c r="S465" s="58" t="s">
        <v>499</v>
      </c>
      <c r="T465" s="58"/>
      <c r="U465" s="58" t="s">
        <v>500</v>
      </c>
      <c r="V465" s="58"/>
      <c r="W465" s="58" t="s">
        <v>501</v>
      </c>
      <c r="X465" s="58"/>
      <c r="Y465" s="58"/>
      <c r="Z465" s="58"/>
      <c r="AA465" s="58"/>
      <c r="AB465" s="58"/>
      <c r="AC465" s="58" t="s">
        <v>619</v>
      </c>
      <c r="AD465" s="26" t="s">
        <v>63</v>
      </c>
      <c r="AE465" s="26">
        <v>4</v>
      </c>
      <c r="AF465" s="58" t="s">
        <v>667</v>
      </c>
    </row>
    <row r="466" spans="2:32" ht="15" hidden="1" customHeight="1" x14ac:dyDescent="0.3">
      <c r="B466" s="42" t="s">
        <v>3</v>
      </c>
      <c r="C466" s="575" t="s">
        <v>1607</v>
      </c>
      <c r="D466" s="571" t="s">
        <v>1608</v>
      </c>
      <c r="E466" s="175">
        <v>4500042093</v>
      </c>
      <c r="F466" s="345">
        <v>46065</v>
      </c>
      <c r="G466" s="42" t="s">
        <v>55</v>
      </c>
      <c r="H466" s="42"/>
      <c r="I466" s="61">
        <v>160000</v>
      </c>
      <c r="J466" s="42">
        <v>4</v>
      </c>
      <c r="K466" s="321">
        <f t="shared" si="8"/>
        <v>40000</v>
      </c>
      <c r="L466" s="284">
        <v>46753</v>
      </c>
      <c r="M466" s="284">
        <v>47118</v>
      </c>
      <c r="N466" s="63" t="s">
        <v>520</v>
      </c>
      <c r="O466" s="42"/>
      <c r="P466" s="42"/>
      <c r="Q466" s="63" t="s">
        <v>674</v>
      </c>
      <c r="R466" s="63"/>
      <c r="S466" s="63" t="s">
        <v>1279</v>
      </c>
      <c r="T466" s="63"/>
      <c r="U466" s="63" t="s">
        <v>1280</v>
      </c>
      <c r="V466" s="63"/>
      <c r="W466" s="63" t="s">
        <v>1398</v>
      </c>
      <c r="X466" s="63"/>
      <c r="Y466" s="63"/>
      <c r="Z466" s="63"/>
      <c r="AA466" s="63"/>
      <c r="AB466" s="63"/>
      <c r="AC466" s="58" t="s">
        <v>619</v>
      </c>
      <c r="AD466" s="26" t="s">
        <v>63</v>
      </c>
      <c r="AE466" s="26">
        <v>4</v>
      </c>
      <c r="AF466" s="58" t="s">
        <v>667</v>
      </c>
    </row>
    <row r="467" spans="2:32" ht="15" hidden="1" customHeight="1" x14ac:dyDescent="0.3">
      <c r="B467" s="42" t="s">
        <v>3</v>
      </c>
      <c r="C467" s="68" t="s">
        <v>1609</v>
      </c>
      <c r="D467" s="132" t="s">
        <v>1610</v>
      </c>
      <c r="E467" s="121" t="s">
        <v>1611</v>
      </c>
      <c r="F467" s="345">
        <v>46091</v>
      </c>
      <c r="G467" s="42" t="s">
        <v>55</v>
      </c>
      <c r="H467" s="42">
        <v>1</v>
      </c>
      <c r="I467" s="61">
        <v>135000</v>
      </c>
      <c r="J467" s="42">
        <v>3</v>
      </c>
      <c r="K467" s="321">
        <f t="shared" si="8"/>
        <v>45000</v>
      </c>
      <c r="L467" s="615">
        <v>46091</v>
      </c>
      <c r="M467" s="615">
        <v>46455</v>
      </c>
      <c r="N467" s="63" t="s">
        <v>520</v>
      </c>
      <c r="O467" s="42"/>
      <c r="P467" s="42"/>
      <c r="Q467" s="64" t="s">
        <v>1092</v>
      </c>
      <c r="R467" s="63" t="s">
        <v>1338</v>
      </c>
      <c r="S467" s="63" t="s">
        <v>1612</v>
      </c>
      <c r="T467" s="63"/>
      <c r="U467" s="63" t="s">
        <v>1613</v>
      </c>
      <c r="V467" s="63"/>
      <c r="W467" s="63"/>
      <c r="X467" s="63"/>
      <c r="Y467" s="63"/>
      <c r="Z467" s="63"/>
      <c r="AA467" s="63"/>
      <c r="AB467" s="63"/>
      <c r="AC467" s="63" t="s">
        <v>551</v>
      </c>
      <c r="AD467" s="42" t="s">
        <v>207</v>
      </c>
      <c r="AE467" s="42">
        <v>3</v>
      </c>
      <c r="AF467" s="63" t="s">
        <v>799</v>
      </c>
    </row>
    <row r="468" spans="2:32" ht="15" hidden="1" customHeight="1" x14ac:dyDescent="0.3">
      <c r="B468" s="42" t="s">
        <v>3</v>
      </c>
      <c r="C468" s="587" t="s">
        <v>975</v>
      </c>
      <c r="D468" s="574" t="s">
        <v>1136</v>
      </c>
      <c r="E468" s="303">
        <v>6100013456</v>
      </c>
      <c r="F468" s="345">
        <v>46069</v>
      </c>
      <c r="G468" s="42" t="s">
        <v>55</v>
      </c>
      <c r="H468" s="42">
        <v>7</v>
      </c>
      <c r="I468" s="61">
        <v>784000</v>
      </c>
      <c r="J468" s="42">
        <v>3</v>
      </c>
      <c r="K468" s="321">
        <f>I468/2</f>
        <v>392000</v>
      </c>
      <c r="L468" s="620">
        <v>46082</v>
      </c>
      <c r="M468" s="620">
        <v>46446</v>
      </c>
      <c r="N468" s="63" t="s">
        <v>520</v>
      </c>
      <c r="O468" s="42"/>
      <c r="P468" s="42"/>
      <c r="Q468" s="64" t="s">
        <v>194</v>
      </c>
      <c r="R468" s="63" t="s">
        <v>1614</v>
      </c>
      <c r="S468" s="63" t="s">
        <v>1344</v>
      </c>
      <c r="T468" s="63" t="s">
        <v>1615</v>
      </c>
      <c r="U468" s="63" t="s">
        <v>1597</v>
      </c>
      <c r="V468" s="63"/>
      <c r="W468" s="63"/>
      <c r="X468" s="63"/>
      <c r="Y468" s="63"/>
      <c r="Z468" s="63"/>
      <c r="AA468" s="63"/>
      <c r="AB468" s="63"/>
      <c r="AC468" s="63" t="s">
        <v>551</v>
      </c>
      <c r="AD468" s="42" t="s">
        <v>207</v>
      </c>
      <c r="AE468" s="42">
        <v>3</v>
      </c>
      <c r="AF468" s="332" t="s">
        <v>1616</v>
      </c>
    </row>
    <row r="469" spans="2:32" ht="15" hidden="1" customHeight="1" x14ac:dyDescent="0.3">
      <c r="B469" s="42" t="s">
        <v>3</v>
      </c>
      <c r="C469" s="68" t="s">
        <v>1617</v>
      </c>
      <c r="D469" s="135" t="s">
        <v>1391</v>
      </c>
      <c r="E469" s="42" t="s">
        <v>1618</v>
      </c>
      <c r="F469" s="345">
        <v>46088</v>
      </c>
      <c r="G469" s="42" t="s">
        <v>55</v>
      </c>
      <c r="H469" s="42">
        <v>1</v>
      </c>
      <c r="I469" s="61">
        <v>86000</v>
      </c>
      <c r="J469" s="42">
        <v>2</v>
      </c>
      <c r="K469" s="321">
        <f t="shared" si="8"/>
        <v>43000</v>
      </c>
      <c r="L469" s="615">
        <v>46082</v>
      </c>
      <c r="M469" s="615">
        <v>46446</v>
      </c>
      <c r="N469" s="63" t="s">
        <v>520</v>
      </c>
      <c r="O469" s="42"/>
      <c r="P469" s="42"/>
      <c r="Q469" s="63" t="s">
        <v>1235</v>
      </c>
      <c r="R469" s="63"/>
      <c r="S469" s="63" t="s">
        <v>1534</v>
      </c>
      <c r="T469" s="63"/>
      <c r="U469" s="63"/>
      <c r="V469" s="63"/>
      <c r="W469" s="63"/>
      <c r="X469" s="63"/>
      <c r="Y469" s="63"/>
      <c r="Z469" s="63"/>
      <c r="AA469" s="63"/>
      <c r="AB469" s="63"/>
      <c r="AC469" s="63" t="s">
        <v>485</v>
      </c>
      <c r="AD469" s="42" t="s">
        <v>1619</v>
      </c>
      <c r="AE469" s="42">
        <v>2</v>
      </c>
      <c r="AF469" s="63" t="s">
        <v>1620</v>
      </c>
    </row>
    <row r="470" spans="2:32" ht="15" hidden="1" customHeight="1" x14ac:dyDescent="0.3">
      <c r="B470" s="42" t="s">
        <v>3</v>
      </c>
      <c r="C470" s="575" t="s">
        <v>1385</v>
      </c>
      <c r="D470" s="571" t="s">
        <v>151</v>
      </c>
      <c r="E470" s="175">
        <v>4500090498</v>
      </c>
      <c r="F470" s="345">
        <v>46063</v>
      </c>
      <c r="G470" s="42" t="s">
        <v>55</v>
      </c>
      <c r="H470" s="42">
        <v>1</v>
      </c>
      <c r="I470" s="61">
        <v>90000</v>
      </c>
      <c r="J470" s="42">
        <v>1</v>
      </c>
      <c r="K470" s="321">
        <f t="shared" si="8"/>
        <v>90000</v>
      </c>
      <c r="L470" s="585">
        <v>46023</v>
      </c>
      <c r="M470" s="585">
        <v>46387</v>
      </c>
      <c r="N470" s="63" t="s">
        <v>520</v>
      </c>
      <c r="O470" s="42"/>
      <c r="P470" s="42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 t="s">
        <v>478</v>
      </c>
      <c r="AD470" s="42" t="s">
        <v>63</v>
      </c>
      <c r="AE470" s="42">
        <v>1</v>
      </c>
      <c r="AF470" s="63" t="s">
        <v>667</v>
      </c>
    </row>
    <row r="471" spans="2:32" ht="15" hidden="1" customHeight="1" x14ac:dyDescent="0.3">
      <c r="B471" s="26" t="s">
        <v>3</v>
      </c>
      <c r="C471" s="58" t="s">
        <v>1621</v>
      </c>
      <c r="D471" s="233" t="s">
        <v>693</v>
      </c>
      <c r="E471" s="125">
        <v>6000085013</v>
      </c>
      <c r="F471" s="343">
        <v>46078</v>
      </c>
      <c r="G471" s="26" t="s">
        <v>55</v>
      </c>
      <c r="H471" s="26">
        <v>1</v>
      </c>
      <c r="I471" s="56">
        <v>136905</v>
      </c>
      <c r="J471" s="26">
        <v>3</v>
      </c>
      <c r="K471" s="321">
        <f t="shared" si="8"/>
        <v>45635</v>
      </c>
      <c r="L471" s="348">
        <v>46082</v>
      </c>
      <c r="M471" s="348">
        <v>46446</v>
      </c>
      <c r="N471" s="58" t="s">
        <v>520</v>
      </c>
      <c r="O471" s="26"/>
      <c r="P471" s="26"/>
      <c r="Q471" s="58" t="s">
        <v>194</v>
      </c>
      <c r="R471" s="58"/>
      <c r="S471" s="58" t="s">
        <v>1344</v>
      </c>
      <c r="T471" s="58"/>
      <c r="U471" s="58" t="s">
        <v>1597</v>
      </c>
      <c r="V471" s="58"/>
      <c r="W471" s="58"/>
      <c r="X471" s="58"/>
      <c r="Y471" s="58"/>
      <c r="Z471" s="58"/>
      <c r="AA471" s="58"/>
      <c r="AB471" s="58"/>
      <c r="AC471" s="58" t="s">
        <v>128</v>
      </c>
      <c r="AD471" s="26" t="s">
        <v>129</v>
      </c>
      <c r="AE471" s="26">
        <v>2</v>
      </c>
      <c r="AF471" s="58" t="s">
        <v>667</v>
      </c>
    </row>
    <row r="472" spans="2:32" ht="15" hidden="1" customHeight="1" x14ac:dyDescent="0.3">
      <c r="B472" s="26" t="s">
        <v>3</v>
      </c>
      <c r="C472" s="58" t="s">
        <v>1621</v>
      </c>
      <c r="D472" s="233" t="s">
        <v>693</v>
      </c>
      <c r="E472" s="125">
        <v>6000085013</v>
      </c>
      <c r="F472" s="343">
        <v>46078</v>
      </c>
      <c r="G472" s="26" t="s">
        <v>55</v>
      </c>
      <c r="H472" s="26"/>
      <c r="I472" s="56">
        <v>136905</v>
      </c>
      <c r="J472" s="26">
        <v>3</v>
      </c>
      <c r="K472" s="321">
        <f t="shared" si="8"/>
        <v>45635</v>
      </c>
      <c r="L472" s="283">
        <v>46447</v>
      </c>
      <c r="M472" s="283">
        <v>46812</v>
      </c>
      <c r="N472" s="58" t="s">
        <v>520</v>
      </c>
      <c r="O472" s="26"/>
      <c r="P472" s="26"/>
      <c r="Q472" s="58" t="s">
        <v>1598</v>
      </c>
      <c r="R472" s="58"/>
      <c r="S472" s="58" t="s">
        <v>1599</v>
      </c>
      <c r="T472" s="58"/>
      <c r="U472" s="58" t="s">
        <v>1600</v>
      </c>
      <c r="V472" s="58"/>
      <c r="W472" s="58"/>
      <c r="X472" s="58"/>
      <c r="Y472" s="58"/>
      <c r="Z472" s="58"/>
      <c r="AA472" s="58"/>
      <c r="AB472" s="58"/>
      <c r="AC472" s="58" t="s">
        <v>128</v>
      </c>
      <c r="AD472" s="26" t="s">
        <v>129</v>
      </c>
      <c r="AE472" s="26">
        <v>2</v>
      </c>
      <c r="AF472" s="58" t="s">
        <v>667</v>
      </c>
    </row>
    <row r="473" spans="2:32" ht="15" hidden="1" customHeight="1" x14ac:dyDescent="0.3">
      <c r="B473" s="42" t="s">
        <v>3</v>
      </c>
      <c r="C473" s="63" t="s">
        <v>1621</v>
      </c>
      <c r="D473" s="81" t="s">
        <v>693</v>
      </c>
      <c r="E473" s="121">
        <v>6000085013</v>
      </c>
      <c r="F473" s="345">
        <v>46078</v>
      </c>
      <c r="G473" s="42" t="s">
        <v>55</v>
      </c>
      <c r="H473" s="42"/>
      <c r="I473" s="61">
        <v>136905</v>
      </c>
      <c r="J473" s="42">
        <v>3</v>
      </c>
      <c r="K473" s="321">
        <f t="shared" si="8"/>
        <v>45635</v>
      </c>
      <c r="L473" s="284">
        <v>46813</v>
      </c>
      <c r="M473" s="284">
        <v>47177</v>
      </c>
      <c r="N473" s="63" t="s">
        <v>520</v>
      </c>
      <c r="O473" s="42"/>
      <c r="P473" s="42"/>
      <c r="Q473" s="63" t="s">
        <v>1622</v>
      </c>
      <c r="R473" s="63"/>
      <c r="S473" s="63" t="s">
        <v>1623</v>
      </c>
      <c r="T473" s="63"/>
      <c r="U473" s="63" t="s">
        <v>1624</v>
      </c>
      <c r="V473" s="63"/>
      <c r="W473" s="63"/>
      <c r="X473" s="63"/>
      <c r="Y473" s="63"/>
      <c r="Z473" s="63"/>
      <c r="AA473" s="63"/>
      <c r="AB473" s="63"/>
      <c r="AC473" s="63" t="s">
        <v>128</v>
      </c>
      <c r="AD473" s="42" t="s">
        <v>129</v>
      </c>
      <c r="AE473" s="42">
        <v>2</v>
      </c>
      <c r="AF473" s="63" t="s">
        <v>667</v>
      </c>
    </row>
    <row r="474" spans="2:32" ht="15" hidden="1" customHeight="1" x14ac:dyDescent="0.3">
      <c r="B474" s="42" t="s">
        <v>3</v>
      </c>
      <c r="C474" s="575" t="s">
        <v>1625</v>
      </c>
      <c r="D474" s="571" t="s">
        <v>176</v>
      </c>
      <c r="E474" s="175">
        <v>6100109555</v>
      </c>
      <c r="F474" s="345">
        <v>46050</v>
      </c>
      <c r="G474" s="42" t="s">
        <v>55</v>
      </c>
      <c r="H474" s="42">
        <v>6</v>
      </c>
      <c r="I474" s="61">
        <v>531066</v>
      </c>
      <c r="J474" s="42">
        <v>3</v>
      </c>
      <c r="K474" s="321">
        <f t="shared" si="8"/>
        <v>177022</v>
      </c>
      <c r="L474" s="585">
        <v>46023</v>
      </c>
      <c r="M474" s="585">
        <v>46387</v>
      </c>
      <c r="N474" s="63" t="s">
        <v>520</v>
      </c>
      <c r="O474" s="42"/>
      <c r="P474" s="42"/>
      <c r="Q474" s="64" t="s">
        <v>347</v>
      </c>
      <c r="R474" s="63" t="s">
        <v>980</v>
      </c>
      <c r="S474" s="63" t="s">
        <v>348</v>
      </c>
      <c r="T474" s="63"/>
      <c r="U474" s="63" t="s">
        <v>349</v>
      </c>
      <c r="V474" s="63"/>
      <c r="W474" s="63"/>
      <c r="X474" s="63"/>
      <c r="Y474" s="63"/>
      <c r="Z474" s="63"/>
      <c r="AA474" s="63"/>
      <c r="AB474" s="63"/>
      <c r="AC474" s="63" t="s">
        <v>183</v>
      </c>
      <c r="AD474" s="42" t="s">
        <v>97</v>
      </c>
      <c r="AE474" s="42"/>
      <c r="AF474" s="63" t="s">
        <v>1626</v>
      </c>
    </row>
    <row r="475" spans="2:32" ht="15" hidden="1" customHeight="1" x14ac:dyDescent="0.3">
      <c r="B475" s="42" t="s">
        <v>3</v>
      </c>
      <c r="C475" s="68" t="s">
        <v>1627</v>
      </c>
      <c r="D475" s="132" t="s">
        <v>151</v>
      </c>
      <c r="E475" s="300">
        <v>8183147</v>
      </c>
      <c r="F475" s="345">
        <v>46058</v>
      </c>
      <c r="G475" s="42" t="s">
        <v>55</v>
      </c>
      <c r="H475" s="42">
        <v>3</v>
      </c>
      <c r="I475" s="61">
        <v>232500</v>
      </c>
      <c r="J475" s="42">
        <v>3</v>
      </c>
      <c r="K475" s="321">
        <f t="shared" si="8"/>
        <v>77500</v>
      </c>
      <c r="L475" s="615">
        <v>46023</v>
      </c>
      <c r="M475" s="615">
        <v>46387</v>
      </c>
      <c r="N475" s="63" t="s">
        <v>520</v>
      </c>
      <c r="O475" s="42"/>
      <c r="P475" s="42"/>
      <c r="Q475" s="63" t="s">
        <v>347</v>
      </c>
      <c r="R475" s="63" t="s">
        <v>1628</v>
      </c>
      <c r="S475" s="63" t="s">
        <v>348</v>
      </c>
      <c r="T475" s="63" t="s">
        <v>1628</v>
      </c>
      <c r="U475" s="63" t="s">
        <v>349</v>
      </c>
      <c r="V475" s="63" t="s">
        <v>1628</v>
      </c>
      <c r="W475" s="63"/>
      <c r="X475" s="63"/>
      <c r="Y475" s="63"/>
      <c r="Z475" s="63"/>
      <c r="AA475" s="63"/>
      <c r="AB475" s="63"/>
      <c r="AC475" s="63" t="s">
        <v>478</v>
      </c>
      <c r="AD475" s="42" t="s">
        <v>63</v>
      </c>
      <c r="AE475" s="42">
        <v>3</v>
      </c>
      <c r="AF475" s="63" t="s">
        <v>667</v>
      </c>
    </row>
    <row r="476" spans="2:32" ht="15" hidden="1" customHeight="1" x14ac:dyDescent="0.3">
      <c r="B476" s="42" t="s">
        <v>3</v>
      </c>
      <c r="C476" s="68" t="s">
        <v>1095</v>
      </c>
      <c r="D476" s="135" t="s">
        <v>1629</v>
      </c>
      <c r="E476" s="302">
        <v>9709673270</v>
      </c>
      <c r="F476" s="345">
        <v>46086</v>
      </c>
      <c r="G476" s="42" t="s">
        <v>55</v>
      </c>
      <c r="H476" s="42">
        <v>4</v>
      </c>
      <c r="I476" s="61">
        <v>320000</v>
      </c>
      <c r="J476" s="42">
        <v>4</v>
      </c>
      <c r="K476" s="321">
        <f t="shared" si="8"/>
        <v>80000</v>
      </c>
      <c r="L476" s="615">
        <v>46023</v>
      </c>
      <c r="M476" s="615">
        <v>46387</v>
      </c>
      <c r="N476" s="63" t="s">
        <v>520</v>
      </c>
      <c r="O476" s="42"/>
      <c r="P476" s="42"/>
      <c r="Q476" s="64" t="s">
        <v>396</v>
      </c>
      <c r="R476" s="63" t="s">
        <v>455</v>
      </c>
      <c r="S476" s="63" t="s">
        <v>397</v>
      </c>
      <c r="T476" s="63"/>
      <c r="U476" s="63" t="s">
        <v>496</v>
      </c>
      <c r="V476" s="63"/>
      <c r="W476" s="63" t="s">
        <v>497</v>
      </c>
      <c r="X476" s="63"/>
      <c r="Y476" s="63"/>
      <c r="Z476" s="63"/>
      <c r="AA476" s="63"/>
      <c r="AB476" s="63"/>
      <c r="AC476" s="63" t="s">
        <v>619</v>
      </c>
      <c r="AD476" s="42" t="s">
        <v>63</v>
      </c>
      <c r="AE476" s="42">
        <v>4</v>
      </c>
      <c r="AF476" s="63" t="s">
        <v>667</v>
      </c>
    </row>
    <row r="477" spans="2:32" ht="15" hidden="1" customHeight="1" x14ac:dyDescent="0.3">
      <c r="B477" s="42" t="s">
        <v>3</v>
      </c>
      <c r="C477" s="575" t="s">
        <v>1630</v>
      </c>
      <c r="D477" s="571" t="s">
        <v>1031</v>
      </c>
      <c r="E477" s="175">
        <v>4513903200</v>
      </c>
      <c r="F477" s="345">
        <v>46100</v>
      </c>
      <c r="G477" s="42" t="s">
        <v>55</v>
      </c>
      <c r="H477" s="42">
        <v>2</v>
      </c>
      <c r="I477" s="61">
        <v>100000</v>
      </c>
      <c r="J477" s="42">
        <v>3</v>
      </c>
      <c r="K477" s="321">
        <f t="shared" si="8"/>
        <v>33333.333333333336</v>
      </c>
      <c r="L477" s="615">
        <v>46023</v>
      </c>
      <c r="M477" s="615">
        <v>46387</v>
      </c>
      <c r="N477" s="63" t="s">
        <v>520</v>
      </c>
      <c r="O477" s="42"/>
      <c r="P477" s="42"/>
      <c r="Q477" s="63" t="s">
        <v>347</v>
      </c>
      <c r="R477" s="63"/>
      <c r="S477" s="63" t="s">
        <v>348</v>
      </c>
      <c r="T477" s="63"/>
      <c r="U477" s="63" t="s">
        <v>349</v>
      </c>
      <c r="V477" s="63"/>
      <c r="W477" s="63"/>
      <c r="X477" s="63"/>
      <c r="Y477" s="63"/>
      <c r="Z477" s="63"/>
      <c r="AA477" s="63"/>
      <c r="AB477" s="63"/>
      <c r="AC477" s="63" t="s">
        <v>478</v>
      </c>
      <c r="AD477" s="42" t="s">
        <v>63</v>
      </c>
      <c r="AE477" s="42">
        <v>5</v>
      </c>
      <c r="AF477" s="63" t="s">
        <v>667</v>
      </c>
    </row>
    <row r="478" spans="2:32" ht="15" hidden="1" customHeight="1" x14ac:dyDescent="0.3">
      <c r="B478" s="42" t="s">
        <v>3</v>
      </c>
      <c r="C478" s="575" t="s">
        <v>1631</v>
      </c>
      <c r="D478" s="571" t="s">
        <v>1031</v>
      </c>
      <c r="E478" s="175">
        <v>4513906043</v>
      </c>
      <c r="F478" s="345">
        <v>46101</v>
      </c>
      <c r="G478" s="42" t="s">
        <v>55</v>
      </c>
      <c r="H478" s="42">
        <v>2</v>
      </c>
      <c r="I478" s="61">
        <v>100000</v>
      </c>
      <c r="J478" s="42">
        <v>3</v>
      </c>
      <c r="K478" s="321">
        <f t="shared" si="8"/>
        <v>33333.333333333336</v>
      </c>
      <c r="L478" s="615">
        <v>46023</v>
      </c>
      <c r="M478" s="615">
        <v>46387</v>
      </c>
      <c r="N478" s="63" t="s">
        <v>520</v>
      </c>
      <c r="O478" s="42"/>
      <c r="P478" s="42"/>
      <c r="Q478" s="63" t="s">
        <v>347</v>
      </c>
      <c r="R478" s="63"/>
      <c r="S478" s="63" t="s">
        <v>348</v>
      </c>
      <c r="T478" s="63"/>
      <c r="U478" s="63" t="s">
        <v>349</v>
      </c>
      <c r="V478" s="63"/>
      <c r="W478" s="63"/>
      <c r="X478" s="63"/>
      <c r="Y478" s="63"/>
      <c r="Z478" s="63"/>
      <c r="AA478" s="63"/>
      <c r="AB478" s="63"/>
      <c r="AC478" s="63" t="s">
        <v>478</v>
      </c>
      <c r="AD478" s="42" t="s">
        <v>63</v>
      </c>
      <c r="AE478" s="42">
        <v>5</v>
      </c>
      <c r="AF478" s="63" t="s">
        <v>667</v>
      </c>
    </row>
    <row r="479" spans="2:32" ht="15" hidden="1" customHeight="1" x14ac:dyDescent="0.3">
      <c r="B479" s="42" t="s">
        <v>3</v>
      </c>
      <c r="C479" s="575" t="s">
        <v>1632</v>
      </c>
      <c r="D479" s="571" t="s">
        <v>596</v>
      </c>
      <c r="E479" s="175">
        <v>3110016847</v>
      </c>
      <c r="F479" s="345">
        <v>46071</v>
      </c>
      <c r="G479" s="42" t="s">
        <v>55</v>
      </c>
      <c r="H479" s="42">
        <v>1</v>
      </c>
      <c r="I479" s="61">
        <v>50000</v>
      </c>
      <c r="J479" s="42">
        <v>2</v>
      </c>
      <c r="K479" s="321">
        <f t="shared" si="8"/>
        <v>25000</v>
      </c>
      <c r="L479" s="585">
        <v>46113</v>
      </c>
      <c r="M479" s="585">
        <v>46477</v>
      </c>
      <c r="N479" s="63" t="s">
        <v>520</v>
      </c>
      <c r="O479" s="42"/>
      <c r="P479" s="42"/>
      <c r="Q479" s="63" t="s">
        <v>467</v>
      </c>
      <c r="R479" s="63"/>
      <c r="S479" s="63" t="s">
        <v>1633</v>
      </c>
      <c r="T479" s="63"/>
      <c r="U479" s="63"/>
      <c r="V479" s="63"/>
      <c r="W479" s="63"/>
      <c r="X479" s="63"/>
      <c r="Y479" s="63"/>
      <c r="Z479" s="63"/>
      <c r="AA479" s="63"/>
      <c r="AB479" s="63"/>
      <c r="AC479" s="63" t="s">
        <v>507</v>
      </c>
      <c r="AD479" s="42" t="s">
        <v>63</v>
      </c>
      <c r="AE479" s="42">
        <v>2</v>
      </c>
      <c r="AF479" s="63" t="s">
        <v>1634</v>
      </c>
    </row>
    <row r="480" spans="2:32" ht="15" hidden="1" customHeight="1" x14ac:dyDescent="0.3">
      <c r="B480" s="42" t="s">
        <v>3</v>
      </c>
      <c r="C480" s="68" t="s">
        <v>1635</v>
      </c>
      <c r="D480" s="582" t="s">
        <v>1636</v>
      </c>
      <c r="E480" s="222" t="s">
        <v>1637</v>
      </c>
      <c r="F480" s="345">
        <v>46070</v>
      </c>
      <c r="G480" s="42" t="s">
        <v>55</v>
      </c>
      <c r="H480" s="42">
        <v>4</v>
      </c>
      <c r="I480" s="61">
        <v>452192</v>
      </c>
      <c r="J480" s="42">
        <v>1</v>
      </c>
      <c r="K480" s="321">
        <f t="shared" si="8"/>
        <v>452192</v>
      </c>
      <c r="L480" s="615">
        <v>46023</v>
      </c>
      <c r="M480" s="615">
        <v>46387</v>
      </c>
      <c r="N480" s="63" t="s">
        <v>520</v>
      </c>
      <c r="O480" s="42"/>
      <c r="P480" s="42"/>
      <c r="Q480" s="63" t="s">
        <v>1594</v>
      </c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 t="s">
        <v>96</v>
      </c>
      <c r="AD480" s="42" t="s">
        <v>97</v>
      </c>
      <c r="AE480" s="42" t="s">
        <v>1367</v>
      </c>
      <c r="AF480" s="63" t="s">
        <v>667</v>
      </c>
    </row>
    <row r="481" spans="2:32" ht="15" hidden="1" customHeight="1" x14ac:dyDescent="0.3">
      <c r="B481" s="26" t="s">
        <v>3</v>
      </c>
      <c r="C481" s="39" t="s">
        <v>668</v>
      </c>
      <c r="D481" s="350" t="s">
        <v>669</v>
      </c>
      <c r="E481" s="50">
        <v>50060329</v>
      </c>
      <c r="F481" s="343">
        <v>46106</v>
      </c>
      <c r="G481" s="26" t="s">
        <v>55</v>
      </c>
      <c r="H481" s="26">
        <v>2</v>
      </c>
      <c r="I481" s="56">
        <v>160000</v>
      </c>
      <c r="J481" s="26">
        <v>2</v>
      </c>
      <c r="K481" s="321">
        <f t="shared" si="8"/>
        <v>80000</v>
      </c>
      <c r="L481" s="348">
        <v>46113</v>
      </c>
      <c r="M481" s="348">
        <v>46477</v>
      </c>
      <c r="N481" s="58" t="s">
        <v>520</v>
      </c>
      <c r="O481" s="26"/>
      <c r="P481" s="26"/>
      <c r="Q481" s="58" t="s">
        <v>467</v>
      </c>
      <c r="R481" s="58"/>
      <c r="S481" s="58" t="s">
        <v>1633</v>
      </c>
      <c r="T481" s="58"/>
      <c r="U481" s="58"/>
      <c r="V481" s="58"/>
      <c r="W481" s="58"/>
      <c r="X481" s="58"/>
      <c r="Y481" s="58"/>
      <c r="Z481" s="58"/>
      <c r="AA481" s="58"/>
      <c r="AB481" s="58"/>
      <c r="AC481" s="58" t="s">
        <v>478</v>
      </c>
      <c r="AD481" s="26" t="s">
        <v>63</v>
      </c>
      <c r="AE481" s="26">
        <v>2</v>
      </c>
      <c r="AF481" s="58" t="s">
        <v>1638</v>
      </c>
    </row>
    <row r="482" spans="2:32" ht="15" hidden="1" customHeight="1" x14ac:dyDescent="0.3">
      <c r="B482" s="42" t="s">
        <v>3</v>
      </c>
      <c r="C482" s="68" t="s">
        <v>668</v>
      </c>
      <c r="D482" s="135" t="s">
        <v>669</v>
      </c>
      <c r="E482" s="84">
        <v>50060329</v>
      </c>
      <c r="F482" s="345">
        <v>46106</v>
      </c>
      <c r="G482" s="42" t="s">
        <v>55</v>
      </c>
      <c r="H482" s="42">
        <v>13</v>
      </c>
      <c r="I482" s="61">
        <v>585000</v>
      </c>
      <c r="J482" s="42">
        <v>1</v>
      </c>
      <c r="K482" s="321">
        <f t="shared" si="8"/>
        <v>585000</v>
      </c>
      <c r="L482" s="615">
        <v>46113</v>
      </c>
      <c r="M482" s="615">
        <v>46477</v>
      </c>
      <c r="N482" s="63" t="s">
        <v>520</v>
      </c>
      <c r="O482" s="42"/>
      <c r="P482" s="42"/>
      <c r="Q482" s="63" t="s">
        <v>646</v>
      </c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 t="s">
        <v>478</v>
      </c>
      <c r="AD482" s="42" t="s">
        <v>63</v>
      </c>
      <c r="AE482" s="42">
        <v>1</v>
      </c>
      <c r="AF482" s="63" t="s">
        <v>1638</v>
      </c>
    </row>
    <row r="483" spans="2:32" ht="15" hidden="1" customHeight="1" x14ac:dyDescent="0.3">
      <c r="B483" s="42" t="s">
        <v>3</v>
      </c>
      <c r="C483" s="68" t="s">
        <v>1639</v>
      </c>
      <c r="D483" s="582" t="s">
        <v>1088</v>
      </c>
      <c r="E483" s="177">
        <v>3040058268</v>
      </c>
      <c r="F483" s="345">
        <v>46101</v>
      </c>
      <c r="G483" s="42" t="s">
        <v>55</v>
      </c>
      <c r="H483" s="42">
        <v>1</v>
      </c>
      <c r="I483" s="61">
        <v>93000</v>
      </c>
      <c r="J483" s="42">
        <v>3</v>
      </c>
      <c r="K483" s="321">
        <f t="shared" si="8"/>
        <v>31000</v>
      </c>
      <c r="L483" s="615">
        <v>46023</v>
      </c>
      <c r="M483" s="615">
        <v>46387</v>
      </c>
      <c r="N483" s="63" t="s">
        <v>520</v>
      </c>
      <c r="O483" s="42"/>
      <c r="P483" s="42"/>
      <c r="Q483" s="64" t="s">
        <v>347</v>
      </c>
      <c r="R483" s="63" t="s">
        <v>1640</v>
      </c>
      <c r="S483" s="63" t="s">
        <v>348</v>
      </c>
      <c r="T483" s="63"/>
      <c r="U483" s="63" t="s">
        <v>349</v>
      </c>
      <c r="V483" s="63"/>
      <c r="W483" s="63"/>
      <c r="X483" s="63"/>
      <c r="Y483" s="63"/>
      <c r="Z483" s="63"/>
      <c r="AA483" s="63"/>
      <c r="AB483" s="63"/>
      <c r="AC483" s="63" t="s">
        <v>96</v>
      </c>
      <c r="AD483" s="42" t="s">
        <v>97</v>
      </c>
      <c r="AE483" s="42" t="s">
        <v>494</v>
      </c>
      <c r="AF483" s="63" t="s">
        <v>1641</v>
      </c>
    </row>
    <row r="484" spans="2:32" ht="15" hidden="1" customHeight="1" x14ac:dyDescent="0.3">
      <c r="B484" s="42" t="s">
        <v>3</v>
      </c>
      <c r="C484" s="68" t="s">
        <v>783</v>
      </c>
      <c r="D484" s="132" t="s">
        <v>1000</v>
      </c>
      <c r="E484" s="300">
        <v>8000161342</v>
      </c>
      <c r="F484" s="614">
        <v>46107</v>
      </c>
      <c r="G484" s="42" t="s">
        <v>55</v>
      </c>
      <c r="H484" s="42">
        <v>7</v>
      </c>
      <c r="I484" s="61">
        <v>890400</v>
      </c>
      <c r="J484" s="42">
        <v>3</v>
      </c>
      <c r="K484" s="321">
        <f t="shared" si="8"/>
        <v>296800</v>
      </c>
      <c r="L484" s="615">
        <v>46023</v>
      </c>
      <c r="M484" s="615">
        <v>46387</v>
      </c>
      <c r="N484" s="63" t="s">
        <v>520</v>
      </c>
      <c r="O484" s="42"/>
      <c r="P484" s="44" t="s">
        <v>1</v>
      </c>
      <c r="Q484" s="64" t="s">
        <v>347</v>
      </c>
      <c r="R484" s="63" t="s">
        <v>1642</v>
      </c>
      <c r="S484" s="63" t="s">
        <v>348</v>
      </c>
      <c r="T484" s="63"/>
      <c r="U484" s="63" t="s">
        <v>349</v>
      </c>
      <c r="V484" s="63"/>
      <c r="W484" s="63"/>
      <c r="X484" s="63"/>
      <c r="Y484" s="63"/>
      <c r="Z484" s="63"/>
      <c r="AA484" s="63"/>
      <c r="AB484" s="63"/>
      <c r="AC484" s="63" t="s">
        <v>507</v>
      </c>
      <c r="AD484" s="42" t="s">
        <v>63</v>
      </c>
      <c r="AE484" s="42">
        <v>3</v>
      </c>
      <c r="AF484" s="63" t="s">
        <v>667</v>
      </c>
    </row>
    <row r="485" spans="2:32" ht="15" hidden="1" customHeight="1" x14ac:dyDescent="0.3">
      <c r="B485" s="42" t="s">
        <v>3</v>
      </c>
      <c r="C485" s="575" t="s">
        <v>954</v>
      </c>
      <c r="D485" s="571" t="s">
        <v>151</v>
      </c>
      <c r="E485" s="175">
        <v>4601538703</v>
      </c>
      <c r="F485" s="614">
        <v>46110</v>
      </c>
      <c r="G485" s="42" t="s">
        <v>55</v>
      </c>
      <c r="H485" s="42">
        <v>1</v>
      </c>
      <c r="I485" s="61">
        <v>84999</v>
      </c>
      <c r="J485" s="42">
        <v>3</v>
      </c>
      <c r="K485" s="321">
        <f t="shared" si="8"/>
        <v>28333</v>
      </c>
      <c r="L485" s="585">
        <v>46113</v>
      </c>
      <c r="M485" s="585">
        <v>46477</v>
      </c>
      <c r="N485" s="63" t="s">
        <v>520</v>
      </c>
      <c r="O485" s="42"/>
      <c r="P485" s="42"/>
      <c r="Q485" s="63" t="s">
        <v>1080</v>
      </c>
      <c r="R485" s="63"/>
      <c r="S485" s="63" t="s">
        <v>1108</v>
      </c>
      <c r="T485" s="63"/>
      <c r="U485" s="63" t="s">
        <v>1109</v>
      </c>
      <c r="V485" s="63"/>
      <c r="W485" s="63"/>
      <c r="X485" s="63"/>
      <c r="Y485" s="63"/>
      <c r="Z485" s="63"/>
      <c r="AA485" s="63"/>
      <c r="AB485" s="63"/>
      <c r="AC485" s="63" t="s">
        <v>478</v>
      </c>
      <c r="AD485" s="42" t="s">
        <v>63</v>
      </c>
      <c r="AE485" s="42">
        <v>3</v>
      </c>
      <c r="AF485" s="63" t="s">
        <v>667</v>
      </c>
    </row>
    <row r="486" spans="2:32" ht="15" hidden="1" customHeight="1" x14ac:dyDescent="0.3">
      <c r="B486" s="26" t="s">
        <v>3</v>
      </c>
      <c r="C486" s="565" t="s">
        <v>779</v>
      </c>
      <c r="D486" s="566" t="s">
        <v>53</v>
      </c>
      <c r="E486" s="333">
        <v>2500292830</v>
      </c>
      <c r="F486" s="343">
        <v>46111</v>
      </c>
      <c r="G486" s="26" t="s">
        <v>55</v>
      </c>
      <c r="H486" s="26">
        <v>3</v>
      </c>
      <c r="I486" s="56">
        <v>282816</v>
      </c>
      <c r="J486" s="26">
        <v>3</v>
      </c>
      <c r="K486" s="321">
        <f t="shared" si="8"/>
        <v>94272</v>
      </c>
      <c r="L486" s="567">
        <v>46113</v>
      </c>
      <c r="M486" s="567">
        <v>46477</v>
      </c>
      <c r="N486" s="58" t="s">
        <v>520</v>
      </c>
      <c r="O486" s="26"/>
      <c r="P486" s="26"/>
      <c r="Q486" s="58" t="s">
        <v>1080</v>
      </c>
      <c r="R486" s="58"/>
      <c r="S486" s="58" t="s">
        <v>1108</v>
      </c>
      <c r="T486" s="58"/>
      <c r="U486" s="58" t="s">
        <v>1109</v>
      </c>
      <c r="V486" s="58"/>
      <c r="W486" s="58"/>
      <c r="X486" s="58"/>
      <c r="Y486" s="58"/>
      <c r="Z486" s="58"/>
      <c r="AA486" s="58"/>
      <c r="AB486" s="58"/>
      <c r="AC486" s="58" t="s">
        <v>619</v>
      </c>
      <c r="AD486" s="26" t="s">
        <v>63</v>
      </c>
      <c r="AE486" s="26">
        <v>3</v>
      </c>
      <c r="AF486" s="58" t="s">
        <v>667</v>
      </c>
    </row>
    <row r="487" spans="2:32" ht="15" hidden="1" customHeight="1" x14ac:dyDescent="0.3">
      <c r="B487" s="26" t="s">
        <v>3</v>
      </c>
      <c r="C487" s="39" t="s">
        <v>1643</v>
      </c>
      <c r="D487" s="232" t="s">
        <v>151</v>
      </c>
      <c r="E487" s="26">
        <v>8184550</v>
      </c>
      <c r="F487" s="343">
        <v>46108</v>
      </c>
      <c r="G487" s="26" t="s">
        <v>55</v>
      </c>
      <c r="H487" s="26">
        <v>4</v>
      </c>
      <c r="I487" s="56">
        <v>310000</v>
      </c>
      <c r="J487" s="26">
        <v>3</v>
      </c>
      <c r="K487" s="321">
        <f t="shared" si="8"/>
        <v>103333.33333333333</v>
      </c>
      <c r="L487" s="348">
        <v>46023</v>
      </c>
      <c r="M487" s="348">
        <v>46387</v>
      </c>
      <c r="N487" s="58" t="s">
        <v>520</v>
      </c>
      <c r="O487" s="26"/>
      <c r="P487" s="26"/>
      <c r="Q487" s="58" t="s">
        <v>347</v>
      </c>
      <c r="R487" s="58"/>
      <c r="S487" s="58" t="s">
        <v>348</v>
      </c>
      <c r="T487" s="58"/>
      <c r="U487" s="58" t="s">
        <v>349</v>
      </c>
      <c r="V487" s="58"/>
      <c r="W487" s="58"/>
      <c r="X487" s="58"/>
      <c r="Y487" s="58"/>
      <c r="Z487" s="58"/>
      <c r="AA487" s="58"/>
      <c r="AB487" s="58"/>
      <c r="AC487" s="58" t="s">
        <v>478</v>
      </c>
      <c r="AD487" s="26" t="s">
        <v>63</v>
      </c>
      <c r="AE487" s="26">
        <v>3</v>
      </c>
      <c r="AF487" s="58" t="s">
        <v>667</v>
      </c>
    </row>
    <row r="488" spans="2:32" ht="15" hidden="1" customHeight="1" x14ac:dyDescent="0.3">
      <c r="B488" s="42" t="s">
        <v>3</v>
      </c>
      <c r="C488" s="68" t="s">
        <v>1643</v>
      </c>
      <c r="D488" s="132" t="s">
        <v>151</v>
      </c>
      <c r="E488" s="42">
        <v>8184550</v>
      </c>
      <c r="F488" s="345">
        <v>46108</v>
      </c>
      <c r="G488" s="42" t="s">
        <v>55</v>
      </c>
      <c r="H488" s="42">
        <v>2</v>
      </c>
      <c r="I488" s="61">
        <v>103334</v>
      </c>
      <c r="J488" s="42">
        <v>2</v>
      </c>
      <c r="K488" s="321">
        <f t="shared" si="8"/>
        <v>51667</v>
      </c>
      <c r="L488" s="615">
        <v>46023</v>
      </c>
      <c r="M488" s="615">
        <v>46387</v>
      </c>
      <c r="N488" s="63" t="s">
        <v>520</v>
      </c>
      <c r="O488" s="42"/>
      <c r="P488" s="42"/>
      <c r="Q488" s="63" t="s">
        <v>607</v>
      </c>
      <c r="R488" s="63"/>
      <c r="S488" s="63" t="s">
        <v>608</v>
      </c>
      <c r="T488" s="63"/>
      <c r="U488" s="63"/>
      <c r="V488" s="63"/>
      <c r="W488" s="63"/>
      <c r="X488" s="63"/>
      <c r="Y488" s="63"/>
      <c r="Z488" s="63"/>
      <c r="AA488" s="63"/>
      <c r="AB488" s="63"/>
      <c r="AC488" s="63" t="s">
        <v>478</v>
      </c>
      <c r="AD488" s="42" t="s">
        <v>63</v>
      </c>
      <c r="AE488" s="42">
        <v>3</v>
      </c>
      <c r="AF488" s="63" t="s">
        <v>667</v>
      </c>
    </row>
    <row r="489" spans="2:32" ht="15" hidden="1" customHeight="1" x14ac:dyDescent="0.3">
      <c r="B489" s="42" t="s">
        <v>3</v>
      </c>
      <c r="C489" s="103" t="s">
        <v>609</v>
      </c>
      <c r="D489" s="132" t="s">
        <v>86</v>
      </c>
      <c r="E489" s="303">
        <v>3791240798</v>
      </c>
      <c r="F489" s="345">
        <v>46106</v>
      </c>
      <c r="G489" s="42" t="s">
        <v>55</v>
      </c>
      <c r="H489" s="42">
        <v>2</v>
      </c>
      <c r="I489" s="61">
        <v>385536</v>
      </c>
      <c r="J489" s="42">
        <v>3</v>
      </c>
      <c r="K489" s="321">
        <f t="shared" si="8"/>
        <v>128512</v>
      </c>
      <c r="L489" s="615">
        <v>46113</v>
      </c>
      <c r="M489" s="615">
        <v>46477</v>
      </c>
      <c r="N489" s="63" t="s">
        <v>520</v>
      </c>
      <c r="O489" s="42"/>
      <c r="P489" s="42"/>
      <c r="Q489" s="63" t="s">
        <v>1080</v>
      </c>
      <c r="R489" s="63"/>
      <c r="S489" s="63" t="s">
        <v>1108</v>
      </c>
      <c r="T489" s="63"/>
      <c r="U489" s="63" t="s">
        <v>1109</v>
      </c>
      <c r="V489" s="63"/>
      <c r="W489" s="63"/>
      <c r="X489" s="63"/>
      <c r="Y489" s="63"/>
      <c r="Z489" s="63"/>
      <c r="AA489" s="63"/>
      <c r="AB489" s="63"/>
      <c r="AC489" s="63" t="s">
        <v>281</v>
      </c>
      <c r="AD489" s="42" t="s">
        <v>97</v>
      </c>
      <c r="AE489" s="42">
        <v>3</v>
      </c>
      <c r="AF489" s="63" t="s">
        <v>667</v>
      </c>
    </row>
    <row r="490" spans="2:32" ht="15" hidden="1" customHeight="1" x14ac:dyDescent="0.3">
      <c r="B490" s="42" t="s">
        <v>3</v>
      </c>
      <c r="C490" s="575" t="s">
        <v>905</v>
      </c>
      <c r="D490" s="571" t="s">
        <v>801</v>
      </c>
      <c r="E490" s="175">
        <v>1100036670</v>
      </c>
      <c r="F490" s="614">
        <v>46102</v>
      </c>
      <c r="G490" s="42" t="s">
        <v>55</v>
      </c>
      <c r="H490" s="42">
        <v>1</v>
      </c>
      <c r="I490" s="61">
        <v>78400</v>
      </c>
      <c r="J490" s="42">
        <v>2</v>
      </c>
      <c r="K490" s="321">
        <f t="shared" si="8"/>
        <v>39200</v>
      </c>
      <c r="L490" s="585">
        <v>46143</v>
      </c>
      <c r="M490" s="585">
        <v>46507</v>
      </c>
      <c r="N490" s="63" t="s">
        <v>520</v>
      </c>
      <c r="O490" s="42"/>
      <c r="P490" s="42"/>
      <c r="Q490" s="63" t="s">
        <v>1339</v>
      </c>
      <c r="R490" s="63"/>
      <c r="S490" s="63" t="s">
        <v>1644</v>
      </c>
      <c r="T490" s="63"/>
      <c r="U490" s="63"/>
      <c r="V490" s="63"/>
      <c r="W490" s="63"/>
      <c r="X490" s="63"/>
      <c r="Y490" s="63"/>
      <c r="Z490" s="63"/>
      <c r="AA490" s="63"/>
      <c r="AB490" s="63"/>
      <c r="AC490" s="63" t="s">
        <v>485</v>
      </c>
      <c r="AD490" s="42" t="s">
        <v>63</v>
      </c>
      <c r="AE490" s="42">
        <v>3</v>
      </c>
      <c r="AF490" s="63" t="s">
        <v>667</v>
      </c>
    </row>
    <row r="491" spans="2:32" ht="15" hidden="1" customHeight="1" x14ac:dyDescent="0.3">
      <c r="B491" s="42" t="s">
        <v>3</v>
      </c>
      <c r="C491" s="575" t="s">
        <v>628</v>
      </c>
      <c r="D491" s="571" t="s">
        <v>801</v>
      </c>
      <c r="E491" s="175" t="s">
        <v>1645</v>
      </c>
      <c r="F491" s="345">
        <v>46107</v>
      </c>
      <c r="G491" s="42" t="s">
        <v>55</v>
      </c>
      <c r="H491" s="42">
        <v>1</v>
      </c>
      <c r="I491" s="61">
        <v>54500</v>
      </c>
      <c r="J491" s="42">
        <v>1</v>
      </c>
      <c r="K491" s="321">
        <f t="shared" si="8"/>
        <v>54500</v>
      </c>
      <c r="L491" s="585">
        <v>46113</v>
      </c>
      <c r="M491" s="585">
        <v>46477</v>
      </c>
      <c r="N491" s="63" t="s">
        <v>520</v>
      </c>
      <c r="O491" s="42"/>
      <c r="P491" s="42"/>
      <c r="Q491" s="63" t="s">
        <v>646</v>
      </c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 t="s">
        <v>485</v>
      </c>
      <c r="AD491" s="42" t="s">
        <v>63</v>
      </c>
      <c r="AE491" s="42">
        <v>2</v>
      </c>
      <c r="AF491" s="63" t="s">
        <v>1488</v>
      </c>
    </row>
    <row r="492" spans="2:32" ht="15" hidden="1" customHeight="1" x14ac:dyDescent="0.3">
      <c r="B492" s="42" t="s">
        <v>3</v>
      </c>
      <c r="C492" s="68" t="s">
        <v>805</v>
      </c>
      <c r="D492" s="132" t="s">
        <v>86</v>
      </c>
      <c r="E492" s="121">
        <v>7500135772</v>
      </c>
      <c r="F492" s="614">
        <v>46108</v>
      </c>
      <c r="G492" s="42" t="s">
        <v>55</v>
      </c>
      <c r="H492" s="42">
        <v>1</v>
      </c>
      <c r="I492" s="61">
        <v>86200</v>
      </c>
      <c r="J492" s="42">
        <v>3</v>
      </c>
      <c r="K492" s="321">
        <f t="shared" si="8"/>
        <v>28733.333333333332</v>
      </c>
      <c r="L492" s="615">
        <v>46113</v>
      </c>
      <c r="M492" s="615">
        <v>46477</v>
      </c>
      <c r="N492" s="63" t="s">
        <v>520</v>
      </c>
      <c r="O492" s="42"/>
      <c r="P492" s="42"/>
      <c r="Q492" s="63" t="s">
        <v>1080</v>
      </c>
      <c r="R492" s="63"/>
      <c r="S492" s="63" t="s">
        <v>1108</v>
      </c>
      <c r="T492" s="63"/>
      <c r="U492" s="63" t="s">
        <v>1109</v>
      </c>
      <c r="V492" s="63"/>
      <c r="W492" s="63"/>
      <c r="X492" s="63"/>
      <c r="Y492" s="63"/>
      <c r="Z492" s="63"/>
      <c r="AA492" s="63"/>
      <c r="AB492" s="63"/>
      <c r="AC492" s="63" t="s">
        <v>96</v>
      </c>
      <c r="AD492" s="42" t="s">
        <v>97</v>
      </c>
      <c r="AE492" s="42" t="s">
        <v>494</v>
      </c>
      <c r="AF492" s="63" t="s">
        <v>667</v>
      </c>
    </row>
    <row r="493" spans="2:32" ht="15" hidden="1" customHeight="1" x14ac:dyDescent="0.3">
      <c r="B493" s="42" t="s">
        <v>5</v>
      </c>
      <c r="C493" s="575" t="s">
        <v>840</v>
      </c>
      <c r="D493" s="571" t="s">
        <v>841</v>
      </c>
      <c r="E493" s="297" t="s">
        <v>1646</v>
      </c>
      <c r="F493" s="345">
        <v>46107</v>
      </c>
      <c r="G493" s="42" t="s">
        <v>55</v>
      </c>
      <c r="H493" s="42">
        <v>3</v>
      </c>
      <c r="I493" s="61">
        <v>211500</v>
      </c>
      <c r="J493" s="42">
        <v>3</v>
      </c>
      <c r="K493" s="321">
        <f t="shared" si="8"/>
        <v>70500</v>
      </c>
      <c r="L493" s="585">
        <v>46113</v>
      </c>
      <c r="M493" s="585">
        <v>46477</v>
      </c>
      <c r="N493" s="63" t="s">
        <v>520</v>
      </c>
      <c r="O493" s="42"/>
      <c r="P493" s="42"/>
      <c r="Q493" s="63" t="s">
        <v>1080</v>
      </c>
      <c r="R493" s="63"/>
      <c r="S493" s="63" t="s">
        <v>1108</v>
      </c>
      <c r="T493" s="63"/>
      <c r="U493" s="63" t="s">
        <v>1109</v>
      </c>
      <c r="V493" s="63"/>
      <c r="W493" s="63"/>
      <c r="X493" s="63"/>
      <c r="Y493" s="63"/>
      <c r="Z493" s="63"/>
      <c r="AA493" s="63"/>
      <c r="AB493" s="63"/>
      <c r="AC493" s="63" t="s">
        <v>485</v>
      </c>
      <c r="AD493" s="42" t="s">
        <v>63</v>
      </c>
      <c r="AE493" s="42">
        <v>3</v>
      </c>
      <c r="AF493" s="63" t="s">
        <v>1647</v>
      </c>
    </row>
    <row r="494" spans="2:32" ht="15" hidden="1" customHeight="1" x14ac:dyDescent="0.3">
      <c r="B494" s="42" t="s">
        <v>5</v>
      </c>
      <c r="C494" s="575" t="s">
        <v>809</v>
      </c>
      <c r="D494" s="571" t="s">
        <v>629</v>
      </c>
      <c r="E494" s="175" t="s">
        <v>1648</v>
      </c>
      <c r="F494" s="345">
        <v>46107</v>
      </c>
      <c r="G494" s="42" t="s">
        <v>55</v>
      </c>
      <c r="H494" s="42">
        <v>5</v>
      </c>
      <c r="I494" s="61">
        <v>341250</v>
      </c>
      <c r="J494" s="42">
        <v>2</v>
      </c>
      <c r="K494" s="321">
        <f t="shared" si="8"/>
        <v>170625</v>
      </c>
      <c r="L494" s="585">
        <v>46113</v>
      </c>
      <c r="M494" s="585">
        <v>46477</v>
      </c>
      <c r="N494" s="63" t="s">
        <v>520</v>
      </c>
      <c r="O494" s="42"/>
      <c r="P494" s="42"/>
      <c r="Q494" s="63" t="s">
        <v>467</v>
      </c>
      <c r="R494" s="63"/>
      <c r="S494" s="63" t="s">
        <v>1633</v>
      </c>
      <c r="T494" s="63"/>
      <c r="U494" s="63"/>
      <c r="V494" s="63"/>
      <c r="W494" s="63"/>
      <c r="X494" s="63"/>
      <c r="Y494" s="63"/>
      <c r="Z494" s="63"/>
      <c r="AA494" s="63"/>
      <c r="AB494" s="63"/>
      <c r="AC494" s="63" t="s">
        <v>485</v>
      </c>
      <c r="AD494" s="42" t="s">
        <v>63</v>
      </c>
      <c r="AE494" s="42">
        <v>3</v>
      </c>
      <c r="AF494" s="63" t="s">
        <v>1647</v>
      </c>
    </row>
    <row r="495" spans="2:32" ht="15" hidden="1" customHeight="1" x14ac:dyDescent="0.3">
      <c r="B495" s="42" t="s">
        <v>5</v>
      </c>
      <c r="C495" s="94" t="s">
        <v>1649</v>
      </c>
      <c r="D495" s="247" t="s">
        <v>176</v>
      </c>
      <c r="E495" s="149" t="s">
        <v>1650</v>
      </c>
      <c r="F495" s="345">
        <v>46025</v>
      </c>
      <c r="G495" s="42" t="s">
        <v>55</v>
      </c>
      <c r="H495" s="42">
        <v>1</v>
      </c>
      <c r="I495" s="61">
        <v>142080</v>
      </c>
      <c r="J495" s="42">
        <v>2</v>
      </c>
      <c r="K495" s="321">
        <f t="shared" si="8"/>
        <v>71040</v>
      </c>
      <c r="L495" s="615">
        <v>46023</v>
      </c>
      <c r="M495" s="615">
        <v>46387</v>
      </c>
      <c r="N495" s="63" t="s">
        <v>520</v>
      </c>
      <c r="O495" s="42"/>
      <c r="P495" s="42"/>
      <c r="Q495" s="63" t="s">
        <v>1651</v>
      </c>
      <c r="R495" s="63"/>
      <c r="S495" s="63" t="s">
        <v>608</v>
      </c>
      <c r="T495" s="63"/>
      <c r="U495" s="63"/>
      <c r="V495" s="63"/>
      <c r="W495" s="63"/>
      <c r="X495" s="63"/>
      <c r="Y495" s="63"/>
      <c r="Z495" s="63"/>
      <c r="AA495" s="63"/>
      <c r="AB495" s="63"/>
      <c r="AC495" s="63" t="s">
        <v>183</v>
      </c>
      <c r="AD495" s="42" t="s">
        <v>97</v>
      </c>
      <c r="AE495" s="42">
        <v>2</v>
      </c>
      <c r="AF495" s="63" t="s">
        <v>1652</v>
      </c>
    </row>
    <row r="496" spans="2:32" ht="15" hidden="1" customHeight="1" x14ac:dyDescent="0.3">
      <c r="B496" s="42" t="s">
        <v>5</v>
      </c>
      <c r="C496" s="68" t="s">
        <v>1653</v>
      </c>
      <c r="D496" s="81" t="s">
        <v>151</v>
      </c>
      <c r="E496" s="84" t="s">
        <v>1654</v>
      </c>
      <c r="F496" s="345">
        <v>46114</v>
      </c>
      <c r="G496" s="42" t="s">
        <v>55</v>
      </c>
      <c r="H496" s="42">
        <v>7</v>
      </c>
      <c r="I496" s="61">
        <v>560000</v>
      </c>
      <c r="J496" s="42">
        <v>2</v>
      </c>
      <c r="K496" s="321">
        <f t="shared" si="8"/>
        <v>280000</v>
      </c>
      <c r="L496" s="615">
        <v>46023</v>
      </c>
      <c r="M496" s="615">
        <v>46387</v>
      </c>
      <c r="N496" s="63" t="s">
        <v>520</v>
      </c>
      <c r="O496" s="42"/>
      <c r="P496" s="42"/>
      <c r="Q496" s="63" t="s">
        <v>1651</v>
      </c>
      <c r="R496" s="63"/>
      <c r="S496" s="63" t="s">
        <v>608</v>
      </c>
      <c r="T496" s="63"/>
      <c r="U496" s="63"/>
      <c r="V496" s="63"/>
      <c r="W496" s="63"/>
      <c r="X496" s="63"/>
      <c r="Y496" s="63"/>
      <c r="Z496" s="63"/>
      <c r="AA496" s="63"/>
      <c r="AB496" s="63"/>
      <c r="AC496" s="63" t="s">
        <v>478</v>
      </c>
      <c r="AD496" s="42" t="s">
        <v>63</v>
      </c>
      <c r="AE496" s="42">
        <v>3</v>
      </c>
      <c r="AF496" s="63" t="s">
        <v>1319</v>
      </c>
    </row>
    <row r="497" spans="2:32" ht="15" hidden="1" customHeight="1" x14ac:dyDescent="0.3">
      <c r="B497" s="42" t="s">
        <v>5</v>
      </c>
      <c r="C497" s="68" t="s">
        <v>1655</v>
      </c>
      <c r="D497" s="135" t="s">
        <v>664</v>
      </c>
      <c r="E497" s="42">
        <v>4507986234</v>
      </c>
      <c r="F497" s="345">
        <v>46119</v>
      </c>
      <c r="G497" s="42" t="s">
        <v>55</v>
      </c>
      <c r="H497" s="42">
        <v>1</v>
      </c>
      <c r="I497" s="61">
        <v>79999.98</v>
      </c>
      <c r="J497" s="42">
        <v>3</v>
      </c>
      <c r="K497" s="321">
        <f t="shared" si="8"/>
        <v>26666.66</v>
      </c>
      <c r="L497" s="615">
        <v>46113</v>
      </c>
      <c r="M497" s="615">
        <v>46477</v>
      </c>
      <c r="N497" s="63" t="s">
        <v>520</v>
      </c>
      <c r="O497" s="42"/>
      <c r="P497" s="42"/>
      <c r="Q497" s="63" t="s">
        <v>1080</v>
      </c>
      <c r="R497" s="63"/>
      <c r="S497" s="63" t="s">
        <v>1108</v>
      </c>
      <c r="T497" s="63"/>
      <c r="U497" s="63" t="s">
        <v>1109</v>
      </c>
      <c r="V497" s="63"/>
      <c r="W497" s="63"/>
      <c r="X497" s="63"/>
      <c r="Y497" s="63"/>
      <c r="Z497" s="63"/>
      <c r="AA497" s="63"/>
      <c r="AB497" s="63"/>
      <c r="AC497" s="63" t="s">
        <v>478</v>
      </c>
      <c r="AD497" s="42" t="s">
        <v>63</v>
      </c>
      <c r="AE497" s="42" t="s">
        <v>494</v>
      </c>
      <c r="AF497" s="63" t="s">
        <v>667</v>
      </c>
    </row>
    <row r="498" spans="2:32" ht="15" hidden="1" customHeight="1" x14ac:dyDescent="0.3">
      <c r="B498" s="42" t="s">
        <v>5</v>
      </c>
      <c r="C498" s="68" t="s">
        <v>1656</v>
      </c>
      <c r="D498" s="582" t="s">
        <v>176</v>
      </c>
      <c r="E498" s="222">
        <v>4500127379</v>
      </c>
      <c r="F498" s="345">
        <v>46078</v>
      </c>
      <c r="G498" s="42" t="s">
        <v>55</v>
      </c>
      <c r="H498" s="42">
        <v>1</v>
      </c>
      <c r="I498" s="61">
        <v>89250</v>
      </c>
      <c r="J498" s="42">
        <v>2</v>
      </c>
      <c r="K498" s="321">
        <f t="shared" si="8"/>
        <v>44625</v>
      </c>
      <c r="L498" s="615">
        <v>46023</v>
      </c>
      <c r="M498" s="615">
        <v>46387</v>
      </c>
      <c r="N498" s="63" t="s">
        <v>520</v>
      </c>
      <c r="O498" s="42"/>
      <c r="P498" s="42"/>
      <c r="Q498" s="64" t="s">
        <v>607</v>
      </c>
      <c r="R498" s="63" t="s">
        <v>1436</v>
      </c>
      <c r="S498" s="63" t="s">
        <v>608</v>
      </c>
      <c r="T498" s="63"/>
      <c r="U498" s="63"/>
      <c r="V498" s="63"/>
      <c r="W498" s="63"/>
      <c r="X498" s="63"/>
      <c r="Y498" s="63"/>
      <c r="Z498" s="63"/>
      <c r="AA498" s="63"/>
      <c r="AB498" s="63"/>
      <c r="AC498" s="63" t="s">
        <v>183</v>
      </c>
      <c r="AD498" s="42" t="s">
        <v>97</v>
      </c>
      <c r="AE498" s="42">
        <v>3</v>
      </c>
      <c r="AF498" s="63" t="s">
        <v>667</v>
      </c>
    </row>
    <row r="499" spans="2:32" ht="15" hidden="1" customHeight="1" x14ac:dyDescent="0.3">
      <c r="B499" s="42" t="s">
        <v>5</v>
      </c>
      <c r="C499" s="68" t="s">
        <v>1656</v>
      </c>
      <c r="D499" s="582" t="s">
        <v>176</v>
      </c>
      <c r="E499" s="222">
        <v>4500127261</v>
      </c>
      <c r="F499" s="345">
        <v>46076</v>
      </c>
      <c r="G499" s="42" t="s">
        <v>55</v>
      </c>
      <c r="H499" s="42">
        <v>3</v>
      </c>
      <c r="I499" s="61">
        <v>267750</v>
      </c>
      <c r="J499" s="42">
        <v>2</v>
      </c>
      <c r="K499" s="321">
        <f t="shared" si="8"/>
        <v>133875</v>
      </c>
      <c r="L499" s="615">
        <v>46023</v>
      </c>
      <c r="M499" s="615">
        <v>46387</v>
      </c>
      <c r="N499" s="63" t="s">
        <v>520</v>
      </c>
      <c r="O499" s="42"/>
      <c r="P499" s="42"/>
      <c r="Q499" s="64" t="s">
        <v>607</v>
      </c>
      <c r="R499" s="63" t="s">
        <v>782</v>
      </c>
      <c r="S499" s="63" t="s">
        <v>608</v>
      </c>
      <c r="T499" s="63"/>
      <c r="U499" s="63"/>
      <c r="V499" s="63"/>
      <c r="W499" s="63"/>
      <c r="X499" s="63"/>
      <c r="Y499" s="63"/>
      <c r="Z499" s="63"/>
      <c r="AA499" s="63"/>
      <c r="AB499" s="63"/>
      <c r="AC499" s="63" t="s">
        <v>183</v>
      </c>
      <c r="AD499" s="42" t="s">
        <v>97</v>
      </c>
      <c r="AE499" s="42">
        <v>3</v>
      </c>
      <c r="AF499" s="63" t="s">
        <v>667</v>
      </c>
    </row>
    <row r="500" spans="2:32" ht="15" hidden="1" customHeight="1" x14ac:dyDescent="0.3">
      <c r="B500" s="26" t="s">
        <v>5</v>
      </c>
      <c r="C500" s="621" t="s">
        <v>1073</v>
      </c>
      <c r="D500" s="232" t="s">
        <v>1657</v>
      </c>
      <c r="E500" s="125">
        <v>440000514</v>
      </c>
      <c r="F500" s="606">
        <v>46109</v>
      </c>
      <c r="G500" s="26" t="s">
        <v>55</v>
      </c>
      <c r="H500" s="26">
        <v>1</v>
      </c>
      <c r="I500" s="56">
        <v>172900</v>
      </c>
      <c r="J500" s="26">
        <v>3</v>
      </c>
      <c r="K500" s="321">
        <f t="shared" si="8"/>
        <v>57633.333333333336</v>
      </c>
      <c r="L500" s="348">
        <v>46023</v>
      </c>
      <c r="M500" s="348">
        <v>46387</v>
      </c>
      <c r="N500" s="58" t="s">
        <v>520</v>
      </c>
      <c r="O500" s="26"/>
      <c r="P500" s="26"/>
      <c r="Q500" s="59" t="s">
        <v>347</v>
      </c>
      <c r="R500" s="58" t="s">
        <v>1658</v>
      </c>
      <c r="S500" s="58" t="s">
        <v>348</v>
      </c>
      <c r="T500" s="58" t="s">
        <v>1659</v>
      </c>
      <c r="U500" s="58" t="s">
        <v>349</v>
      </c>
      <c r="V500" s="58"/>
      <c r="W500" s="58"/>
      <c r="X500" s="58"/>
      <c r="Y500" s="58"/>
      <c r="Z500" s="58"/>
      <c r="AA500" s="58"/>
      <c r="AB500" s="58"/>
      <c r="AC500" s="58" t="s">
        <v>551</v>
      </c>
      <c r="AD500" s="26" t="s">
        <v>207</v>
      </c>
      <c r="AE500" s="26">
        <v>3</v>
      </c>
      <c r="AF500" s="58" t="s">
        <v>1660</v>
      </c>
    </row>
    <row r="501" spans="2:32" ht="15" hidden="1" customHeight="1" x14ac:dyDescent="0.3">
      <c r="B501" s="42" t="s">
        <v>5</v>
      </c>
      <c r="C501" s="622" t="s">
        <v>1073</v>
      </c>
      <c r="D501" s="132" t="s">
        <v>1657</v>
      </c>
      <c r="E501" s="121">
        <v>440000514</v>
      </c>
      <c r="F501" s="614">
        <v>46109</v>
      </c>
      <c r="G501" s="42" t="s">
        <v>55</v>
      </c>
      <c r="H501" s="42"/>
      <c r="I501" s="61">
        <v>172900</v>
      </c>
      <c r="J501" s="42">
        <v>3</v>
      </c>
      <c r="K501" s="321">
        <f t="shared" si="8"/>
        <v>57633.333333333336</v>
      </c>
      <c r="L501" s="615">
        <v>46388</v>
      </c>
      <c r="M501" s="615">
        <v>46752</v>
      </c>
      <c r="N501" s="63" t="s">
        <v>520</v>
      </c>
      <c r="O501" s="42"/>
      <c r="P501" s="42"/>
      <c r="Q501" s="63" t="s">
        <v>738</v>
      </c>
      <c r="R501" s="63" t="s">
        <v>1661</v>
      </c>
      <c r="S501" s="63" t="s">
        <v>1077</v>
      </c>
      <c r="T501" s="63" t="s">
        <v>1659</v>
      </c>
      <c r="U501" s="63" t="s">
        <v>1078</v>
      </c>
      <c r="V501" s="63"/>
      <c r="W501" s="63"/>
      <c r="X501" s="63"/>
      <c r="Y501" s="63"/>
      <c r="Z501" s="63"/>
      <c r="AA501" s="63"/>
      <c r="AB501" s="63"/>
      <c r="AC501" s="63" t="s">
        <v>551</v>
      </c>
      <c r="AD501" s="42" t="s">
        <v>207</v>
      </c>
      <c r="AE501" s="42">
        <v>3</v>
      </c>
      <c r="AF501" s="63" t="s">
        <v>1660</v>
      </c>
    </row>
    <row r="502" spans="2:32" ht="15" hidden="1" customHeight="1" x14ac:dyDescent="0.3">
      <c r="B502" s="43" t="s">
        <v>1662</v>
      </c>
      <c r="C502" s="575" t="s">
        <v>508</v>
      </c>
      <c r="D502" s="571" t="s">
        <v>866</v>
      </c>
      <c r="E502" s="175" t="s">
        <v>1663</v>
      </c>
      <c r="F502" s="614">
        <v>46015</v>
      </c>
      <c r="G502" s="42" t="s">
        <v>55</v>
      </c>
      <c r="H502" s="42">
        <v>1</v>
      </c>
      <c r="I502" s="61">
        <v>89000</v>
      </c>
      <c r="J502" s="42">
        <v>3</v>
      </c>
      <c r="K502" s="321">
        <f t="shared" si="8"/>
        <v>29666.666666666668</v>
      </c>
      <c r="L502" s="585">
        <v>46032</v>
      </c>
      <c r="M502" s="585">
        <v>46396</v>
      </c>
      <c r="N502" s="63" t="s">
        <v>520</v>
      </c>
      <c r="O502" s="42"/>
      <c r="P502" s="42"/>
      <c r="Q502" s="64" t="s">
        <v>1664</v>
      </c>
      <c r="R502" s="63" t="s">
        <v>1239</v>
      </c>
      <c r="S502" s="63" t="s">
        <v>1665</v>
      </c>
      <c r="T502" s="63"/>
      <c r="U502" s="63" t="s">
        <v>1273</v>
      </c>
      <c r="V502" s="63"/>
      <c r="W502" s="63"/>
      <c r="X502" s="63"/>
      <c r="Y502" s="63"/>
      <c r="Z502" s="63"/>
      <c r="AA502" s="63"/>
      <c r="AB502" s="63"/>
      <c r="AC502" s="63" t="s">
        <v>96</v>
      </c>
      <c r="AD502" s="42" t="s">
        <v>97</v>
      </c>
      <c r="AE502" s="42" t="s">
        <v>494</v>
      </c>
      <c r="AF502" s="63" t="s">
        <v>1666</v>
      </c>
    </row>
    <row r="503" spans="2:32" ht="15" hidden="1" customHeight="1" x14ac:dyDescent="0.3">
      <c r="B503" s="42" t="s">
        <v>5</v>
      </c>
      <c r="C503" s="573" t="s">
        <v>1667</v>
      </c>
      <c r="D503" s="574" t="s">
        <v>1668</v>
      </c>
      <c r="E503" s="84">
        <v>5030129519</v>
      </c>
      <c r="F503" s="345">
        <v>46020</v>
      </c>
      <c r="G503" s="42" t="s">
        <v>55</v>
      </c>
      <c r="H503" s="42">
        <v>1</v>
      </c>
      <c r="I503" s="61">
        <v>67500</v>
      </c>
      <c r="J503" s="42">
        <v>2</v>
      </c>
      <c r="K503" s="321">
        <f t="shared" si="8"/>
        <v>33750</v>
      </c>
      <c r="L503" s="588">
        <v>46113</v>
      </c>
      <c r="M503" s="588">
        <v>46387</v>
      </c>
      <c r="N503" s="63" t="s">
        <v>520</v>
      </c>
      <c r="O503" s="42"/>
      <c r="P503" s="42"/>
      <c r="Q503" s="63" t="s">
        <v>1669</v>
      </c>
      <c r="R503" s="63"/>
      <c r="S503" s="63" t="s">
        <v>1670</v>
      </c>
      <c r="T503" s="63"/>
      <c r="U503" s="63"/>
      <c r="V503" s="63"/>
      <c r="W503" s="63"/>
      <c r="X503" s="63"/>
      <c r="Y503" s="63"/>
      <c r="Z503" s="63"/>
      <c r="AA503" s="63"/>
      <c r="AB503" s="63"/>
      <c r="AC503" s="63" t="s">
        <v>507</v>
      </c>
      <c r="AD503" s="42" t="s">
        <v>63</v>
      </c>
      <c r="AE503" s="42">
        <v>3</v>
      </c>
      <c r="AF503" s="63" t="s">
        <v>667</v>
      </c>
    </row>
    <row r="504" spans="2:32" ht="15" hidden="1" customHeight="1" x14ac:dyDescent="0.3">
      <c r="B504" s="42" t="s">
        <v>5</v>
      </c>
      <c r="C504" s="575" t="s">
        <v>1671</v>
      </c>
      <c r="D504" s="571" t="s">
        <v>1031</v>
      </c>
      <c r="E504" s="175">
        <v>4514039171</v>
      </c>
      <c r="F504" s="345">
        <v>46128</v>
      </c>
      <c r="G504" s="42" t="s">
        <v>55</v>
      </c>
      <c r="H504" s="42">
        <v>3</v>
      </c>
      <c r="I504" s="61">
        <v>150000</v>
      </c>
      <c r="J504" s="42">
        <v>3</v>
      </c>
      <c r="K504" s="321">
        <f t="shared" si="8"/>
        <v>50000</v>
      </c>
      <c r="L504" s="585">
        <v>46023</v>
      </c>
      <c r="M504" s="585">
        <v>46387</v>
      </c>
      <c r="N504" s="63" t="s">
        <v>520</v>
      </c>
      <c r="O504" s="42"/>
      <c r="P504" s="42"/>
      <c r="Q504" s="63" t="s">
        <v>347</v>
      </c>
      <c r="R504" s="63"/>
      <c r="S504" s="63" t="s">
        <v>348</v>
      </c>
      <c r="T504" s="63"/>
      <c r="U504" s="63" t="s">
        <v>349</v>
      </c>
      <c r="V504" s="63"/>
      <c r="W504" s="63"/>
      <c r="X504" s="63"/>
      <c r="Y504" s="63"/>
      <c r="Z504" s="63"/>
      <c r="AA504" s="63"/>
      <c r="AB504" s="63"/>
      <c r="AC504" s="63" t="s">
        <v>478</v>
      </c>
      <c r="AD504" s="42" t="s">
        <v>63</v>
      </c>
      <c r="AE504" s="42">
        <v>5</v>
      </c>
      <c r="AF504" s="63" t="s">
        <v>667</v>
      </c>
    </row>
    <row r="505" spans="2:32" ht="15" hidden="1" customHeight="1" x14ac:dyDescent="0.3">
      <c r="B505" s="42" t="s">
        <v>5</v>
      </c>
      <c r="C505" s="575" t="s">
        <v>1672</v>
      </c>
      <c r="D505" s="571" t="s">
        <v>1031</v>
      </c>
      <c r="E505" s="175">
        <v>4513957720</v>
      </c>
      <c r="F505" s="614">
        <v>46112</v>
      </c>
      <c r="G505" s="42" t="s">
        <v>55</v>
      </c>
      <c r="H505" s="42">
        <v>1</v>
      </c>
      <c r="I505" s="61">
        <v>50000</v>
      </c>
      <c r="J505" s="42">
        <v>3</v>
      </c>
      <c r="K505" s="321">
        <f t="shared" si="8"/>
        <v>16666.666666666668</v>
      </c>
      <c r="L505" s="585">
        <v>46023</v>
      </c>
      <c r="M505" s="585">
        <v>46387</v>
      </c>
      <c r="N505" s="63" t="s">
        <v>520</v>
      </c>
      <c r="O505" s="42"/>
      <c r="P505" s="42"/>
      <c r="Q505" s="63" t="s">
        <v>347</v>
      </c>
      <c r="R505" s="63"/>
      <c r="S505" s="63" t="s">
        <v>348</v>
      </c>
      <c r="T505" s="63"/>
      <c r="U505" s="63" t="s">
        <v>349</v>
      </c>
      <c r="V505" s="63"/>
      <c r="W505" s="63"/>
      <c r="X505" s="63"/>
      <c r="Y505" s="63"/>
      <c r="Z505" s="63"/>
      <c r="AA505" s="63"/>
      <c r="AB505" s="63"/>
      <c r="AC505" s="63" t="s">
        <v>478</v>
      </c>
      <c r="AD505" s="42" t="s">
        <v>63</v>
      </c>
      <c r="AE505" s="42">
        <v>5</v>
      </c>
      <c r="AF505" s="63" t="s">
        <v>667</v>
      </c>
    </row>
    <row r="506" spans="2:32" ht="15" hidden="1" customHeight="1" x14ac:dyDescent="0.3">
      <c r="B506" s="42" t="s">
        <v>5</v>
      </c>
      <c r="C506" s="589" t="s">
        <v>775</v>
      </c>
      <c r="D506" s="571" t="s">
        <v>852</v>
      </c>
      <c r="E506" s="175">
        <v>2710001873</v>
      </c>
      <c r="F506" s="345">
        <v>46127</v>
      </c>
      <c r="G506" s="42" t="s">
        <v>55</v>
      </c>
      <c r="H506" s="42">
        <v>2</v>
      </c>
      <c r="I506" s="61">
        <v>170000</v>
      </c>
      <c r="J506" s="42">
        <v>3</v>
      </c>
      <c r="K506" s="321">
        <f t="shared" si="8"/>
        <v>56666.666666666664</v>
      </c>
      <c r="L506" s="585">
        <v>46113</v>
      </c>
      <c r="M506" s="585">
        <v>46477</v>
      </c>
      <c r="N506" s="63" t="s">
        <v>520</v>
      </c>
      <c r="O506" s="42"/>
      <c r="P506" s="42"/>
      <c r="Q506" s="63" t="s">
        <v>1080</v>
      </c>
      <c r="R506" s="63" t="s">
        <v>1673</v>
      </c>
      <c r="S506" s="63" t="s">
        <v>1108</v>
      </c>
      <c r="T506" s="63" t="s">
        <v>1674</v>
      </c>
      <c r="U506" s="63" t="s">
        <v>1109</v>
      </c>
      <c r="V506" s="63"/>
      <c r="W506" s="63"/>
      <c r="X506" s="63"/>
      <c r="Y506" s="63"/>
      <c r="Z506" s="63"/>
      <c r="AA506" s="63"/>
      <c r="AB506" s="63"/>
      <c r="AC506" s="63" t="s">
        <v>551</v>
      </c>
      <c r="AD506" s="42" t="s">
        <v>207</v>
      </c>
      <c r="AE506" s="42">
        <v>3</v>
      </c>
      <c r="AF506" s="63" t="s">
        <v>1675</v>
      </c>
    </row>
    <row r="507" spans="2:32" ht="15" hidden="1" customHeight="1" x14ac:dyDescent="0.3">
      <c r="B507" s="42" t="s">
        <v>5</v>
      </c>
      <c r="C507" s="68" t="s">
        <v>527</v>
      </c>
      <c r="D507" s="132" t="s">
        <v>131</v>
      </c>
      <c r="E507" s="42">
        <v>7001298017</v>
      </c>
      <c r="F507" s="345">
        <v>46122</v>
      </c>
      <c r="G507" s="42" t="s">
        <v>55</v>
      </c>
      <c r="H507" s="42">
        <v>1</v>
      </c>
      <c r="I507" s="61">
        <v>78750</v>
      </c>
      <c r="J507" s="42">
        <v>2</v>
      </c>
      <c r="K507" s="321">
        <f t="shared" si="8"/>
        <v>39375</v>
      </c>
      <c r="L507" s="615">
        <v>46113</v>
      </c>
      <c r="M507" s="615">
        <v>46477</v>
      </c>
      <c r="N507" s="63" t="s">
        <v>520</v>
      </c>
      <c r="O507" s="42"/>
      <c r="P507" s="42"/>
      <c r="Q507" s="63" t="s">
        <v>467</v>
      </c>
      <c r="R507" s="63"/>
      <c r="S507" s="63" t="s">
        <v>1633</v>
      </c>
      <c r="T507" s="63"/>
      <c r="U507" s="63"/>
      <c r="V507" s="63"/>
      <c r="W507" s="63"/>
      <c r="X507" s="63"/>
      <c r="Y507" s="63"/>
      <c r="Z507" s="63"/>
      <c r="AA507" s="63"/>
      <c r="AB507" s="63"/>
      <c r="AC507" s="63" t="s">
        <v>485</v>
      </c>
      <c r="AD507" s="42" t="s">
        <v>63</v>
      </c>
      <c r="AE507" s="42">
        <v>2</v>
      </c>
      <c r="AF507" s="63" t="s">
        <v>1676</v>
      </c>
    </row>
    <row r="508" spans="2:32" ht="15" hidden="1" customHeight="1" x14ac:dyDescent="0.3">
      <c r="B508" s="42" t="s">
        <v>5</v>
      </c>
      <c r="C508" s="575" t="s">
        <v>800</v>
      </c>
      <c r="D508" s="571" t="s">
        <v>812</v>
      </c>
      <c r="E508" s="175">
        <v>2102600168</v>
      </c>
      <c r="F508" s="345">
        <v>46119</v>
      </c>
      <c r="G508" s="42" t="s">
        <v>55</v>
      </c>
      <c r="H508" s="42">
        <v>4</v>
      </c>
      <c r="I508" s="61">
        <v>332800</v>
      </c>
      <c r="J508" s="42">
        <v>2</v>
      </c>
      <c r="K508" s="321">
        <f t="shared" si="8"/>
        <v>166400</v>
      </c>
      <c r="L508" s="585">
        <v>46113</v>
      </c>
      <c r="M508" s="585">
        <v>46477</v>
      </c>
      <c r="N508" s="63" t="s">
        <v>520</v>
      </c>
      <c r="O508" s="42"/>
      <c r="P508" s="42"/>
      <c r="Q508" s="63" t="s">
        <v>467</v>
      </c>
      <c r="R508" s="63"/>
      <c r="S508" s="63" t="s">
        <v>1633</v>
      </c>
      <c r="T508" s="63"/>
      <c r="U508" s="63"/>
      <c r="V508" s="63"/>
      <c r="W508" s="63"/>
      <c r="X508" s="63"/>
      <c r="Y508" s="63"/>
      <c r="Z508" s="63"/>
      <c r="AA508" s="63"/>
      <c r="AB508" s="63"/>
      <c r="AC508" s="63" t="s">
        <v>485</v>
      </c>
      <c r="AD508" s="42" t="s">
        <v>63</v>
      </c>
      <c r="AE508" s="42">
        <v>2</v>
      </c>
      <c r="AF508" s="63" t="s">
        <v>1677</v>
      </c>
    </row>
    <row r="509" spans="2:32" ht="15" hidden="1" customHeight="1" x14ac:dyDescent="0.3">
      <c r="B509" s="42" t="s">
        <v>5</v>
      </c>
      <c r="C509" s="68" t="s">
        <v>668</v>
      </c>
      <c r="D509" s="582" t="s">
        <v>693</v>
      </c>
      <c r="E509" s="42">
        <v>30082781</v>
      </c>
      <c r="F509" s="345">
        <v>46113</v>
      </c>
      <c r="G509" s="42" t="s">
        <v>55</v>
      </c>
      <c r="H509" s="42">
        <v>7</v>
      </c>
      <c r="I509" s="61">
        <v>220717</v>
      </c>
      <c r="J509" s="42">
        <v>1</v>
      </c>
      <c r="K509" s="321">
        <f t="shared" si="8"/>
        <v>220717</v>
      </c>
      <c r="L509" s="615">
        <v>46113</v>
      </c>
      <c r="M509" s="615">
        <v>46295</v>
      </c>
      <c r="N509" s="63" t="s">
        <v>520</v>
      </c>
      <c r="O509" s="42"/>
      <c r="P509" s="42"/>
      <c r="Q509" s="63" t="s">
        <v>467</v>
      </c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 t="s">
        <v>128</v>
      </c>
      <c r="AD509" s="42" t="s">
        <v>1678</v>
      </c>
      <c r="AE509" s="42">
        <v>2</v>
      </c>
      <c r="AF509" s="63" t="s">
        <v>1679</v>
      </c>
    </row>
    <row r="510" spans="2:32" ht="15" hidden="1" customHeight="1" x14ac:dyDescent="0.3">
      <c r="B510" s="42" t="s">
        <v>5</v>
      </c>
      <c r="C510" s="575" t="s">
        <v>800</v>
      </c>
      <c r="D510" s="571" t="s">
        <v>801</v>
      </c>
      <c r="E510" s="297">
        <v>3102600034</v>
      </c>
      <c r="F510" s="345">
        <v>46120</v>
      </c>
      <c r="G510" s="42" t="s">
        <v>55</v>
      </c>
      <c r="H510" s="42">
        <v>6</v>
      </c>
      <c r="I510" s="61">
        <v>468000</v>
      </c>
      <c r="J510" s="42">
        <v>2</v>
      </c>
      <c r="K510" s="321">
        <f t="shared" si="8"/>
        <v>234000</v>
      </c>
      <c r="L510" s="585">
        <v>46113</v>
      </c>
      <c r="M510" s="585">
        <v>46477</v>
      </c>
      <c r="N510" s="63" t="s">
        <v>520</v>
      </c>
      <c r="O510" s="42"/>
      <c r="P510" s="42"/>
      <c r="Q510" s="63" t="s">
        <v>467</v>
      </c>
      <c r="R510" s="63"/>
      <c r="S510" s="63" t="s">
        <v>1633</v>
      </c>
      <c r="T510" s="63"/>
      <c r="U510" s="63"/>
      <c r="V510" s="63"/>
      <c r="W510" s="63"/>
      <c r="X510" s="63"/>
      <c r="Y510" s="63"/>
      <c r="Z510" s="63"/>
      <c r="AA510" s="63"/>
      <c r="AB510" s="63"/>
      <c r="AC510" s="63" t="s">
        <v>485</v>
      </c>
      <c r="AD510" s="42" t="s">
        <v>63</v>
      </c>
      <c r="AE510" s="42">
        <v>2</v>
      </c>
      <c r="AF510" s="63" t="s">
        <v>1677</v>
      </c>
    </row>
    <row r="511" spans="2:32" ht="15" hidden="1" customHeight="1" x14ac:dyDescent="0.3">
      <c r="B511" s="26" t="s">
        <v>5</v>
      </c>
      <c r="C511" s="575" t="s">
        <v>905</v>
      </c>
      <c r="D511" s="571" t="s">
        <v>906</v>
      </c>
      <c r="E511" s="297">
        <v>1100036794</v>
      </c>
      <c r="F511" s="345">
        <v>46112</v>
      </c>
      <c r="G511" s="42" t="s">
        <v>55</v>
      </c>
      <c r="H511" s="42">
        <v>4</v>
      </c>
      <c r="I511" s="61">
        <v>294000</v>
      </c>
      <c r="J511" s="42">
        <v>2</v>
      </c>
      <c r="K511" s="321">
        <f t="shared" si="8"/>
        <v>147000</v>
      </c>
      <c r="L511" s="585">
        <v>46174</v>
      </c>
      <c r="M511" s="585">
        <v>46538</v>
      </c>
      <c r="N511" s="63" t="s">
        <v>520</v>
      </c>
      <c r="O511" s="42"/>
      <c r="P511" s="42"/>
      <c r="Q511" s="63" t="s">
        <v>1414</v>
      </c>
      <c r="R511" s="63"/>
      <c r="S511" s="63" t="s">
        <v>1680</v>
      </c>
      <c r="T511" s="63"/>
      <c r="U511" s="63"/>
      <c r="V511" s="63"/>
      <c r="W511" s="63"/>
      <c r="X511" s="63"/>
      <c r="Y511" s="63"/>
      <c r="Z511" s="63"/>
      <c r="AA511" s="63"/>
      <c r="AB511" s="63"/>
      <c r="AC511" s="63" t="s">
        <v>551</v>
      </c>
      <c r="AD511" s="42" t="s">
        <v>207</v>
      </c>
      <c r="AE511" s="42">
        <v>2</v>
      </c>
      <c r="AF511" s="63" t="s">
        <v>667</v>
      </c>
    </row>
    <row r="512" spans="2:32" ht="15" hidden="1" customHeight="1" x14ac:dyDescent="0.3">
      <c r="B512" s="319" t="s">
        <v>5</v>
      </c>
      <c r="C512" s="565" t="s">
        <v>716</v>
      </c>
      <c r="D512" s="566" t="s">
        <v>447</v>
      </c>
      <c r="E512" s="269" t="s">
        <v>1681</v>
      </c>
      <c r="F512" s="343">
        <v>46125</v>
      </c>
      <c r="G512" s="26" t="s">
        <v>55</v>
      </c>
      <c r="H512" s="26">
        <v>1</v>
      </c>
      <c r="I512" s="56">
        <v>59794.68</v>
      </c>
      <c r="J512" s="26">
        <v>3</v>
      </c>
      <c r="K512" s="321">
        <f t="shared" si="8"/>
        <v>19931.560000000001</v>
      </c>
      <c r="L512" s="567">
        <v>46113</v>
      </c>
      <c r="M512" s="567">
        <v>46477</v>
      </c>
      <c r="N512" s="58" t="s">
        <v>520</v>
      </c>
      <c r="O512" s="26"/>
      <c r="P512" s="26"/>
      <c r="Q512" s="58" t="s">
        <v>1080</v>
      </c>
      <c r="R512" s="58"/>
      <c r="S512" s="58" t="s">
        <v>1108</v>
      </c>
      <c r="T512" s="58"/>
      <c r="U512" s="58" t="s">
        <v>1109</v>
      </c>
      <c r="V512" s="58"/>
      <c r="W512" s="58"/>
      <c r="X512" s="58"/>
      <c r="Y512" s="58"/>
      <c r="Z512" s="58"/>
      <c r="AA512" s="58"/>
      <c r="AB512" s="58"/>
      <c r="AC512" s="58" t="s">
        <v>281</v>
      </c>
      <c r="AD512" s="26" t="s">
        <v>97</v>
      </c>
      <c r="AE512" s="26" t="s">
        <v>494</v>
      </c>
      <c r="AF512" s="58" t="s">
        <v>667</v>
      </c>
    </row>
    <row r="513" spans="2:32" ht="15" hidden="1" customHeight="1" x14ac:dyDescent="0.3">
      <c r="B513" s="319" t="s">
        <v>5</v>
      </c>
      <c r="C513" s="565" t="s">
        <v>716</v>
      </c>
      <c r="D513" s="566" t="s">
        <v>447</v>
      </c>
      <c r="E513" s="269" t="s">
        <v>1682</v>
      </c>
      <c r="F513" s="343">
        <v>46125</v>
      </c>
      <c r="G513" s="26" t="s">
        <v>55</v>
      </c>
      <c r="H513" s="26">
        <v>3</v>
      </c>
      <c r="I513" s="56">
        <v>273094.28000000003</v>
      </c>
      <c r="J513" s="26">
        <v>3</v>
      </c>
      <c r="K513" s="321">
        <f t="shared" si="8"/>
        <v>91031.426666666681</v>
      </c>
      <c r="L513" s="567">
        <v>46113</v>
      </c>
      <c r="M513" s="567">
        <v>46477</v>
      </c>
      <c r="N513" s="58" t="s">
        <v>520</v>
      </c>
      <c r="O513" s="26"/>
      <c r="P513" s="26"/>
      <c r="Q513" s="58" t="s">
        <v>1080</v>
      </c>
      <c r="R513" s="58"/>
      <c r="S513" s="58" t="s">
        <v>1108</v>
      </c>
      <c r="T513" s="58"/>
      <c r="U513" s="58" t="s">
        <v>1109</v>
      </c>
      <c r="V513" s="58"/>
      <c r="W513" s="58"/>
      <c r="X513" s="58"/>
      <c r="Y513" s="58"/>
      <c r="Z513" s="58"/>
      <c r="AA513" s="58"/>
      <c r="AB513" s="58"/>
      <c r="AC513" s="58" t="s">
        <v>281</v>
      </c>
      <c r="AD513" s="26" t="s">
        <v>97</v>
      </c>
      <c r="AE513" s="26" t="s">
        <v>494</v>
      </c>
      <c r="AF513" s="58" t="s">
        <v>667</v>
      </c>
    </row>
    <row r="514" spans="2:32" ht="15" hidden="1" customHeight="1" x14ac:dyDescent="0.3">
      <c r="B514" s="82" t="s">
        <v>5</v>
      </c>
      <c r="C514" s="575" t="s">
        <v>716</v>
      </c>
      <c r="D514" s="571" t="s">
        <v>447</v>
      </c>
      <c r="E514" s="175" t="s">
        <v>1683</v>
      </c>
      <c r="F514" s="345">
        <v>46125</v>
      </c>
      <c r="G514" s="42" t="s">
        <v>55</v>
      </c>
      <c r="H514" s="42">
        <v>2</v>
      </c>
      <c r="I514" s="61">
        <v>247338.36</v>
      </c>
      <c r="J514" s="42">
        <v>3</v>
      </c>
      <c r="K514" s="321">
        <f t="shared" si="8"/>
        <v>82446.12</v>
      </c>
      <c r="L514" s="585">
        <v>46113</v>
      </c>
      <c r="M514" s="585">
        <v>46477</v>
      </c>
      <c r="N514" s="63" t="s">
        <v>520</v>
      </c>
      <c r="O514" s="42"/>
      <c r="P514" s="42"/>
      <c r="Q514" s="63" t="s">
        <v>1080</v>
      </c>
      <c r="R514" s="63"/>
      <c r="S514" s="63" t="s">
        <v>1108</v>
      </c>
      <c r="T514" s="63"/>
      <c r="U514" s="63" t="s">
        <v>1109</v>
      </c>
      <c r="V514" s="63"/>
      <c r="W514" s="63"/>
      <c r="X514" s="63"/>
      <c r="Y514" s="63"/>
      <c r="Z514" s="63"/>
      <c r="AA514" s="63"/>
      <c r="AB514" s="63"/>
      <c r="AC514" s="63" t="s">
        <v>281</v>
      </c>
      <c r="AD514" s="42" t="s">
        <v>97</v>
      </c>
      <c r="AE514" s="42" t="s">
        <v>494</v>
      </c>
      <c r="AF514" s="63" t="s">
        <v>667</v>
      </c>
    </row>
    <row r="515" spans="2:32" ht="15" hidden="1" customHeight="1" x14ac:dyDescent="0.3">
      <c r="B515" s="42" t="s">
        <v>5</v>
      </c>
      <c r="C515" s="68" t="s">
        <v>762</v>
      </c>
      <c r="D515" s="132" t="s">
        <v>763</v>
      </c>
      <c r="E515" s="42" t="s">
        <v>1684</v>
      </c>
      <c r="F515" s="614">
        <v>46128</v>
      </c>
      <c r="G515" s="42" t="s">
        <v>55</v>
      </c>
      <c r="H515" s="42">
        <v>1</v>
      </c>
      <c r="I515" s="61">
        <v>80001</v>
      </c>
      <c r="J515" s="42">
        <v>3</v>
      </c>
      <c r="K515" s="321">
        <f t="shared" si="8"/>
        <v>26667</v>
      </c>
      <c r="L515" s="615">
        <v>46113</v>
      </c>
      <c r="M515" s="615">
        <v>46477</v>
      </c>
      <c r="N515" s="63" t="s">
        <v>520</v>
      </c>
      <c r="O515" s="42"/>
      <c r="P515" s="42"/>
      <c r="Q515" s="63" t="s">
        <v>1080</v>
      </c>
      <c r="R515" s="63"/>
      <c r="S515" s="63" t="s">
        <v>1108</v>
      </c>
      <c r="T515" s="63"/>
      <c r="U515" s="63" t="s">
        <v>1109</v>
      </c>
      <c r="V515" s="63"/>
      <c r="W515" s="63"/>
      <c r="X515" s="63"/>
      <c r="Y515" s="63"/>
      <c r="Z515" s="63"/>
      <c r="AA515" s="63"/>
      <c r="AB515" s="63"/>
      <c r="AC515" s="63" t="s">
        <v>507</v>
      </c>
      <c r="AD515" s="42" t="s">
        <v>63</v>
      </c>
      <c r="AE515" s="42">
        <v>3</v>
      </c>
      <c r="AF515" s="63" t="s">
        <v>667</v>
      </c>
    </row>
    <row r="516" spans="2:32" ht="15" hidden="1" customHeight="1" x14ac:dyDescent="0.3">
      <c r="B516" s="42" t="s">
        <v>5</v>
      </c>
      <c r="C516" s="68" t="s">
        <v>1685</v>
      </c>
      <c r="D516" s="132" t="s">
        <v>1686</v>
      </c>
      <c r="E516" s="42" t="s">
        <v>1687</v>
      </c>
      <c r="F516" s="345">
        <v>46130</v>
      </c>
      <c r="G516" s="320" t="s">
        <v>703</v>
      </c>
      <c r="H516" s="42">
        <v>6</v>
      </c>
      <c r="I516" s="61">
        <v>2352488.14</v>
      </c>
      <c r="J516" s="42">
        <v>6</v>
      </c>
      <c r="K516" s="321">
        <f t="shared" si="8"/>
        <v>392081.35666666669</v>
      </c>
      <c r="L516" s="615">
        <v>46136</v>
      </c>
      <c r="M516" s="615">
        <v>46500</v>
      </c>
      <c r="N516" s="63" t="s">
        <v>520</v>
      </c>
      <c r="O516" s="42"/>
      <c r="P516" s="42" t="s">
        <v>1</v>
      </c>
      <c r="Q516" s="63" t="s">
        <v>1688</v>
      </c>
      <c r="R516" s="63"/>
      <c r="S516" s="63" t="s">
        <v>1689</v>
      </c>
      <c r="T516" s="63"/>
      <c r="U516" s="63" t="s">
        <v>1690</v>
      </c>
      <c r="V516" s="63"/>
      <c r="W516" s="63" t="s">
        <v>1691</v>
      </c>
      <c r="X516" s="63"/>
      <c r="Y516" s="63" t="s">
        <v>1692</v>
      </c>
      <c r="Z516" s="63"/>
      <c r="AA516" s="63" t="s">
        <v>1693</v>
      </c>
      <c r="AB516" s="63"/>
      <c r="AC516" s="63" t="s">
        <v>551</v>
      </c>
      <c r="AD516" s="42" t="s">
        <v>207</v>
      </c>
      <c r="AE516" s="42" t="s">
        <v>494</v>
      </c>
      <c r="AF516" s="63" t="s">
        <v>667</v>
      </c>
    </row>
    <row r="517" spans="2:32" ht="15" hidden="1" customHeight="1" x14ac:dyDescent="0.3">
      <c r="B517" s="42" t="s">
        <v>5</v>
      </c>
      <c r="C517" s="575" t="s">
        <v>836</v>
      </c>
      <c r="D517" s="571" t="s">
        <v>629</v>
      </c>
      <c r="E517" s="175" t="s">
        <v>1694</v>
      </c>
      <c r="F517" s="345">
        <v>46133</v>
      </c>
      <c r="G517" s="42" t="s">
        <v>55</v>
      </c>
      <c r="H517" s="42">
        <v>2</v>
      </c>
      <c r="I517" s="61">
        <v>176400</v>
      </c>
      <c r="J517" s="42">
        <v>2</v>
      </c>
      <c r="K517" s="321">
        <f t="shared" si="8"/>
        <v>88200</v>
      </c>
      <c r="L517" s="585">
        <v>46113</v>
      </c>
      <c r="M517" s="585">
        <v>46477</v>
      </c>
      <c r="N517" s="63" t="s">
        <v>520</v>
      </c>
      <c r="O517" s="42"/>
      <c r="P517" s="42"/>
      <c r="Q517" s="63" t="s">
        <v>467</v>
      </c>
      <c r="R517" s="63"/>
      <c r="S517" s="63" t="s">
        <v>1633</v>
      </c>
      <c r="T517" s="63"/>
      <c r="U517" s="63"/>
      <c r="V517" s="63"/>
      <c r="W517" s="63"/>
      <c r="X517" s="63"/>
      <c r="Y517" s="63"/>
      <c r="Z517" s="63"/>
      <c r="AA517" s="63"/>
      <c r="AB517" s="63"/>
      <c r="AC517" s="63" t="s">
        <v>485</v>
      </c>
      <c r="AD517" s="42" t="s">
        <v>63</v>
      </c>
      <c r="AE517" s="42">
        <v>2</v>
      </c>
      <c r="AF517" s="63" t="s">
        <v>799</v>
      </c>
    </row>
    <row r="518" spans="2:32" ht="15" hidden="1" customHeight="1" x14ac:dyDescent="0.3">
      <c r="B518" s="42" t="s">
        <v>5</v>
      </c>
      <c r="C518" s="575" t="s">
        <v>544</v>
      </c>
      <c r="D518" s="571" t="s">
        <v>1029</v>
      </c>
      <c r="E518" s="84">
        <v>1260004105</v>
      </c>
      <c r="F518" s="345">
        <v>46130</v>
      </c>
      <c r="G518" s="42" t="s">
        <v>55</v>
      </c>
      <c r="H518" s="42">
        <v>1</v>
      </c>
      <c r="I518" s="61">
        <v>145000</v>
      </c>
      <c r="J518" s="42">
        <v>3</v>
      </c>
      <c r="K518" s="321">
        <f t="shared" si="8"/>
        <v>48333.333333333336</v>
      </c>
      <c r="L518" s="588">
        <v>46164</v>
      </c>
      <c r="M518" s="588">
        <v>46528</v>
      </c>
      <c r="N518" s="63" t="s">
        <v>520</v>
      </c>
      <c r="O518" s="42"/>
      <c r="P518" s="42"/>
      <c r="Q518" s="63" t="s">
        <v>1695</v>
      </c>
      <c r="R518" s="63"/>
      <c r="S518" s="63" t="s">
        <v>1696</v>
      </c>
      <c r="T518" s="63"/>
      <c r="U518" s="63" t="s">
        <v>1697</v>
      </c>
      <c r="V518" s="63"/>
      <c r="W518" s="63"/>
      <c r="X518" s="63"/>
      <c r="Y518" s="63"/>
      <c r="Z518" s="63"/>
      <c r="AA518" s="63"/>
      <c r="AB518" s="63"/>
      <c r="AC518" s="63" t="s">
        <v>834</v>
      </c>
      <c r="AD518" s="42" t="s">
        <v>207</v>
      </c>
      <c r="AE518" s="42">
        <v>3</v>
      </c>
      <c r="AF518" s="63" t="s">
        <v>667</v>
      </c>
    </row>
    <row r="519" spans="2:32" ht="15" hidden="1" customHeight="1" x14ac:dyDescent="0.3">
      <c r="B519" s="42" t="s">
        <v>5</v>
      </c>
      <c r="C519" s="575" t="s">
        <v>544</v>
      </c>
      <c r="D519" s="571" t="s">
        <v>447</v>
      </c>
      <c r="E519" s="175">
        <v>1260003465</v>
      </c>
      <c r="F519" s="345">
        <v>46127</v>
      </c>
      <c r="G519" s="42" t="s">
        <v>55</v>
      </c>
      <c r="H519" s="42">
        <v>2</v>
      </c>
      <c r="I519" s="61">
        <v>215400</v>
      </c>
      <c r="J519" s="42">
        <v>3</v>
      </c>
      <c r="K519" s="321">
        <f t="shared" si="8"/>
        <v>71800</v>
      </c>
      <c r="L519" s="585">
        <v>46113</v>
      </c>
      <c r="M519" s="585">
        <v>46477</v>
      </c>
      <c r="N519" s="63" t="s">
        <v>520</v>
      </c>
      <c r="O519" s="42"/>
      <c r="P519" s="42"/>
      <c r="Q519" s="63" t="s">
        <v>1080</v>
      </c>
      <c r="R519" s="63"/>
      <c r="S519" s="63" t="s">
        <v>1108</v>
      </c>
      <c r="T519" s="63"/>
      <c r="U519" s="63" t="s">
        <v>1109</v>
      </c>
      <c r="V519" s="63"/>
      <c r="W519" s="63"/>
      <c r="X519" s="63"/>
      <c r="Y519" s="63"/>
      <c r="Z519" s="63"/>
      <c r="AA519" s="63"/>
      <c r="AB519" s="63"/>
      <c r="AC519" s="63" t="s">
        <v>96</v>
      </c>
      <c r="AD519" s="42" t="s">
        <v>97</v>
      </c>
      <c r="AE519" s="42" t="s">
        <v>494</v>
      </c>
      <c r="AF519" s="63" t="s">
        <v>667</v>
      </c>
    </row>
    <row r="520" spans="2:32" ht="15" hidden="1" customHeight="1" x14ac:dyDescent="0.3">
      <c r="B520" s="42" t="s">
        <v>5</v>
      </c>
      <c r="C520" s="68" t="s">
        <v>751</v>
      </c>
      <c r="D520" s="132" t="s">
        <v>151</v>
      </c>
      <c r="E520" s="121">
        <v>307000844</v>
      </c>
      <c r="F520" s="345">
        <v>46129</v>
      </c>
      <c r="G520" s="42" t="s">
        <v>55</v>
      </c>
      <c r="H520" s="42">
        <v>1</v>
      </c>
      <c r="I520" s="61">
        <v>124440</v>
      </c>
      <c r="J520" s="42">
        <v>4</v>
      </c>
      <c r="K520" s="321">
        <f t="shared" si="8"/>
        <v>31110</v>
      </c>
      <c r="L520" s="615">
        <v>46113</v>
      </c>
      <c r="M520" s="615">
        <v>46477</v>
      </c>
      <c r="N520" s="63" t="s">
        <v>520</v>
      </c>
      <c r="O520" s="42"/>
      <c r="P520" s="42"/>
      <c r="Q520" s="63" t="s">
        <v>397</v>
      </c>
      <c r="R520" s="63"/>
      <c r="S520" s="63" t="s">
        <v>496</v>
      </c>
      <c r="T520" s="63"/>
      <c r="U520" s="63" t="s">
        <v>497</v>
      </c>
      <c r="V520" s="63"/>
      <c r="W520" s="63" t="s">
        <v>498</v>
      </c>
      <c r="X520" s="63"/>
      <c r="Y520" s="63"/>
      <c r="Z520" s="63"/>
      <c r="AA520" s="63"/>
      <c r="AB520" s="63"/>
      <c r="AC520" s="63" t="s">
        <v>507</v>
      </c>
      <c r="AD520" s="42" t="s">
        <v>63</v>
      </c>
      <c r="AE520" s="42">
        <v>4</v>
      </c>
      <c r="AF520" s="63" t="s">
        <v>1626</v>
      </c>
    </row>
    <row r="521" spans="2:32" ht="15" hidden="1" customHeight="1" x14ac:dyDescent="0.3">
      <c r="B521" s="42" t="s">
        <v>5</v>
      </c>
      <c r="C521" s="68" t="s">
        <v>875</v>
      </c>
      <c r="D521" s="132" t="s">
        <v>876</v>
      </c>
      <c r="E521" s="121" t="s">
        <v>1698</v>
      </c>
      <c r="F521" s="345">
        <v>46133</v>
      </c>
      <c r="G521" s="42" t="s">
        <v>55</v>
      </c>
      <c r="H521" s="42">
        <v>3</v>
      </c>
      <c r="I521" s="61">
        <v>461100</v>
      </c>
      <c r="J521" s="42">
        <v>3</v>
      </c>
      <c r="K521" s="321">
        <f t="shared" ref="K521:K524" si="9">I521/J521</f>
        <v>153700</v>
      </c>
      <c r="L521" s="615">
        <v>46143</v>
      </c>
      <c r="M521" s="615">
        <v>46507</v>
      </c>
      <c r="N521" s="63" t="s">
        <v>520</v>
      </c>
      <c r="O521" s="42"/>
      <c r="P521" s="42"/>
      <c r="Q521" s="63" t="s">
        <v>348</v>
      </c>
      <c r="R521" s="63"/>
      <c r="S521" s="63" t="s">
        <v>349</v>
      </c>
      <c r="T521" s="63"/>
      <c r="U521" s="63" t="s">
        <v>738</v>
      </c>
      <c r="V521" s="63"/>
      <c r="W521" s="63"/>
      <c r="X521" s="63"/>
      <c r="Y521" s="63"/>
      <c r="Z521" s="63"/>
      <c r="AA521" s="63"/>
      <c r="AB521" s="63"/>
      <c r="AC521" s="63" t="s">
        <v>281</v>
      </c>
      <c r="AD521" s="42" t="s">
        <v>97</v>
      </c>
      <c r="AE521" s="42">
        <v>3</v>
      </c>
      <c r="AF521" s="63" t="s">
        <v>799</v>
      </c>
    </row>
    <row r="522" spans="2:32" ht="15" hidden="1" customHeight="1" x14ac:dyDescent="0.3">
      <c r="B522" s="42" t="s">
        <v>5</v>
      </c>
      <c r="C522" s="68" t="s">
        <v>1699</v>
      </c>
      <c r="D522" s="132" t="s">
        <v>906</v>
      </c>
      <c r="E522" s="121" t="s">
        <v>1700</v>
      </c>
      <c r="F522" s="345">
        <v>46136</v>
      </c>
      <c r="G522" s="42" t="s">
        <v>55</v>
      </c>
      <c r="H522" s="42">
        <v>2</v>
      </c>
      <c r="I522" s="61">
        <v>180000</v>
      </c>
      <c r="J522" s="42">
        <v>3</v>
      </c>
      <c r="K522" s="321">
        <f t="shared" si="9"/>
        <v>60000</v>
      </c>
      <c r="L522" s="615">
        <v>45953</v>
      </c>
      <c r="M522" s="615">
        <v>46317</v>
      </c>
      <c r="N522" s="63" t="s">
        <v>520</v>
      </c>
      <c r="O522" s="42"/>
      <c r="P522" s="42"/>
      <c r="Q522" s="63" t="s">
        <v>1701</v>
      </c>
      <c r="R522" s="63"/>
      <c r="S522" s="63" t="s">
        <v>1702</v>
      </c>
      <c r="T522" s="63"/>
      <c r="U522" s="63" t="s">
        <v>1703</v>
      </c>
      <c r="V522" s="63"/>
      <c r="W522" s="63"/>
      <c r="X522" s="63"/>
      <c r="Y522" s="63"/>
      <c r="Z522" s="63"/>
      <c r="AA522" s="63"/>
      <c r="AB522" s="63"/>
      <c r="AC522" s="63" t="s">
        <v>551</v>
      </c>
      <c r="AD522" s="42" t="s">
        <v>207</v>
      </c>
      <c r="AE522" s="42">
        <v>3</v>
      </c>
      <c r="AF522" s="63" t="s">
        <v>1704</v>
      </c>
    </row>
    <row r="523" spans="2:32" ht="15" hidden="1" customHeight="1" x14ac:dyDescent="0.3">
      <c r="B523" s="42" t="s">
        <v>5</v>
      </c>
      <c r="C523" s="576" t="s">
        <v>628</v>
      </c>
      <c r="D523" s="577" t="s">
        <v>910</v>
      </c>
      <c r="E523" s="189" t="s">
        <v>1705</v>
      </c>
      <c r="F523" s="611">
        <v>46128</v>
      </c>
      <c r="G523" s="42" t="s">
        <v>55</v>
      </c>
      <c r="H523" s="42">
        <v>3</v>
      </c>
      <c r="I523" s="61">
        <v>163500</v>
      </c>
      <c r="J523" s="42">
        <v>1</v>
      </c>
      <c r="K523" s="328">
        <f t="shared" si="9"/>
        <v>163500</v>
      </c>
      <c r="L523" s="585">
        <v>46113</v>
      </c>
      <c r="M523" s="585">
        <v>46477</v>
      </c>
      <c r="N523" s="63" t="s">
        <v>520</v>
      </c>
      <c r="O523" s="42"/>
      <c r="P523" s="42"/>
      <c r="Q523" s="63" t="s">
        <v>1706</v>
      </c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 t="s">
        <v>485</v>
      </c>
      <c r="AD523" s="42" t="s">
        <v>63</v>
      </c>
      <c r="AE523" s="42">
        <v>2</v>
      </c>
      <c r="AF523" s="63" t="s">
        <v>1488</v>
      </c>
    </row>
    <row r="524" spans="2:32" ht="15" hidden="1" customHeight="1" x14ac:dyDescent="0.3">
      <c r="B524" s="26" t="s">
        <v>5</v>
      </c>
      <c r="C524" s="39" t="s">
        <v>1707</v>
      </c>
      <c r="D524" s="562" t="s">
        <v>176</v>
      </c>
      <c r="E524" s="220">
        <v>26000193</v>
      </c>
      <c r="F524" s="606">
        <v>46118</v>
      </c>
      <c r="G524" s="26" t="s">
        <v>55</v>
      </c>
      <c r="H524" s="26">
        <v>1</v>
      </c>
      <c r="I524" s="56">
        <v>94500</v>
      </c>
      <c r="J524" s="26">
        <v>3</v>
      </c>
      <c r="K524" s="327">
        <f t="shared" si="9"/>
        <v>31500</v>
      </c>
      <c r="L524" s="590">
        <v>46113</v>
      </c>
      <c r="M524" s="590">
        <v>46477</v>
      </c>
      <c r="N524" s="58" t="s">
        <v>520</v>
      </c>
      <c r="O524" s="26"/>
      <c r="P524" s="26"/>
      <c r="Q524" s="58" t="s">
        <v>1080</v>
      </c>
      <c r="R524" s="58"/>
      <c r="S524" s="58" t="s">
        <v>1108</v>
      </c>
      <c r="T524" s="58"/>
      <c r="U524" s="58" t="s">
        <v>1109</v>
      </c>
      <c r="V524" s="58"/>
      <c r="W524" s="58"/>
      <c r="X524" s="58"/>
      <c r="Y524" s="58"/>
      <c r="Z524" s="58"/>
      <c r="AA524" s="58"/>
      <c r="AB524" s="58"/>
      <c r="AC524" s="58" t="s">
        <v>485</v>
      </c>
      <c r="AD524" s="26" t="s">
        <v>63</v>
      </c>
      <c r="AE524" s="26">
        <v>2</v>
      </c>
      <c r="AF524" s="58" t="s">
        <v>1708</v>
      </c>
    </row>
  </sheetData>
  <autoFilter ref="A6:AF524" xr:uid="{EA745FAA-7255-4B22-835B-594E7BFE84A1}">
    <filterColumn colId="1">
      <filters>
        <filter val="Jan"/>
      </filters>
    </filterColumn>
    <filterColumn colId="7">
      <filters>
        <filter val="1"/>
        <filter val="10"/>
        <filter val="11"/>
        <filter val="12"/>
        <filter val="13"/>
        <filter val="15"/>
        <filter val="16"/>
        <filter val="19"/>
        <filter val="2"/>
        <filter val="23"/>
        <filter val="26"/>
        <filter val="3"/>
        <filter val="34"/>
        <filter val="4"/>
        <filter val="5"/>
        <filter val="6"/>
        <filter val="7"/>
        <filter val="8"/>
        <filter val="9"/>
      </filters>
    </filterColumn>
  </autoFilter>
  <mergeCells count="3">
    <mergeCell ref="A1:B1"/>
    <mergeCell ref="A2:B2"/>
    <mergeCell ref="L5:M5"/>
  </mergeCells>
  <conditionalFormatting sqref="E1:E16 E28:E31 E39:E42 E45 E61:E69 E76:E82 E85:E86 E89:E92 E94:E95 E98:E100 E107:E109 E114:E118 E124:E128 E131:E132 E134 E136:E138 E148 E150:E151 E155:E168 E171:E175 E180:E190 E195:E196 E200 E202:E210 E213:E227 E231 E233:E244 E247:E252 E254:E269 E271:E272 E274:E276 E279:E282 E284:E286 E288:E289 E291:E292 E295:E298 E300:E309 E311:E318 E320:E322 E325:E327 E330:E332 E334:E338 E340:E342 E345:E346 E348 E359:E361 E416:E420 E426 E428:E431 E525:E64879">
    <cfRule type="expression" dxfId="223" priority="22" stopIfTrue="1">
      <formula>AND(COUNTIF($E$28:$E$64879, E1)+COUNTIF(#REF!, E1)+COUNTIF(#REF!, E1)+COUNTIF($E$1:$E$6, E1)+COUNTIF(#REF!, E1)+COUNTIF(#REF!, E1)+COUNTIF(#REF!, E1)+COUNTIF(#REF!, E1)+COUNTIF(#REF!, E1)+COUNTIF(#REF!, E1)+COUNTIF(#REF!, E1)+COUNTIF(#REF!, E1)+COUNTIF(#REF!, E1)+COUNTIF(#REF!, E1)+COUNTIF($E$10:$E$10, E1)+COUNTIF($E$7:$E$9, E1)+COUNTIF(#REF!, E1)+COUNTIF(#REF!, E1)+COUNTIF($E$11:$E$16, E1)&gt;1,NOT(ISBLANK(E1)))</formula>
    </cfRule>
  </conditionalFormatting>
  <conditionalFormatting sqref="E7:E41">
    <cfRule type="duplicateValues" dxfId="222" priority="12911"/>
  </conditionalFormatting>
  <conditionalFormatting sqref="E17:E27">
    <cfRule type="duplicateValues" dxfId="221" priority="12912"/>
  </conditionalFormatting>
  <conditionalFormatting sqref="E34:E35">
    <cfRule type="duplicateValues" dxfId="220" priority="12913"/>
  </conditionalFormatting>
  <conditionalFormatting sqref="E36:E37">
    <cfRule type="duplicateValues" dxfId="219" priority="12914" stopIfTrue="1"/>
  </conditionalFormatting>
  <conditionalFormatting sqref="E45">
    <cfRule type="duplicateValues" dxfId="218" priority="12915"/>
  </conditionalFormatting>
  <conditionalFormatting sqref="E76">
    <cfRule type="duplicateValues" dxfId="217" priority="12916"/>
  </conditionalFormatting>
  <conditionalFormatting sqref="E136">
    <cfRule type="duplicateValues" dxfId="216" priority="12917"/>
  </conditionalFormatting>
  <conditionalFormatting sqref="E137">
    <cfRule type="duplicateValues" dxfId="215" priority="12918"/>
  </conditionalFormatting>
  <conditionalFormatting sqref="E154">
    <cfRule type="duplicateValues" dxfId="214" priority="12919"/>
    <cfRule type="duplicateValues" dxfId="213" priority="12920"/>
  </conditionalFormatting>
  <conditionalFormatting sqref="E176:E179">
    <cfRule type="duplicateValues" dxfId="212" priority="12921"/>
  </conditionalFormatting>
  <conditionalFormatting sqref="E191:E194">
    <cfRule type="duplicateValues" dxfId="211" priority="12922"/>
  </conditionalFormatting>
  <conditionalFormatting sqref="E197:E199">
    <cfRule type="duplicateValues" dxfId="210" priority="12923"/>
    <cfRule type="expression" dxfId="209" priority="12924" stopIfTrue="1">
      <formula>AND(COUNTIF($E$59:$E$65200, E197)+COUNTIF(#REF!, E197)+COUNTIF(#REF!, E197)+COUNTIF($E$1:$E$6, E197)+COUNTIF(#REF!, E197)+COUNTIF(#REF!, E197)+COUNTIF(#REF!, E197)+COUNTIF($E$7:$E$9, E197)+COUNTIF($E$10:$E$10, E197)+COUNTIF(#REF!, E197)+COUNTIF(#REF!, E197)+COUNTIF($E$12:$E$12, E197)+COUNTIF($E$14:$E$15, E197)+COUNTIF(#REF!, E197)+COUNTIF($E$31:$E$41, E197)+COUNTIF($E$16:$E$26, E197)+COUNTIF(#REF!, E197)+COUNTIF(#REF!, E197)+COUNTIF($E$42:$E$53, E197)&gt;1,NOT(ISBLANK(E197)))</formula>
    </cfRule>
  </conditionalFormatting>
  <conditionalFormatting sqref="E270">
    <cfRule type="duplicateValues" dxfId="208" priority="12925"/>
    <cfRule type="expression" dxfId="207" priority="12926" stopIfTrue="1">
      <formula>AND(COUNTIF($E$59:$E$65229, E270)+COUNTIF(#REF!, E270)+COUNTIF(#REF!, E270)+COUNTIF($E$1:$E$6, E270)+COUNTIF(#REF!, E270)+COUNTIF(#REF!, E270)+COUNTIF(#REF!, E270)+COUNTIF($E$7:$E$8, E270)+COUNTIF($E$10:$E$10, E270)+COUNTIF(#REF!, E270)+COUNTIF(#REF!, E270)+COUNTIF($E$11:$E$11, E270)+COUNTIF($E$13:$E$15, E270)+COUNTIF(#REF!, E270)+COUNTIF($E$30:$E$41, E270)+COUNTIF($E$16:$E$25, E270)+COUNTIF(#REF!, E270)+COUNTIF(#REF!, E270)+COUNTIF($E$42:$E$53, E270)&gt;1,NOT(ISBLANK(E270)))</formula>
    </cfRule>
  </conditionalFormatting>
  <conditionalFormatting sqref="E300:E301">
    <cfRule type="duplicateValues" dxfId="206" priority="12927"/>
    <cfRule type="duplicateValues" dxfId="205" priority="12928"/>
  </conditionalFormatting>
  <conditionalFormatting sqref="E319">
    <cfRule type="duplicateValues" dxfId="204" priority="12929"/>
  </conditionalFormatting>
  <conditionalFormatting sqref="E324">
    <cfRule type="duplicateValues" dxfId="203" priority="12930"/>
  </conditionalFormatting>
  <conditionalFormatting sqref="E328">
    <cfRule type="duplicateValues" dxfId="202" priority="12931"/>
  </conditionalFormatting>
  <conditionalFormatting sqref="E329">
    <cfRule type="duplicateValues" dxfId="201" priority="12932"/>
  </conditionalFormatting>
  <conditionalFormatting sqref="E333">
    <cfRule type="duplicateValues" dxfId="200" priority="12933" stopIfTrue="1"/>
  </conditionalFormatting>
  <conditionalFormatting sqref="E339">
    <cfRule type="duplicateValues" dxfId="199" priority="12934"/>
  </conditionalFormatting>
  <conditionalFormatting sqref="E343">
    <cfRule type="duplicateValues" dxfId="198" priority="12935" stopIfTrue="1"/>
  </conditionalFormatting>
  <conditionalFormatting sqref="E344">
    <cfRule type="duplicateValues" dxfId="197" priority="12936"/>
  </conditionalFormatting>
  <conditionalFormatting sqref="E347">
    <cfRule type="duplicateValues" dxfId="196" priority="12937"/>
  </conditionalFormatting>
  <conditionalFormatting sqref="E349">
    <cfRule type="duplicateValues" dxfId="195" priority="12938"/>
  </conditionalFormatting>
  <conditionalFormatting sqref="E350">
    <cfRule type="duplicateValues" dxfId="194" priority="12939" stopIfTrue="1"/>
  </conditionalFormatting>
  <conditionalFormatting sqref="E351">
    <cfRule type="duplicateValues" dxfId="193" priority="12940" stopIfTrue="1"/>
  </conditionalFormatting>
  <conditionalFormatting sqref="E352">
    <cfRule type="duplicateValues" dxfId="192" priority="12941" stopIfTrue="1"/>
  </conditionalFormatting>
  <conditionalFormatting sqref="E353:E355">
    <cfRule type="duplicateValues" dxfId="191" priority="12942" stopIfTrue="1"/>
  </conditionalFormatting>
  <conditionalFormatting sqref="E356">
    <cfRule type="duplicateValues" dxfId="190" priority="12943" stopIfTrue="1"/>
  </conditionalFormatting>
  <conditionalFormatting sqref="E357">
    <cfRule type="duplicateValues" dxfId="189" priority="12944" stopIfTrue="1"/>
  </conditionalFormatting>
  <conditionalFormatting sqref="E358">
    <cfRule type="duplicateValues" dxfId="188" priority="12945" stopIfTrue="1"/>
  </conditionalFormatting>
  <conditionalFormatting sqref="E362">
    <cfRule type="duplicateValues" dxfId="187" priority="12946" stopIfTrue="1"/>
  </conditionalFormatting>
  <conditionalFormatting sqref="E363:E364">
    <cfRule type="duplicateValues" dxfId="186" priority="12947" stopIfTrue="1"/>
  </conditionalFormatting>
  <conditionalFormatting sqref="E365">
    <cfRule type="duplicateValues" dxfId="185" priority="12948" stopIfTrue="1"/>
  </conditionalFormatting>
  <conditionalFormatting sqref="E366">
    <cfRule type="duplicateValues" dxfId="184" priority="12949" stopIfTrue="1"/>
  </conditionalFormatting>
  <conditionalFormatting sqref="E367">
    <cfRule type="duplicateValues" dxfId="183" priority="12950" stopIfTrue="1"/>
  </conditionalFormatting>
  <conditionalFormatting sqref="E368">
    <cfRule type="duplicateValues" dxfId="182" priority="12951" stopIfTrue="1"/>
  </conditionalFormatting>
  <conditionalFormatting sqref="E369">
    <cfRule type="duplicateValues" dxfId="181" priority="12952" stopIfTrue="1"/>
  </conditionalFormatting>
  <conditionalFormatting sqref="E370">
    <cfRule type="duplicateValues" dxfId="180" priority="12953" stopIfTrue="1"/>
  </conditionalFormatting>
  <conditionalFormatting sqref="E371">
    <cfRule type="duplicateValues" dxfId="179" priority="12954" stopIfTrue="1"/>
  </conditionalFormatting>
  <conditionalFormatting sqref="E372">
    <cfRule type="duplicateValues" dxfId="178" priority="12955" stopIfTrue="1"/>
  </conditionalFormatting>
  <conditionalFormatting sqref="E373">
    <cfRule type="duplicateValues" dxfId="177" priority="12956" stopIfTrue="1"/>
  </conditionalFormatting>
  <conditionalFormatting sqref="E374:E375">
    <cfRule type="duplicateValues" dxfId="176" priority="12957" stopIfTrue="1"/>
  </conditionalFormatting>
  <conditionalFormatting sqref="E376">
    <cfRule type="duplicateValues" dxfId="175" priority="12958" stopIfTrue="1"/>
  </conditionalFormatting>
  <conditionalFormatting sqref="E377">
    <cfRule type="duplicateValues" dxfId="174" priority="12959" stopIfTrue="1"/>
  </conditionalFormatting>
  <conditionalFormatting sqref="E378">
    <cfRule type="duplicateValues" dxfId="173" priority="12960" stopIfTrue="1"/>
  </conditionalFormatting>
  <conditionalFormatting sqref="E379">
    <cfRule type="duplicateValues" dxfId="172" priority="12961" stopIfTrue="1"/>
  </conditionalFormatting>
  <conditionalFormatting sqref="E380">
    <cfRule type="duplicateValues" dxfId="171" priority="12962" stopIfTrue="1"/>
  </conditionalFormatting>
  <conditionalFormatting sqref="E381">
    <cfRule type="duplicateValues" dxfId="170" priority="12963" stopIfTrue="1"/>
  </conditionalFormatting>
  <conditionalFormatting sqref="E382">
    <cfRule type="duplicateValues" dxfId="169" priority="12964" stopIfTrue="1"/>
  </conditionalFormatting>
  <conditionalFormatting sqref="E383">
    <cfRule type="duplicateValues" dxfId="168" priority="12965" stopIfTrue="1"/>
  </conditionalFormatting>
  <conditionalFormatting sqref="E384">
    <cfRule type="duplicateValues" dxfId="167" priority="12966" stopIfTrue="1"/>
  </conditionalFormatting>
  <conditionalFormatting sqref="E385">
    <cfRule type="duplicateValues" dxfId="166" priority="12967" stopIfTrue="1"/>
  </conditionalFormatting>
  <conditionalFormatting sqref="E386">
    <cfRule type="duplicateValues" dxfId="165" priority="12968" stopIfTrue="1"/>
  </conditionalFormatting>
  <conditionalFormatting sqref="E387">
    <cfRule type="duplicateValues" dxfId="164" priority="12969" stopIfTrue="1"/>
  </conditionalFormatting>
  <conditionalFormatting sqref="E388">
    <cfRule type="duplicateValues" dxfId="163" priority="12970" stopIfTrue="1"/>
  </conditionalFormatting>
  <conditionalFormatting sqref="E389">
    <cfRule type="duplicateValues" dxfId="162" priority="12971" stopIfTrue="1"/>
  </conditionalFormatting>
  <conditionalFormatting sqref="E390">
    <cfRule type="duplicateValues" dxfId="161" priority="12972" stopIfTrue="1"/>
  </conditionalFormatting>
  <conditionalFormatting sqref="E391">
    <cfRule type="duplicateValues" dxfId="160" priority="12973" stopIfTrue="1"/>
  </conditionalFormatting>
  <conditionalFormatting sqref="E392:E394">
    <cfRule type="duplicateValues" dxfId="159" priority="12974" stopIfTrue="1"/>
  </conditionalFormatting>
  <conditionalFormatting sqref="E395">
    <cfRule type="duplicateValues" dxfId="158" priority="12975" stopIfTrue="1"/>
  </conditionalFormatting>
  <conditionalFormatting sqref="E396">
    <cfRule type="duplicateValues" dxfId="157" priority="12976" stopIfTrue="1"/>
  </conditionalFormatting>
  <conditionalFormatting sqref="E397">
    <cfRule type="duplicateValues" dxfId="156" priority="12977" stopIfTrue="1"/>
  </conditionalFormatting>
  <conditionalFormatting sqref="E398">
    <cfRule type="duplicateValues" dxfId="155" priority="12978" stopIfTrue="1"/>
  </conditionalFormatting>
  <conditionalFormatting sqref="E399">
    <cfRule type="duplicateValues" dxfId="154" priority="12979" stopIfTrue="1"/>
  </conditionalFormatting>
  <conditionalFormatting sqref="E400">
    <cfRule type="duplicateValues" dxfId="153" priority="12980" stopIfTrue="1"/>
  </conditionalFormatting>
  <conditionalFormatting sqref="E401:E402">
    <cfRule type="duplicateValues" dxfId="152" priority="12981" stopIfTrue="1"/>
  </conditionalFormatting>
  <conditionalFormatting sqref="E403">
    <cfRule type="duplicateValues" dxfId="151" priority="12982" stopIfTrue="1"/>
  </conditionalFormatting>
  <conditionalFormatting sqref="E404">
    <cfRule type="duplicateValues" dxfId="150" priority="12983" stopIfTrue="1"/>
  </conditionalFormatting>
  <conditionalFormatting sqref="E405:E407">
    <cfRule type="duplicateValues" dxfId="149" priority="12984" stopIfTrue="1"/>
  </conditionalFormatting>
  <conditionalFormatting sqref="E408">
    <cfRule type="duplicateValues" dxfId="148" priority="12985" stopIfTrue="1"/>
  </conditionalFormatting>
  <conditionalFormatting sqref="E409">
    <cfRule type="duplicateValues" dxfId="147" priority="12986" stopIfTrue="1"/>
  </conditionalFormatting>
  <conditionalFormatting sqref="E410">
    <cfRule type="duplicateValues" dxfId="146" priority="12987" stopIfTrue="1"/>
  </conditionalFormatting>
  <conditionalFormatting sqref="E411">
    <cfRule type="duplicateValues" dxfId="145" priority="12988" stopIfTrue="1"/>
  </conditionalFormatting>
  <conditionalFormatting sqref="E412">
    <cfRule type="duplicateValues" dxfId="144" priority="12989" stopIfTrue="1"/>
  </conditionalFormatting>
  <conditionalFormatting sqref="E413">
    <cfRule type="duplicateValues" dxfId="143" priority="12990" stopIfTrue="1"/>
  </conditionalFormatting>
  <conditionalFormatting sqref="E414">
    <cfRule type="duplicateValues" dxfId="142" priority="12991" stopIfTrue="1"/>
  </conditionalFormatting>
  <conditionalFormatting sqref="E415">
    <cfRule type="duplicateValues" dxfId="141" priority="12992" stopIfTrue="1"/>
  </conditionalFormatting>
  <conditionalFormatting sqref="E421">
    <cfRule type="duplicateValues" dxfId="140" priority="12993" stopIfTrue="1"/>
  </conditionalFormatting>
  <conditionalFormatting sqref="E422">
    <cfRule type="duplicateValues" dxfId="139" priority="12994" stopIfTrue="1"/>
  </conditionalFormatting>
  <conditionalFormatting sqref="E423">
    <cfRule type="duplicateValues" dxfId="138" priority="12995" stopIfTrue="1"/>
  </conditionalFormatting>
  <conditionalFormatting sqref="E424">
    <cfRule type="duplicateValues" dxfId="137" priority="12996" stopIfTrue="1"/>
  </conditionalFormatting>
  <conditionalFormatting sqref="E425">
    <cfRule type="duplicateValues" dxfId="136" priority="12997" stopIfTrue="1"/>
  </conditionalFormatting>
  <conditionalFormatting sqref="E427">
    <cfRule type="duplicateValues" dxfId="135" priority="12998" stopIfTrue="1"/>
  </conditionalFormatting>
  <conditionalFormatting sqref="E432">
    <cfRule type="duplicateValues" dxfId="134" priority="12999" stopIfTrue="1"/>
  </conditionalFormatting>
  <conditionalFormatting sqref="E433">
    <cfRule type="duplicateValues" dxfId="133" priority="13000" stopIfTrue="1"/>
  </conditionalFormatting>
  <conditionalFormatting sqref="E434">
    <cfRule type="duplicateValues" dxfId="132" priority="13001" stopIfTrue="1"/>
  </conditionalFormatting>
  <conditionalFormatting sqref="E435">
    <cfRule type="duplicateValues" dxfId="131" priority="13002" stopIfTrue="1"/>
  </conditionalFormatting>
  <conditionalFormatting sqref="E436:E438">
    <cfRule type="duplicateValues" dxfId="130" priority="13003" stopIfTrue="1"/>
  </conditionalFormatting>
  <conditionalFormatting sqref="E439">
    <cfRule type="duplicateValues" dxfId="129" priority="13004" stopIfTrue="1"/>
  </conditionalFormatting>
  <conditionalFormatting sqref="E440">
    <cfRule type="duplicateValues" dxfId="128" priority="13005" stopIfTrue="1"/>
  </conditionalFormatting>
  <conditionalFormatting sqref="E441">
    <cfRule type="duplicateValues" dxfId="127" priority="13006" stopIfTrue="1"/>
  </conditionalFormatting>
  <conditionalFormatting sqref="E442">
    <cfRule type="duplicateValues" dxfId="126" priority="13007" stopIfTrue="1"/>
  </conditionalFormatting>
  <conditionalFormatting sqref="E443">
    <cfRule type="duplicateValues" dxfId="125" priority="13008" stopIfTrue="1"/>
  </conditionalFormatting>
  <conditionalFormatting sqref="E444">
    <cfRule type="duplicateValues" dxfId="124" priority="13009" stopIfTrue="1"/>
  </conditionalFormatting>
  <conditionalFormatting sqref="E445">
    <cfRule type="duplicateValues" dxfId="123" priority="13010" stopIfTrue="1"/>
  </conditionalFormatting>
  <conditionalFormatting sqref="E446">
    <cfRule type="duplicateValues" dxfId="122" priority="13011" stopIfTrue="1"/>
  </conditionalFormatting>
  <conditionalFormatting sqref="E447">
    <cfRule type="duplicateValues" dxfId="121" priority="13012" stopIfTrue="1"/>
  </conditionalFormatting>
  <conditionalFormatting sqref="E448">
    <cfRule type="duplicateValues" dxfId="120" priority="13013" stopIfTrue="1"/>
  </conditionalFormatting>
  <conditionalFormatting sqref="E449">
    <cfRule type="duplicateValues" dxfId="119" priority="13014" stopIfTrue="1"/>
  </conditionalFormatting>
  <conditionalFormatting sqref="E450">
    <cfRule type="duplicateValues" dxfId="118" priority="13015"/>
  </conditionalFormatting>
  <conditionalFormatting sqref="E451:E452">
    <cfRule type="duplicateValues" dxfId="117" priority="13016" stopIfTrue="1"/>
  </conditionalFormatting>
  <conditionalFormatting sqref="E453">
    <cfRule type="duplicateValues" dxfId="116" priority="13017" stopIfTrue="1"/>
  </conditionalFormatting>
  <conditionalFormatting sqref="E454">
    <cfRule type="duplicateValues" dxfId="115" priority="13018" stopIfTrue="1"/>
  </conditionalFormatting>
  <conditionalFormatting sqref="E455">
    <cfRule type="duplicateValues" dxfId="114" priority="13019" stopIfTrue="1"/>
  </conditionalFormatting>
  <conditionalFormatting sqref="E456">
    <cfRule type="duplicateValues" dxfId="113" priority="13020"/>
  </conditionalFormatting>
  <conditionalFormatting sqref="E457:E458">
    <cfRule type="duplicateValues" dxfId="112" priority="13021" stopIfTrue="1"/>
  </conditionalFormatting>
  <conditionalFormatting sqref="E459">
    <cfRule type="duplicateValues" dxfId="111" priority="13022" stopIfTrue="1"/>
  </conditionalFormatting>
  <conditionalFormatting sqref="E460">
    <cfRule type="duplicateValues" dxfId="110" priority="13023"/>
  </conditionalFormatting>
  <conditionalFormatting sqref="E461">
    <cfRule type="duplicateValues" dxfId="109" priority="13024"/>
  </conditionalFormatting>
  <conditionalFormatting sqref="E462">
    <cfRule type="duplicateValues" dxfId="108" priority="13025"/>
  </conditionalFormatting>
  <conditionalFormatting sqref="E463">
    <cfRule type="duplicateValues" dxfId="107" priority="13026"/>
  </conditionalFormatting>
  <conditionalFormatting sqref="E464:E466">
    <cfRule type="duplicateValues" dxfId="106" priority="13027"/>
  </conditionalFormatting>
  <conditionalFormatting sqref="E467">
    <cfRule type="duplicateValues" dxfId="105" priority="13028"/>
  </conditionalFormatting>
  <conditionalFormatting sqref="E468">
    <cfRule type="duplicateValues" dxfId="104" priority="13029" stopIfTrue="1"/>
  </conditionalFormatting>
  <conditionalFormatting sqref="E469">
    <cfRule type="duplicateValues" dxfId="103" priority="13030"/>
  </conditionalFormatting>
  <conditionalFormatting sqref="E470">
    <cfRule type="duplicateValues" dxfId="102" priority="13031" stopIfTrue="1"/>
  </conditionalFormatting>
  <conditionalFormatting sqref="E471:E473">
    <cfRule type="duplicateValues" dxfId="101" priority="13032"/>
  </conditionalFormatting>
  <conditionalFormatting sqref="E474">
    <cfRule type="duplicateValues" dxfId="100" priority="13033"/>
  </conditionalFormatting>
  <conditionalFormatting sqref="E475">
    <cfRule type="duplicateValues" dxfId="99" priority="13034"/>
  </conditionalFormatting>
  <conditionalFormatting sqref="E476">
    <cfRule type="duplicateValues" dxfId="98" priority="13035"/>
  </conditionalFormatting>
  <conditionalFormatting sqref="E477">
    <cfRule type="duplicateValues" dxfId="97" priority="13036"/>
  </conditionalFormatting>
  <conditionalFormatting sqref="E478">
    <cfRule type="duplicateValues" dxfId="96" priority="13037" stopIfTrue="1"/>
  </conditionalFormatting>
  <conditionalFormatting sqref="E479">
    <cfRule type="duplicateValues" dxfId="95" priority="13038" stopIfTrue="1"/>
  </conditionalFormatting>
  <conditionalFormatting sqref="E480">
    <cfRule type="duplicateValues" dxfId="94" priority="13039" stopIfTrue="1"/>
  </conditionalFormatting>
  <conditionalFormatting sqref="E481:E482">
    <cfRule type="duplicateValues" dxfId="93" priority="13040"/>
  </conditionalFormatting>
  <conditionalFormatting sqref="E483">
    <cfRule type="duplicateValues" dxfId="92" priority="13041"/>
  </conditionalFormatting>
  <conditionalFormatting sqref="E484">
    <cfRule type="duplicateValues" dxfId="91" priority="13042" stopIfTrue="1"/>
  </conditionalFormatting>
  <conditionalFormatting sqref="E485">
    <cfRule type="duplicateValues" dxfId="90" priority="13043" stopIfTrue="1"/>
  </conditionalFormatting>
  <conditionalFormatting sqref="E486">
    <cfRule type="duplicateValues" dxfId="89" priority="13044"/>
  </conditionalFormatting>
  <conditionalFormatting sqref="E487:E488">
    <cfRule type="duplicateValues" dxfId="88" priority="13045" stopIfTrue="1"/>
  </conditionalFormatting>
  <conditionalFormatting sqref="E489">
    <cfRule type="duplicateValues" dxfId="87" priority="13046" stopIfTrue="1"/>
  </conditionalFormatting>
  <conditionalFormatting sqref="E490">
    <cfRule type="duplicateValues" dxfId="86" priority="13047" stopIfTrue="1"/>
  </conditionalFormatting>
  <conditionalFormatting sqref="E491">
    <cfRule type="duplicateValues" dxfId="85" priority="13048"/>
  </conditionalFormatting>
  <conditionalFormatting sqref="E492">
    <cfRule type="duplicateValues" dxfId="84" priority="13049" stopIfTrue="1"/>
  </conditionalFormatting>
  <conditionalFormatting sqref="E493">
    <cfRule type="duplicateValues" dxfId="83" priority="13050"/>
  </conditionalFormatting>
  <conditionalFormatting sqref="E494">
    <cfRule type="duplicateValues" dxfId="82" priority="13051" stopIfTrue="1"/>
  </conditionalFormatting>
  <conditionalFormatting sqref="E495">
    <cfRule type="duplicateValues" dxfId="81" priority="13052" stopIfTrue="1"/>
  </conditionalFormatting>
  <conditionalFormatting sqref="E496">
    <cfRule type="duplicateValues" dxfId="80" priority="13053" stopIfTrue="1"/>
  </conditionalFormatting>
  <conditionalFormatting sqref="E497">
    <cfRule type="duplicateValues" dxfId="79" priority="13054" stopIfTrue="1"/>
  </conditionalFormatting>
  <conditionalFormatting sqref="E498:E499">
    <cfRule type="duplicateValues" dxfId="78" priority="13055" stopIfTrue="1"/>
  </conditionalFormatting>
  <conditionalFormatting sqref="E500:E501">
    <cfRule type="duplicateValues" dxfId="77" priority="13056" stopIfTrue="1"/>
  </conditionalFormatting>
  <conditionalFormatting sqref="E502">
    <cfRule type="duplicateValues" dxfId="76" priority="13057" stopIfTrue="1"/>
  </conditionalFormatting>
  <conditionalFormatting sqref="E503">
    <cfRule type="duplicateValues" dxfId="75" priority="13058" stopIfTrue="1"/>
  </conditionalFormatting>
  <conditionalFormatting sqref="E504">
    <cfRule type="duplicateValues" dxfId="74" priority="13059"/>
  </conditionalFormatting>
  <conditionalFormatting sqref="E505">
    <cfRule type="duplicateValues" dxfId="73" priority="13060" stopIfTrue="1"/>
  </conditionalFormatting>
  <conditionalFormatting sqref="E506">
    <cfRule type="duplicateValues" dxfId="72" priority="13061" stopIfTrue="1"/>
  </conditionalFormatting>
  <conditionalFormatting sqref="E507">
    <cfRule type="duplicateValues" dxfId="71" priority="13062" stopIfTrue="1"/>
  </conditionalFormatting>
  <conditionalFormatting sqref="E508">
    <cfRule type="duplicateValues" dxfId="70" priority="13063" stopIfTrue="1"/>
  </conditionalFormatting>
  <conditionalFormatting sqref="E509">
    <cfRule type="duplicateValues" dxfId="69" priority="13064"/>
  </conditionalFormatting>
  <conditionalFormatting sqref="E510">
    <cfRule type="duplicateValues" dxfId="68" priority="13065" stopIfTrue="1"/>
  </conditionalFormatting>
  <conditionalFormatting sqref="E511">
    <cfRule type="duplicateValues" dxfId="67" priority="13066"/>
  </conditionalFormatting>
  <conditionalFormatting sqref="E512">
    <cfRule type="duplicateValues" dxfId="66" priority="13067" stopIfTrue="1"/>
  </conditionalFormatting>
  <conditionalFormatting sqref="E513:E514">
    <cfRule type="duplicateValues" dxfId="65" priority="13068" stopIfTrue="1"/>
  </conditionalFormatting>
  <conditionalFormatting sqref="E515">
    <cfRule type="duplicateValues" dxfId="64" priority="13069" stopIfTrue="1"/>
  </conditionalFormatting>
  <conditionalFormatting sqref="E516">
    <cfRule type="duplicateValues" dxfId="63" priority="13070" stopIfTrue="1"/>
  </conditionalFormatting>
  <conditionalFormatting sqref="E517">
    <cfRule type="duplicateValues" dxfId="62" priority="13071" stopIfTrue="1"/>
  </conditionalFormatting>
  <conditionalFormatting sqref="E518">
    <cfRule type="duplicateValues" dxfId="61" priority="13072"/>
  </conditionalFormatting>
  <conditionalFormatting sqref="E519">
    <cfRule type="duplicateValues" dxfId="60" priority="13073"/>
  </conditionalFormatting>
  <conditionalFormatting sqref="E520">
    <cfRule type="duplicateValues" dxfId="59" priority="13074"/>
  </conditionalFormatting>
  <conditionalFormatting sqref="E521">
    <cfRule type="duplicateValues" dxfId="58" priority="13075" stopIfTrue="1"/>
  </conditionalFormatting>
  <conditionalFormatting sqref="E522">
    <cfRule type="duplicateValues" dxfId="57" priority="13076"/>
  </conditionalFormatting>
  <conditionalFormatting sqref="E523">
    <cfRule type="duplicateValues" dxfId="56" priority="13077"/>
  </conditionalFormatting>
  <conditionalFormatting sqref="E524">
    <cfRule type="duplicateValues" dxfId="55" priority="13078" stopIfTrue="1"/>
  </conditionalFormatting>
  <conditionalFormatting sqref="E525:E1048576 E213:E227 E94:E95 E85:E86 E77:E82 E98:E100 E107:E109 E89:E92 E114:E118 E124:E128 E131:E132 E134 E138 E148 E150:E151 E154:E168 E171:E175 E180:E190 E1:E53 E195:E196 E200 E202:E210 E231 E233:E244 E254:E269 E271:E272 E247:E252 E274:E276 E279:E282 E284:E286 E61:E69 E288:E289 E291:E292 E295:E298 E300:E309 E311:E318 E348 E359:E361 E416:E420 E426 E428:E431 E345:E346 E340:E342 E334:E338 E330:E332 E325:E327 E320:E322">
    <cfRule type="duplicateValues" dxfId="54" priority="13079"/>
  </conditionalFormatting>
  <conditionalFormatting sqref="E525:E1048576 E359:E361 E1:E318 E416:E420 E426 E428:E431 E450 E350:E356 E345:E348 E340:E342 E334:E338 E330:E332 E325:E327 E320:E322">
    <cfRule type="duplicateValues" dxfId="53" priority="13126"/>
  </conditionalFormatting>
  <conditionalFormatting sqref="F181">
    <cfRule type="duplicateValues" dxfId="52" priority="20" stopIfTrue="1"/>
  </conditionalFormatting>
  <conditionalFormatting sqref="H99:H100">
    <cfRule type="duplicateValues" dxfId="51" priority="11968"/>
    <cfRule type="expression" dxfId="50" priority="11969" stopIfTrue="1">
      <formula>AND(COUNTIF($D$11:$D$64761, H99)+COUNTIF(#REF!, H99)+COUNTIF(#REF!, H99)+COUNTIF($D$1:$D$6, H99)+COUNTIF(#REF!, H99)+COUNTIF(#REF!, H99)+COUNTIF(#REF!, H99)+COUNTIF(#REF!, H99)+COUNTIF(#REF!, H99)+COUNTIF(#REF!, H99)+COUNTIF(#REF!, H99)+COUNTIF(#REF!, H99)+COUNTIF(#REF!, H99)+COUNTIF(#REF!, H99)+COUNTIF(#REF!, H99)+COUNTIF(#REF!, H99)+COUNTIF(#REF!, H99)+COUNTIF(#REF!, H99)+COUNTIF($D$7:$D$8, H99)&gt;1,NOT(ISBLANK(H99)))</formula>
    </cfRule>
  </conditionalFormatting>
  <conditionalFormatting sqref="O65">
    <cfRule type="duplicateValues" dxfId="49" priority="21"/>
  </conditionalFormatting>
  <pageMargins left="0.7" right="0.7" top="0.75" bottom="0.75" header="0.3" footer="0.3"/>
  <pageSetup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0C58-E594-47B4-8A3F-32657A518DB5}">
  <sheetPr filterMode="1">
    <pageSetUpPr fitToPage="1"/>
  </sheetPr>
  <dimension ref="A1:AF575"/>
  <sheetViews>
    <sheetView workbookViewId="0">
      <selection activeCell="E56" sqref="E56"/>
    </sheetView>
  </sheetViews>
  <sheetFormatPr defaultColWidth="9.109375" defaultRowHeight="15" customHeight="1" x14ac:dyDescent="0.3"/>
  <cols>
    <col min="1" max="1" width="7.88671875" style="7" customWidth="1"/>
    <col min="2" max="2" width="25.5546875" style="2" customWidth="1"/>
    <col min="3" max="3" width="37.109375" style="7" customWidth="1"/>
    <col min="4" max="4" width="19.88671875" style="223" customWidth="1"/>
    <col min="5" max="5" width="37.88671875" style="2" customWidth="1"/>
    <col min="6" max="6" width="12.33203125" style="2" customWidth="1"/>
    <col min="7" max="7" width="16.44140625" style="2" customWidth="1"/>
    <col min="8" max="8" width="17.5546875" style="2" customWidth="1"/>
    <col min="9" max="9" width="16.5546875" style="5" customWidth="1"/>
    <col min="10" max="11" width="14.88671875" style="2" customWidth="1"/>
    <col min="12" max="12" width="13.5546875" style="295" customWidth="1"/>
    <col min="13" max="13" width="11.44140625" style="295" customWidth="1"/>
    <col min="14" max="14" width="20.88671875" style="7" customWidth="1"/>
    <col min="15" max="15" width="16.5546875" style="2" customWidth="1"/>
    <col min="16" max="16" width="22.33203125" style="2" customWidth="1"/>
    <col min="17" max="17" width="25.44140625" style="7" customWidth="1"/>
    <col min="18" max="18" width="15.88671875" style="7" customWidth="1"/>
    <col min="19" max="19" width="25.5546875" style="7" customWidth="1"/>
    <col min="20" max="20" width="19.6640625" style="7" customWidth="1"/>
    <col min="21" max="21" width="26" style="7" customWidth="1"/>
    <col min="22" max="22" width="18.6640625" style="7" customWidth="1"/>
    <col min="23" max="23" width="26.109375" style="7" customWidth="1"/>
    <col min="24" max="24" width="26.6640625" style="7" customWidth="1"/>
    <col min="25" max="25" width="23" style="7" customWidth="1"/>
    <col min="26" max="26" width="10.6640625" style="7" customWidth="1"/>
    <col min="27" max="28" width="24.5546875" style="7" customWidth="1"/>
    <col min="29" max="29" width="15.44140625" style="7" customWidth="1"/>
    <col min="30" max="30" width="9.5546875" style="2" customWidth="1"/>
    <col min="31" max="31" width="9.44140625" style="2" customWidth="1"/>
    <col min="32" max="32" width="63.88671875" style="7" customWidth="1"/>
    <col min="33" max="33" width="11.5546875" style="7" bestFit="1" customWidth="1"/>
    <col min="34" max="36" width="9.109375" style="7"/>
    <col min="37" max="37" width="11.6640625" style="7" bestFit="1" customWidth="1"/>
    <col min="38" max="16384" width="9.109375" style="7"/>
  </cols>
  <sheetData>
    <row r="1" spans="1:32" ht="14.4" customHeight="1" x14ac:dyDescent="0.3">
      <c r="A1" s="838" t="s">
        <v>15</v>
      </c>
      <c r="B1" s="838"/>
      <c r="C1" s="3"/>
      <c r="D1" s="223" t="s">
        <v>16</v>
      </c>
      <c r="F1" s="2" t="s">
        <v>1709</v>
      </c>
      <c r="G1" s="4"/>
      <c r="H1" s="295"/>
      <c r="I1" s="9"/>
      <c r="J1" s="6">
        <f>I1*18%</f>
        <v>0</v>
      </c>
      <c r="K1" s="306">
        <f>J1+I1</f>
        <v>0</v>
      </c>
      <c r="L1" s="306">
        <f>I1*2%</f>
        <v>0</v>
      </c>
      <c r="M1" s="270">
        <f>I1+L1</f>
        <v>0</v>
      </c>
      <c r="N1" s="270">
        <f>K1-L1</f>
        <v>0</v>
      </c>
      <c r="O1" s="9">
        <f>I1-L1</f>
        <v>0</v>
      </c>
      <c r="P1" s="2">
        <v>3.5</v>
      </c>
      <c r="Q1" s="7">
        <v>329500</v>
      </c>
      <c r="R1" s="11">
        <v>1747</v>
      </c>
      <c r="S1" s="5">
        <v>808</v>
      </c>
      <c r="U1" s="8"/>
    </row>
    <row r="2" spans="1:32" ht="14.4" x14ac:dyDescent="0.3">
      <c r="A2" s="838" t="s">
        <v>17</v>
      </c>
      <c r="B2" s="838"/>
      <c r="C2" s="191"/>
      <c r="D2" s="1" t="s">
        <v>18</v>
      </c>
      <c r="G2" s="296">
        <v>1284</v>
      </c>
      <c r="H2" s="7">
        <v>1385</v>
      </c>
      <c r="I2" s="9"/>
      <c r="J2" s="271" t="s">
        <v>20</v>
      </c>
      <c r="K2" s="307" t="s">
        <v>21</v>
      </c>
      <c r="L2" s="308" t="s">
        <v>22</v>
      </c>
      <c r="M2" s="272" t="s">
        <v>23</v>
      </c>
      <c r="N2" s="273" t="s">
        <v>24</v>
      </c>
      <c r="O2" s="291" t="s">
        <v>25</v>
      </c>
      <c r="P2" s="2">
        <v>3.5</v>
      </c>
      <c r="Q2" s="7">
        <v>263333</v>
      </c>
      <c r="R2" s="11">
        <v>871</v>
      </c>
      <c r="S2" s="12">
        <f>S1-R3</f>
        <v>-68</v>
      </c>
    </row>
    <row r="3" spans="1:32" ht="14.4" x14ac:dyDescent="0.3">
      <c r="C3" s="317"/>
      <c r="D3" s="1" t="s">
        <v>1661</v>
      </c>
      <c r="G3" s="295">
        <v>269</v>
      </c>
      <c r="H3" s="7">
        <v>335</v>
      </c>
      <c r="J3" s="9"/>
      <c r="K3" s="9"/>
      <c r="L3" s="306"/>
      <c r="M3" s="309"/>
      <c r="Q3" s="7">
        <v>876216</v>
      </c>
      <c r="R3" s="11">
        <f>R1-R2</f>
        <v>876</v>
      </c>
      <c r="S3" s="5"/>
    </row>
    <row r="4" spans="1:32" ht="14.4" x14ac:dyDescent="0.3">
      <c r="E4" s="2">
        <v>10991</v>
      </c>
      <c r="G4" s="295">
        <f>G2-G3</f>
        <v>1015</v>
      </c>
      <c r="H4" s="7">
        <f>H2-H3</f>
        <v>1050</v>
      </c>
      <c r="J4" s="9"/>
      <c r="K4" s="9"/>
      <c r="L4" s="306"/>
      <c r="M4" s="309"/>
      <c r="Q4" s="7">
        <v>2044635</v>
      </c>
    </row>
    <row r="5" spans="1:32" ht="14.4" x14ac:dyDescent="0.3">
      <c r="J5" s="6"/>
      <c r="K5" s="6"/>
      <c r="L5" s="839"/>
      <c r="M5" s="839"/>
      <c r="N5" s="10"/>
      <c r="O5" s="13"/>
      <c r="P5" s="13"/>
    </row>
    <row r="6" spans="1:32" s="13" customFormat="1" ht="14.4" x14ac:dyDescent="0.3">
      <c r="B6" s="14" t="s">
        <v>27</v>
      </c>
      <c r="C6" s="14" t="s">
        <v>28</v>
      </c>
      <c r="D6" s="224" t="s">
        <v>29</v>
      </c>
      <c r="E6" s="14" t="s">
        <v>30</v>
      </c>
      <c r="F6" s="14" t="s">
        <v>31</v>
      </c>
      <c r="G6" s="14" t="s">
        <v>32</v>
      </c>
      <c r="H6" s="14" t="s">
        <v>33</v>
      </c>
      <c r="I6" s="15" t="s">
        <v>34</v>
      </c>
      <c r="J6" s="14" t="s">
        <v>35</v>
      </c>
      <c r="K6" s="351" t="s">
        <v>36</v>
      </c>
      <c r="L6" s="310" t="s">
        <v>37</v>
      </c>
      <c r="M6" s="310" t="s">
        <v>38</v>
      </c>
      <c r="N6" s="14" t="s">
        <v>39</v>
      </c>
      <c r="O6" s="14" t="s">
        <v>40</v>
      </c>
      <c r="P6" s="14" t="s">
        <v>41</v>
      </c>
      <c r="Q6" s="14" t="s">
        <v>42</v>
      </c>
      <c r="R6" s="14"/>
      <c r="S6" s="14" t="s">
        <v>43</v>
      </c>
      <c r="T6" s="14"/>
      <c r="U6" s="14" t="s">
        <v>44</v>
      </c>
      <c r="V6" s="14"/>
      <c r="W6" s="14" t="s">
        <v>45</v>
      </c>
      <c r="X6" s="14"/>
      <c r="Y6" s="14" t="s">
        <v>46</v>
      </c>
      <c r="Z6" s="14"/>
      <c r="AA6" s="14" t="s">
        <v>47</v>
      </c>
      <c r="AB6" s="14"/>
      <c r="AC6" s="14" t="s">
        <v>48</v>
      </c>
      <c r="AD6" s="14" t="s">
        <v>49</v>
      </c>
      <c r="AE6" s="14" t="s">
        <v>50</v>
      </c>
      <c r="AF6" s="13" t="s">
        <v>51</v>
      </c>
    </row>
    <row r="7" spans="1:32" ht="14.4" hidden="1" x14ac:dyDescent="0.3">
      <c r="B7" s="16" t="s">
        <v>14</v>
      </c>
      <c r="C7" s="18" t="s">
        <v>52</v>
      </c>
      <c r="D7" s="225" t="s">
        <v>53</v>
      </c>
      <c r="E7" s="16" t="s">
        <v>54</v>
      </c>
      <c r="F7" s="22">
        <v>44996</v>
      </c>
      <c r="G7" s="16" t="s">
        <v>55</v>
      </c>
      <c r="H7" s="16"/>
      <c r="I7" s="19">
        <v>91500</v>
      </c>
      <c r="J7" s="16">
        <v>3</v>
      </c>
      <c r="K7" s="321">
        <f>I7/J7</f>
        <v>30500</v>
      </c>
      <c r="L7" s="20">
        <v>44998</v>
      </c>
      <c r="M7" s="20">
        <v>45363</v>
      </c>
      <c r="N7" s="20"/>
      <c r="O7" s="22"/>
      <c r="P7" s="20"/>
      <c r="Q7" s="21" t="s">
        <v>56</v>
      </c>
      <c r="R7" s="18" t="s">
        <v>57</v>
      </c>
      <c r="S7" s="21" t="s">
        <v>58</v>
      </c>
      <c r="T7" s="18" t="s">
        <v>59</v>
      </c>
      <c r="U7" s="21" t="s">
        <v>60</v>
      </c>
      <c r="V7" s="18" t="s">
        <v>61</v>
      </c>
      <c r="W7" s="18"/>
      <c r="X7" s="18"/>
      <c r="Y7" s="18"/>
      <c r="Z7" s="18"/>
      <c r="AA7" s="18"/>
      <c r="AB7" s="18"/>
      <c r="AC7" s="18" t="s">
        <v>62</v>
      </c>
      <c r="AD7" s="16" t="s">
        <v>63</v>
      </c>
      <c r="AE7" s="16">
        <v>4</v>
      </c>
    </row>
    <row r="8" spans="1:32" ht="14.4" hidden="1" x14ac:dyDescent="0.3">
      <c r="B8" s="16" t="s">
        <v>14</v>
      </c>
      <c r="C8" s="18" t="s">
        <v>52</v>
      </c>
      <c r="D8" s="225" t="s">
        <v>53</v>
      </c>
      <c r="E8" s="16" t="s">
        <v>54</v>
      </c>
      <c r="F8" s="22">
        <v>44996</v>
      </c>
      <c r="G8" s="16" t="s">
        <v>55</v>
      </c>
      <c r="H8" s="16"/>
      <c r="I8" s="19">
        <v>91500</v>
      </c>
      <c r="J8" s="16">
        <v>3</v>
      </c>
      <c r="K8" s="321">
        <f t="shared" ref="K8:K71" si="0">I8/J8</f>
        <v>30500</v>
      </c>
      <c r="L8" s="20">
        <v>45364</v>
      </c>
      <c r="M8" s="20">
        <v>45728</v>
      </c>
      <c r="N8" s="18"/>
      <c r="O8" s="16"/>
      <c r="P8" s="18"/>
      <c r="Q8" s="21" t="s">
        <v>64</v>
      </c>
      <c r="R8" s="18" t="s">
        <v>65</v>
      </c>
      <c r="S8" s="21" t="s">
        <v>66</v>
      </c>
      <c r="T8" s="18" t="s">
        <v>67</v>
      </c>
      <c r="U8" s="21" t="s">
        <v>68</v>
      </c>
      <c r="V8" s="18" t="s">
        <v>69</v>
      </c>
      <c r="W8" s="18"/>
      <c r="X8" s="18"/>
      <c r="Y8" s="18"/>
      <c r="Z8" s="18"/>
      <c r="AA8" s="18"/>
      <c r="AB8" s="18"/>
      <c r="AC8" s="18" t="s">
        <v>62</v>
      </c>
      <c r="AD8" s="16" t="s">
        <v>63</v>
      </c>
      <c r="AE8" s="16">
        <v>4</v>
      </c>
    </row>
    <row r="9" spans="1:32" ht="14.4" x14ac:dyDescent="0.3">
      <c r="B9" s="16" t="s">
        <v>14</v>
      </c>
      <c r="C9" s="18" t="s">
        <v>52</v>
      </c>
      <c r="D9" s="225" t="s">
        <v>53</v>
      </c>
      <c r="E9" s="16" t="s">
        <v>54</v>
      </c>
      <c r="F9" s="22">
        <v>44996</v>
      </c>
      <c r="G9" s="16" t="s">
        <v>55</v>
      </c>
      <c r="H9" s="16">
        <v>1</v>
      </c>
      <c r="I9" s="19">
        <v>99000</v>
      </c>
      <c r="J9" s="16">
        <v>3</v>
      </c>
      <c r="K9" s="321">
        <f t="shared" si="0"/>
        <v>33000</v>
      </c>
      <c r="L9" s="20">
        <v>45729</v>
      </c>
      <c r="M9" s="20">
        <v>46093</v>
      </c>
      <c r="N9" s="18" t="s">
        <v>19</v>
      </c>
      <c r="O9" s="16" t="s">
        <v>3</v>
      </c>
      <c r="P9" s="18"/>
      <c r="Q9" s="21" t="s">
        <v>70</v>
      </c>
      <c r="R9" s="18" t="s">
        <v>71</v>
      </c>
      <c r="S9" s="21" t="s">
        <v>72</v>
      </c>
      <c r="T9" s="18" t="s">
        <v>73</v>
      </c>
      <c r="U9" s="21" t="s">
        <v>74</v>
      </c>
      <c r="V9" s="18" t="s">
        <v>75</v>
      </c>
      <c r="W9" s="18"/>
      <c r="X9" s="18"/>
      <c r="Y9" s="18"/>
      <c r="Z9" s="18"/>
      <c r="AA9" s="18"/>
      <c r="AB9" s="18"/>
      <c r="AC9" s="18" t="s">
        <v>62</v>
      </c>
      <c r="AD9" s="16" t="s">
        <v>63</v>
      </c>
      <c r="AE9" s="16">
        <v>4</v>
      </c>
    </row>
    <row r="10" spans="1:32" ht="14.4" x14ac:dyDescent="0.3">
      <c r="B10" s="16" t="s">
        <v>14</v>
      </c>
      <c r="C10" s="18" t="s">
        <v>76</v>
      </c>
      <c r="D10" s="225" t="s">
        <v>77</v>
      </c>
      <c r="E10" s="16">
        <v>6700004761</v>
      </c>
      <c r="F10" s="22">
        <v>45678</v>
      </c>
      <c r="G10" s="16" t="s">
        <v>55</v>
      </c>
      <c r="H10" s="16">
        <v>1</v>
      </c>
      <c r="I10" s="19">
        <v>77001</v>
      </c>
      <c r="J10" s="16">
        <v>3</v>
      </c>
      <c r="K10" s="321">
        <f t="shared" si="0"/>
        <v>25667</v>
      </c>
      <c r="L10" s="20">
        <v>45689</v>
      </c>
      <c r="M10" s="20">
        <v>46053</v>
      </c>
      <c r="N10" s="18" t="s">
        <v>19</v>
      </c>
      <c r="O10" s="16" t="s">
        <v>78</v>
      </c>
      <c r="P10" s="18"/>
      <c r="Q10" s="21" t="s">
        <v>79</v>
      </c>
      <c r="R10" s="18" t="s">
        <v>80</v>
      </c>
      <c r="S10" s="21" t="s">
        <v>81</v>
      </c>
      <c r="T10" s="18" t="s">
        <v>82</v>
      </c>
      <c r="U10" s="21" t="s">
        <v>83</v>
      </c>
      <c r="V10" s="18" t="s">
        <v>84</v>
      </c>
      <c r="W10" s="18"/>
      <c r="X10" s="18"/>
      <c r="Y10" s="18"/>
      <c r="Z10" s="18"/>
      <c r="AA10" s="18"/>
      <c r="AB10" s="18"/>
      <c r="AC10" s="18" t="s">
        <v>62</v>
      </c>
      <c r="AD10" s="16" t="s">
        <v>63</v>
      </c>
      <c r="AE10" s="16">
        <v>3</v>
      </c>
    </row>
    <row r="11" spans="1:32" ht="14.4" hidden="1" x14ac:dyDescent="0.3">
      <c r="B11" s="16" t="s">
        <v>14</v>
      </c>
      <c r="C11" s="18" t="s">
        <v>85</v>
      </c>
      <c r="D11" s="225" t="s">
        <v>86</v>
      </c>
      <c r="E11" s="16" t="s">
        <v>87</v>
      </c>
      <c r="F11" s="22">
        <v>45045</v>
      </c>
      <c r="G11" s="16" t="s">
        <v>55</v>
      </c>
      <c r="H11" s="16"/>
      <c r="I11" s="19">
        <v>58000</v>
      </c>
      <c r="J11" s="16">
        <v>4</v>
      </c>
      <c r="K11" s="321">
        <f t="shared" si="0"/>
        <v>14500</v>
      </c>
      <c r="L11" s="20">
        <v>45065</v>
      </c>
      <c r="M11" s="20">
        <v>45430</v>
      </c>
      <c r="N11" s="18"/>
      <c r="O11" s="16"/>
      <c r="P11" s="18"/>
      <c r="Q11" s="21" t="s">
        <v>88</v>
      </c>
      <c r="R11" s="18" t="s">
        <v>89</v>
      </c>
      <c r="S11" s="21" t="s">
        <v>90</v>
      </c>
      <c r="T11" s="18" t="s">
        <v>91</v>
      </c>
      <c r="U11" s="21" t="s">
        <v>92</v>
      </c>
      <c r="V11" s="18" t="s">
        <v>93</v>
      </c>
      <c r="W11" s="21" t="s">
        <v>94</v>
      </c>
      <c r="X11" s="18" t="s">
        <v>95</v>
      </c>
      <c r="Y11" s="18"/>
      <c r="Z11" s="18"/>
      <c r="AA11" s="18"/>
      <c r="AB11" s="18"/>
      <c r="AC11" s="18" t="s">
        <v>96</v>
      </c>
      <c r="AD11" s="16" t="s">
        <v>97</v>
      </c>
      <c r="AE11" s="16" t="s">
        <v>98</v>
      </c>
    </row>
    <row r="12" spans="1:32" ht="14.4" x14ac:dyDescent="0.3">
      <c r="B12" s="16" t="s">
        <v>14</v>
      </c>
      <c r="C12" s="18" t="s">
        <v>85</v>
      </c>
      <c r="D12" s="225" t="s">
        <v>86</v>
      </c>
      <c r="E12" s="16" t="s">
        <v>87</v>
      </c>
      <c r="F12" s="22">
        <v>45045</v>
      </c>
      <c r="G12" s="16" t="s">
        <v>55</v>
      </c>
      <c r="H12" s="16">
        <v>1</v>
      </c>
      <c r="I12" s="19">
        <v>58000</v>
      </c>
      <c r="J12" s="16">
        <v>4</v>
      </c>
      <c r="K12" s="321">
        <f t="shared" si="0"/>
        <v>14500</v>
      </c>
      <c r="L12" s="20">
        <v>45431</v>
      </c>
      <c r="M12" s="20">
        <v>45795</v>
      </c>
      <c r="N12" s="18"/>
      <c r="O12" s="16"/>
      <c r="P12" s="18"/>
      <c r="Q12" s="21" t="s">
        <v>99</v>
      </c>
      <c r="R12" s="18" t="s">
        <v>100</v>
      </c>
      <c r="S12" s="21" t="s">
        <v>101</v>
      </c>
      <c r="T12" s="18" t="s">
        <v>102</v>
      </c>
      <c r="U12" s="21" t="s">
        <v>103</v>
      </c>
      <c r="V12" s="18" t="s">
        <v>104</v>
      </c>
      <c r="W12" s="21" t="s">
        <v>105</v>
      </c>
      <c r="X12" s="18" t="s">
        <v>106</v>
      </c>
      <c r="Y12" s="18"/>
      <c r="Z12" s="18"/>
      <c r="AA12" s="18"/>
      <c r="AB12" s="18"/>
      <c r="AC12" s="18" t="s">
        <v>96</v>
      </c>
      <c r="AD12" s="16" t="s">
        <v>97</v>
      </c>
      <c r="AE12" s="16" t="s">
        <v>98</v>
      </c>
    </row>
    <row r="13" spans="1:32" ht="14.4" hidden="1" x14ac:dyDescent="0.3">
      <c r="B13" s="16" t="s">
        <v>14</v>
      </c>
      <c r="C13" s="18" t="s">
        <v>85</v>
      </c>
      <c r="D13" s="225" t="s">
        <v>86</v>
      </c>
      <c r="E13" s="16" t="s">
        <v>87</v>
      </c>
      <c r="F13" s="22">
        <v>45045</v>
      </c>
      <c r="G13" s="16" t="s">
        <v>55</v>
      </c>
      <c r="H13" s="16"/>
      <c r="I13" s="19">
        <v>58000</v>
      </c>
      <c r="J13" s="16">
        <v>4</v>
      </c>
      <c r="K13" s="325">
        <f t="shared" si="0"/>
        <v>14500</v>
      </c>
      <c r="L13" s="20">
        <v>45796</v>
      </c>
      <c r="M13" s="20">
        <v>46160</v>
      </c>
      <c r="N13" s="18" t="s">
        <v>19</v>
      </c>
      <c r="O13" s="16" t="s">
        <v>6</v>
      </c>
      <c r="P13" s="18"/>
      <c r="Q13" s="21" t="s">
        <v>107</v>
      </c>
      <c r="R13" s="18" t="s">
        <v>108</v>
      </c>
      <c r="S13" s="21" t="s">
        <v>109</v>
      </c>
      <c r="T13" s="18" t="s">
        <v>110</v>
      </c>
      <c r="U13" s="21" t="s">
        <v>111</v>
      </c>
      <c r="V13" s="18" t="s">
        <v>112</v>
      </c>
      <c r="W13" s="21" t="s">
        <v>113</v>
      </c>
      <c r="X13" s="18" t="s">
        <v>114</v>
      </c>
      <c r="Y13" s="18"/>
      <c r="Z13" s="18"/>
      <c r="AA13" s="18"/>
      <c r="AB13" s="18"/>
      <c r="AC13" s="18" t="s">
        <v>96</v>
      </c>
      <c r="AD13" s="16" t="s">
        <v>97</v>
      </c>
      <c r="AE13" s="16" t="s">
        <v>98</v>
      </c>
    </row>
    <row r="14" spans="1:32" ht="14.4" x14ac:dyDescent="0.3">
      <c r="B14" s="16" t="s">
        <v>14</v>
      </c>
      <c r="C14" s="18" t="s">
        <v>52</v>
      </c>
      <c r="D14" s="225" t="s">
        <v>115</v>
      </c>
      <c r="E14" s="16" t="s">
        <v>116</v>
      </c>
      <c r="F14" s="22">
        <v>45006</v>
      </c>
      <c r="G14" s="16" t="s">
        <v>55</v>
      </c>
      <c r="H14" s="16">
        <v>3</v>
      </c>
      <c r="I14" s="19">
        <v>1313415</v>
      </c>
      <c r="J14" s="16">
        <v>6</v>
      </c>
      <c r="K14" s="325">
        <f t="shared" si="0"/>
        <v>218902.5</v>
      </c>
      <c r="L14" s="20">
        <v>45078</v>
      </c>
      <c r="M14" s="20">
        <v>46173</v>
      </c>
      <c r="N14" s="18" t="s">
        <v>19</v>
      </c>
      <c r="O14" s="16" t="s">
        <v>6</v>
      </c>
      <c r="P14" s="18"/>
      <c r="Q14" s="21" t="s">
        <v>117</v>
      </c>
      <c r="R14" s="18" t="s">
        <v>118</v>
      </c>
      <c r="S14" s="21" t="s">
        <v>119</v>
      </c>
      <c r="T14" s="18" t="s">
        <v>120</v>
      </c>
      <c r="U14" s="21" t="s">
        <v>121</v>
      </c>
      <c r="V14" s="18" t="s">
        <v>122</v>
      </c>
      <c r="W14" s="21" t="s">
        <v>123</v>
      </c>
      <c r="X14" s="18" t="s">
        <v>124</v>
      </c>
      <c r="Y14" s="21" t="s">
        <v>125</v>
      </c>
      <c r="Z14" s="18" t="s">
        <v>126</v>
      </c>
      <c r="AA14" s="21" t="s">
        <v>127</v>
      </c>
      <c r="AB14" s="18" t="s">
        <v>1710</v>
      </c>
      <c r="AC14" s="18" t="s">
        <v>128</v>
      </c>
      <c r="AD14" s="16" t="s">
        <v>129</v>
      </c>
      <c r="AE14" s="16" t="s">
        <v>98</v>
      </c>
    </row>
    <row r="15" spans="1:32" ht="14.4" hidden="1" x14ac:dyDescent="0.3">
      <c r="B15" s="16" t="s">
        <v>14</v>
      </c>
      <c r="C15" s="18" t="s">
        <v>130</v>
      </c>
      <c r="D15" s="225" t="s">
        <v>131</v>
      </c>
      <c r="E15" s="16">
        <v>6800037118</v>
      </c>
      <c r="F15" s="22">
        <v>45096</v>
      </c>
      <c r="G15" s="16" t="s">
        <v>55</v>
      </c>
      <c r="H15" s="16"/>
      <c r="I15" s="19">
        <f>258000/3</f>
        <v>86000</v>
      </c>
      <c r="J15" s="16">
        <v>3</v>
      </c>
      <c r="K15" s="321">
        <f t="shared" si="0"/>
        <v>28666.666666666668</v>
      </c>
      <c r="L15" s="20">
        <v>45096</v>
      </c>
      <c r="M15" s="20">
        <v>45461</v>
      </c>
      <c r="N15" s="18"/>
      <c r="O15" s="16"/>
      <c r="P15" s="18"/>
      <c r="Q15" s="21" t="s">
        <v>132</v>
      </c>
      <c r="R15" s="18" t="s">
        <v>133</v>
      </c>
      <c r="S15" s="21" t="s">
        <v>134</v>
      </c>
      <c r="T15" s="18" t="s">
        <v>135</v>
      </c>
      <c r="U15" s="21" t="s">
        <v>136</v>
      </c>
      <c r="V15" s="18" t="s">
        <v>61</v>
      </c>
      <c r="W15" s="18"/>
      <c r="X15" s="18"/>
      <c r="Y15" s="18"/>
      <c r="Z15" s="18"/>
      <c r="AA15" s="18"/>
      <c r="AB15" s="18"/>
      <c r="AC15" s="18" t="s">
        <v>137</v>
      </c>
      <c r="AD15" s="16" t="s">
        <v>63</v>
      </c>
      <c r="AE15" s="16">
        <v>2</v>
      </c>
    </row>
    <row r="16" spans="1:32" ht="14.4" hidden="1" x14ac:dyDescent="0.3">
      <c r="B16" s="16" t="s">
        <v>14</v>
      </c>
      <c r="C16" s="18" t="s">
        <v>130</v>
      </c>
      <c r="D16" s="225" t="s">
        <v>131</v>
      </c>
      <c r="E16" s="16">
        <v>6800037118</v>
      </c>
      <c r="F16" s="22">
        <v>45096</v>
      </c>
      <c r="G16" s="16" t="s">
        <v>55</v>
      </c>
      <c r="H16" s="16"/>
      <c r="I16" s="19">
        <f>258000/3</f>
        <v>86000</v>
      </c>
      <c r="J16" s="16">
        <v>3</v>
      </c>
      <c r="K16" s="321">
        <f t="shared" si="0"/>
        <v>28666.666666666668</v>
      </c>
      <c r="L16" s="20">
        <v>45462</v>
      </c>
      <c r="M16" s="20">
        <v>45826</v>
      </c>
      <c r="N16" s="18"/>
      <c r="O16" s="16"/>
      <c r="P16" s="18"/>
      <c r="Q16" s="21" t="s">
        <v>138</v>
      </c>
      <c r="R16" s="18" t="s">
        <v>139</v>
      </c>
      <c r="S16" s="21" t="s">
        <v>140</v>
      </c>
      <c r="T16" s="18" t="s">
        <v>141</v>
      </c>
      <c r="U16" s="21" t="s">
        <v>142</v>
      </c>
      <c r="V16" s="18" t="s">
        <v>143</v>
      </c>
      <c r="W16" s="18"/>
      <c r="X16" s="18"/>
      <c r="Y16" s="18"/>
      <c r="Z16" s="18"/>
      <c r="AA16" s="18"/>
      <c r="AB16" s="18"/>
      <c r="AC16" s="18" t="s">
        <v>137</v>
      </c>
      <c r="AD16" s="16" t="s">
        <v>63</v>
      </c>
      <c r="AE16" s="16">
        <v>2</v>
      </c>
    </row>
    <row r="17" spans="2:31" ht="14.4" x14ac:dyDescent="0.3">
      <c r="B17" s="16" t="s">
        <v>14</v>
      </c>
      <c r="C17" s="18" t="s">
        <v>130</v>
      </c>
      <c r="D17" s="225" t="s">
        <v>131</v>
      </c>
      <c r="E17" s="16">
        <v>6800037118</v>
      </c>
      <c r="F17" s="22">
        <v>45096</v>
      </c>
      <c r="G17" s="16" t="s">
        <v>55</v>
      </c>
      <c r="H17" s="16">
        <v>1</v>
      </c>
      <c r="I17" s="19">
        <f>258000/3</f>
        <v>86000</v>
      </c>
      <c r="J17" s="16">
        <v>3</v>
      </c>
      <c r="K17" s="321">
        <f t="shared" si="0"/>
        <v>28666.666666666668</v>
      </c>
      <c r="L17" s="20">
        <v>45827</v>
      </c>
      <c r="M17" s="20">
        <v>46191</v>
      </c>
      <c r="N17" s="18" t="s">
        <v>19</v>
      </c>
      <c r="O17" s="16" t="s">
        <v>9</v>
      </c>
      <c r="P17" s="18"/>
      <c r="Q17" s="21" t="s">
        <v>144</v>
      </c>
      <c r="R17" s="18" t="s">
        <v>145</v>
      </c>
      <c r="S17" s="21" t="s">
        <v>146</v>
      </c>
      <c r="T17" s="18" t="s">
        <v>147</v>
      </c>
      <c r="U17" s="21" t="s">
        <v>148</v>
      </c>
      <c r="V17" s="18" t="s">
        <v>149</v>
      </c>
      <c r="W17" s="18"/>
      <c r="X17" s="18"/>
      <c r="Y17" s="18"/>
      <c r="Z17" s="18"/>
      <c r="AA17" s="18"/>
      <c r="AB17" s="18"/>
      <c r="AC17" s="18" t="s">
        <v>137</v>
      </c>
      <c r="AD17" s="16" t="s">
        <v>63</v>
      </c>
      <c r="AE17" s="16">
        <v>2</v>
      </c>
    </row>
    <row r="18" spans="2:31" ht="14.4" hidden="1" x14ac:dyDescent="0.3">
      <c r="B18" s="16" t="s">
        <v>14</v>
      </c>
      <c r="C18" s="194" t="s">
        <v>150</v>
      </c>
      <c r="D18" s="225" t="s">
        <v>151</v>
      </c>
      <c r="E18" s="16">
        <v>4200258422</v>
      </c>
      <c r="F18" s="22">
        <v>45126</v>
      </c>
      <c r="G18" s="16" t="s">
        <v>55</v>
      </c>
      <c r="H18" s="16"/>
      <c r="I18" s="19">
        <v>91728</v>
      </c>
      <c r="J18" s="16">
        <v>4</v>
      </c>
      <c r="K18" s="321">
        <f t="shared" si="0"/>
        <v>22932</v>
      </c>
      <c r="L18" s="20">
        <v>45108</v>
      </c>
      <c r="M18" s="20">
        <v>45473</v>
      </c>
      <c r="N18" s="18"/>
      <c r="O18" s="16"/>
      <c r="P18" s="18"/>
      <c r="Q18" s="21" t="s">
        <v>152</v>
      </c>
      <c r="R18" s="18" t="s">
        <v>153</v>
      </c>
      <c r="S18" s="21" t="s">
        <v>154</v>
      </c>
      <c r="T18" s="18" t="s">
        <v>155</v>
      </c>
      <c r="U18" s="21" t="s">
        <v>156</v>
      </c>
      <c r="V18" s="18" t="s">
        <v>157</v>
      </c>
      <c r="W18" s="21" t="s">
        <v>158</v>
      </c>
      <c r="X18" s="18" t="s">
        <v>159</v>
      </c>
      <c r="Y18" s="18"/>
      <c r="Z18" s="18"/>
      <c r="AA18" s="18"/>
      <c r="AB18" s="18"/>
      <c r="AC18" s="18" t="s">
        <v>62</v>
      </c>
      <c r="AD18" s="16" t="s">
        <v>63</v>
      </c>
      <c r="AE18" s="16">
        <v>4</v>
      </c>
    </row>
    <row r="19" spans="2:31" ht="14.4" x14ac:dyDescent="0.3">
      <c r="B19" s="16" t="s">
        <v>14</v>
      </c>
      <c r="C19" s="194" t="s">
        <v>150</v>
      </c>
      <c r="D19" s="225" t="s">
        <v>151</v>
      </c>
      <c r="E19" s="16">
        <v>4200258422</v>
      </c>
      <c r="F19" s="22">
        <v>45126</v>
      </c>
      <c r="G19" s="16" t="s">
        <v>55</v>
      </c>
      <c r="H19" s="16">
        <v>1</v>
      </c>
      <c r="I19" s="19">
        <v>96313</v>
      </c>
      <c r="J19" s="16">
        <v>4</v>
      </c>
      <c r="K19" s="321">
        <f t="shared" si="0"/>
        <v>24078.25</v>
      </c>
      <c r="L19" s="20">
        <v>45474</v>
      </c>
      <c r="M19" s="20">
        <v>45838</v>
      </c>
      <c r="N19" s="18"/>
      <c r="O19" s="16"/>
      <c r="P19" s="18"/>
      <c r="Q19" s="21" t="s">
        <v>160</v>
      </c>
      <c r="R19" s="18" t="s">
        <v>161</v>
      </c>
      <c r="S19" s="21" t="s">
        <v>162</v>
      </c>
      <c r="T19" s="18" t="s">
        <v>163</v>
      </c>
      <c r="U19" s="21" t="s">
        <v>164</v>
      </c>
      <c r="V19" s="18" t="s">
        <v>165</v>
      </c>
      <c r="W19" s="21" t="s">
        <v>166</v>
      </c>
      <c r="X19" s="18" t="s">
        <v>167</v>
      </c>
      <c r="Y19" s="18"/>
      <c r="Z19" s="18"/>
      <c r="AA19" s="18"/>
      <c r="AB19" s="18"/>
      <c r="AC19" s="18" t="s">
        <v>62</v>
      </c>
      <c r="AD19" s="16" t="s">
        <v>63</v>
      </c>
      <c r="AE19" s="16">
        <v>4</v>
      </c>
    </row>
    <row r="20" spans="2:31" ht="14.4" hidden="1" x14ac:dyDescent="0.3">
      <c r="B20" s="16" t="s">
        <v>14</v>
      </c>
      <c r="C20" s="194" t="s">
        <v>150</v>
      </c>
      <c r="D20" s="225" t="s">
        <v>151</v>
      </c>
      <c r="E20" s="16">
        <v>4200258422</v>
      </c>
      <c r="F20" s="22">
        <v>45126</v>
      </c>
      <c r="G20" s="16" t="s">
        <v>55</v>
      </c>
      <c r="H20" s="16"/>
      <c r="I20" s="19">
        <v>96313</v>
      </c>
      <c r="J20" s="16">
        <v>4</v>
      </c>
      <c r="K20" s="321">
        <f t="shared" si="0"/>
        <v>24078.25</v>
      </c>
      <c r="L20" s="20">
        <v>45839</v>
      </c>
      <c r="M20" s="20">
        <v>46203</v>
      </c>
      <c r="N20" s="18"/>
      <c r="O20" s="16"/>
      <c r="P20" s="18"/>
      <c r="Q20" s="21" t="s">
        <v>168</v>
      </c>
      <c r="R20" s="18" t="s">
        <v>169</v>
      </c>
      <c r="S20" s="21" t="s">
        <v>170</v>
      </c>
      <c r="T20" s="18" t="s">
        <v>171</v>
      </c>
      <c r="U20" s="21" t="s">
        <v>172</v>
      </c>
      <c r="V20" s="18" t="s">
        <v>173</v>
      </c>
      <c r="W20" s="18" t="s">
        <v>174</v>
      </c>
      <c r="X20" s="18"/>
      <c r="Y20" s="18"/>
      <c r="Z20" s="18"/>
      <c r="AA20" s="18"/>
      <c r="AB20" s="18"/>
      <c r="AC20" s="18" t="s">
        <v>62</v>
      </c>
      <c r="AD20" s="16" t="s">
        <v>63</v>
      </c>
      <c r="AE20" s="16">
        <v>4</v>
      </c>
    </row>
    <row r="21" spans="2:31" ht="14.4" hidden="1" x14ac:dyDescent="0.3">
      <c r="B21" s="16" t="s">
        <v>14</v>
      </c>
      <c r="C21" s="18" t="s">
        <v>175</v>
      </c>
      <c r="D21" s="225" t="s">
        <v>176</v>
      </c>
      <c r="E21" s="23" t="s">
        <v>177</v>
      </c>
      <c r="F21" s="22">
        <v>45184</v>
      </c>
      <c r="G21" s="16" t="s">
        <v>55</v>
      </c>
      <c r="H21" s="16"/>
      <c r="I21" s="19">
        <v>88500</v>
      </c>
      <c r="J21" s="16">
        <v>3</v>
      </c>
      <c r="K21" s="321">
        <f t="shared" si="0"/>
        <v>29500</v>
      </c>
      <c r="L21" s="20">
        <v>45108</v>
      </c>
      <c r="M21" s="20">
        <v>45473</v>
      </c>
      <c r="N21" s="18"/>
      <c r="O21" s="16"/>
      <c r="P21" s="18"/>
      <c r="Q21" s="21" t="s">
        <v>178</v>
      </c>
      <c r="R21" s="18"/>
      <c r="S21" s="21" t="s">
        <v>179</v>
      </c>
      <c r="T21" s="18" t="s">
        <v>180</v>
      </c>
      <c r="U21" s="21" t="s">
        <v>181</v>
      </c>
      <c r="V21" s="18" t="s">
        <v>182</v>
      </c>
      <c r="W21" s="18"/>
      <c r="X21" s="18"/>
      <c r="Y21" s="18"/>
      <c r="Z21" s="18"/>
      <c r="AA21" s="18"/>
      <c r="AB21" s="18"/>
      <c r="AC21" s="18" t="s">
        <v>183</v>
      </c>
      <c r="AD21" s="16" t="s">
        <v>97</v>
      </c>
      <c r="AE21" s="16"/>
    </row>
    <row r="22" spans="2:31" ht="14.4" x14ac:dyDescent="0.3">
      <c r="B22" s="16" t="s">
        <v>14</v>
      </c>
      <c r="C22" s="18" t="s">
        <v>175</v>
      </c>
      <c r="D22" s="225" t="s">
        <v>176</v>
      </c>
      <c r="E22" s="23" t="s">
        <v>177</v>
      </c>
      <c r="F22" s="22">
        <v>45184</v>
      </c>
      <c r="G22" s="16" t="s">
        <v>55</v>
      </c>
      <c r="H22" s="16">
        <v>1</v>
      </c>
      <c r="I22" s="19">
        <v>88500</v>
      </c>
      <c r="J22" s="16">
        <v>3</v>
      </c>
      <c r="K22" s="321">
        <f t="shared" si="0"/>
        <v>29500</v>
      </c>
      <c r="L22" s="20">
        <v>45474</v>
      </c>
      <c r="M22" s="20">
        <v>45838</v>
      </c>
      <c r="N22" s="18"/>
      <c r="O22" s="16"/>
      <c r="P22" s="18"/>
      <c r="Q22" s="21" t="s">
        <v>184</v>
      </c>
      <c r="R22" s="18" t="s">
        <v>185</v>
      </c>
      <c r="S22" s="21" t="s">
        <v>186</v>
      </c>
      <c r="T22" s="18" t="s">
        <v>187</v>
      </c>
      <c r="U22" s="21" t="s">
        <v>188</v>
      </c>
      <c r="V22" s="18" t="s">
        <v>189</v>
      </c>
      <c r="W22" s="18"/>
      <c r="X22" s="18"/>
      <c r="Y22" s="18"/>
      <c r="Z22" s="18"/>
      <c r="AA22" s="18"/>
      <c r="AB22" s="18"/>
      <c r="AC22" s="18" t="s">
        <v>183</v>
      </c>
      <c r="AD22" s="16" t="s">
        <v>97</v>
      </c>
      <c r="AE22" s="16"/>
    </row>
    <row r="23" spans="2:31" ht="14.4" hidden="1" x14ac:dyDescent="0.3">
      <c r="B23" s="16" t="s">
        <v>14</v>
      </c>
      <c r="C23" s="18" t="s">
        <v>175</v>
      </c>
      <c r="D23" s="225" t="s">
        <v>176</v>
      </c>
      <c r="E23" s="23" t="s">
        <v>177</v>
      </c>
      <c r="F23" s="22">
        <v>45184</v>
      </c>
      <c r="G23" s="2" t="s">
        <v>55</v>
      </c>
      <c r="H23" s="16"/>
      <c r="I23" s="19">
        <v>88500</v>
      </c>
      <c r="J23" s="16">
        <v>3</v>
      </c>
      <c r="K23" s="321">
        <f t="shared" si="0"/>
        <v>29500</v>
      </c>
      <c r="L23" s="20">
        <v>45839</v>
      </c>
      <c r="M23" s="20">
        <v>46203</v>
      </c>
      <c r="N23" s="18"/>
      <c r="O23" s="16"/>
      <c r="P23" s="18"/>
      <c r="Q23" s="21" t="s">
        <v>190</v>
      </c>
      <c r="R23" s="18" t="s">
        <v>191</v>
      </c>
      <c r="S23" s="21" t="s">
        <v>192</v>
      </c>
      <c r="T23" s="18" t="s">
        <v>193</v>
      </c>
      <c r="U23" s="18" t="s">
        <v>194</v>
      </c>
      <c r="V23" s="18"/>
      <c r="W23" s="18"/>
      <c r="X23" s="18"/>
      <c r="Y23" s="18"/>
      <c r="Z23" s="18"/>
      <c r="AA23" s="18"/>
      <c r="AB23" s="18"/>
      <c r="AC23" s="18" t="s">
        <v>183</v>
      </c>
      <c r="AD23" s="16" t="s">
        <v>97</v>
      </c>
      <c r="AE23" s="16"/>
    </row>
    <row r="24" spans="2:31" ht="14.4" hidden="1" x14ac:dyDescent="0.3">
      <c r="B24" s="16" t="s">
        <v>14</v>
      </c>
      <c r="C24" s="18" t="s">
        <v>195</v>
      </c>
      <c r="D24" s="225" t="s">
        <v>196</v>
      </c>
      <c r="E24" s="23" t="s">
        <v>197</v>
      </c>
      <c r="F24" s="22">
        <v>45210</v>
      </c>
      <c r="G24" s="16" t="s">
        <v>55</v>
      </c>
      <c r="H24" s="16"/>
      <c r="I24" s="19">
        <v>741000</v>
      </c>
      <c r="J24" s="16">
        <v>4</v>
      </c>
      <c r="K24" s="321">
        <f t="shared" si="0"/>
        <v>185250</v>
      </c>
      <c r="L24" s="20">
        <v>45203</v>
      </c>
      <c r="M24" s="20">
        <v>45568</v>
      </c>
      <c r="N24" s="18"/>
      <c r="O24" s="16"/>
      <c r="P24" s="18"/>
      <c r="Q24" s="21" t="s">
        <v>198</v>
      </c>
      <c r="R24" s="18" t="s">
        <v>199</v>
      </c>
      <c r="S24" s="192" t="s">
        <v>200</v>
      </c>
      <c r="T24" s="18" t="s">
        <v>201</v>
      </c>
      <c r="U24" s="21" t="s">
        <v>202</v>
      </c>
      <c r="V24" s="18" t="s">
        <v>203</v>
      </c>
      <c r="W24" s="21" t="s">
        <v>204</v>
      </c>
      <c r="X24" s="18" t="s">
        <v>205</v>
      </c>
      <c r="Y24" s="18"/>
      <c r="Z24" s="18"/>
      <c r="AA24" s="18"/>
      <c r="AB24" s="18"/>
      <c r="AC24" s="18" t="s">
        <v>206</v>
      </c>
      <c r="AD24" s="16" t="s">
        <v>207</v>
      </c>
      <c r="AE24" s="16">
        <v>39</v>
      </c>
    </row>
    <row r="25" spans="2:31" ht="14.4" x14ac:dyDescent="0.3">
      <c r="B25" s="16" t="s">
        <v>14</v>
      </c>
      <c r="C25" s="18" t="s">
        <v>195</v>
      </c>
      <c r="D25" s="225" t="s">
        <v>196</v>
      </c>
      <c r="E25" s="23" t="s">
        <v>197</v>
      </c>
      <c r="F25" s="22">
        <v>45210</v>
      </c>
      <c r="G25" s="16" t="s">
        <v>55</v>
      </c>
      <c r="H25" s="16">
        <v>13</v>
      </c>
      <c r="I25" s="19">
        <v>741000</v>
      </c>
      <c r="J25" s="16">
        <v>4</v>
      </c>
      <c r="K25" s="321">
        <f t="shared" si="0"/>
        <v>185250</v>
      </c>
      <c r="L25" s="20">
        <v>45569</v>
      </c>
      <c r="M25" s="20">
        <v>45933</v>
      </c>
      <c r="N25" s="18"/>
      <c r="O25" s="16"/>
      <c r="P25" s="18"/>
      <c r="Q25" s="21" t="s">
        <v>208</v>
      </c>
      <c r="R25" s="18" t="s">
        <v>209</v>
      </c>
      <c r="S25" s="192" t="s">
        <v>210</v>
      </c>
      <c r="T25" s="18" t="s">
        <v>211</v>
      </c>
      <c r="U25" s="21" t="s">
        <v>212</v>
      </c>
      <c r="V25" s="18" t="s">
        <v>213</v>
      </c>
      <c r="W25" s="21" t="s">
        <v>214</v>
      </c>
      <c r="X25" s="18" t="s">
        <v>169</v>
      </c>
      <c r="Y25" s="18"/>
      <c r="Z25" s="18"/>
      <c r="AA25" s="18"/>
      <c r="AB25" s="18"/>
      <c r="AC25" s="18" t="s">
        <v>206</v>
      </c>
      <c r="AD25" s="16" t="s">
        <v>207</v>
      </c>
      <c r="AE25" s="16">
        <v>39</v>
      </c>
    </row>
    <row r="26" spans="2:31" ht="14.4" hidden="1" x14ac:dyDescent="0.3">
      <c r="B26" s="16" t="s">
        <v>14</v>
      </c>
      <c r="C26" s="18" t="s">
        <v>85</v>
      </c>
      <c r="D26" s="225" t="s">
        <v>86</v>
      </c>
      <c r="E26" s="23" t="s">
        <v>215</v>
      </c>
      <c r="F26" s="22">
        <v>45204</v>
      </c>
      <c r="G26" s="16" t="s">
        <v>55</v>
      </c>
      <c r="H26" s="16"/>
      <c r="I26" s="19">
        <f>696000/3</f>
        <v>232000</v>
      </c>
      <c r="J26" s="16">
        <v>4</v>
      </c>
      <c r="K26" s="321">
        <f t="shared" si="0"/>
        <v>58000</v>
      </c>
      <c r="L26" s="20">
        <v>45200</v>
      </c>
      <c r="M26" s="20">
        <v>45565</v>
      </c>
      <c r="N26" s="18"/>
      <c r="O26" s="16"/>
      <c r="P26" s="18"/>
      <c r="Q26" s="21" t="s">
        <v>216</v>
      </c>
      <c r="R26" s="18" t="s">
        <v>217</v>
      </c>
      <c r="S26" s="21" t="s">
        <v>156</v>
      </c>
      <c r="T26" s="18" t="s">
        <v>218</v>
      </c>
      <c r="U26" s="21" t="s">
        <v>158</v>
      </c>
      <c r="V26" s="18" t="s">
        <v>219</v>
      </c>
      <c r="W26" s="21" t="s">
        <v>220</v>
      </c>
      <c r="X26" s="18" t="s">
        <v>221</v>
      </c>
      <c r="Y26" s="18"/>
      <c r="Z26" s="18"/>
      <c r="AA26" s="18"/>
      <c r="AB26" s="18"/>
      <c r="AC26" s="18" t="s">
        <v>96</v>
      </c>
      <c r="AD26" s="16" t="s">
        <v>97</v>
      </c>
      <c r="AE26" s="16" t="s">
        <v>98</v>
      </c>
    </row>
    <row r="27" spans="2:31" ht="14.4" x14ac:dyDescent="0.3">
      <c r="B27" s="16" t="s">
        <v>14</v>
      </c>
      <c r="C27" s="18" t="s">
        <v>85</v>
      </c>
      <c r="D27" s="225" t="s">
        <v>86</v>
      </c>
      <c r="E27" s="23" t="s">
        <v>215</v>
      </c>
      <c r="F27" s="22">
        <v>45204</v>
      </c>
      <c r="G27" s="16" t="s">
        <v>55</v>
      </c>
      <c r="H27" s="16">
        <v>4</v>
      </c>
      <c r="I27" s="19">
        <f>696000/3</f>
        <v>232000</v>
      </c>
      <c r="J27" s="16">
        <v>4</v>
      </c>
      <c r="K27" s="321">
        <f t="shared" si="0"/>
        <v>58000</v>
      </c>
      <c r="L27" s="20">
        <v>45566</v>
      </c>
      <c r="M27" s="20">
        <v>45930</v>
      </c>
      <c r="N27" s="18"/>
      <c r="O27" s="16"/>
      <c r="P27" s="18"/>
      <c r="Q27" s="21" t="s">
        <v>222</v>
      </c>
      <c r="R27" s="18" t="s">
        <v>223</v>
      </c>
      <c r="S27" s="21" t="s">
        <v>164</v>
      </c>
      <c r="T27" s="18" t="s">
        <v>224</v>
      </c>
      <c r="U27" s="21" t="s">
        <v>166</v>
      </c>
      <c r="V27" s="18" t="s">
        <v>225</v>
      </c>
      <c r="W27" s="21" t="s">
        <v>226</v>
      </c>
      <c r="X27" s="18" t="s">
        <v>227</v>
      </c>
      <c r="Y27" s="18"/>
      <c r="Z27" s="18"/>
      <c r="AA27" s="18"/>
      <c r="AB27" s="18"/>
      <c r="AC27" s="18" t="s">
        <v>96</v>
      </c>
      <c r="AD27" s="16" t="s">
        <v>97</v>
      </c>
      <c r="AE27" s="16" t="s">
        <v>98</v>
      </c>
    </row>
    <row r="28" spans="2:31" ht="14.4" hidden="1" x14ac:dyDescent="0.3">
      <c r="B28" s="16" t="s">
        <v>14</v>
      </c>
      <c r="C28" s="18" t="s">
        <v>85</v>
      </c>
      <c r="D28" s="225" t="s">
        <v>86</v>
      </c>
      <c r="E28" s="23" t="s">
        <v>215</v>
      </c>
      <c r="F28" s="22">
        <v>45204</v>
      </c>
      <c r="G28" s="16" t="s">
        <v>55</v>
      </c>
      <c r="H28" s="16"/>
      <c r="I28" s="193">
        <f>696000/3</f>
        <v>232000</v>
      </c>
      <c r="J28" s="16">
        <v>4</v>
      </c>
      <c r="K28" s="321">
        <f t="shared" si="0"/>
        <v>58000</v>
      </c>
      <c r="L28" s="20">
        <v>45931</v>
      </c>
      <c r="M28" s="20">
        <v>46295</v>
      </c>
      <c r="N28" s="18"/>
      <c r="O28" s="16"/>
      <c r="P28" s="18"/>
      <c r="Q28" s="21" t="s">
        <v>228</v>
      </c>
      <c r="R28" s="18" t="s">
        <v>229</v>
      </c>
      <c r="S28" s="21" t="s">
        <v>172</v>
      </c>
      <c r="T28" s="18" t="s">
        <v>230</v>
      </c>
      <c r="U28" s="18" t="s">
        <v>174</v>
      </c>
      <c r="V28" s="18"/>
      <c r="W28" s="18" t="s">
        <v>231</v>
      </c>
      <c r="X28" s="18"/>
      <c r="Y28" s="18"/>
      <c r="Z28" s="18"/>
      <c r="AA28" s="18"/>
      <c r="AB28" s="18"/>
      <c r="AC28" s="18" t="s">
        <v>96</v>
      </c>
      <c r="AD28" s="16" t="s">
        <v>97</v>
      </c>
      <c r="AE28" s="16" t="s">
        <v>98</v>
      </c>
    </row>
    <row r="29" spans="2:31" ht="14.4" hidden="1" x14ac:dyDescent="0.3">
      <c r="B29" s="16" t="s">
        <v>14</v>
      </c>
      <c r="C29" s="18" t="s">
        <v>232</v>
      </c>
      <c r="D29" s="225" t="s">
        <v>86</v>
      </c>
      <c r="E29" s="16">
        <v>115885</v>
      </c>
      <c r="F29" s="22">
        <v>45269</v>
      </c>
      <c r="G29" s="16" t="s">
        <v>55</v>
      </c>
      <c r="H29" s="16"/>
      <c r="I29" s="19">
        <f>432000/3</f>
        <v>144000</v>
      </c>
      <c r="J29" s="16">
        <v>4</v>
      </c>
      <c r="K29" s="321">
        <f t="shared" si="0"/>
        <v>36000</v>
      </c>
      <c r="L29" s="20">
        <v>45261</v>
      </c>
      <c r="M29" s="20">
        <v>45626</v>
      </c>
      <c r="N29" s="18"/>
      <c r="O29" s="16"/>
      <c r="P29" s="18"/>
      <c r="Q29" s="21" t="s">
        <v>233</v>
      </c>
      <c r="R29" s="18" t="s">
        <v>234</v>
      </c>
      <c r="S29" s="21" t="s">
        <v>235</v>
      </c>
      <c r="T29" s="18" t="s">
        <v>203</v>
      </c>
      <c r="U29" s="21" t="s">
        <v>236</v>
      </c>
      <c r="V29" s="18" t="s">
        <v>237</v>
      </c>
      <c r="W29" s="21" t="s">
        <v>238</v>
      </c>
      <c r="X29" s="18" t="s">
        <v>239</v>
      </c>
      <c r="Y29" s="18"/>
      <c r="Z29" s="18"/>
      <c r="AA29" s="18"/>
      <c r="AB29" s="18"/>
      <c r="AC29" s="18" t="s">
        <v>96</v>
      </c>
      <c r="AD29" s="16" t="s">
        <v>97</v>
      </c>
      <c r="AE29" s="16" t="s">
        <v>98</v>
      </c>
    </row>
    <row r="30" spans="2:31" ht="14.4" x14ac:dyDescent="0.3">
      <c r="B30" s="16" t="s">
        <v>14</v>
      </c>
      <c r="C30" s="18" t="s">
        <v>232</v>
      </c>
      <c r="D30" s="225" t="s">
        <v>86</v>
      </c>
      <c r="E30" s="16">
        <v>115885</v>
      </c>
      <c r="F30" s="22">
        <v>45269</v>
      </c>
      <c r="G30" s="16" t="s">
        <v>55</v>
      </c>
      <c r="H30" s="16">
        <v>2</v>
      </c>
      <c r="I30" s="19">
        <f>432000/3</f>
        <v>144000</v>
      </c>
      <c r="J30" s="16">
        <v>4</v>
      </c>
      <c r="K30" s="321">
        <f t="shared" si="0"/>
        <v>36000</v>
      </c>
      <c r="L30" s="20">
        <v>45627</v>
      </c>
      <c r="M30" s="20">
        <v>45991</v>
      </c>
      <c r="N30" s="18"/>
      <c r="O30" s="16"/>
      <c r="P30" s="18"/>
      <c r="Q30" s="21" t="s">
        <v>240</v>
      </c>
      <c r="R30" s="18" t="s">
        <v>241</v>
      </c>
      <c r="S30" s="21" t="s">
        <v>242</v>
      </c>
      <c r="T30" s="18" t="s">
        <v>243</v>
      </c>
      <c r="U30" s="21" t="s">
        <v>244</v>
      </c>
      <c r="V30" s="18" t="s">
        <v>245</v>
      </c>
      <c r="W30" s="21" t="s">
        <v>246</v>
      </c>
      <c r="X30" s="18" t="s">
        <v>247</v>
      </c>
      <c r="Y30" s="18"/>
      <c r="Z30" s="18"/>
      <c r="AA30" s="18"/>
      <c r="AB30" s="18"/>
      <c r="AC30" s="18" t="s">
        <v>96</v>
      </c>
      <c r="AD30" s="16" t="s">
        <v>97</v>
      </c>
      <c r="AE30" s="16" t="s">
        <v>98</v>
      </c>
    </row>
    <row r="31" spans="2:31" ht="14.4" hidden="1" x14ac:dyDescent="0.3">
      <c r="B31" s="16" t="s">
        <v>14</v>
      </c>
      <c r="C31" s="18" t="s">
        <v>232</v>
      </c>
      <c r="D31" s="225" t="s">
        <v>86</v>
      </c>
      <c r="E31" s="16">
        <v>115885</v>
      </c>
      <c r="F31" s="22">
        <v>45269</v>
      </c>
      <c r="G31" s="16" t="s">
        <v>55</v>
      </c>
      <c r="H31" s="16"/>
      <c r="I31" s="19">
        <f>432000/3</f>
        <v>144000</v>
      </c>
      <c r="J31" s="16">
        <v>4</v>
      </c>
      <c r="K31" s="325">
        <f t="shared" si="0"/>
        <v>36000</v>
      </c>
      <c r="L31" s="20">
        <v>45992</v>
      </c>
      <c r="M31" s="20">
        <v>46356</v>
      </c>
      <c r="N31" s="18"/>
      <c r="O31" s="16"/>
      <c r="P31" s="18"/>
      <c r="Q31" s="21" t="s">
        <v>248</v>
      </c>
      <c r="R31" s="18" t="s">
        <v>249</v>
      </c>
      <c r="S31" s="21" t="s">
        <v>250</v>
      </c>
      <c r="T31" s="18" t="s">
        <v>251</v>
      </c>
      <c r="U31" s="18" t="s">
        <v>252</v>
      </c>
      <c r="V31" s="18"/>
      <c r="W31" s="18" t="s">
        <v>253</v>
      </c>
      <c r="X31" s="18"/>
      <c r="Y31" s="18"/>
      <c r="Z31" s="18"/>
      <c r="AA31" s="18"/>
      <c r="AB31" s="18"/>
      <c r="AC31" s="18" t="s">
        <v>96</v>
      </c>
      <c r="AD31" s="16" t="s">
        <v>97</v>
      </c>
      <c r="AE31" s="16" t="s">
        <v>98</v>
      </c>
    </row>
    <row r="32" spans="2:31" ht="14.4" hidden="1" x14ac:dyDescent="0.3">
      <c r="B32" s="16" t="s">
        <v>14</v>
      </c>
      <c r="C32" s="18" t="s">
        <v>254</v>
      </c>
      <c r="D32" s="225" t="s">
        <v>86</v>
      </c>
      <c r="E32" s="16" t="s">
        <v>255</v>
      </c>
      <c r="F32" s="22">
        <v>45323</v>
      </c>
      <c r="G32" s="16" t="s">
        <v>55</v>
      </c>
      <c r="H32" s="16"/>
      <c r="I32" s="19">
        <f>354000/2</f>
        <v>177000</v>
      </c>
      <c r="J32" s="16">
        <v>4</v>
      </c>
      <c r="K32" s="321">
        <f t="shared" si="0"/>
        <v>44250</v>
      </c>
      <c r="L32" s="20">
        <v>45323</v>
      </c>
      <c r="M32" s="20">
        <v>45688</v>
      </c>
      <c r="N32" s="18"/>
      <c r="O32" s="16"/>
      <c r="P32" s="16"/>
      <c r="Q32" s="21" t="s">
        <v>256</v>
      </c>
      <c r="R32" s="18" t="s">
        <v>257</v>
      </c>
      <c r="S32" s="21" t="s">
        <v>258</v>
      </c>
      <c r="T32" s="18" t="s">
        <v>259</v>
      </c>
      <c r="U32" s="21" t="s">
        <v>260</v>
      </c>
      <c r="V32" s="18" t="s">
        <v>261</v>
      </c>
      <c r="W32" s="21" t="s">
        <v>262</v>
      </c>
      <c r="X32" s="21" t="s">
        <v>263</v>
      </c>
      <c r="Y32" s="18"/>
      <c r="Z32" s="18"/>
      <c r="AA32" s="18"/>
      <c r="AB32" s="18"/>
      <c r="AC32" s="18" t="s">
        <v>96</v>
      </c>
      <c r="AD32" s="16" t="s">
        <v>97</v>
      </c>
      <c r="AE32" s="16" t="s">
        <v>98</v>
      </c>
    </row>
    <row r="33" spans="2:32" ht="14.4" x14ac:dyDescent="0.3">
      <c r="B33" s="16" t="s">
        <v>14</v>
      </c>
      <c r="C33" s="18" t="s">
        <v>254</v>
      </c>
      <c r="D33" s="225" t="s">
        <v>86</v>
      </c>
      <c r="E33" s="16" t="s">
        <v>255</v>
      </c>
      <c r="F33" s="22">
        <v>45323</v>
      </c>
      <c r="G33" s="16" t="s">
        <v>55</v>
      </c>
      <c r="H33" s="16">
        <v>3</v>
      </c>
      <c r="I33" s="19">
        <f>354000/2</f>
        <v>177000</v>
      </c>
      <c r="J33" s="16">
        <v>4</v>
      </c>
      <c r="K33" s="321">
        <f t="shared" si="0"/>
        <v>44250</v>
      </c>
      <c r="L33" s="20">
        <v>45689</v>
      </c>
      <c r="M33" s="20">
        <v>46053</v>
      </c>
      <c r="N33" s="18"/>
      <c r="O33" s="16"/>
      <c r="P33" s="16"/>
      <c r="Q33" s="21" t="s">
        <v>264</v>
      </c>
      <c r="R33" s="18" t="s">
        <v>265</v>
      </c>
      <c r="S33" s="21" t="s">
        <v>266</v>
      </c>
      <c r="T33" s="18" t="s">
        <v>145</v>
      </c>
      <c r="U33" s="21" t="s">
        <v>267</v>
      </c>
      <c r="V33" s="18" t="s">
        <v>268</v>
      </c>
      <c r="W33" s="21" t="s">
        <v>269</v>
      </c>
      <c r="X33" s="18" t="s">
        <v>270</v>
      </c>
      <c r="Y33" s="18"/>
      <c r="Z33" s="18"/>
      <c r="AA33" s="18"/>
      <c r="AB33" s="18"/>
      <c r="AC33" s="18" t="s">
        <v>96</v>
      </c>
      <c r="AD33" s="16" t="s">
        <v>97</v>
      </c>
      <c r="AE33" s="16" t="s">
        <v>98</v>
      </c>
    </row>
    <row r="34" spans="2:32" ht="14.4" hidden="1" x14ac:dyDescent="0.3">
      <c r="B34" s="16" t="s">
        <v>14</v>
      </c>
      <c r="C34" s="18" t="s">
        <v>271</v>
      </c>
      <c r="D34" s="225" t="s">
        <v>86</v>
      </c>
      <c r="E34" s="16" t="s">
        <v>272</v>
      </c>
      <c r="F34" s="22">
        <v>45260</v>
      </c>
      <c r="G34" s="16" t="s">
        <v>55</v>
      </c>
      <c r="H34" s="16"/>
      <c r="I34" s="19">
        <v>186960</v>
      </c>
      <c r="J34" s="16">
        <v>4</v>
      </c>
      <c r="K34" s="321">
        <f t="shared" si="0"/>
        <v>46740</v>
      </c>
      <c r="L34" s="20">
        <v>45260</v>
      </c>
      <c r="M34" s="20">
        <v>45625</v>
      </c>
      <c r="N34" s="18"/>
      <c r="O34" s="16"/>
      <c r="P34" s="16"/>
      <c r="Q34" s="21" t="s">
        <v>273</v>
      </c>
      <c r="R34" s="18" t="s">
        <v>274</v>
      </c>
      <c r="S34" s="21" t="s">
        <v>275</v>
      </c>
      <c r="T34" s="18" t="s">
        <v>276</v>
      </c>
      <c r="U34" s="21" t="s">
        <v>277</v>
      </c>
      <c r="V34" s="18" t="s">
        <v>278</v>
      </c>
      <c r="W34" s="21" t="s">
        <v>279</v>
      </c>
      <c r="X34" s="18" t="s">
        <v>280</v>
      </c>
      <c r="Y34" s="18"/>
      <c r="Z34" s="18"/>
      <c r="AA34" s="18"/>
      <c r="AB34" s="18"/>
      <c r="AC34" s="18" t="s">
        <v>281</v>
      </c>
      <c r="AD34" s="16" t="s">
        <v>97</v>
      </c>
      <c r="AE34" s="16" t="s">
        <v>98</v>
      </c>
    </row>
    <row r="35" spans="2:32" ht="14.4" x14ac:dyDescent="0.3">
      <c r="B35" s="16" t="s">
        <v>14</v>
      </c>
      <c r="C35" s="18" t="s">
        <v>271</v>
      </c>
      <c r="D35" s="225" t="s">
        <v>86</v>
      </c>
      <c r="E35" s="16" t="s">
        <v>272</v>
      </c>
      <c r="F35" s="22">
        <v>45260</v>
      </c>
      <c r="G35" s="16" t="s">
        <v>55</v>
      </c>
      <c r="H35" s="16">
        <v>2</v>
      </c>
      <c r="I35" s="19">
        <v>186960</v>
      </c>
      <c r="J35" s="16">
        <v>4</v>
      </c>
      <c r="K35" s="321">
        <f t="shared" si="0"/>
        <v>46740</v>
      </c>
      <c r="L35" s="20">
        <v>45626</v>
      </c>
      <c r="M35" s="20">
        <v>45990</v>
      </c>
      <c r="N35" s="18"/>
      <c r="O35" s="16"/>
      <c r="P35" s="16"/>
      <c r="Q35" s="21" t="s">
        <v>282</v>
      </c>
      <c r="R35" s="18" t="s">
        <v>283</v>
      </c>
      <c r="S35" s="21" t="s">
        <v>284</v>
      </c>
      <c r="T35" s="18" t="s">
        <v>285</v>
      </c>
      <c r="U35" s="21" t="s">
        <v>286</v>
      </c>
      <c r="V35" s="18" t="s">
        <v>287</v>
      </c>
      <c r="W35" s="21" t="s">
        <v>288</v>
      </c>
      <c r="X35" s="18" t="s">
        <v>289</v>
      </c>
      <c r="Y35" s="18"/>
      <c r="Z35" s="18"/>
      <c r="AA35" s="18"/>
      <c r="AB35" s="18"/>
      <c r="AC35" s="18" t="s">
        <v>281</v>
      </c>
      <c r="AD35" s="16" t="s">
        <v>97</v>
      </c>
      <c r="AE35" s="16" t="s">
        <v>98</v>
      </c>
    </row>
    <row r="36" spans="2:32" ht="14.4" hidden="1" x14ac:dyDescent="0.3">
      <c r="B36" s="16" t="s">
        <v>14</v>
      </c>
      <c r="C36" s="18" t="s">
        <v>271</v>
      </c>
      <c r="D36" s="225" t="s">
        <v>86</v>
      </c>
      <c r="E36" s="16" t="s">
        <v>272</v>
      </c>
      <c r="F36" s="22">
        <v>45260</v>
      </c>
      <c r="G36" s="16" t="s">
        <v>55</v>
      </c>
      <c r="H36" s="16"/>
      <c r="I36" s="19">
        <v>186960</v>
      </c>
      <c r="J36" s="16">
        <v>4</v>
      </c>
      <c r="K36" s="325">
        <f t="shared" si="0"/>
        <v>46740</v>
      </c>
      <c r="L36" s="20">
        <v>45991</v>
      </c>
      <c r="M36" s="20">
        <v>46355</v>
      </c>
      <c r="N36" s="18"/>
      <c r="O36" s="16"/>
      <c r="P36" s="16"/>
      <c r="Q36" s="21" t="s">
        <v>290</v>
      </c>
      <c r="R36" s="18" t="s">
        <v>291</v>
      </c>
      <c r="S36" s="21" t="s">
        <v>292</v>
      </c>
      <c r="T36" s="18" t="s">
        <v>1711</v>
      </c>
      <c r="U36" s="18" t="s">
        <v>293</v>
      </c>
      <c r="V36" s="18"/>
      <c r="W36" s="18" t="s">
        <v>294</v>
      </c>
      <c r="X36" s="18"/>
      <c r="Y36" s="18"/>
      <c r="Z36" s="18"/>
      <c r="AA36" s="18"/>
      <c r="AB36" s="18"/>
      <c r="AC36" s="18" t="s">
        <v>281</v>
      </c>
      <c r="AD36" s="16" t="s">
        <v>97</v>
      </c>
      <c r="AE36" s="16" t="s">
        <v>98</v>
      </c>
    </row>
    <row r="37" spans="2:32" ht="14.4" hidden="1" x14ac:dyDescent="0.3">
      <c r="B37" s="16" t="s">
        <v>14</v>
      </c>
      <c r="C37" s="18" t="s">
        <v>295</v>
      </c>
      <c r="D37" s="225" t="s">
        <v>296</v>
      </c>
      <c r="E37" s="16" t="s">
        <v>297</v>
      </c>
      <c r="F37" s="22">
        <v>45337</v>
      </c>
      <c r="G37" s="16" t="s">
        <v>55</v>
      </c>
      <c r="H37" s="16"/>
      <c r="I37" s="19">
        <v>898776</v>
      </c>
      <c r="J37" s="16">
        <v>3</v>
      </c>
      <c r="K37" s="321">
        <f t="shared" si="0"/>
        <v>299592</v>
      </c>
      <c r="L37" s="20">
        <v>45352</v>
      </c>
      <c r="M37" s="20">
        <v>45716</v>
      </c>
      <c r="N37" s="18"/>
      <c r="O37" s="16"/>
      <c r="P37" s="16"/>
      <c r="Q37" s="21" t="s">
        <v>298</v>
      </c>
      <c r="R37" s="18" t="s">
        <v>299</v>
      </c>
      <c r="S37" s="21" t="s">
        <v>300</v>
      </c>
      <c r="T37" s="18" t="s">
        <v>122</v>
      </c>
      <c r="U37" s="21" t="s">
        <v>301</v>
      </c>
      <c r="V37" s="18" t="s">
        <v>302</v>
      </c>
      <c r="W37" s="18"/>
      <c r="X37" s="18"/>
      <c r="Y37" s="18"/>
      <c r="Z37" s="18"/>
      <c r="AA37" s="18"/>
      <c r="AB37" s="18"/>
      <c r="AC37" s="18" t="s">
        <v>281</v>
      </c>
      <c r="AD37" s="16" t="s">
        <v>97</v>
      </c>
      <c r="AE37" s="16">
        <f>9*3</f>
        <v>27</v>
      </c>
    </row>
    <row r="38" spans="2:32" ht="14.4" x14ac:dyDescent="0.3">
      <c r="B38" s="16" t="s">
        <v>14</v>
      </c>
      <c r="C38" s="18" t="s">
        <v>295</v>
      </c>
      <c r="D38" s="225" t="s">
        <v>296</v>
      </c>
      <c r="E38" s="16" t="s">
        <v>297</v>
      </c>
      <c r="F38" s="22">
        <v>45337</v>
      </c>
      <c r="G38" s="16" t="s">
        <v>55</v>
      </c>
      <c r="H38" s="16">
        <v>9</v>
      </c>
      <c r="I38" s="19">
        <v>898776</v>
      </c>
      <c r="J38" s="16">
        <v>3</v>
      </c>
      <c r="K38" s="321">
        <f t="shared" si="0"/>
        <v>299592</v>
      </c>
      <c r="L38" s="20">
        <v>45717</v>
      </c>
      <c r="M38" s="20">
        <v>46081</v>
      </c>
      <c r="N38" s="18" t="s">
        <v>19</v>
      </c>
      <c r="O38" s="16" t="s">
        <v>2</v>
      </c>
      <c r="P38" s="16"/>
      <c r="Q38" s="21" t="s">
        <v>303</v>
      </c>
      <c r="R38" s="18" t="s">
        <v>304</v>
      </c>
      <c r="S38" s="21" t="s">
        <v>305</v>
      </c>
      <c r="T38" s="18" t="s">
        <v>306</v>
      </c>
      <c r="U38" s="21" t="s">
        <v>307</v>
      </c>
      <c r="V38" s="18" t="s">
        <v>193</v>
      </c>
      <c r="W38" s="18"/>
      <c r="X38" s="18"/>
      <c r="Y38" s="18"/>
      <c r="Z38" s="18"/>
      <c r="AA38" s="18"/>
      <c r="AB38" s="18"/>
      <c r="AC38" s="18" t="s">
        <v>281</v>
      </c>
      <c r="AD38" s="16" t="s">
        <v>97</v>
      </c>
      <c r="AE38" s="16">
        <f>9*3</f>
        <v>27</v>
      </c>
    </row>
    <row r="39" spans="2:32" ht="14.4" hidden="1" x14ac:dyDescent="0.3">
      <c r="B39" s="16" t="s">
        <v>14</v>
      </c>
      <c r="C39" s="18" t="s">
        <v>76</v>
      </c>
      <c r="D39" s="225" t="s">
        <v>151</v>
      </c>
      <c r="E39" s="16">
        <v>4700004976</v>
      </c>
      <c r="F39" s="22">
        <v>45097</v>
      </c>
      <c r="G39" s="16" t="s">
        <v>55</v>
      </c>
      <c r="H39" s="16"/>
      <c r="I39" s="19">
        <f>261000/3</f>
        <v>87000</v>
      </c>
      <c r="J39" s="16">
        <v>3</v>
      </c>
      <c r="K39" s="321">
        <f t="shared" si="0"/>
        <v>29000</v>
      </c>
      <c r="L39" s="20">
        <v>45078</v>
      </c>
      <c r="M39" s="20">
        <v>45443</v>
      </c>
      <c r="N39" s="18"/>
      <c r="O39" s="16"/>
      <c r="P39" s="16"/>
      <c r="Q39" s="21" t="s">
        <v>308</v>
      </c>
      <c r="R39" s="18" t="s">
        <v>309</v>
      </c>
      <c r="S39" s="21" t="s">
        <v>310</v>
      </c>
      <c r="T39" s="18" t="s">
        <v>311</v>
      </c>
      <c r="U39" s="21" t="s">
        <v>312</v>
      </c>
      <c r="V39" s="18" t="s">
        <v>313</v>
      </c>
      <c r="W39" s="18"/>
      <c r="X39" s="18"/>
      <c r="Y39" s="18"/>
      <c r="Z39" s="18"/>
      <c r="AA39" s="18"/>
      <c r="AB39" s="18"/>
      <c r="AC39" s="18" t="s">
        <v>62</v>
      </c>
      <c r="AD39" s="16" t="s">
        <v>63</v>
      </c>
      <c r="AE39" s="16"/>
    </row>
    <row r="40" spans="2:32" ht="14.4" hidden="1" x14ac:dyDescent="0.3">
      <c r="B40" s="16" t="s">
        <v>14</v>
      </c>
      <c r="C40" s="18" t="s">
        <v>76</v>
      </c>
      <c r="D40" s="225" t="s">
        <v>151</v>
      </c>
      <c r="E40" s="16">
        <v>4700004976</v>
      </c>
      <c r="F40" s="22">
        <v>45097</v>
      </c>
      <c r="G40" s="16" t="s">
        <v>55</v>
      </c>
      <c r="H40" s="16"/>
      <c r="I40" s="19">
        <f>261000/3</f>
        <v>87000</v>
      </c>
      <c r="J40" s="16">
        <v>3</v>
      </c>
      <c r="K40" s="321">
        <f t="shared" si="0"/>
        <v>29000</v>
      </c>
      <c r="L40" s="20">
        <v>45444</v>
      </c>
      <c r="M40" s="20">
        <v>45808</v>
      </c>
      <c r="N40" s="18"/>
      <c r="O40" s="16"/>
      <c r="P40" s="16"/>
      <c r="Q40" s="21" t="s">
        <v>314</v>
      </c>
      <c r="R40" s="18" t="s">
        <v>315</v>
      </c>
      <c r="S40" s="21" t="s">
        <v>316</v>
      </c>
      <c r="T40" s="18" t="s">
        <v>317</v>
      </c>
      <c r="U40" s="21" t="s">
        <v>318</v>
      </c>
      <c r="V40" s="18" t="s">
        <v>319</v>
      </c>
      <c r="W40" s="18"/>
      <c r="X40" s="18"/>
      <c r="Y40" s="18"/>
      <c r="Z40" s="18"/>
      <c r="AA40" s="18"/>
      <c r="AB40" s="18"/>
      <c r="AC40" s="18" t="s">
        <v>62</v>
      </c>
      <c r="AD40" s="16" t="s">
        <v>63</v>
      </c>
      <c r="AE40" s="16"/>
    </row>
    <row r="41" spans="2:32" ht="14.4" x14ac:dyDescent="0.3">
      <c r="B41" s="16" t="s">
        <v>14</v>
      </c>
      <c r="C41" s="18" t="s">
        <v>76</v>
      </c>
      <c r="D41" s="225" t="s">
        <v>151</v>
      </c>
      <c r="E41" s="16">
        <v>4700004976</v>
      </c>
      <c r="F41" s="22">
        <v>45097</v>
      </c>
      <c r="G41" s="16" t="s">
        <v>55</v>
      </c>
      <c r="H41" s="16">
        <v>1</v>
      </c>
      <c r="I41" s="19">
        <f>261000/3</f>
        <v>87000</v>
      </c>
      <c r="J41" s="16">
        <v>3</v>
      </c>
      <c r="K41" s="325">
        <f t="shared" si="0"/>
        <v>29000</v>
      </c>
      <c r="L41" s="20">
        <v>45809</v>
      </c>
      <c r="M41" s="20">
        <v>46173</v>
      </c>
      <c r="N41" s="18" t="s">
        <v>19</v>
      </c>
      <c r="O41" s="16" t="s">
        <v>6</v>
      </c>
      <c r="P41" s="16"/>
      <c r="Q41" s="21" t="s">
        <v>81</v>
      </c>
      <c r="R41" s="18" t="s">
        <v>82</v>
      </c>
      <c r="S41" s="21" t="s">
        <v>83</v>
      </c>
      <c r="T41" s="18" t="s">
        <v>320</v>
      </c>
      <c r="U41" s="21" t="s">
        <v>321</v>
      </c>
      <c r="V41" s="18" t="s">
        <v>1712</v>
      </c>
      <c r="W41" s="18"/>
      <c r="X41" s="18"/>
      <c r="Y41" s="18"/>
      <c r="Z41" s="18"/>
      <c r="AA41" s="18"/>
      <c r="AB41" s="18"/>
      <c r="AC41" s="18" t="s">
        <v>62</v>
      </c>
      <c r="AD41" s="16" t="s">
        <v>63</v>
      </c>
      <c r="AE41" s="16"/>
    </row>
    <row r="42" spans="2:32" ht="14.4" x14ac:dyDescent="0.3">
      <c r="B42" s="16" t="s">
        <v>14</v>
      </c>
      <c r="C42" s="18" t="s">
        <v>322</v>
      </c>
      <c r="D42" s="225" t="s">
        <v>323</v>
      </c>
      <c r="E42" s="14">
        <v>401186595</v>
      </c>
      <c r="F42" s="22">
        <v>45357</v>
      </c>
      <c r="G42" s="16" t="s">
        <v>55</v>
      </c>
      <c r="H42" s="16">
        <v>2</v>
      </c>
      <c r="I42" s="19">
        <v>380004</v>
      </c>
      <c r="J42" s="16">
        <v>4</v>
      </c>
      <c r="K42" s="321">
        <f t="shared" si="0"/>
        <v>95001</v>
      </c>
      <c r="L42" s="20">
        <v>45413</v>
      </c>
      <c r="M42" s="20">
        <v>46142</v>
      </c>
      <c r="N42" s="18" t="s">
        <v>19</v>
      </c>
      <c r="O42" s="16" t="s">
        <v>5</v>
      </c>
      <c r="P42" s="16"/>
      <c r="Q42" s="21" t="s">
        <v>324</v>
      </c>
      <c r="R42" s="18" t="s">
        <v>325</v>
      </c>
      <c r="S42" s="21" t="s">
        <v>326</v>
      </c>
      <c r="T42" s="18" t="s">
        <v>327</v>
      </c>
      <c r="U42" s="21" t="s">
        <v>328</v>
      </c>
      <c r="V42" s="18" t="s">
        <v>329</v>
      </c>
      <c r="W42" s="21" t="s">
        <v>330</v>
      </c>
      <c r="X42" s="18" t="s">
        <v>331</v>
      </c>
      <c r="Y42" s="18"/>
      <c r="Z42" s="18"/>
      <c r="AA42" s="18"/>
      <c r="AB42" s="18"/>
      <c r="AC42" s="18" t="s">
        <v>96</v>
      </c>
      <c r="AD42" s="16" t="s">
        <v>97</v>
      </c>
      <c r="AE42" s="16">
        <v>16</v>
      </c>
      <c r="AF42" s="18" t="s">
        <v>332</v>
      </c>
    </row>
    <row r="43" spans="2:32" ht="14.4" hidden="1" x14ac:dyDescent="0.3">
      <c r="B43" s="16" t="s">
        <v>14</v>
      </c>
      <c r="C43" s="18" t="s">
        <v>333</v>
      </c>
      <c r="D43" s="225" t="s">
        <v>151</v>
      </c>
      <c r="E43" s="16">
        <v>8163932</v>
      </c>
      <c r="F43" s="22">
        <v>45418</v>
      </c>
      <c r="G43" s="16" t="s">
        <v>55</v>
      </c>
      <c r="H43" s="16"/>
      <c r="I43" s="19">
        <f>232497/3</f>
        <v>77499</v>
      </c>
      <c r="J43" s="16">
        <v>3</v>
      </c>
      <c r="K43" s="321">
        <f t="shared" si="0"/>
        <v>25833</v>
      </c>
      <c r="L43" s="20">
        <v>45292</v>
      </c>
      <c r="M43" s="20">
        <v>45657</v>
      </c>
      <c r="N43" s="18"/>
      <c r="O43" s="16"/>
      <c r="P43" s="16"/>
      <c r="Q43" s="21" t="s">
        <v>334</v>
      </c>
      <c r="R43" s="18" t="s">
        <v>335</v>
      </c>
      <c r="S43" s="21" t="s">
        <v>336</v>
      </c>
      <c r="T43" s="18" t="s">
        <v>337</v>
      </c>
      <c r="U43" s="21" t="s">
        <v>338</v>
      </c>
      <c r="V43" s="18" t="s">
        <v>339</v>
      </c>
      <c r="W43" s="18"/>
      <c r="X43" s="18"/>
      <c r="Y43" s="18"/>
      <c r="Z43" s="18"/>
      <c r="AA43" s="18"/>
      <c r="AB43" s="18"/>
      <c r="AC43" s="18" t="s">
        <v>62</v>
      </c>
      <c r="AD43" s="16" t="s">
        <v>63</v>
      </c>
      <c r="AE43" s="16">
        <v>3</v>
      </c>
      <c r="AF43" s="18" t="s">
        <v>340</v>
      </c>
    </row>
    <row r="44" spans="2:32" ht="14.4" x14ac:dyDescent="0.3">
      <c r="B44" s="16" t="s">
        <v>14</v>
      </c>
      <c r="C44" s="18" t="s">
        <v>333</v>
      </c>
      <c r="D44" s="225" t="s">
        <v>151</v>
      </c>
      <c r="E44" s="16">
        <v>8163932</v>
      </c>
      <c r="F44" s="22">
        <v>45418</v>
      </c>
      <c r="G44" s="16" t="s">
        <v>55</v>
      </c>
      <c r="H44" s="16">
        <v>1</v>
      </c>
      <c r="I44" s="19">
        <f>232497/3</f>
        <v>77499</v>
      </c>
      <c r="J44" s="16">
        <v>3</v>
      </c>
      <c r="K44" s="321">
        <f t="shared" si="0"/>
        <v>25833</v>
      </c>
      <c r="L44" s="20">
        <v>45658</v>
      </c>
      <c r="M44" s="20">
        <v>46022</v>
      </c>
      <c r="N44" s="18"/>
      <c r="O44" s="16"/>
      <c r="P44" s="16"/>
      <c r="Q44" s="21" t="s">
        <v>341</v>
      </c>
      <c r="R44" s="18" t="s">
        <v>342</v>
      </c>
      <c r="S44" s="21" t="s">
        <v>343</v>
      </c>
      <c r="T44" s="18" t="s">
        <v>344</v>
      </c>
      <c r="U44" s="21" t="s">
        <v>345</v>
      </c>
      <c r="V44" s="18" t="s">
        <v>346</v>
      </c>
      <c r="W44" s="18"/>
      <c r="X44" s="18"/>
      <c r="Y44" s="18"/>
      <c r="Z44" s="18"/>
      <c r="AA44" s="18"/>
      <c r="AB44" s="18"/>
      <c r="AC44" s="18" t="s">
        <v>62</v>
      </c>
      <c r="AD44" s="16" t="s">
        <v>63</v>
      </c>
      <c r="AE44" s="16">
        <v>3</v>
      </c>
      <c r="AF44" s="18" t="s">
        <v>340</v>
      </c>
    </row>
    <row r="45" spans="2:32" ht="14.4" hidden="1" x14ac:dyDescent="0.3">
      <c r="B45" s="16" t="s">
        <v>14</v>
      </c>
      <c r="C45" s="18" t="s">
        <v>333</v>
      </c>
      <c r="D45" s="225" t="s">
        <v>151</v>
      </c>
      <c r="E45" s="16">
        <v>8163932</v>
      </c>
      <c r="F45" s="22">
        <v>45418</v>
      </c>
      <c r="G45" s="16" t="s">
        <v>55</v>
      </c>
      <c r="H45" s="16"/>
      <c r="I45" s="19">
        <f>232497/3</f>
        <v>77499</v>
      </c>
      <c r="J45" s="16">
        <v>3</v>
      </c>
      <c r="K45" s="321">
        <f t="shared" si="0"/>
        <v>25833</v>
      </c>
      <c r="L45" s="20">
        <v>46023</v>
      </c>
      <c r="M45" s="20">
        <v>46387</v>
      </c>
      <c r="N45" s="18"/>
      <c r="O45" s="16"/>
      <c r="P45" s="16"/>
      <c r="Q45" s="21" t="s">
        <v>347</v>
      </c>
      <c r="R45" s="18" t="s">
        <v>986</v>
      </c>
      <c r="S45" s="18" t="s">
        <v>348</v>
      </c>
      <c r="T45" s="18"/>
      <c r="U45" s="18" t="s">
        <v>349</v>
      </c>
      <c r="V45" s="18"/>
      <c r="W45" s="18"/>
      <c r="X45" s="18"/>
      <c r="Y45" s="18"/>
      <c r="Z45" s="18"/>
      <c r="AA45" s="18"/>
      <c r="AB45" s="18"/>
      <c r="AC45" s="18" t="s">
        <v>62</v>
      </c>
      <c r="AD45" s="16" t="s">
        <v>63</v>
      </c>
      <c r="AE45" s="16">
        <v>3</v>
      </c>
      <c r="AF45" s="18" t="s">
        <v>340</v>
      </c>
    </row>
    <row r="46" spans="2:32" ht="14.4" hidden="1" x14ac:dyDescent="0.3">
      <c r="B46" s="16" t="s">
        <v>14</v>
      </c>
      <c r="C46" s="194" t="s">
        <v>150</v>
      </c>
      <c r="D46" s="225" t="s">
        <v>350</v>
      </c>
      <c r="E46" s="16">
        <v>4200269912</v>
      </c>
      <c r="F46" s="22">
        <v>45355</v>
      </c>
      <c r="G46" s="16" t="s">
        <v>55</v>
      </c>
      <c r="H46" s="16"/>
      <c r="I46" s="19">
        <v>117500</v>
      </c>
      <c r="J46" s="16">
        <v>3</v>
      </c>
      <c r="K46" s="321">
        <f t="shared" si="0"/>
        <v>39166.666666666664</v>
      </c>
      <c r="L46" s="20">
        <v>45383</v>
      </c>
      <c r="M46" s="20">
        <v>45747</v>
      </c>
      <c r="N46" s="18"/>
      <c r="O46" s="16"/>
      <c r="P46" s="16"/>
      <c r="Q46" s="21" t="s">
        <v>351</v>
      </c>
      <c r="R46" s="18" t="s">
        <v>352</v>
      </c>
      <c r="S46" s="21" t="s">
        <v>353</v>
      </c>
      <c r="T46" s="18" t="s">
        <v>102</v>
      </c>
      <c r="U46" s="21" t="s">
        <v>354</v>
      </c>
      <c r="V46" s="18" t="s">
        <v>355</v>
      </c>
      <c r="W46" s="18"/>
      <c r="X46" s="18"/>
      <c r="Y46" s="18"/>
      <c r="Z46" s="18"/>
      <c r="AA46" s="18"/>
      <c r="AB46" s="18"/>
      <c r="AC46" s="18" t="s">
        <v>356</v>
      </c>
      <c r="AD46" s="16" t="s">
        <v>207</v>
      </c>
      <c r="AE46" s="16">
        <v>2</v>
      </c>
      <c r="AF46" s="18" t="s">
        <v>340</v>
      </c>
    </row>
    <row r="47" spans="2:32" ht="14.4" x14ac:dyDescent="0.3">
      <c r="B47" s="16" t="s">
        <v>14</v>
      </c>
      <c r="C47" s="194" t="s">
        <v>150</v>
      </c>
      <c r="D47" s="225" t="s">
        <v>350</v>
      </c>
      <c r="E47" s="16">
        <v>4200269912</v>
      </c>
      <c r="F47" s="22">
        <v>45355</v>
      </c>
      <c r="G47" s="16" t="s">
        <v>55</v>
      </c>
      <c r="H47" s="16">
        <v>1</v>
      </c>
      <c r="I47" s="19">
        <v>117500</v>
      </c>
      <c r="J47" s="16">
        <v>3</v>
      </c>
      <c r="K47" s="321">
        <f t="shared" si="0"/>
        <v>39166.666666666664</v>
      </c>
      <c r="L47" s="20">
        <v>45748</v>
      </c>
      <c r="M47" s="20">
        <v>46112</v>
      </c>
      <c r="N47" s="18" t="s">
        <v>19</v>
      </c>
      <c r="O47" s="16" t="s">
        <v>3</v>
      </c>
      <c r="P47" s="16"/>
      <c r="Q47" s="21" t="s">
        <v>357</v>
      </c>
      <c r="R47" s="18" t="s">
        <v>358</v>
      </c>
      <c r="S47" s="21" t="s">
        <v>359</v>
      </c>
      <c r="T47" s="18" t="s">
        <v>360</v>
      </c>
      <c r="U47" s="21" t="s">
        <v>361</v>
      </c>
      <c r="V47" s="18" t="s">
        <v>173</v>
      </c>
      <c r="W47" s="18"/>
      <c r="X47" s="18"/>
      <c r="Y47" s="18"/>
      <c r="Z47" s="18"/>
      <c r="AA47" s="18"/>
      <c r="AB47" s="18"/>
      <c r="AC47" s="18" t="s">
        <v>356</v>
      </c>
      <c r="AD47" s="16" t="s">
        <v>207</v>
      </c>
      <c r="AE47" s="16">
        <v>2</v>
      </c>
      <c r="AF47" s="36" t="s">
        <v>362</v>
      </c>
    </row>
    <row r="48" spans="2:32" ht="14.4" x14ac:dyDescent="0.3">
      <c r="B48" s="16" t="s">
        <v>14</v>
      </c>
      <c r="C48" s="18" t="s">
        <v>363</v>
      </c>
      <c r="D48" s="225" t="s">
        <v>364</v>
      </c>
      <c r="E48" s="16" t="s">
        <v>365</v>
      </c>
      <c r="F48" s="22">
        <v>45442</v>
      </c>
      <c r="G48" s="16" t="s">
        <v>55</v>
      </c>
      <c r="H48" s="16">
        <v>6</v>
      </c>
      <c r="I48" s="19">
        <v>362880</v>
      </c>
      <c r="J48" s="16">
        <v>2</v>
      </c>
      <c r="K48" s="321">
        <f t="shared" si="0"/>
        <v>181440</v>
      </c>
      <c r="L48" s="20">
        <v>45442</v>
      </c>
      <c r="M48" s="20">
        <v>45806</v>
      </c>
      <c r="N48" s="18"/>
      <c r="O48" s="16"/>
      <c r="P48" s="16"/>
      <c r="Q48" s="21" t="s">
        <v>366</v>
      </c>
      <c r="R48" s="18" t="s">
        <v>367</v>
      </c>
      <c r="S48" s="21" t="s">
        <v>368</v>
      </c>
      <c r="T48" s="18" t="s">
        <v>369</v>
      </c>
      <c r="U48" s="18"/>
      <c r="V48" s="18"/>
      <c r="W48" s="18"/>
      <c r="X48" s="18"/>
      <c r="Y48" s="18"/>
      <c r="Z48" s="18"/>
      <c r="AA48" s="18"/>
      <c r="AB48" s="18"/>
      <c r="AC48" s="18" t="s">
        <v>356</v>
      </c>
      <c r="AD48" s="16" t="s">
        <v>207</v>
      </c>
      <c r="AE48" s="16">
        <v>12</v>
      </c>
      <c r="AF48" s="18" t="s">
        <v>340</v>
      </c>
    </row>
    <row r="49" spans="2:32" ht="14.4" hidden="1" x14ac:dyDescent="0.3">
      <c r="B49" s="16" t="s">
        <v>14</v>
      </c>
      <c r="C49" s="18" t="s">
        <v>363</v>
      </c>
      <c r="D49" s="225" t="s">
        <v>364</v>
      </c>
      <c r="E49" s="16" t="s">
        <v>365</v>
      </c>
      <c r="F49" s="22">
        <v>45442</v>
      </c>
      <c r="G49" s="16" t="s">
        <v>55</v>
      </c>
      <c r="H49" s="16"/>
      <c r="I49" s="19">
        <v>362880</v>
      </c>
      <c r="J49" s="16">
        <v>2</v>
      </c>
      <c r="K49" s="321">
        <f t="shared" si="0"/>
        <v>181440</v>
      </c>
      <c r="L49" s="20">
        <v>45807</v>
      </c>
      <c r="M49" s="20">
        <v>46171</v>
      </c>
      <c r="N49" s="18" t="s">
        <v>19</v>
      </c>
      <c r="O49" s="16" t="s">
        <v>6</v>
      </c>
      <c r="P49" s="16"/>
      <c r="Q49" s="21" t="s">
        <v>370</v>
      </c>
      <c r="R49" s="18" t="s">
        <v>371</v>
      </c>
      <c r="S49" s="21" t="s">
        <v>372</v>
      </c>
      <c r="T49" s="18" t="s">
        <v>373</v>
      </c>
      <c r="U49" s="18"/>
      <c r="V49" s="18"/>
      <c r="W49" s="18"/>
      <c r="X49" s="18"/>
      <c r="Y49" s="18"/>
      <c r="Z49" s="18"/>
      <c r="AA49" s="18"/>
      <c r="AB49" s="18"/>
      <c r="AC49" s="18" t="s">
        <v>356</v>
      </c>
      <c r="AD49" s="16" t="s">
        <v>207</v>
      </c>
      <c r="AE49" s="16">
        <v>12</v>
      </c>
      <c r="AF49" s="18" t="s">
        <v>340</v>
      </c>
    </row>
    <row r="50" spans="2:32" ht="14.4" hidden="1" x14ac:dyDescent="0.3">
      <c r="B50" s="16" t="s">
        <v>14</v>
      </c>
      <c r="C50" s="18" t="s">
        <v>374</v>
      </c>
      <c r="D50" s="225" t="s">
        <v>375</v>
      </c>
      <c r="E50" s="16">
        <v>2260058861</v>
      </c>
      <c r="F50" s="22">
        <v>45450</v>
      </c>
      <c r="G50" s="16" t="s">
        <v>55</v>
      </c>
      <c r="H50" s="16"/>
      <c r="I50" s="19">
        <f>607992/2</f>
        <v>303996</v>
      </c>
      <c r="J50" s="16">
        <v>3</v>
      </c>
      <c r="K50" s="321">
        <f t="shared" si="0"/>
        <v>101332</v>
      </c>
      <c r="L50" s="20">
        <v>45383</v>
      </c>
      <c r="M50" s="20">
        <v>45747</v>
      </c>
      <c r="N50" s="18"/>
      <c r="O50" s="16"/>
      <c r="P50" s="16"/>
      <c r="Q50" s="21" t="s">
        <v>351</v>
      </c>
      <c r="R50" s="18" t="s">
        <v>376</v>
      </c>
      <c r="S50" s="21" t="s">
        <v>353</v>
      </c>
      <c r="T50" s="18" t="s">
        <v>377</v>
      </c>
      <c r="U50" s="21" t="s">
        <v>354</v>
      </c>
      <c r="V50" s="18" t="s">
        <v>378</v>
      </c>
      <c r="W50" s="18"/>
      <c r="X50" s="18"/>
      <c r="Y50" s="18"/>
      <c r="Z50" s="18"/>
      <c r="AA50" s="18"/>
      <c r="AB50" s="18"/>
      <c r="AC50" s="18" t="s">
        <v>62</v>
      </c>
      <c r="AD50" s="16" t="s">
        <v>63</v>
      </c>
      <c r="AE50" s="16">
        <v>12</v>
      </c>
      <c r="AF50" s="18" t="s">
        <v>340</v>
      </c>
    </row>
    <row r="51" spans="2:32" ht="14.4" x14ac:dyDescent="0.3">
      <c r="B51" s="16" t="s">
        <v>14</v>
      </c>
      <c r="C51" s="18" t="s">
        <v>374</v>
      </c>
      <c r="D51" s="225" t="s">
        <v>375</v>
      </c>
      <c r="E51" s="38">
        <v>2260058861</v>
      </c>
      <c r="F51" s="22">
        <v>45450</v>
      </c>
      <c r="G51" s="16" t="s">
        <v>55</v>
      </c>
      <c r="H51" s="16">
        <v>4</v>
      </c>
      <c r="I51" s="19">
        <f>607992/2</f>
        <v>303996</v>
      </c>
      <c r="J51" s="16">
        <v>3</v>
      </c>
      <c r="K51" s="321">
        <f t="shared" si="0"/>
        <v>101332</v>
      </c>
      <c r="L51" s="20">
        <v>45748</v>
      </c>
      <c r="M51" s="20">
        <v>46112</v>
      </c>
      <c r="N51" s="18" t="s">
        <v>19</v>
      </c>
      <c r="O51" s="16" t="s">
        <v>3</v>
      </c>
      <c r="P51" s="16"/>
      <c r="Q51" s="21" t="s">
        <v>357</v>
      </c>
      <c r="R51" s="18" t="s">
        <v>379</v>
      </c>
      <c r="S51" s="21" t="s">
        <v>359</v>
      </c>
      <c r="T51" s="18" t="s">
        <v>289</v>
      </c>
      <c r="U51" s="21" t="s">
        <v>361</v>
      </c>
      <c r="V51" s="18" t="s">
        <v>380</v>
      </c>
      <c r="W51" s="18"/>
      <c r="X51" s="18"/>
      <c r="Y51" s="18"/>
      <c r="Z51" s="18"/>
      <c r="AA51" s="18"/>
      <c r="AB51" s="18"/>
      <c r="AC51" s="18" t="s">
        <v>62</v>
      </c>
      <c r="AD51" s="16" t="s">
        <v>63</v>
      </c>
      <c r="AE51" s="16">
        <v>12</v>
      </c>
      <c r="AF51" s="18" t="s">
        <v>340</v>
      </c>
    </row>
    <row r="52" spans="2:32" ht="14.4" x14ac:dyDescent="0.3">
      <c r="B52" s="16" t="s">
        <v>14</v>
      </c>
      <c r="C52" s="18" t="s">
        <v>381</v>
      </c>
      <c r="D52" s="225" t="s">
        <v>86</v>
      </c>
      <c r="E52" s="30" t="s">
        <v>382</v>
      </c>
      <c r="F52" s="22">
        <v>45467</v>
      </c>
      <c r="G52" s="16" t="s">
        <v>55</v>
      </c>
      <c r="H52" s="16">
        <v>26</v>
      </c>
      <c r="I52" s="19">
        <f>3582696/2</f>
        <v>1791348</v>
      </c>
      <c r="J52" s="16">
        <v>3</v>
      </c>
      <c r="K52" s="321">
        <f t="shared" si="0"/>
        <v>597116</v>
      </c>
      <c r="L52" s="20">
        <v>45474</v>
      </c>
      <c r="M52" s="20">
        <v>45838</v>
      </c>
      <c r="N52" s="18"/>
      <c r="O52" s="16"/>
      <c r="P52" s="16"/>
      <c r="Q52" s="21" t="s">
        <v>184</v>
      </c>
      <c r="R52" s="18" t="s">
        <v>383</v>
      </c>
      <c r="S52" s="21" t="s">
        <v>186</v>
      </c>
      <c r="T52" s="18" t="s">
        <v>104</v>
      </c>
      <c r="U52" s="21" t="s">
        <v>188</v>
      </c>
      <c r="V52" s="18" t="s">
        <v>384</v>
      </c>
      <c r="W52" s="18"/>
      <c r="X52" s="18"/>
      <c r="Y52" s="18"/>
      <c r="Z52" s="18"/>
      <c r="AA52" s="18"/>
      <c r="AB52" s="18"/>
      <c r="AC52" s="18" t="s">
        <v>96</v>
      </c>
      <c r="AD52" s="16" t="s">
        <v>97</v>
      </c>
      <c r="AE52" s="16" t="s">
        <v>98</v>
      </c>
      <c r="AF52" s="18" t="s">
        <v>385</v>
      </c>
    </row>
    <row r="53" spans="2:32" ht="14.4" hidden="1" x14ac:dyDescent="0.3">
      <c r="B53" s="16" t="s">
        <v>14</v>
      </c>
      <c r="C53" s="18" t="s">
        <v>381</v>
      </c>
      <c r="D53" s="225" t="s">
        <v>86</v>
      </c>
      <c r="E53" s="30" t="s">
        <v>382</v>
      </c>
      <c r="F53" s="22">
        <v>45467</v>
      </c>
      <c r="G53" s="16" t="s">
        <v>55</v>
      </c>
      <c r="H53" s="16"/>
      <c r="I53" s="19">
        <f>3582696/2</f>
        <v>1791348</v>
      </c>
      <c r="J53" s="16">
        <v>3</v>
      </c>
      <c r="K53" s="321">
        <f t="shared" si="0"/>
        <v>597116</v>
      </c>
      <c r="L53" s="20">
        <v>45839</v>
      </c>
      <c r="M53" s="20">
        <v>46203</v>
      </c>
      <c r="N53" s="18"/>
      <c r="O53" s="16"/>
      <c r="P53" s="16"/>
      <c r="Q53" s="21" t="s">
        <v>190</v>
      </c>
      <c r="R53" s="18" t="s">
        <v>110</v>
      </c>
      <c r="S53" s="21" t="s">
        <v>192</v>
      </c>
      <c r="T53" s="18" t="s">
        <v>386</v>
      </c>
      <c r="U53" s="18" t="s">
        <v>194</v>
      </c>
      <c r="V53" s="18"/>
      <c r="W53" s="18"/>
      <c r="X53" s="18"/>
      <c r="Y53" s="18"/>
      <c r="Z53" s="18"/>
      <c r="AA53" s="18"/>
      <c r="AB53" s="18"/>
      <c r="AC53" s="18" t="s">
        <v>96</v>
      </c>
      <c r="AD53" s="16" t="s">
        <v>97</v>
      </c>
      <c r="AE53" s="16" t="s">
        <v>98</v>
      </c>
      <c r="AF53" s="18" t="s">
        <v>385</v>
      </c>
    </row>
    <row r="54" spans="2:32" ht="14.4" x14ac:dyDescent="0.3">
      <c r="B54" s="16" t="s">
        <v>14</v>
      </c>
      <c r="C54" s="18" t="s">
        <v>387</v>
      </c>
      <c r="D54" s="225" t="s">
        <v>388</v>
      </c>
      <c r="E54" s="16">
        <v>4500023979</v>
      </c>
      <c r="F54" s="22">
        <v>45488</v>
      </c>
      <c r="G54" s="16" t="s">
        <v>55</v>
      </c>
      <c r="H54" s="16">
        <v>1</v>
      </c>
      <c r="I54" s="19">
        <v>67651</v>
      </c>
      <c r="J54" s="16">
        <v>4</v>
      </c>
      <c r="K54" s="321">
        <f t="shared" si="0"/>
        <v>16912.75</v>
      </c>
      <c r="L54" s="20">
        <v>45474</v>
      </c>
      <c r="M54" s="20">
        <v>45838</v>
      </c>
      <c r="N54" s="18"/>
      <c r="O54" s="16"/>
      <c r="P54" s="16"/>
      <c r="Q54" s="21" t="s">
        <v>160</v>
      </c>
      <c r="R54" s="18" t="s">
        <v>389</v>
      </c>
      <c r="S54" s="21" t="s">
        <v>222</v>
      </c>
      <c r="T54" s="18" t="s">
        <v>163</v>
      </c>
      <c r="U54" s="21" t="s">
        <v>390</v>
      </c>
      <c r="V54" s="18" t="s">
        <v>378</v>
      </c>
      <c r="W54" s="21" t="s">
        <v>391</v>
      </c>
      <c r="X54" s="18" t="s">
        <v>392</v>
      </c>
      <c r="Y54" s="18"/>
      <c r="Z54" s="18"/>
      <c r="AA54" s="18"/>
      <c r="AB54" s="18"/>
      <c r="AC54" s="18" t="s">
        <v>393</v>
      </c>
      <c r="AD54" s="16" t="s">
        <v>63</v>
      </c>
      <c r="AE54" s="16">
        <v>4</v>
      </c>
      <c r="AF54" s="18" t="s">
        <v>332</v>
      </c>
    </row>
    <row r="55" spans="2:32" ht="14.4" hidden="1" x14ac:dyDescent="0.3">
      <c r="B55" s="286" t="s">
        <v>14</v>
      </c>
      <c r="C55" s="287" t="s">
        <v>387</v>
      </c>
      <c r="D55" s="288" t="s">
        <v>388</v>
      </c>
      <c r="E55" s="286">
        <v>4500023979</v>
      </c>
      <c r="F55" s="289">
        <v>45488</v>
      </c>
      <c r="G55" s="16" t="s">
        <v>55</v>
      </c>
      <c r="H55" s="356"/>
      <c r="I55" s="19">
        <v>67651</v>
      </c>
      <c r="J55" s="16">
        <v>4</v>
      </c>
      <c r="K55" s="321">
        <f t="shared" si="0"/>
        <v>16912.75</v>
      </c>
      <c r="L55" s="20">
        <v>45839</v>
      </c>
      <c r="M55" s="20">
        <v>46203</v>
      </c>
      <c r="N55" s="18"/>
      <c r="O55" s="16"/>
      <c r="P55" s="16"/>
      <c r="Q55" s="21" t="s">
        <v>168</v>
      </c>
      <c r="R55" s="18" t="s">
        <v>394</v>
      </c>
      <c r="S55" s="21" t="s">
        <v>228</v>
      </c>
      <c r="T55" s="18" t="s">
        <v>395</v>
      </c>
      <c r="U55" s="285" t="s">
        <v>396</v>
      </c>
      <c r="V55" s="18"/>
      <c r="W55" s="285" t="s">
        <v>397</v>
      </c>
      <c r="X55" s="18"/>
      <c r="Y55" s="18"/>
      <c r="Z55" s="18"/>
      <c r="AA55" s="18"/>
      <c r="AB55" s="18"/>
      <c r="AC55" s="18" t="s">
        <v>393</v>
      </c>
      <c r="AD55" s="16" t="s">
        <v>63</v>
      </c>
      <c r="AE55" s="16">
        <v>4</v>
      </c>
      <c r="AF55" s="18" t="s">
        <v>332</v>
      </c>
    </row>
    <row r="56" spans="2:32" ht="14.4" x14ac:dyDescent="0.3">
      <c r="B56" s="16" t="s">
        <v>14</v>
      </c>
      <c r="C56" s="194" t="s">
        <v>150</v>
      </c>
      <c r="D56" s="225" t="s">
        <v>398</v>
      </c>
      <c r="E56" s="16">
        <v>4200280308</v>
      </c>
      <c r="F56" s="22">
        <v>45443</v>
      </c>
      <c r="G56" s="16" t="s">
        <v>55</v>
      </c>
      <c r="H56" s="16">
        <v>2</v>
      </c>
      <c r="I56" s="19">
        <v>117600</v>
      </c>
      <c r="J56" s="16">
        <v>3</v>
      </c>
      <c r="K56" s="321">
        <f t="shared" si="0"/>
        <v>39200</v>
      </c>
      <c r="L56" s="20">
        <v>45444</v>
      </c>
      <c r="M56" s="20">
        <v>45808</v>
      </c>
      <c r="N56" s="18"/>
      <c r="O56" s="16"/>
      <c r="P56" s="16"/>
      <c r="Q56" s="21" t="s">
        <v>314</v>
      </c>
      <c r="R56" s="18" t="s">
        <v>399</v>
      </c>
      <c r="S56" s="21" t="s">
        <v>316</v>
      </c>
      <c r="T56" s="18" t="s">
        <v>400</v>
      </c>
      <c r="U56" s="21" t="s">
        <v>79</v>
      </c>
      <c r="V56" s="18" t="s">
        <v>401</v>
      </c>
      <c r="W56" s="18"/>
      <c r="X56" s="18"/>
      <c r="Y56" s="18"/>
      <c r="Z56" s="18"/>
      <c r="AA56" s="18"/>
      <c r="AB56" s="18"/>
      <c r="AC56" s="18" t="s">
        <v>128</v>
      </c>
      <c r="AD56" s="16" t="s">
        <v>129</v>
      </c>
      <c r="AE56" s="16">
        <v>4</v>
      </c>
      <c r="AF56" s="18"/>
    </row>
    <row r="57" spans="2:32" ht="14.4" hidden="1" x14ac:dyDescent="0.3">
      <c r="B57" s="16" t="s">
        <v>14</v>
      </c>
      <c r="C57" s="194" t="s">
        <v>150</v>
      </c>
      <c r="D57" s="225" t="s">
        <v>398</v>
      </c>
      <c r="E57" s="16">
        <v>4200280308</v>
      </c>
      <c r="F57" s="22">
        <v>45443</v>
      </c>
      <c r="G57" s="16" t="s">
        <v>55</v>
      </c>
      <c r="H57" s="16"/>
      <c r="I57" s="19">
        <v>123480</v>
      </c>
      <c r="J57" s="16">
        <v>3</v>
      </c>
      <c r="K57" s="325">
        <f t="shared" si="0"/>
        <v>41160</v>
      </c>
      <c r="L57" s="20">
        <v>45809</v>
      </c>
      <c r="M57" s="20">
        <v>46173</v>
      </c>
      <c r="N57" s="18"/>
      <c r="O57" s="16"/>
      <c r="P57" s="16"/>
      <c r="Q57" s="21" t="s">
        <v>81</v>
      </c>
      <c r="R57" s="18" t="s">
        <v>402</v>
      </c>
      <c r="S57" s="21" t="s">
        <v>83</v>
      </c>
      <c r="T57" s="18" t="s">
        <v>403</v>
      </c>
      <c r="U57" s="18" t="s">
        <v>404</v>
      </c>
      <c r="V57" s="18"/>
      <c r="W57" s="18"/>
      <c r="X57" s="18"/>
      <c r="Y57" s="18"/>
      <c r="Z57" s="18"/>
      <c r="AA57" s="18"/>
      <c r="AB57" s="18"/>
      <c r="AC57" s="18" t="s">
        <v>128</v>
      </c>
      <c r="AD57" s="16" t="s">
        <v>129</v>
      </c>
      <c r="AE57" s="16">
        <v>4</v>
      </c>
      <c r="AF57" s="18" t="s">
        <v>405</v>
      </c>
    </row>
    <row r="58" spans="2:32" ht="14.4" hidden="1" x14ac:dyDescent="0.3">
      <c r="B58" s="16" t="s">
        <v>14</v>
      </c>
      <c r="C58" s="194" t="s">
        <v>150</v>
      </c>
      <c r="D58" s="225" t="s">
        <v>398</v>
      </c>
      <c r="E58" s="16">
        <v>4200280308</v>
      </c>
      <c r="F58" s="22">
        <v>45443</v>
      </c>
      <c r="G58" s="16" t="s">
        <v>55</v>
      </c>
      <c r="H58" s="16"/>
      <c r="I58" s="19">
        <v>129654</v>
      </c>
      <c r="J58" s="16">
        <v>3</v>
      </c>
      <c r="K58" s="321">
        <f t="shared" si="0"/>
        <v>43218</v>
      </c>
      <c r="L58" s="20">
        <v>46174</v>
      </c>
      <c r="M58" s="20">
        <v>46538</v>
      </c>
      <c r="N58" s="18"/>
      <c r="O58" s="16"/>
      <c r="P58" s="16"/>
      <c r="Q58" s="18" t="s">
        <v>406</v>
      </c>
      <c r="R58" s="18"/>
      <c r="S58" s="18" t="s">
        <v>407</v>
      </c>
      <c r="T58" s="18"/>
      <c r="U58" s="18" t="s">
        <v>408</v>
      </c>
      <c r="V58" s="18"/>
      <c r="W58" s="18"/>
      <c r="X58" s="18"/>
      <c r="Y58" s="18"/>
      <c r="Z58" s="18"/>
      <c r="AA58" s="18"/>
      <c r="AB58" s="18"/>
      <c r="AC58" s="18" t="s">
        <v>128</v>
      </c>
      <c r="AD58" s="16" t="s">
        <v>129</v>
      </c>
      <c r="AE58" s="16">
        <v>4</v>
      </c>
      <c r="AF58" s="18" t="s">
        <v>405</v>
      </c>
    </row>
    <row r="59" spans="2:32" ht="14.4" x14ac:dyDescent="0.3">
      <c r="B59" s="16" t="s">
        <v>14</v>
      </c>
      <c r="C59" s="18" t="s">
        <v>409</v>
      </c>
      <c r="D59" s="225" t="s">
        <v>86</v>
      </c>
      <c r="E59" s="30" t="s">
        <v>410</v>
      </c>
      <c r="F59" s="29">
        <v>45558</v>
      </c>
      <c r="G59" s="16" t="s">
        <v>55</v>
      </c>
      <c r="H59" s="16">
        <v>2</v>
      </c>
      <c r="I59" s="19">
        <f>290488/2</f>
        <v>145244</v>
      </c>
      <c r="J59" s="16">
        <v>3</v>
      </c>
      <c r="K59" s="321">
        <f t="shared" si="0"/>
        <v>48414.666666666664</v>
      </c>
      <c r="L59" s="20">
        <v>45566</v>
      </c>
      <c r="M59" s="20">
        <v>45930</v>
      </c>
      <c r="N59" s="18"/>
      <c r="O59" s="16"/>
      <c r="P59" s="16"/>
      <c r="Q59" s="21" t="s">
        <v>411</v>
      </c>
      <c r="R59" s="18" t="s">
        <v>412</v>
      </c>
      <c r="S59" s="21" t="s">
        <v>318</v>
      </c>
      <c r="T59" s="18" t="s">
        <v>413</v>
      </c>
      <c r="U59" s="21" t="s">
        <v>414</v>
      </c>
      <c r="V59" s="18" t="s">
        <v>415</v>
      </c>
      <c r="W59" s="18"/>
      <c r="X59" s="18"/>
      <c r="Y59" s="18"/>
      <c r="Z59" s="18"/>
      <c r="AA59" s="18"/>
      <c r="AB59" s="18"/>
      <c r="AC59" s="18" t="s">
        <v>281</v>
      </c>
      <c r="AD59" s="16" t="s">
        <v>97</v>
      </c>
      <c r="AE59" s="16">
        <v>6</v>
      </c>
      <c r="AF59" s="18" t="s">
        <v>332</v>
      </c>
    </row>
    <row r="60" spans="2:32" ht="14.4" hidden="1" x14ac:dyDescent="0.3">
      <c r="B60" s="16" t="s">
        <v>14</v>
      </c>
      <c r="C60" s="18" t="s">
        <v>409</v>
      </c>
      <c r="D60" s="225" t="s">
        <v>86</v>
      </c>
      <c r="E60" s="48" t="s">
        <v>410</v>
      </c>
      <c r="F60" s="29">
        <v>45558</v>
      </c>
      <c r="G60" s="16" t="s">
        <v>55</v>
      </c>
      <c r="H60" s="16"/>
      <c r="I60" s="19">
        <f>290488/2</f>
        <v>145244</v>
      </c>
      <c r="J60" s="16">
        <v>3</v>
      </c>
      <c r="K60" s="325">
        <f t="shared" si="0"/>
        <v>48414.666666666664</v>
      </c>
      <c r="L60" s="20">
        <v>45931</v>
      </c>
      <c r="M60" s="20">
        <v>46295</v>
      </c>
      <c r="N60" s="18"/>
      <c r="O60" s="16"/>
      <c r="P60" s="16"/>
      <c r="Q60" s="21" t="s">
        <v>416</v>
      </c>
      <c r="R60" s="18" t="s">
        <v>417</v>
      </c>
      <c r="S60" s="21" t="s">
        <v>321</v>
      </c>
      <c r="T60" s="18" t="s">
        <v>1524</v>
      </c>
      <c r="U60" s="18" t="s">
        <v>418</v>
      </c>
      <c r="V60" s="18"/>
      <c r="W60" s="18"/>
      <c r="X60" s="18"/>
      <c r="Y60" s="18"/>
      <c r="Z60" s="18"/>
      <c r="AA60" s="18"/>
      <c r="AB60" s="18"/>
      <c r="AC60" s="18" t="s">
        <v>281</v>
      </c>
      <c r="AD60" s="16" t="s">
        <v>97</v>
      </c>
      <c r="AE60" s="16">
        <v>6</v>
      </c>
      <c r="AF60" s="18" t="s">
        <v>332</v>
      </c>
    </row>
    <row r="61" spans="2:32" ht="14.4" x14ac:dyDescent="0.3">
      <c r="B61" s="16" t="s">
        <v>14</v>
      </c>
      <c r="C61" s="18" t="s">
        <v>419</v>
      </c>
      <c r="D61" s="225" t="s">
        <v>151</v>
      </c>
      <c r="E61" s="16">
        <v>4508706140</v>
      </c>
      <c r="F61" s="22">
        <v>45566</v>
      </c>
      <c r="G61" s="16" t="s">
        <v>55</v>
      </c>
      <c r="H61" s="16">
        <v>3</v>
      </c>
      <c r="I61" s="19">
        <f>59400+59400+54000+32000</f>
        <v>204800</v>
      </c>
      <c r="J61" s="16">
        <v>2</v>
      </c>
      <c r="K61" s="321">
        <f t="shared" si="0"/>
        <v>102400</v>
      </c>
      <c r="L61" s="20">
        <v>45505</v>
      </c>
      <c r="M61" s="20">
        <v>45869</v>
      </c>
      <c r="N61" s="18"/>
      <c r="O61" s="16"/>
      <c r="P61" s="16" t="s">
        <v>1</v>
      </c>
      <c r="Q61" s="21" t="s">
        <v>420</v>
      </c>
      <c r="R61" s="18" t="s">
        <v>421</v>
      </c>
      <c r="S61" s="21" t="s">
        <v>422</v>
      </c>
      <c r="T61" s="18" t="s">
        <v>423</v>
      </c>
      <c r="U61" s="18"/>
      <c r="V61" s="18"/>
      <c r="W61" s="18"/>
      <c r="X61" s="18"/>
      <c r="Y61" s="18"/>
      <c r="Z61" s="18"/>
      <c r="AA61" s="18"/>
      <c r="AB61" s="18"/>
      <c r="AC61" s="18" t="s">
        <v>62</v>
      </c>
      <c r="AD61" s="16" t="s">
        <v>63</v>
      </c>
      <c r="AE61" s="16">
        <v>9</v>
      </c>
      <c r="AF61" s="18" t="s">
        <v>332</v>
      </c>
    </row>
    <row r="62" spans="2:32" ht="14.4" hidden="1" x14ac:dyDescent="0.3">
      <c r="B62" s="16" t="s">
        <v>14</v>
      </c>
      <c r="C62" s="18" t="s">
        <v>419</v>
      </c>
      <c r="D62" s="225" t="s">
        <v>151</v>
      </c>
      <c r="E62" s="16">
        <v>4508706140</v>
      </c>
      <c r="F62" s="22">
        <v>45566</v>
      </c>
      <c r="G62" s="16" t="s">
        <v>55</v>
      </c>
      <c r="H62" s="16"/>
      <c r="I62" s="19">
        <f>59400+59400+54000+32000</f>
        <v>204800</v>
      </c>
      <c r="J62" s="16">
        <v>2</v>
      </c>
      <c r="K62" s="321">
        <f t="shared" si="0"/>
        <v>102400</v>
      </c>
      <c r="L62" s="20">
        <v>45870</v>
      </c>
      <c r="M62" s="20">
        <v>46234</v>
      </c>
      <c r="N62" s="18"/>
      <c r="O62" s="16"/>
      <c r="P62" s="16" t="s">
        <v>1</v>
      </c>
      <c r="Q62" s="21" t="s">
        <v>424</v>
      </c>
      <c r="R62" s="18" t="s">
        <v>425</v>
      </c>
      <c r="S62" s="18" t="s">
        <v>426</v>
      </c>
      <c r="T62" s="18"/>
      <c r="U62" s="18"/>
      <c r="V62" s="18"/>
      <c r="W62" s="18"/>
      <c r="X62" s="18"/>
      <c r="Y62" s="18"/>
      <c r="Z62" s="18"/>
      <c r="AA62" s="18"/>
      <c r="AB62" s="18"/>
      <c r="AC62" s="18" t="s">
        <v>62</v>
      </c>
      <c r="AD62" s="16" t="s">
        <v>63</v>
      </c>
      <c r="AE62" s="16">
        <v>9</v>
      </c>
      <c r="AF62" s="18" t="s">
        <v>332</v>
      </c>
    </row>
    <row r="63" spans="2:32" ht="14.4" hidden="1" x14ac:dyDescent="0.3">
      <c r="B63" s="16" t="s">
        <v>14</v>
      </c>
      <c r="C63" s="18" t="s">
        <v>419</v>
      </c>
      <c r="D63" s="225" t="s">
        <v>151</v>
      </c>
      <c r="E63" s="16">
        <v>4508706140</v>
      </c>
      <c r="F63" s="22">
        <v>45566</v>
      </c>
      <c r="G63" s="16" t="s">
        <v>55</v>
      </c>
      <c r="H63" s="16"/>
      <c r="I63" s="19">
        <f>59400+59400+54000+32000</f>
        <v>204800</v>
      </c>
      <c r="J63" s="16">
        <v>2</v>
      </c>
      <c r="K63" s="321">
        <f t="shared" si="0"/>
        <v>102400</v>
      </c>
      <c r="L63" s="20">
        <v>46235</v>
      </c>
      <c r="M63" s="20">
        <v>46599</v>
      </c>
      <c r="N63" s="18"/>
      <c r="O63" s="16"/>
      <c r="P63" s="16" t="s">
        <v>1</v>
      </c>
      <c r="Q63" s="18" t="s">
        <v>427</v>
      </c>
      <c r="R63" s="18"/>
      <c r="S63" s="18" t="s">
        <v>428</v>
      </c>
      <c r="T63" s="18"/>
      <c r="U63" s="18"/>
      <c r="V63" s="18"/>
      <c r="W63" s="18"/>
      <c r="X63" s="18"/>
      <c r="Y63" s="18"/>
      <c r="Z63" s="18"/>
      <c r="AA63" s="18"/>
      <c r="AB63" s="18"/>
      <c r="AC63" s="18" t="s">
        <v>62</v>
      </c>
      <c r="AD63" s="16" t="s">
        <v>63</v>
      </c>
      <c r="AE63" s="16">
        <v>9</v>
      </c>
      <c r="AF63" s="18" t="s">
        <v>332</v>
      </c>
    </row>
    <row r="64" spans="2:32" ht="14.4" x14ac:dyDescent="0.3">
      <c r="B64" s="16" t="s">
        <v>14</v>
      </c>
      <c r="C64" s="18" t="s">
        <v>419</v>
      </c>
      <c r="D64" s="225" t="s">
        <v>151</v>
      </c>
      <c r="E64" s="16">
        <v>4508706120</v>
      </c>
      <c r="F64" s="22">
        <v>45566</v>
      </c>
      <c r="G64" s="16" t="s">
        <v>55</v>
      </c>
      <c r="H64" s="16">
        <v>2</v>
      </c>
      <c r="I64" s="19">
        <f t="shared" ref="I64:I69" si="1">54000+54000+32000</f>
        <v>140000</v>
      </c>
      <c r="J64" s="16">
        <v>2</v>
      </c>
      <c r="K64" s="321">
        <f t="shared" si="0"/>
        <v>70000</v>
      </c>
      <c r="L64" s="20">
        <v>45505</v>
      </c>
      <c r="M64" s="20">
        <v>45869</v>
      </c>
      <c r="N64" s="18"/>
      <c r="O64" s="16"/>
      <c r="P64" s="16" t="s">
        <v>1</v>
      </c>
      <c r="Q64" s="21" t="s">
        <v>420</v>
      </c>
      <c r="R64" s="18" t="s">
        <v>421</v>
      </c>
      <c r="S64" s="21" t="s">
        <v>422</v>
      </c>
      <c r="T64" s="18" t="s">
        <v>429</v>
      </c>
      <c r="U64" s="18"/>
      <c r="V64" s="18"/>
      <c r="W64" s="18"/>
      <c r="X64" s="18"/>
      <c r="Y64" s="18"/>
      <c r="Z64" s="18"/>
      <c r="AA64" s="18"/>
      <c r="AB64" s="18"/>
      <c r="AC64" s="18" t="s">
        <v>62</v>
      </c>
      <c r="AD64" s="16" t="s">
        <v>63</v>
      </c>
      <c r="AE64" s="16">
        <v>9</v>
      </c>
      <c r="AF64" s="18" t="s">
        <v>332</v>
      </c>
    </row>
    <row r="65" spans="2:32" ht="14.4" hidden="1" x14ac:dyDescent="0.3">
      <c r="B65" s="16" t="s">
        <v>14</v>
      </c>
      <c r="C65" s="18" t="s">
        <v>419</v>
      </c>
      <c r="D65" s="225" t="s">
        <v>151</v>
      </c>
      <c r="E65" s="16">
        <v>4508706120</v>
      </c>
      <c r="F65" s="22">
        <v>45566</v>
      </c>
      <c r="G65" s="16" t="s">
        <v>55</v>
      </c>
      <c r="H65" s="16"/>
      <c r="I65" s="19">
        <f t="shared" si="1"/>
        <v>140000</v>
      </c>
      <c r="J65" s="16">
        <v>2</v>
      </c>
      <c r="K65" s="321">
        <f t="shared" si="0"/>
        <v>70000</v>
      </c>
      <c r="L65" s="20">
        <v>45870</v>
      </c>
      <c r="M65" s="20">
        <v>46234</v>
      </c>
      <c r="N65" s="18"/>
      <c r="O65" s="16"/>
      <c r="P65" s="16" t="s">
        <v>1</v>
      </c>
      <c r="Q65" s="21" t="s">
        <v>424</v>
      </c>
      <c r="R65" s="18" t="s">
        <v>430</v>
      </c>
      <c r="S65" s="18" t="s">
        <v>426</v>
      </c>
      <c r="T65" s="18"/>
      <c r="U65" s="18"/>
      <c r="V65" s="18"/>
      <c r="W65" s="18"/>
      <c r="X65" s="18"/>
      <c r="Y65" s="18"/>
      <c r="Z65" s="18"/>
      <c r="AA65" s="18"/>
      <c r="AB65" s="18"/>
      <c r="AC65" s="18" t="s">
        <v>62</v>
      </c>
      <c r="AD65" s="16" t="s">
        <v>63</v>
      </c>
      <c r="AE65" s="16">
        <v>9</v>
      </c>
      <c r="AF65" s="18" t="s">
        <v>332</v>
      </c>
    </row>
    <row r="66" spans="2:32" ht="14.4" hidden="1" x14ac:dyDescent="0.3">
      <c r="B66" s="16" t="s">
        <v>14</v>
      </c>
      <c r="C66" s="18" t="s">
        <v>419</v>
      </c>
      <c r="D66" s="225" t="s">
        <v>151</v>
      </c>
      <c r="E66" s="16">
        <v>4508706120</v>
      </c>
      <c r="F66" s="22">
        <v>45566</v>
      </c>
      <c r="G66" s="16" t="s">
        <v>55</v>
      </c>
      <c r="H66" s="16"/>
      <c r="I66" s="19">
        <f t="shared" si="1"/>
        <v>140000</v>
      </c>
      <c r="J66" s="16">
        <v>2</v>
      </c>
      <c r="K66" s="321">
        <f t="shared" si="0"/>
        <v>70000</v>
      </c>
      <c r="L66" s="20">
        <v>46235</v>
      </c>
      <c r="M66" s="20">
        <v>46599</v>
      </c>
      <c r="N66" s="18"/>
      <c r="O66" s="16"/>
      <c r="P66" s="16" t="s">
        <v>1</v>
      </c>
      <c r="Q66" s="18" t="s">
        <v>427</v>
      </c>
      <c r="R66" s="18"/>
      <c r="S66" s="18" t="s">
        <v>428</v>
      </c>
      <c r="T66" s="18"/>
      <c r="U66" s="18"/>
      <c r="V66" s="18"/>
      <c r="W66" s="18"/>
      <c r="X66" s="18"/>
      <c r="Y66" s="18"/>
      <c r="Z66" s="18"/>
      <c r="AA66" s="18"/>
      <c r="AB66" s="18"/>
      <c r="AC66" s="18" t="s">
        <v>62</v>
      </c>
      <c r="AD66" s="16" t="s">
        <v>63</v>
      </c>
      <c r="AE66" s="16">
        <v>9</v>
      </c>
      <c r="AF66" s="18" t="s">
        <v>332</v>
      </c>
    </row>
    <row r="67" spans="2:32" ht="14.4" x14ac:dyDescent="0.3">
      <c r="B67" s="16" t="s">
        <v>14</v>
      </c>
      <c r="C67" s="18" t="s">
        <v>419</v>
      </c>
      <c r="D67" s="225" t="s">
        <v>151</v>
      </c>
      <c r="E67" s="16">
        <v>4508706133</v>
      </c>
      <c r="F67" s="22">
        <v>45566</v>
      </c>
      <c r="G67" s="16" t="s">
        <v>55</v>
      </c>
      <c r="H67" s="16">
        <v>2</v>
      </c>
      <c r="I67" s="19">
        <f t="shared" si="1"/>
        <v>140000</v>
      </c>
      <c r="J67" s="16">
        <v>2</v>
      </c>
      <c r="K67" s="321">
        <f t="shared" si="0"/>
        <v>70000</v>
      </c>
      <c r="L67" s="20">
        <v>45505</v>
      </c>
      <c r="M67" s="20">
        <v>45869</v>
      </c>
      <c r="N67" s="18"/>
      <c r="O67" s="16"/>
      <c r="P67" s="16" t="s">
        <v>1</v>
      </c>
      <c r="Q67" s="21" t="s">
        <v>420</v>
      </c>
      <c r="R67" s="18" t="s">
        <v>421</v>
      </c>
      <c r="S67" s="21" t="s">
        <v>422</v>
      </c>
      <c r="T67" s="18" t="s">
        <v>431</v>
      </c>
      <c r="U67" s="18"/>
      <c r="V67" s="18"/>
      <c r="W67" s="18"/>
      <c r="X67" s="18"/>
      <c r="Y67" s="18"/>
      <c r="Z67" s="18"/>
      <c r="AA67" s="18"/>
      <c r="AB67" s="18"/>
      <c r="AC67" s="18" t="s">
        <v>62</v>
      </c>
      <c r="AD67" s="16" t="s">
        <v>63</v>
      </c>
      <c r="AE67" s="16">
        <v>9</v>
      </c>
      <c r="AF67" s="18" t="s">
        <v>332</v>
      </c>
    </row>
    <row r="68" spans="2:32" ht="14.4" hidden="1" x14ac:dyDescent="0.3">
      <c r="B68" s="16" t="s">
        <v>14</v>
      </c>
      <c r="C68" s="18" t="s">
        <v>419</v>
      </c>
      <c r="D68" s="225" t="s">
        <v>151</v>
      </c>
      <c r="E68" s="16">
        <v>4508706133</v>
      </c>
      <c r="F68" s="22">
        <v>45566</v>
      </c>
      <c r="G68" s="16" t="s">
        <v>55</v>
      </c>
      <c r="H68" s="16"/>
      <c r="I68" s="19">
        <f t="shared" si="1"/>
        <v>140000</v>
      </c>
      <c r="J68" s="16">
        <v>2</v>
      </c>
      <c r="K68" s="321">
        <f t="shared" si="0"/>
        <v>70000</v>
      </c>
      <c r="L68" s="20">
        <v>45870</v>
      </c>
      <c r="M68" s="20">
        <v>46234</v>
      </c>
      <c r="N68" s="18"/>
      <c r="O68" s="16"/>
      <c r="P68" s="16" t="s">
        <v>1</v>
      </c>
      <c r="Q68" s="21" t="s">
        <v>424</v>
      </c>
      <c r="R68" s="18" t="s">
        <v>432</v>
      </c>
      <c r="S68" s="18" t="s">
        <v>426</v>
      </c>
      <c r="T68" s="18"/>
      <c r="U68" s="18"/>
      <c r="V68" s="18"/>
      <c r="W68" s="18"/>
      <c r="X68" s="18"/>
      <c r="Y68" s="18"/>
      <c r="Z68" s="18"/>
      <c r="AA68" s="18"/>
      <c r="AB68" s="18"/>
      <c r="AC68" s="18" t="s">
        <v>62</v>
      </c>
      <c r="AD68" s="16" t="s">
        <v>63</v>
      </c>
      <c r="AE68" s="16">
        <v>9</v>
      </c>
      <c r="AF68" s="18" t="s">
        <v>332</v>
      </c>
    </row>
    <row r="69" spans="2:32" ht="14.4" hidden="1" x14ac:dyDescent="0.3">
      <c r="B69" s="16" t="s">
        <v>14</v>
      </c>
      <c r="C69" s="18" t="s">
        <v>419</v>
      </c>
      <c r="D69" s="225" t="s">
        <v>151</v>
      </c>
      <c r="E69" s="16">
        <v>4508706133</v>
      </c>
      <c r="F69" s="22">
        <v>45566</v>
      </c>
      <c r="G69" s="16" t="s">
        <v>55</v>
      </c>
      <c r="H69" s="16"/>
      <c r="I69" s="19">
        <f t="shared" si="1"/>
        <v>140000</v>
      </c>
      <c r="J69" s="16">
        <v>2</v>
      </c>
      <c r="K69" s="321">
        <f t="shared" si="0"/>
        <v>70000</v>
      </c>
      <c r="L69" s="20">
        <v>46235</v>
      </c>
      <c r="M69" s="20">
        <v>46599</v>
      </c>
      <c r="N69" s="18"/>
      <c r="O69" s="16"/>
      <c r="P69" s="16" t="s">
        <v>1</v>
      </c>
      <c r="Q69" s="18" t="s">
        <v>427</v>
      </c>
      <c r="R69" s="18"/>
      <c r="S69" s="18" t="s">
        <v>428</v>
      </c>
      <c r="T69" s="18"/>
      <c r="U69" s="18"/>
      <c r="V69" s="18"/>
      <c r="W69" s="18"/>
      <c r="X69" s="18"/>
      <c r="Y69" s="18"/>
      <c r="Z69" s="18"/>
      <c r="AA69" s="18"/>
      <c r="AB69" s="18"/>
      <c r="AC69" s="18" t="s">
        <v>62</v>
      </c>
      <c r="AD69" s="16" t="s">
        <v>63</v>
      </c>
      <c r="AE69" s="16">
        <v>9</v>
      </c>
      <c r="AF69" s="18" t="s">
        <v>332</v>
      </c>
    </row>
    <row r="70" spans="2:32" ht="14.4" x14ac:dyDescent="0.3">
      <c r="B70" s="16" t="s">
        <v>14</v>
      </c>
      <c r="C70" s="45" t="s">
        <v>433</v>
      </c>
      <c r="D70" s="226" t="s">
        <v>434</v>
      </c>
      <c r="E70" s="46" t="s">
        <v>435</v>
      </c>
      <c r="F70" s="47">
        <v>45581</v>
      </c>
      <c r="G70" s="27" t="s">
        <v>436</v>
      </c>
      <c r="H70" s="16">
        <v>10</v>
      </c>
      <c r="I70" s="19">
        <f>(6572290/118*100)/2</f>
        <v>2784868.6440677969</v>
      </c>
      <c r="J70" s="16">
        <v>4</v>
      </c>
      <c r="K70" s="321">
        <f t="shared" si="0"/>
        <v>696217.16101694922</v>
      </c>
      <c r="L70" s="20">
        <v>45597</v>
      </c>
      <c r="M70" s="20">
        <v>45961</v>
      </c>
      <c r="N70" s="18"/>
      <c r="O70" s="16"/>
      <c r="P70" s="16" t="s">
        <v>437</v>
      </c>
      <c r="Q70" s="21" t="s">
        <v>262</v>
      </c>
      <c r="R70" s="18" t="s">
        <v>438</v>
      </c>
      <c r="S70" s="21" t="s">
        <v>264</v>
      </c>
      <c r="T70" s="18" t="s">
        <v>124</v>
      </c>
      <c r="U70" s="21" t="s">
        <v>266</v>
      </c>
      <c r="V70" s="18" t="s">
        <v>439</v>
      </c>
      <c r="W70" s="21" t="s">
        <v>267</v>
      </c>
      <c r="X70" s="18" t="s">
        <v>440</v>
      </c>
      <c r="Y70" s="18"/>
      <c r="Z70" s="18"/>
      <c r="AA70" s="18"/>
      <c r="AB70" s="18"/>
      <c r="AC70" s="18" t="s">
        <v>281</v>
      </c>
      <c r="AD70" s="16" t="s">
        <v>97</v>
      </c>
      <c r="AE70" s="16" t="s">
        <v>98</v>
      </c>
      <c r="AF70" s="18" t="s">
        <v>332</v>
      </c>
    </row>
    <row r="71" spans="2:32" ht="14.4" hidden="1" x14ac:dyDescent="0.3">
      <c r="B71" s="16" t="s">
        <v>14</v>
      </c>
      <c r="C71" s="45" t="s">
        <v>433</v>
      </c>
      <c r="D71" s="226" t="s">
        <v>434</v>
      </c>
      <c r="E71" s="46" t="s">
        <v>435</v>
      </c>
      <c r="F71" s="47">
        <v>45581</v>
      </c>
      <c r="G71" s="27" t="s">
        <v>436</v>
      </c>
      <c r="H71" s="16"/>
      <c r="I71" s="19">
        <f>(6572290/118*100)/2</f>
        <v>2784868.6440677969</v>
      </c>
      <c r="J71" s="16">
        <v>4</v>
      </c>
      <c r="K71" s="321">
        <f t="shared" si="0"/>
        <v>696217.16101694922</v>
      </c>
      <c r="L71" s="20">
        <v>45962</v>
      </c>
      <c r="M71" s="20">
        <v>46326</v>
      </c>
      <c r="N71" s="18"/>
      <c r="O71" s="16"/>
      <c r="P71" s="16" t="s">
        <v>437</v>
      </c>
      <c r="Q71" s="21" t="s">
        <v>269</v>
      </c>
      <c r="R71" s="18" t="s">
        <v>441</v>
      </c>
      <c r="S71" s="21" t="s">
        <v>442</v>
      </c>
      <c r="T71" s="18" t="s">
        <v>443</v>
      </c>
      <c r="U71" s="18" t="s">
        <v>444</v>
      </c>
      <c r="V71" s="18"/>
      <c r="W71" s="18" t="s">
        <v>445</v>
      </c>
      <c r="X71" s="18"/>
      <c r="Y71" s="18"/>
      <c r="Z71" s="18"/>
      <c r="AA71" s="18"/>
      <c r="AB71" s="18"/>
      <c r="AC71" s="18" t="s">
        <v>281</v>
      </c>
      <c r="AD71" s="16" t="s">
        <v>97</v>
      </c>
      <c r="AE71" s="16" t="s">
        <v>98</v>
      </c>
      <c r="AF71" s="18" t="s">
        <v>332</v>
      </c>
    </row>
    <row r="72" spans="2:32" ht="14.4" x14ac:dyDescent="0.3">
      <c r="B72" s="16" t="s">
        <v>14</v>
      </c>
      <c r="C72" s="18" t="s">
        <v>446</v>
      </c>
      <c r="D72" s="225" t="s">
        <v>447</v>
      </c>
      <c r="E72" s="46" t="s">
        <v>448</v>
      </c>
      <c r="F72" s="47">
        <v>45589</v>
      </c>
      <c r="G72" s="16" t="s">
        <v>55</v>
      </c>
      <c r="H72" s="16">
        <v>3</v>
      </c>
      <c r="I72" s="19">
        <f>44887.5*4</f>
        <v>179550</v>
      </c>
      <c r="J72" s="16">
        <v>4</v>
      </c>
      <c r="K72" s="321">
        <f t="shared" ref="K72:K135" si="2">I72/J72</f>
        <v>44887.5</v>
      </c>
      <c r="L72" s="20">
        <v>45597</v>
      </c>
      <c r="M72" s="20">
        <v>45961</v>
      </c>
      <c r="N72" s="18"/>
      <c r="O72" s="16"/>
      <c r="P72" s="16"/>
      <c r="Q72" s="21" t="s">
        <v>262</v>
      </c>
      <c r="R72" s="21" t="s">
        <v>449</v>
      </c>
      <c r="S72" s="21" t="s">
        <v>264</v>
      </c>
      <c r="T72" s="18" t="s">
        <v>450</v>
      </c>
      <c r="U72" s="21" t="s">
        <v>266</v>
      </c>
      <c r="V72" s="18" t="s">
        <v>451</v>
      </c>
      <c r="W72" s="21" t="s">
        <v>267</v>
      </c>
      <c r="X72" s="18" t="s">
        <v>452</v>
      </c>
      <c r="Y72" s="18"/>
      <c r="Z72" s="18"/>
      <c r="AA72" s="18"/>
      <c r="AB72" s="18"/>
      <c r="AC72" s="18" t="s">
        <v>96</v>
      </c>
      <c r="AD72" s="16" t="s">
        <v>97</v>
      </c>
      <c r="AE72" s="16" t="s">
        <v>98</v>
      </c>
      <c r="AF72" s="18" t="s">
        <v>453</v>
      </c>
    </row>
    <row r="73" spans="2:32" ht="14.4" hidden="1" x14ac:dyDescent="0.3">
      <c r="B73" s="16" t="s">
        <v>14</v>
      </c>
      <c r="C73" s="18" t="s">
        <v>446</v>
      </c>
      <c r="D73" s="225" t="s">
        <v>447</v>
      </c>
      <c r="E73" s="46" t="s">
        <v>448</v>
      </c>
      <c r="F73" s="47">
        <v>45589</v>
      </c>
      <c r="G73" s="16" t="s">
        <v>55</v>
      </c>
      <c r="H73" s="16"/>
      <c r="I73" s="19">
        <f>47133.75*4</f>
        <v>188535</v>
      </c>
      <c r="J73" s="16">
        <v>4</v>
      </c>
      <c r="K73" s="321">
        <f t="shared" si="2"/>
        <v>47133.75</v>
      </c>
      <c r="L73" s="20">
        <v>45962</v>
      </c>
      <c r="M73" s="20">
        <v>46326</v>
      </c>
      <c r="N73" s="18"/>
      <c r="O73" s="16"/>
      <c r="P73" s="16"/>
      <c r="Q73" s="21" t="s">
        <v>269</v>
      </c>
      <c r="R73" s="18" t="s">
        <v>454</v>
      </c>
      <c r="S73" s="21" t="s">
        <v>442</v>
      </c>
      <c r="T73" s="18" t="s">
        <v>455</v>
      </c>
      <c r="U73" s="18" t="s">
        <v>444</v>
      </c>
      <c r="V73" s="18"/>
      <c r="W73" s="18" t="s">
        <v>445</v>
      </c>
      <c r="X73" s="18"/>
      <c r="Y73" s="18"/>
      <c r="Z73" s="18"/>
      <c r="AA73" s="18"/>
      <c r="AB73" s="18"/>
      <c r="AC73" s="18" t="s">
        <v>96</v>
      </c>
      <c r="AD73" s="16" t="s">
        <v>97</v>
      </c>
      <c r="AE73" s="16" t="s">
        <v>98</v>
      </c>
      <c r="AF73" s="18" t="s">
        <v>453</v>
      </c>
    </row>
    <row r="74" spans="2:32" ht="14.4" hidden="1" x14ac:dyDescent="0.3">
      <c r="B74" s="16" t="s">
        <v>14</v>
      </c>
      <c r="C74" s="18" t="s">
        <v>446</v>
      </c>
      <c r="D74" s="225" t="s">
        <v>447</v>
      </c>
      <c r="E74" s="46" t="s">
        <v>448</v>
      </c>
      <c r="F74" s="47">
        <v>45589</v>
      </c>
      <c r="G74" s="16" t="s">
        <v>55</v>
      </c>
      <c r="H74" s="16"/>
      <c r="I74" s="19">
        <f>49488.75*4</f>
        <v>197955</v>
      </c>
      <c r="J74" s="16">
        <v>4</v>
      </c>
      <c r="K74" s="321">
        <f t="shared" si="2"/>
        <v>49488.75</v>
      </c>
      <c r="L74" s="20">
        <v>46327</v>
      </c>
      <c r="M74" s="20">
        <v>46691</v>
      </c>
      <c r="N74" s="18"/>
      <c r="O74" s="16"/>
      <c r="P74" s="16"/>
      <c r="Q74" s="18" t="s">
        <v>456</v>
      </c>
      <c r="R74" s="18"/>
      <c r="S74" s="18" t="s">
        <v>457</v>
      </c>
      <c r="T74" s="18"/>
      <c r="U74" s="18" t="s">
        <v>458</v>
      </c>
      <c r="V74" s="18"/>
      <c r="W74" s="18" t="s">
        <v>459</v>
      </c>
      <c r="X74" s="18"/>
      <c r="Y74" s="18"/>
      <c r="Z74" s="18"/>
      <c r="AA74" s="18"/>
      <c r="AB74" s="18"/>
      <c r="AC74" s="18" t="s">
        <v>96</v>
      </c>
      <c r="AD74" s="16" t="s">
        <v>97</v>
      </c>
      <c r="AE74" s="16" t="s">
        <v>98</v>
      </c>
      <c r="AF74" s="18" t="s">
        <v>453</v>
      </c>
    </row>
    <row r="75" spans="2:32" ht="14.4" x14ac:dyDescent="0.3">
      <c r="B75" s="16" t="s">
        <v>14</v>
      </c>
      <c r="C75" s="18" t="s">
        <v>460</v>
      </c>
      <c r="D75" s="225" t="s">
        <v>151</v>
      </c>
      <c r="E75" s="28">
        <v>1240038765</v>
      </c>
      <c r="F75" s="22">
        <v>45591</v>
      </c>
      <c r="G75" s="16" t="s">
        <v>55</v>
      </c>
      <c r="H75" s="16">
        <v>1</v>
      </c>
      <c r="I75" s="19">
        <v>150000</v>
      </c>
      <c r="J75" s="16">
        <v>4</v>
      </c>
      <c r="K75" s="321">
        <f t="shared" si="2"/>
        <v>37500</v>
      </c>
      <c r="L75" s="20">
        <v>45566</v>
      </c>
      <c r="M75" s="20">
        <v>46295</v>
      </c>
      <c r="N75" s="18"/>
      <c r="O75" s="16"/>
      <c r="P75" s="16"/>
      <c r="Q75" s="21" t="s">
        <v>461</v>
      </c>
      <c r="R75" s="18" t="s">
        <v>462</v>
      </c>
      <c r="S75" s="21" t="s">
        <v>463</v>
      </c>
      <c r="T75" s="18" t="s">
        <v>464</v>
      </c>
      <c r="U75" s="21" t="s">
        <v>465</v>
      </c>
      <c r="V75" s="18" t="s">
        <v>466</v>
      </c>
      <c r="W75" s="18" t="s">
        <v>467</v>
      </c>
      <c r="X75" s="18"/>
      <c r="Y75" s="18"/>
      <c r="Z75" s="18"/>
      <c r="AA75" s="18"/>
      <c r="AB75" s="18"/>
      <c r="AC75" s="18" t="s">
        <v>62</v>
      </c>
      <c r="AD75" s="16" t="s">
        <v>63</v>
      </c>
      <c r="AE75" s="16">
        <v>6</v>
      </c>
      <c r="AF75" s="18" t="s">
        <v>332</v>
      </c>
    </row>
    <row r="76" spans="2:32" s="31" customFormat="1" ht="14.4" x14ac:dyDescent="0.3">
      <c r="B76" s="16" t="s">
        <v>14</v>
      </c>
      <c r="C76" s="37" t="s">
        <v>468</v>
      </c>
      <c r="D76" s="227" t="s">
        <v>388</v>
      </c>
      <c r="E76" s="16">
        <v>4510640616</v>
      </c>
      <c r="F76" s="51">
        <v>45660</v>
      </c>
      <c r="G76" s="16" t="s">
        <v>55</v>
      </c>
      <c r="H76" s="16">
        <v>3</v>
      </c>
      <c r="I76" s="19">
        <v>755305</v>
      </c>
      <c r="J76" s="16">
        <v>4</v>
      </c>
      <c r="K76" s="321">
        <f t="shared" si="2"/>
        <v>188826.25</v>
      </c>
      <c r="L76" s="20">
        <v>45642</v>
      </c>
      <c r="M76" s="20">
        <v>46006</v>
      </c>
      <c r="N76" s="18" t="s">
        <v>19</v>
      </c>
      <c r="O76" s="294" t="s">
        <v>469</v>
      </c>
      <c r="P76" s="16"/>
      <c r="Q76" s="21" t="s">
        <v>470</v>
      </c>
      <c r="R76" s="18" t="s">
        <v>471</v>
      </c>
      <c r="S76" s="21" t="s">
        <v>472</v>
      </c>
      <c r="T76" s="18" t="s">
        <v>473</v>
      </c>
      <c r="U76" s="21" t="s">
        <v>474</v>
      </c>
      <c r="V76" s="18" t="s">
        <v>475</v>
      </c>
      <c r="W76" s="21" t="s">
        <v>476</v>
      </c>
      <c r="X76" s="18" t="s">
        <v>477</v>
      </c>
      <c r="Y76" s="18"/>
      <c r="Z76" s="18"/>
      <c r="AA76" s="18"/>
      <c r="AB76" s="18"/>
      <c r="AC76" s="18" t="s">
        <v>478</v>
      </c>
      <c r="AD76" s="16" t="s">
        <v>63</v>
      </c>
      <c r="AE76" s="16">
        <v>3</v>
      </c>
      <c r="AF76" s="31" t="s">
        <v>479</v>
      </c>
    </row>
    <row r="77" spans="2:32" s="31" customFormat="1" ht="14.4" x14ac:dyDescent="0.3">
      <c r="B77" s="16" t="s">
        <v>14</v>
      </c>
      <c r="C77" s="37" t="s">
        <v>480</v>
      </c>
      <c r="D77" s="225" t="s">
        <v>481</v>
      </c>
      <c r="E77" s="66">
        <v>5300005783</v>
      </c>
      <c r="F77" s="43">
        <v>45467</v>
      </c>
      <c r="G77" s="42" t="s">
        <v>55</v>
      </c>
      <c r="H77" s="42">
        <v>3</v>
      </c>
      <c r="I77" s="61">
        <f>882000/3</f>
        <v>294000</v>
      </c>
      <c r="J77" s="42">
        <v>2</v>
      </c>
      <c r="K77" s="321">
        <f t="shared" si="2"/>
        <v>147000</v>
      </c>
      <c r="L77" s="62">
        <v>45658</v>
      </c>
      <c r="M77" s="62">
        <v>46022</v>
      </c>
      <c r="N77" s="63"/>
      <c r="O77" s="42"/>
      <c r="P77" s="42" t="s">
        <v>1</v>
      </c>
      <c r="Q77" s="64" t="s">
        <v>482</v>
      </c>
      <c r="R77" s="63" t="s">
        <v>189</v>
      </c>
      <c r="S77" s="64" t="s">
        <v>483</v>
      </c>
      <c r="T77" s="63" t="s">
        <v>484</v>
      </c>
      <c r="U77" s="63"/>
      <c r="V77" s="63"/>
      <c r="W77" s="63"/>
      <c r="X77" s="63"/>
      <c r="Y77" s="63"/>
      <c r="Z77" s="63"/>
      <c r="AA77" s="63"/>
      <c r="AB77" s="63"/>
      <c r="AC77" s="63" t="s">
        <v>485</v>
      </c>
      <c r="AD77" s="16" t="s">
        <v>63</v>
      </c>
      <c r="AE77" s="42">
        <v>6</v>
      </c>
      <c r="AF77" s="65" t="s">
        <v>332</v>
      </c>
    </row>
    <row r="78" spans="2:32" s="31" customFormat="1" ht="14.4" hidden="1" x14ac:dyDescent="0.3">
      <c r="B78" s="16" t="s">
        <v>14</v>
      </c>
      <c r="C78" s="37" t="s">
        <v>480</v>
      </c>
      <c r="D78" s="225" t="s">
        <v>481</v>
      </c>
      <c r="E78" s="314">
        <v>5300005783</v>
      </c>
      <c r="F78" s="43">
        <v>45467</v>
      </c>
      <c r="G78" s="42" t="s">
        <v>55</v>
      </c>
      <c r="H78" s="42"/>
      <c r="I78" s="61">
        <f>882000/3</f>
        <v>294000</v>
      </c>
      <c r="J78" s="42">
        <v>2</v>
      </c>
      <c r="K78" s="321">
        <f t="shared" si="2"/>
        <v>147000</v>
      </c>
      <c r="L78" s="62">
        <v>46023</v>
      </c>
      <c r="M78" s="62">
        <v>46387</v>
      </c>
      <c r="N78" s="63"/>
      <c r="O78" s="42"/>
      <c r="P78" s="42" t="s">
        <v>1</v>
      </c>
      <c r="Q78" s="64" t="s">
        <v>486</v>
      </c>
      <c r="R78" s="63" t="s">
        <v>1713</v>
      </c>
      <c r="S78" s="63" t="s">
        <v>487</v>
      </c>
      <c r="T78" s="63"/>
      <c r="U78" s="63"/>
      <c r="V78" s="63"/>
      <c r="W78" s="63"/>
      <c r="X78" s="63"/>
      <c r="Y78" s="63"/>
      <c r="Z78" s="63"/>
      <c r="AA78" s="63"/>
      <c r="AB78" s="63"/>
      <c r="AC78" s="63" t="s">
        <v>485</v>
      </c>
      <c r="AD78" s="16" t="s">
        <v>63</v>
      </c>
      <c r="AE78" s="42">
        <v>6</v>
      </c>
      <c r="AF78" s="65" t="s">
        <v>332</v>
      </c>
    </row>
    <row r="79" spans="2:32" s="31" customFormat="1" ht="14.4" hidden="1" x14ac:dyDescent="0.3">
      <c r="B79" s="16" t="s">
        <v>14</v>
      </c>
      <c r="C79" s="37" t="s">
        <v>480</v>
      </c>
      <c r="D79" s="225" t="s">
        <v>481</v>
      </c>
      <c r="E79" s="66">
        <v>5300005783</v>
      </c>
      <c r="F79" s="43">
        <v>45467</v>
      </c>
      <c r="G79" s="42" t="s">
        <v>55</v>
      </c>
      <c r="H79" s="42"/>
      <c r="I79" s="61">
        <f>882000/3</f>
        <v>294000</v>
      </c>
      <c r="J79" s="42">
        <v>2</v>
      </c>
      <c r="K79" s="321">
        <f t="shared" si="2"/>
        <v>147000</v>
      </c>
      <c r="L79" s="62">
        <v>46388</v>
      </c>
      <c r="M79" s="62">
        <v>46752</v>
      </c>
      <c r="N79" s="63"/>
      <c r="O79" s="42"/>
      <c r="P79" s="42" t="s">
        <v>1</v>
      </c>
      <c r="Q79" s="63" t="s">
        <v>488</v>
      </c>
      <c r="R79" s="63"/>
      <c r="S79" s="63" t="s">
        <v>489</v>
      </c>
      <c r="T79" s="63"/>
      <c r="U79" s="63"/>
      <c r="V79" s="63"/>
      <c r="W79" s="63"/>
      <c r="X79" s="63"/>
      <c r="Y79" s="63"/>
      <c r="Z79" s="63"/>
      <c r="AA79" s="63"/>
      <c r="AB79" s="63"/>
      <c r="AC79" s="63" t="s">
        <v>485</v>
      </c>
      <c r="AD79" s="16" t="s">
        <v>63</v>
      </c>
      <c r="AE79" s="42">
        <v>6</v>
      </c>
      <c r="AF79" s="65" t="s">
        <v>332</v>
      </c>
    </row>
    <row r="80" spans="2:32" s="31" customFormat="1" ht="14.4" x14ac:dyDescent="0.3">
      <c r="B80" s="16" t="s">
        <v>14</v>
      </c>
      <c r="C80" s="39" t="s">
        <v>490</v>
      </c>
      <c r="D80" s="54" t="s">
        <v>447</v>
      </c>
      <c r="E80" s="67">
        <v>1000036136</v>
      </c>
      <c r="F80" s="55">
        <v>45644</v>
      </c>
      <c r="G80" s="26" t="s">
        <v>55</v>
      </c>
      <c r="H80" s="26">
        <v>4</v>
      </c>
      <c r="I80" s="56">
        <f>68706.75*4</f>
        <v>274827</v>
      </c>
      <c r="J80" s="26">
        <v>4</v>
      </c>
      <c r="K80" s="321">
        <f t="shared" si="2"/>
        <v>68706.75</v>
      </c>
      <c r="L80" s="57">
        <v>45658</v>
      </c>
      <c r="M80" s="57">
        <v>46022</v>
      </c>
      <c r="N80" s="58"/>
      <c r="O80" s="26"/>
      <c r="P80" s="26"/>
      <c r="Q80" s="59" t="s">
        <v>390</v>
      </c>
      <c r="R80" s="58" t="s">
        <v>491</v>
      </c>
      <c r="S80" s="59" t="s">
        <v>391</v>
      </c>
      <c r="T80" s="58" t="s">
        <v>384</v>
      </c>
      <c r="U80" s="59" t="s">
        <v>168</v>
      </c>
      <c r="V80" s="58" t="s">
        <v>492</v>
      </c>
      <c r="W80" s="59" t="s">
        <v>228</v>
      </c>
      <c r="X80" s="58" t="s">
        <v>493</v>
      </c>
      <c r="Y80" s="58"/>
      <c r="Z80" s="58"/>
      <c r="AA80" s="58"/>
      <c r="AB80" s="58"/>
      <c r="AC80" s="58" t="s">
        <v>281</v>
      </c>
      <c r="AD80" s="26" t="s">
        <v>97</v>
      </c>
      <c r="AE80" s="26" t="s">
        <v>494</v>
      </c>
      <c r="AF80" s="58"/>
    </row>
    <row r="81" spans="2:32" s="31" customFormat="1" ht="14.4" hidden="1" x14ac:dyDescent="0.3">
      <c r="B81" s="16" t="s">
        <v>14</v>
      </c>
      <c r="C81" s="39" t="s">
        <v>490</v>
      </c>
      <c r="D81" s="54" t="s">
        <v>447</v>
      </c>
      <c r="E81" s="67">
        <v>1000036136</v>
      </c>
      <c r="F81" s="55">
        <v>45644</v>
      </c>
      <c r="G81" s="26" t="s">
        <v>55</v>
      </c>
      <c r="H81" s="26"/>
      <c r="I81" s="56">
        <f>68706.75*4</f>
        <v>274827</v>
      </c>
      <c r="J81" s="26">
        <v>4</v>
      </c>
      <c r="K81" s="321">
        <f t="shared" si="2"/>
        <v>68706.75</v>
      </c>
      <c r="L81" s="57">
        <v>46023</v>
      </c>
      <c r="M81" s="57">
        <v>46387</v>
      </c>
      <c r="N81" s="58"/>
      <c r="O81" s="26"/>
      <c r="P81" s="26"/>
      <c r="Q81" s="59" t="s">
        <v>396</v>
      </c>
      <c r="R81" s="58" t="s">
        <v>495</v>
      </c>
      <c r="S81" s="58" t="s">
        <v>397</v>
      </c>
      <c r="T81" s="58"/>
      <c r="U81" s="58" t="s">
        <v>496</v>
      </c>
      <c r="V81" s="58"/>
      <c r="W81" s="58" t="s">
        <v>497</v>
      </c>
      <c r="X81" s="58"/>
      <c r="Y81" s="58"/>
      <c r="Z81" s="58"/>
      <c r="AA81" s="58"/>
      <c r="AB81" s="58"/>
      <c r="AC81" s="58" t="s">
        <v>281</v>
      </c>
      <c r="AD81" s="26" t="s">
        <v>97</v>
      </c>
      <c r="AE81" s="26" t="s">
        <v>494</v>
      </c>
      <c r="AF81" s="58"/>
    </row>
    <row r="82" spans="2:32" s="31" customFormat="1" ht="14.4" hidden="1" x14ac:dyDescent="0.3">
      <c r="B82" s="16" t="s">
        <v>14</v>
      </c>
      <c r="C82" s="68" t="s">
        <v>490</v>
      </c>
      <c r="D82" s="44" t="s">
        <v>447</v>
      </c>
      <c r="E82" s="69">
        <v>1000036136</v>
      </c>
      <c r="F82" s="55">
        <v>45644</v>
      </c>
      <c r="G82" s="26" t="s">
        <v>55</v>
      </c>
      <c r="H82" s="42"/>
      <c r="I82" s="56">
        <f>68706.75*4</f>
        <v>274827</v>
      </c>
      <c r="J82" s="42">
        <v>4</v>
      </c>
      <c r="K82" s="321">
        <f t="shared" si="2"/>
        <v>68706.75</v>
      </c>
      <c r="L82" s="62">
        <v>46388</v>
      </c>
      <c r="M82" s="62">
        <v>46752</v>
      </c>
      <c r="N82" s="58"/>
      <c r="O82" s="26"/>
      <c r="P82" s="26"/>
      <c r="Q82" s="58" t="s">
        <v>498</v>
      </c>
      <c r="R82" s="58"/>
      <c r="S82" s="58" t="s">
        <v>499</v>
      </c>
      <c r="T82" s="58"/>
      <c r="U82" s="58" t="s">
        <v>500</v>
      </c>
      <c r="V82" s="58"/>
      <c r="W82" s="58" t="s">
        <v>501</v>
      </c>
      <c r="X82" s="58"/>
      <c r="Y82" s="58"/>
      <c r="Z82" s="58"/>
      <c r="AA82" s="58"/>
      <c r="AB82" s="63"/>
      <c r="AC82" s="63" t="s">
        <v>281</v>
      </c>
      <c r="AD82" s="42" t="s">
        <v>97</v>
      </c>
      <c r="AE82" s="42" t="s">
        <v>494</v>
      </c>
      <c r="AF82" s="63"/>
    </row>
    <row r="83" spans="2:32" ht="14.4" x14ac:dyDescent="0.3">
      <c r="B83" s="16" t="s">
        <v>14</v>
      </c>
      <c r="C83" s="197" t="s">
        <v>502</v>
      </c>
      <c r="D83" s="228" t="s">
        <v>151</v>
      </c>
      <c r="E83" s="198" t="s">
        <v>503</v>
      </c>
      <c r="F83" s="199">
        <v>45658</v>
      </c>
      <c r="G83" s="77" t="s">
        <v>55</v>
      </c>
      <c r="H83" s="77">
        <v>1</v>
      </c>
      <c r="I83" s="200">
        <v>73500</v>
      </c>
      <c r="J83" s="77">
        <v>3</v>
      </c>
      <c r="K83" s="321">
        <f t="shared" si="2"/>
        <v>24500</v>
      </c>
      <c r="L83" s="201">
        <v>45658</v>
      </c>
      <c r="M83" s="201">
        <v>46022</v>
      </c>
      <c r="N83" s="202" t="s">
        <v>19</v>
      </c>
      <c r="O83" s="294" t="s">
        <v>469</v>
      </c>
      <c r="P83" s="77"/>
      <c r="Q83" s="203" t="s">
        <v>341</v>
      </c>
      <c r="R83" s="202" t="s">
        <v>504</v>
      </c>
      <c r="S83" s="203" t="s">
        <v>343</v>
      </c>
      <c r="T83" s="202" t="s">
        <v>505</v>
      </c>
      <c r="U83" s="203" t="s">
        <v>345</v>
      </c>
      <c r="V83" s="202" t="s">
        <v>506</v>
      </c>
      <c r="W83" s="202"/>
      <c r="X83" s="202"/>
      <c r="Y83" s="202"/>
      <c r="Z83" s="202"/>
      <c r="AA83" s="202"/>
      <c r="AB83" s="202"/>
      <c r="AC83" s="202" t="s">
        <v>507</v>
      </c>
      <c r="AD83" s="16" t="s">
        <v>63</v>
      </c>
      <c r="AE83" s="77">
        <v>3</v>
      </c>
      <c r="AF83" s="202"/>
    </row>
    <row r="84" spans="2:32" ht="14.4" x14ac:dyDescent="0.3">
      <c r="B84" s="16" t="s">
        <v>14</v>
      </c>
      <c r="C84" s="74" t="s">
        <v>508</v>
      </c>
      <c r="D84" s="229" t="s">
        <v>509</v>
      </c>
      <c r="E84" s="79" t="s">
        <v>510</v>
      </c>
      <c r="F84" s="40">
        <v>45661</v>
      </c>
      <c r="G84" s="71" t="s">
        <v>55</v>
      </c>
      <c r="H84" s="26">
        <v>1</v>
      </c>
      <c r="I84" s="72">
        <v>89000</v>
      </c>
      <c r="J84" s="26">
        <v>3</v>
      </c>
      <c r="K84" s="321">
        <f t="shared" si="2"/>
        <v>29666.666666666668</v>
      </c>
      <c r="L84" s="57">
        <v>45667</v>
      </c>
      <c r="M84" s="57">
        <v>46031</v>
      </c>
      <c r="N84" s="73" t="s">
        <v>19</v>
      </c>
      <c r="O84" s="26" t="s">
        <v>0</v>
      </c>
      <c r="P84" s="26"/>
      <c r="Q84" s="59" t="s">
        <v>511</v>
      </c>
      <c r="R84" s="58" t="s">
        <v>512</v>
      </c>
      <c r="S84" s="59" t="s">
        <v>513</v>
      </c>
      <c r="T84" s="58" t="s">
        <v>514</v>
      </c>
      <c r="U84" s="59" t="s">
        <v>515</v>
      </c>
      <c r="V84" s="58" t="s">
        <v>516</v>
      </c>
      <c r="W84" s="58"/>
      <c r="X84" s="58"/>
      <c r="Y84" s="58"/>
      <c r="Z84" s="58"/>
      <c r="AA84" s="58"/>
      <c r="AB84" s="58"/>
      <c r="AC84" s="58" t="s">
        <v>96</v>
      </c>
      <c r="AD84" s="26" t="s">
        <v>97</v>
      </c>
      <c r="AE84" s="26" t="s">
        <v>494</v>
      </c>
      <c r="AF84" s="80" t="s">
        <v>517</v>
      </c>
    </row>
    <row r="85" spans="2:32" ht="14.4" hidden="1" x14ac:dyDescent="0.3">
      <c r="B85" s="16" t="s">
        <v>14</v>
      </c>
      <c r="C85" s="68" t="s">
        <v>518</v>
      </c>
      <c r="D85" s="81" t="s">
        <v>519</v>
      </c>
      <c r="E85" s="82">
        <v>4516924874</v>
      </c>
      <c r="F85" s="43">
        <v>45660</v>
      </c>
      <c r="G85" s="204" t="s">
        <v>55</v>
      </c>
      <c r="H85" s="42"/>
      <c r="I85" s="61">
        <v>219500</v>
      </c>
      <c r="J85" s="42">
        <v>4</v>
      </c>
      <c r="K85" s="321">
        <f t="shared" si="2"/>
        <v>54875</v>
      </c>
      <c r="L85" s="62">
        <v>45658</v>
      </c>
      <c r="M85" s="62">
        <v>46022</v>
      </c>
      <c r="N85" s="205" t="s">
        <v>520</v>
      </c>
      <c r="O85" s="42" t="s">
        <v>0</v>
      </c>
      <c r="P85" s="42"/>
      <c r="Q85" s="64" t="s">
        <v>390</v>
      </c>
      <c r="R85" s="63" t="s">
        <v>521</v>
      </c>
      <c r="S85" s="64" t="s">
        <v>391</v>
      </c>
      <c r="T85" s="63" t="s">
        <v>522</v>
      </c>
      <c r="U85" s="64" t="s">
        <v>523</v>
      </c>
      <c r="V85" s="63" t="s">
        <v>524</v>
      </c>
      <c r="W85" s="64" t="s">
        <v>228</v>
      </c>
      <c r="X85" s="63" t="s">
        <v>525</v>
      </c>
      <c r="Y85" s="63"/>
      <c r="Z85" s="63"/>
      <c r="AA85" s="63"/>
      <c r="AB85" s="63"/>
      <c r="AC85" s="63" t="s">
        <v>485</v>
      </c>
      <c r="AD85" s="16" t="s">
        <v>63</v>
      </c>
      <c r="AE85" s="42">
        <f>6</f>
        <v>6</v>
      </c>
      <c r="AF85" s="63"/>
    </row>
    <row r="86" spans="2:32" ht="14.4" x14ac:dyDescent="0.3">
      <c r="B86" s="16" t="s">
        <v>14</v>
      </c>
      <c r="C86" s="37" t="s">
        <v>518</v>
      </c>
      <c r="D86" s="230" t="s">
        <v>519</v>
      </c>
      <c r="E86" s="16">
        <v>4516924874</v>
      </c>
      <c r="F86" s="22">
        <v>45660</v>
      </c>
      <c r="G86" s="16" t="s">
        <v>55</v>
      </c>
      <c r="H86" s="16">
        <v>2</v>
      </c>
      <c r="I86" s="19">
        <v>142300</v>
      </c>
      <c r="J86" s="16">
        <v>4</v>
      </c>
      <c r="K86" s="321">
        <f t="shared" si="2"/>
        <v>35575</v>
      </c>
      <c r="L86" s="20">
        <v>46023</v>
      </c>
      <c r="M86" s="20">
        <v>46387</v>
      </c>
      <c r="N86" s="18" t="s">
        <v>520</v>
      </c>
      <c r="O86" s="16" t="s">
        <v>0</v>
      </c>
      <c r="P86" s="16"/>
      <c r="Q86" s="192" t="s">
        <v>396</v>
      </c>
      <c r="R86" s="18" t="s">
        <v>526</v>
      </c>
      <c r="S86" s="18" t="s">
        <v>397</v>
      </c>
      <c r="T86" s="18"/>
      <c r="U86" s="18" t="s">
        <v>496</v>
      </c>
      <c r="V86" s="18"/>
      <c r="W86" s="18" t="s">
        <v>497</v>
      </c>
      <c r="X86" s="18"/>
      <c r="Y86" s="18"/>
      <c r="Z86" s="18"/>
      <c r="AA86" s="18"/>
      <c r="AB86" s="18"/>
      <c r="AC86" s="18" t="s">
        <v>485</v>
      </c>
      <c r="AD86" s="16" t="s">
        <v>63</v>
      </c>
      <c r="AE86" s="16">
        <v>6</v>
      </c>
      <c r="AF86" s="18"/>
    </row>
    <row r="87" spans="2:32" ht="14.4" x14ac:dyDescent="0.3">
      <c r="B87" s="16" t="s">
        <v>14</v>
      </c>
      <c r="C87" s="37" t="s">
        <v>527</v>
      </c>
      <c r="D87" s="227" t="s">
        <v>151</v>
      </c>
      <c r="E87" s="50">
        <v>38369028</v>
      </c>
      <c r="F87" s="51">
        <v>45664</v>
      </c>
      <c r="G87" s="16" t="s">
        <v>55</v>
      </c>
      <c r="H87" s="16">
        <v>1</v>
      </c>
      <c r="I87" s="19">
        <v>67000</v>
      </c>
      <c r="J87" s="16">
        <v>1</v>
      </c>
      <c r="K87" s="321">
        <f t="shared" si="2"/>
        <v>67000</v>
      </c>
      <c r="L87" s="20">
        <v>45670</v>
      </c>
      <c r="M87" s="20">
        <v>46034</v>
      </c>
      <c r="N87" s="18" t="s">
        <v>19</v>
      </c>
      <c r="O87" s="16" t="s">
        <v>0</v>
      </c>
      <c r="P87" s="16"/>
      <c r="Q87" s="21" t="s">
        <v>528</v>
      </c>
      <c r="R87" s="18" t="s">
        <v>451</v>
      </c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 t="s">
        <v>507</v>
      </c>
      <c r="AD87" s="16" t="s">
        <v>63</v>
      </c>
      <c r="AE87" s="16">
        <v>2</v>
      </c>
      <c r="AF87" s="18"/>
    </row>
    <row r="88" spans="2:32" ht="14.4" x14ac:dyDescent="0.3">
      <c r="B88" s="16" t="s">
        <v>14</v>
      </c>
      <c r="C88" s="37" t="s">
        <v>527</v>
      </c>
      <c r="D88" s="227" t="s">
        <v>151</v>
      </c>
      <c r="E88" s="84">
        <v>38414491</v>
      </c>
      <c r="F88" s="51">
        <v>45671</v>
      </c>
      <c r="G88" s="16" t="s">
        <v>55</v>
      </c>
      <c r="H88" s="16">
        <v>1</v>
      </c>
      <c r="I88" s="19">
        <v>67000</v>
      </c>
      <c r="J88" s="16">
        <v>1</v>
      </c>
      <c r="K88" s="321">
        <f t="shared" si="2"/>
        <v>67000</v>
      </c>
      <c r="L88" s="20">
        <v>45672</v>
      </c>
      <c r="M88" s="20">
        <v>46036</v>
      </c>
      <c r="N88" s="18" t="s">
        <v>19</v>
      </c>
      <c r="O88" s="16" t="s">
        <v>0</v>
      </c>
      <c r="P88" s="16"/>
      <c r="Q88" s="21" t="s">
        <v>529</v>
      </c>
      <c r="R88" s="18" t="s">
        <v>451</v>
      </c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 t="s">
        <v>507</v>
      </c>
      <c r="AD88" s="16" t="s">
        <v>63</v>
      </c>
      <c r="AE88" s="16">
        <v>2</v>
      </c>
      <c r="AF88" s="18"/>
    </row>
    <row r="89" spans="2:32" ht="14.4" x14ac:dyDescent="0.3">
      <c r="B89" s="16" t="s">
        <v>14</v>
      </c>
      <c r="C89" s="206" t="s">
        <v>530</v>
      </c>
      <c r="D89" s="231" t="s">
        <v>176</v>
      </c>
      <c r="E89" s="16">
        <v>16882528</v>
      </c>
      <c r="F89" s="22">
        <v>45670</v>
      </c>
      <c r="G89" s="16" t="s">
        <v>55</v>
      </c>
      <c r="H89" s="16">
        <v>1</v>
      </c>
      <c r="I89" s="19">
        <f>568000/4</f>
        <v>142000</v>
      </c>
      <c r="J89" s="16">
        <v>4</v>
      </c>
      <c r="K89" s="321">
        <f t="shared" si="2"/>
        <v>35500</v>
      </c>
      <c r="L89" s="20">
        <v>45670</v>
      </c>
      <c r="M89" s="20">
        <v>46764</v>
      </c>
      <c r="N89" s="18" t="s">
        <v>520</v>
      </c>
      <c r="O89" s="16" t="s">
        <v>0</v>
      </c>
      <c r="P89" s="16"/>
      <c r="Q89" s="17" t="s">
        <v>531</v>
      </c>
      <c r="R89" s="18"/>
      <c r="S89" s="17" t="s">
        <v>532</v>
      </c>
      <c r="T89" s="18"/>
      <c r="U89" s="17" t="s">
        <v>533</v>
      </c>
      <c r="V89" s="18"/>
      <c r="W89" s="17" t="s">
        <v>534</v>
      </c>
      <c r="X89" s="18"/>
      <c r="Y89" s="18"/>
      <c r="Z89" s="18"/>
      <c r="AA89" s="18"/>
      <c r="AB89" s="18"/>
      <c r="AC89" s="18" t="s">
        <v>183</v>
      </c>
      <c r="AD89" s="16" t="s">
        <v>97</v>
      </c>
      <c r="AE89" s="16">
        <v>4</v>
      </c>
      <c r="AF89" s="18"/>
    </row>
    <row r="90" spans="2:32" ht="14.4" x14ac:dyDescent="0.3">
      <c r="B90" s="16" t="s">
        <v>14</v>
      </c>
      <c r="C90" s="206" t="s">
        <v>530</v>
      </c>
      <c r="D90" s="231" t="s">
        <v>535</v>
      </c>
      <c r="E90" s="16">
        <v>16882528</v>
      </c>
      <c r="F90" s="22">
        <v>45670</v>
      </c>
      <c r="G90" s="16" t="s">
        <v>55</v>
      </c>
      <c r="H90" s="16">
        <v>1</v>
      </c>
      <c r="I90" s="19">
        <f>568000/4</f>
        <v>142000</v>
      </c>
      <c r="J90" s="16">
        <v>4</v>
      </c>
      <c r="K90" s="321">
        <f t="shared" si="2"/>
        <v>35500</v>
      </c>
      <c r="L90" s="20">
        <v>45670</v>
      </c>
      <c r="M90" s="20">
        <v>46764</v>
      </c>
      <c r="N90" s="18" t="s">
        <v>520</v>
      </c>
      <c r="O90" s="16" t="s">
        <v>0</v>
      </c>
      <c r="P90" s="16"/>
      <c r="Q90" s="21" t="s">
        <v>531</v>
      </c>
      <c r="R90" s="18" t="s">
        <v>536</v>
      </c>
      <c r="S90" s="21" t="s">
        <v>532</v>
      </c>
      <c r="T90" s="18" t="s">
        <v>439</v>
      </c>
      <c r="U90" s="21" t="s">
        <v>533</v>
      </c>
      <c r="V90" s="18" t="s">
        <v>537</v>
      </c>
      <c r="W90" s="21" t="s">
        <v>534</v>
      </c>
      <c r="X90" s="18" t="s">
        <v>320</v>
      </c>
      <c r="Y90" s="18"/>
      <c r="Z90" s="18"/>
      <c r="AA90" s="18"/>
      <c r="AB90" s="18"/>
      <c r="AC90" s="18" t="s">
        <v>183</v>
      </c>
      <c r="AD90" s="16" t="s">
        <v>97</v>
      </c>
      <c r="AE90" s="16">
        <v>4</v>
      </c>
      <c r="AF90" s="18"/>
    </row>
    <row r="91" spans="2:32" ht="14.4" x14ac:dyDescent="0.3">
      <c r="B91" s="16" t="s">
        <v>14</v>
      </c>
      <c r="C91" s="206" t="s">
        <v>530</v>
      </c>
      <c r="D91" s="231" t="s">
        <v>538</v>
      </c>
      <c r="E91" s="16">
        <v>16882528</v>
      </c>
      <c r="F91" s="22">
        <v>45670</v>
      </c>
      <c r="G91" s="16" t="s">
        <v>55</v>
      </c>
      <c r="H91" s="16">
        <v>1</v>
      </c>
      <c r="I91" s="19">
        <f>568000/4</f>
        <v>142000</v>
      </c>
      <c r="J91" s="16">
        <v>4</v>
      </c>
      <c r="K91" s="321">
        <f t="shared" si="2"/>
        <v>35500</v>
      </c>
      <c r="L91" s="20">
        <v>45670</v>
      </c>
      <c r="M91" s="20">
        <v>46764</v>
      </c>
      <c r="N91" s="18" t="s">
        <v>520</v>
      </c>
      <c r="O91" s="16" t="s">
        <v>0</v>
      </c>
      <c r="P91" s="16"/>
      <c r="Q91" s="21" t="s">
        <v>531</v>
      </c>
      <c r="R91" s="18" t="s">
        <v>241</v>
      </c>
      <c r="S91" s="21" t="s">
        <v>532</v>
      </c>
      <c r="T91" s="18" t="s">
        <v>439</v>
      </c>
      <c r="U91" s="21" t="s">
        <v>533</v>
      </c>
      <c r="V91" s="18" t="s">
        <v>539</v>
      </c>
      <c r="W91" s="21" t="s">
        <v>534</v>
      </c>
      <c r="X91" s="18" t="s">
        <v>417</v>
      </c>
      <c r="Y91" s="18"/>
      <c r="Z91" s="18"/>
      <c r="AA91" s="18"/>
      <c r="AB91" s="18"/>
      <c r="AC91" s="18" t="s">
        <v>485</v>
      </c>
      <c r="AD91" s="16" t="s">
        <v>63</v>
      </c>
      <c r="AE91" s="16">
        <v>4</v>
      </c>
      <c r="AF91" s="18"/>
    </row>
    <row r="92" spans="2:32" ht="14.4" x14ac:dyDescent="0.3">
      <c r="B92" s="16" t="s">
        <v>14</v>
      </c>
      <c r="C92" s="206" t="s">
        <v>530</v>
      </c>
      <c r="D92" s="231" t="s">
        <v>540</v>
      </c>
      <c r="E92" s="25">
        <v>16882528</v>
      </c>
      <c r="F92" s="32">
        <v>45670</v>
      </c>
      <c r="G92" s="16" t="s">
        <v>55</v>
      </c>
      <c r="H92" s="25">
        <v>1</v>
      </c>
      <c r="I92" s="33">
        <f>568000/4</f>
        <v>142000</v>
      </c>
      <c r="J92" s="25">
        <v>4</v>
      </c>
      <c r="K92" s="321">
        <f t="shared" si="2"/>
        <v>35500</v>
      </c>
      <c r="L92" s="34">
        <v>45670</v>
      </c>
      <c r="M92" s="34">
        <v>46764</v>
      </c>
      <c r="N92" s="24" t="s">
        <v>520</v>
      </c>
      <c r="O92" s="25" t="s">
        <v>0</v>
      </c>
      <c r="P92" s="25"/>
      <c r="Q92" s="21" t="s">
        <v>531</v>
      </c>
      <c r="R92" s="18" t="s">
        <v>541</v>
      </c>
      <c r="S92" s="21" t="s">
        <v>532</v>
      </c>
      <c r="T92" s="18" t="s">
        <v>439</v>
      </c>
      <c r="U92" s="21" t="s">
        <v>533</v>
      </c>
      <c r="V92" s="18" t="s">
        <v>542</v>
      </c>
      <c r="W92" s="21" t="s">
        <v>534</v>
      </c>
      <c r="X92" s="24" t="s">
        <v>543</v>
      </c>
      <c r="Y92" s="24"/>
      <c r="Z92" s="24"/>
      <c r="AA92" s="24"/>
      <c r="AB92" s="24"/>
      <c r="AC92" s="24" t="s">
        <v>128</v>
      </c>
      <c r="AD92" s="25" t="s">
        <v>129</v>
      </c>
      <c r="AE92" s="25">
        <v>4</v>
      </c>
      <c r="AF92" s="24"/>
    </row>
    <row r="93" spans="2:32" ht="14.4" x14ac:dyDescent="0.3">
      <c r="B93" s="16" t="s">
        <v>14</v>
      </c>
      <c r="C93" s="39" t="s">
        <v>544</v>
      </c>
      <c r="D93" s="232" t="s">
        <v>545</v>
      </c>
      <c r="E93" s="50">
        <v>1240051506</v>
      </c>
      <c r="F93" s="55">
        <v>45670</v>
      </c>
      <c r="G93" s="26" t="s">
        <v>55</v>
      </c>
      <c r="H93" s="26">
        <v>2</v>
      </c>
      <c r="I93" s="56">
        <v>144999.96</v>
      </c>
      <c r="J93" s="26">
        <v>3</v>
      </c>
      <c r="K93" s="321">
        <f t="shared" si="2"/>
        <v>48333.32</v>
      </c>
      <c r="L93" s="57">
        <v>45670</v>
      </c>
      <c r="M93" s="57">
        <v>46034</v>
      </c>
      <c r="N93" s="18" t="s">
        <v>19</v>
      </c>
      <c r="O93" s="26" t="s">
        <v>0</v>
      </c>
      <c r="P93" s="26"/>
      <c r="Q93" s="59" t="s">
        <v>546</v>
      </c>
      <c r="R93" s="58" t="s">
        <v>547</v>
      </c>
      <c r="S93" s="59" t="s">
        <v>548</v>
      </c>
      <c r="T93" s="58" t="s">
        <v>549</v>
      </c>
      <c r="U93" s="59" t="s">
        <v>550</v>
      </c>
      <c r="V93" s="58" t="s">
        <v>537</v>
      </c>
      <c r="W93" s="58"/>
      <c r="X93" s="58"/>
      <c r="Y93" s="58"/>
      <c r="Z93" s="58"/>
      <c r="AA93" s="58"/>
      <c r="AB93" s="58"/>
      <c r="AC93" s="58" t="s">
        <v>551</v>
      </c>
      <c r="AD93" s="16" t="s">
        <v>207</v>
      </c>
      <c r="AE93" s="26">
        <v>3</v>
      </c>
      <c r="AF93" s="58"/>
    </row>
    <row r="94" spans="2:32" ht="14.4" x14ac:dyDescent="0.3">
      <c r="B94" s="16" t="s">
        <v>14</v>
      </c>
      <c r="C94" s="39" t="s">
        <v>552</v>
      </c>
      <c r="D94" s="233" t="s">
        <v>151</v>
      </c>
      <c r="E94" s="26" t="s">
        <v>553</v>
      </c>
      <c r="F94" s="55">
        <v>45677</v>
      </c>
      <c r="G94" s="26" t="s">
        <v>55</v>
      </c>
      <c r="H94" s="26">
        <v>2</v>
      </c>
      <c r="I94" s="56">
        <f>332160/2</f>
        <v>166080</v>
      </c>
      <c r="J94" s="26">
        <v>3</v>
      </c>
      <c r="K94" s="321">
        <f t="shared" si="2"/>
        <v>55360</v>
      </c>
      <c r="L94" s="57">
        <v>45658</v>
      </c>
      <c r="M94" s="57">
        <v>46022</v>
      </c>
      <c r="N94" s="58" t="s">
        <v>520</v>
      </c>
      <c r="O94" s="26" t="s">
        <v>0</v>
      </c>
      <c r="P94" s="26"/>
      <c r="Q94" s="59" t="s">
        <v>554</v>
      </c>
      <c r="R94" s="58" t="s">
        <v>555</v>
      </c>
      <c r="S94" s="59" t="s">
        <v>343</v>
      </c>
      <c r="T94" s="58" t="s">
        <v>227</v>
      </c>
      <c r="U94" s="59" t="s">
        <v>345</v>
      </c>
      <c r="V94" s="58" t="s">
        <v>417</v>
      </c>
      <c r="W94" s="58"/>
      <c r="X94" s="58"/>
      <c r="Y94" s="58"/>
      <c r="Z94" s="58"/>
      <c r="AA94" s="58"/>
      <c r="AB94" s="58"/>
      <c r="AC94" s="58" t="s">
        <v>507</v>
      </c>
      <c r="AD94" s="16" t="s">
        <v>63</v>
      </c>
      <c r="AE94" s="26">
        <v>3</v>
      </c>
      <c r="AF94" s="58"/>
    </row>
    <row r="95" spans="2:32" ht="14.4" hidden="1" x14ac:dyDescent="0.3">
      <c r="B95" s="16" t="s">
        <v>14</v>
      </c>
      <c r="C95" s="68" t="s">
        <v>552</v>
      </c>
      <c r="D95" s="81" t="s">
        <v>151</v>
      </c>
      <c r="E95" s="315" t="s">
        <v>553</v>
      </c>
      <c r="F95" s="43">
        <v>45677</v>
      </c>
      <c r="G95" s="42" t="s">
        <v>55</v>
      </c>
      <c r="H95" s="42"/>
      <c r="I95" s="61">
        <f>332160/2</f>
        <v>166080</v>
      </c>
      <c r="J95" s="42">
        <v>3</v>
      </c>
      <c r="K95" s="321">
        <f t="shared" si="2"/>
        <v>55360</v>
      </c>
      <c r="L95" s="62">
        <v>46023</v>
      </c>
      <c r="M95" s="62">
        <v>46387</v>
      </c>
      <c r="N95" s="63" t="s">
        <v>520</v>
      </c>
      <c r="O95" s="42" t="s">
        <v>0</v>
      </c>
      <c r="P95" s="42"/>
      <c r="Q95" s="64" t="s">
        <v>347</v>
      </c>
      <c r="R95" s="63" t="s">
        <v>556</v>
      </c>
      <c r="S95" s="63" t="s">
        <v>348</v>
      </c>
      <c r="T95" s="63"/>
      <c r="U95" s="63" t="s">
        <v>349</v>
      </c>
      <c r="V95" s="63"/>
      <c r="W95" s="63"/>
      <c r="X95" s="63"/>
      <c r="Y95" s="63"/>
      <c r="Z95" s="63"/>
      <c r="AA95" s="63"/>
      <c r="AB95" s="63"/>
      <c r="AC95" s="63" t="s">
        <v>507</v>
      </c>
      <c r="AD95" s="16" t="s">
        <v>63</v>
      </c>
      <c r="AE95" s="42">
        <v>3</v>
      </c>
      <c r="AF95" s="63"/>
    </row>
    <row r="96" spans="2:32" ht="14.4" x14ac:dyDescent="0.3">
      <c r="B96" s="16" t="s">
        <v>14</v>
      </c>
      <c r="C96" s="68" t="s">
        <v>557</v>
      </c>
      <c r="D96" s="44" t="s">
        <v>558</v>
      </c>
      <c r="E96" s="93" t="s">
        <v>559</v>
      </c>
      <c r="F96" s="43">
        <v>45688</v>
      </c>
      <c r="G96" s="42" t="s">
        <v>55</v>
      </c>
      <c r="H96" s="42">
        <v>1</v>
      </c>
      <c r="I96" s="61">
        <v>134698</v>
      </c>
      <c r="J96" s="42">
        <v>4</v>
      </c>
      <c r="K96" s="321">
        <f t="shared" si="2"/>
        <v>33674.5</v>
      </c>
      <c r="L96" s="62">
        <v>45688</v>
      </c>
      <c r="M96" s="62">
        <v>46052</v>
      </c>
      <c r="N96" s="63" t="s">
        <v>19</v>
      </c>
      <c r="O96" s="42" t="s">
        <v>0</v>
      </c>
      <c r="P96" s="42"/>
      <c r="Q96" s="64" t="s">
        <v>560</v>
      </c>
      <c r="R96" s="63" t="s">
        <v>561</v>
      </c>
      <c r="S96" s="64" t="s">
        <v>266</v>
      </c>
      <c r="T96" s="63" t="s">
        <v>562</v>
      </c>
      <c r="U96" s="64" t="s">
        <v>267</v>
      </c>
      <c r="V96" s="63" t="s">
        <v>563</v>
      </c>
      <c r="W96" s="64" t="s">
        <v>564</v>
      </c>
      <c r="X96" s="63" t="s">
        <v>84</v>
      </c>
      <c r="Y96" s="63"/>
      <c r="Z96" s="63"/>
      <c r="AA96" s="63"/>
      <c r="AB96" s="63"/>
      <c r="AC96" s="63" t="s">
        <v>281</v>
      </c>
      <c r="AD96" s="42" t="s">
        <v>97</v>
      </c>
      <c r="AE96" s="42" t="s">
        <v>494</v>
      </c>
      <c r="AF96" s="63"/>
    </row>
    <row r="97" spans="2:32" ht="14.4" x14ac:dyDescent="0.3">
      <c r="B97" s="16" t="s">
        <v>14</v>
      </c>
      <c r="C97" s="68" t="s">
        <v>565</v>
      </c>
      <c r="D97" s="44" t="s">
        <v>566</v>
      </c>
      <c r="E97" s="93">
        <v>1011705960</v>
      </c>
      <c r="F97" s="43">
        <v>45692</v>
      </c>
      <c r="G97" s="42" t="s">
        <v>55</v>
      </c>
      <c r="H97" s="42">
        <v>1</v>
      </c>
      <c r="I97" s="61">
        <v>75000</v>
      </c>
      <c r="J97" s="42">
        <v>2</v>
      </c>
      <c r="K97" s="321">
        <f t="shared" si="2"/>
        <v>37500</v>
      </c>
      <c r="L97" s="62">
        <v>45689</v>
      </c>
      <c r="M97" s="62">
        <v>46053</v>
      </c>
      <c r="N97" s="18" t="s">
        <v>19</v>
      </c>
      <c r="O97" s="26" t="s">
        <v>0</v>
      </c>
      <c r="P97" s="42"/>
      <c r="Q97" s="64" t="s">
        <v>567</v>
      </c>
      <c r="R97" s="63" t="s">
        <v>555</v>
      </c>
      <c r="S97" s="64" t="s">
        <v>424</v>
      </c>
      <c r="T97" s="63" t="s">
        <v>493</v>
      </c>
      <c r="U97" s="63"/>
      <c r="V97" s="63"/>
      <c r="W97" s="63"/>
      <c r="X97" s="63"/>
      <c r="Y97" s="63"/>
      <c r="Z97" s="63"/>
      <c r="AA97" s="63"/>
      <c r="AB97" s="63"/>
      <c r="AC97" s="63" t="s">
        <v>551</v>
      </c>
      <c r="AD97" s="16" t="s">
        <v>207</v>
      </c>
      <c r="AE97" s="42">
        <v>2</v>
      </c>
      <c r="AF97" s="65"/>
    </row>
    <row r="98" spans="2:32" ht="14.4" hidden="1" x14ac:dyDescent="0.3">
      <c r="B98" s="16" t="s">
        <v>14</v>
      </c>
      <c r="C98" s="74" t="s">
        <v>568</v>
      </c>
      <c r="D98" s="234" t="s">
        <v>151</v>
      </c>
      <c r="E98" s="78">
        <v>7700326717</v>
      </c>
      <c r="F98" s="40">
        <v>45693</v>
      </c>
      <c r="G98" s="26" t="s">
        <v>55</v>
      </c>
      <c r="H98" s="26"/>
      <c r="I98" s="56">
        <f>93000*3</f>
        <v>279000</v>
      </c>
      <c r="J98" s="26">
        <v>3</v>
      </c>
      <c r="K98" s="321">
        <f t="shared" si="2"/>
        <v>93000</v>
      </c>
      <c r="L98" s="57">
        <v>45705</v>
      </c>
      <c r="M98" s="57">
        <v>46069</v>
      </c>
      <c r="N98" s="58" t="s">
        <v>19</v>
      </c>
      <c r="O98" s="26" t="s">
        <v>2</v>
      </c>
      <c r="P98" s="26"/>
      <c r="Q98" s="59" t="s">
        <v>569</v>
      </c>
      <c r="R98" s="58" t="s">
        <v>570</v>
      </c>
      <c r="S98" s="59" t="s">
        <v>571</v>
      </c>
      <c r="T98" s="58" t="s">
        <v>126</v>
      </c>
      <c r="U98" s="59" t="s">
        <v>572</v>
      </c>
      <c r="V98" s="58" t="s">
        <v>573</v>
      </c>
      <c r="W98" s="58"/>
      <c r="X98" s="58"/>
      <c r="Y98" s="58"/>
      <c r="Z98" s="58"/>
      <c r="AA98" s="58"/>
      <c r="AB98" s="58"/>
      <c r="AC98" s="58" t="s">
        <v>507</v>
      </c>
      <c r="AD98" s="16" t="s">
        <v>63</v>
      </c>
      <c r="AE98" s="26">
        <v>3</v>
      </c>
      <c r="AF98" s="58"/>
    </row>
    <row r="99" spans="2:32" ht="14.4" x14ac:dyDescent="0.3">
      <c r="B99" s="16" t="s">
        <v>14</v>
      </c>
      <c r="C99" s="74" t="s">
        <v>568</v>
      </c>
      <c r="D99" s="234" t="s">
        <v>151</v>
      </c>
      <c r="E99" s="360">
        <v>7700326717</v>
      </c>
      <c r="F99" s="40">
        <v>45693</v>
      </c>
      <c r="G99" s="26" t="s">
        <v>55</v>
      </c>
      <c r="H99" s="26">
        <v>4</v>
      </c>
      <c r="I99" s="56">
        <f>279000+93000</f>
        <v>372000</v>
      </c>
      <c r="J99" s="26">
        <v>3</v>
      </c>
      <c r="K99" s="321"/>
      <c r="L99" s="57">
        <v>46070</v>
      </c>
      <c r="M99" s="57">
        <v>46434</v>
      </c>
      <c r="N99" s="58" t="s">
        <v>520</v>
      </c>
      <c r="O99" s="26" t="s">
        <v>2</v>
      </c>
      <c r="P99" s="26"/>
      <c r="Q99" s="59" t="s">
        <v>574</v>
      </c>
      <c r="R99" s="58" t="s">
        <v>1714</v>
      </c>
      <c r="S99" s="58" t="s">
        <v>575</v>
      </c>
      <c r="T99" s="58"/>
      <c r="U99" s="58" t="s">
        <v>576</v>
      </c>
      <c r="V99" s="58"/>
      <c r="W99" s="58"/>
      <c r="X99" s="58"/>
      <c r="Y99" s="58"/>
      <c r="Z99" s="58"/>
      <c r="AA99" s="58"/>
      <c r="AB99" s="58"/>
      <c r="AC99" s="58" t="s">
        <v>507</v>
      </c>
      <c r="AD99" s="16" t="s">
        <v>63</v>
      </c>
      <c r="AE99" s="26">
        <v>3</v>
      </c>
      <c r="AF99" s="58"/>
    </row>
    <row r="100" spans="2:32" ht="14.4" hidden="1" x14ac:dyDescent="0.3">
      <c r="B100" s="16" t="s">
        <v>14</v>
      </c>
      <c r="C100" s="68" t="s">
        <v>568</v>
      </c>
      <c r="D100" s="44" t="s">
        <v>151</v>
      </c>
      <c r="E100" s="42">
        <v>7700326717</v>
      </c>
      <c r="F100" s="43">
        <v>45693</v>
      </c>
      <c r="G100" s="42" t="s">
        <v>55</v>
      </c>
      <c r="H100" s="26"/>
      <c r="I100" s="56">
        <f>279000+93000</f>
        <v>372000</v>
      </c>
      <c r="J100" s="42">
        <v>3</v>
      </c>
      <c r="K100" s="321"/>
      <c r="L100" s="62">
        <v>46435</v>
      </c>
      <c r="M100" s="62">
        <v>46799</v>
      </c>
      <c r="N100" s="63" t="s">
        <v>520</v>
      </c>
      <c r="O100" s="42" t="s">
        <v>2</v>
      </c>
      <c r="P100" s="42"/>
      <c r="Q100" s="63" t="s">
        <v>577</v>
      </c>
      <c r="R100" s="63"/>
      <c r="S100" s="63" t="s">
        <v>578</v>
      </c>
      <c r="T100" s="63"/>
      <c r="U100" s="63" t="s">
        <v>579</v>
      </c>
      <c r="V100" s="63"/>
      <c r="W100" s="63"/>
      <c r="X100" s="63"/>
      <c r="Y100" s="63"/>
      <c r="Z100" s="63"/>
      <c r="AA100" s="63"/>
      <c r="AB100" s="63"/>
      <c r="AC100" s="63" t="s">
        <v>507</v>
      </c>
      <c r="AD100" s="16" t="s">
        <v>63</v>
      </c>
      <c r="AE100" s="42">
        <v>3</v>
      </c>
      <c r="AF100" s="63"/>
    </row>
    <row r="101" spans="2:32" ht="14.4" x14ac:dyDescent="0.3">
      <c r="B101" s="16" t="s">
        <v>14</v>
      </c>
      <c r="C101" s="97" t="s">
        <v>580</v>
      </c>
      <c r="D101" s="234" t="s">
        <v>581</v>
      </c>
      <c r="E101" s="98">
        <v>24008608</v>
      </c>
      <c r="F101" s="60">
        <v>45698</v>
      </c>
      <c r="G101" s="42" t="s">
        <v>55</v>
      </c>
      <c r="H101" s="42">
        <v>1</v>
      </c>
      <c r="I101" s="61">
        <v>90000</v>
      </c>
      <c r="J101" s="42">
        <v>3</v>
      </c>
      <c r="K101" s="321">
        <f t="shared" si="2"/>
        <v>30000</v>
      </c>
      <c r="L101" s="62">
        <v>45689</v>
      </c>
      <c r="M101" s="62">
        <v>46053</v>
      </c>
      <c r="N101" s="63" t="s">
        <v>19</v>
      </c>
      <c r="O101" s="42" t="s">
        <v>0</v>
      </c>
      <c r="P101" s="42"/>
      <c r="Q101" s="64" t="s">
        <v>79</v>
      </c>
      <c r="R101" s="63" t="s">
        <v>413</v>
      </c>
      <c r="S101" s="64" t="s">
        <v>81</v>
      </c>
      <c r="T101" s="63" t="s">
        <v>582</v>
      </c>
      <c r="U101" s="64" t="s">
        <v>83</v>
      </c>
      <c r="V101" s="63" t="s">
        <v>320</v>
      </c>
      <c r="W101" s="63"/>
      <c r="X101" s="63"/>
      <c r="Y101" s="63"/>
      <c r="Z101" s="63"/>
      <c r="AA101" s="63"/>
      <c r="AB101" s="63"/>
      <c r="AC101" s="63" t="s">
        <v>183</v>
      </c>
      <c r="AD101" s="42" t="s">
        <v>97</v>
      </c>
      <c r="AE101" s="42">
        <v>2</v>
      </c>
      <c r="AF101" s="63"/>
    </row>
    <row r="102" spans="2:32" ht="14.4" x14ac:dyDescent="0.3">
      <c r="B102" s="16" t="s">
        <v>14</v>
      </c>
      <c r="C102" s="99" t="s">
        <v>583</v>
      </c>
      <c r="D102" s="234" t="s">
        <v>176</v>
      </c>
      <c r="E102" s="96" t="s">
        <v>584</v>
      </c>
      <c r="F102" s="43">
        <v>45699</v>
      </c>
      <c r="G102" s="42" t="s">
        <v>55</v>
      </c>
      <c r="H102" s="42">
        <v>1</v>
      </c>
      <c r="I102" s="100">
        <v>142080</v>
      </c>
      <c r="J102" s="42">
        <v>2</v>
      </c>
      <c r="K102" s="321">
        <f t="shared" si="2"/>
        <v>71040</v>
      </c>
      <c r="L102" s="62">
        <v>45689</v>
      </c>
      <c r="M102" s="62">
        <v>46053</v>
      </c>
      <c r="N102" s="63" t="s">
        <v>19</v>
      </c>
      <c r="O102" s="42" t="s">
        <v>0</v>
      </c>
      <c r="P102" s="42"/>
      <c r="Q102" s="64" t="s">
        <v>422</v>
      </c>
      <c r="R102" s="63" t="s">
        <v>585</v>
      </c>
      <c r="S102" s="64" t="s">
        <v>424</v>
      </c>
      <c r="T102" s="63" t="s">
        <v>586</v>
      </c>
      <c r="U102" s="63"/>
      <c r="V102" s="63"/>
      <c r="W102" s="63"/>
      <c r="X102" s="63"/>
      <c r="Y102" s="63"/>
      <c r="Z102" s="63"/>
      <c r="AA102" s="63"/>
      <c r="AB102" s="63"/>
      <c r="AC102" s="63" t="s">
        <v>183</v>
      </c>
      <c r="AD102" s="42" t="s">
        <v>97</v>
      </c>
      <c r="AE102" s="42">
        <v>2</v>
      </c>
      <c r="AF102" s="63"/>
    </row>
    <row r="103" spans="2:32" ht="14.4" x14ac:dyDescent="0.3">
      <c r="B103" s="16" t="s">
        <v>14</v>
      </c>
      <c r="C103" s="68" t="s">
        <v>587</v>
      </c>
      <c r="D103" s="44" t="s">
        <v>176</v>
      </c>
      <c r="E103" s="93">
        <v>4800012618</v>
      </c>
      <c r="F103" s="43">
        <v>45673</v>
      </c>
      <c r="G103" s="42" t="s">
        <v>55</v>
      </c>
      <c r="H103" s="42">
        <v>1</v>
      </c>
      <c r="I103" s="61">
        <v>86350</v>
      </c>
      <c r="J103" s="42">
        <v>2</v>
      </c>
      <c r="K103" s="321">
        <f t="shared" si="2"/>
        <v>43175</v>
      </c>
      <c r="L103" s="62">
        <v>45689</v>
      </c>
      <c r="M103" s="62">
        <v>46053</v>
      </c>
      <c r="N103" s="18" t="s">
        <v>19</v>
      </c>
      <c r="O103" s="26" t="s">
        <v>0</v>
      </c>
      <c r="P103" s="42"/>
      <c r="Q103" s="64" t="s">
        <v>422</v>
      </c>
      <c r="R103" s="63" t="s">
        <v>225</v>
      </c>
      <c r="S103" s="64" t="s">
        <v>424</v>
      </c>
      <c r="T103" s="63" t="s">
        <v>588</v>
      </c>
      <c r="U103" s="63"/>
      <c r="V103" s="63"/>
      <c r="W103" s="63"/>
      <c r="X103" s="63"/>
      <c r="Y103" s="63"/>
      <c r="Z103" s="63"/>
      <c r="AA103" s="63"/>
      <c r="AB103" s="63"/>
      <c r="AC103" s="63" t="s">
        <v>183</v>
      </c>
      <c r="AD103" s="42" t="s">
        <v>97</v>
      </c>
      <c r="AE103" s="42">
        <v>2</v>
      </c>
      <c r="AF103" s="63"/>
    </row>
    <row r="104" spans="2:32" ht="14.4" x14ac:dyDescent="0.3">
      <c r="B104" s="16" t="s">
        <v>14</v>
      </c>
      <c r="C104" s="39" t="s">
        <v>589</v>
      </c>
      <c r="D104" s="44" t="s">
        <v>590</v>
      </c>
      <c r="E104" s="102">
        <v>4508578495</v>
      </c>
      <c r="F104" s="55">
        <v>45700</v>
      </c>
      <c r="G104" s="26" t="s">
        <v>55</v>
      </c>
      <c r="H104" s="26">
        <v>1</v>
      </c>
      <c r="I104" s="56">
        <v>137750</v>
      </c>
      <c r="J104" s="26">
        <v>3</v>
      </c>
      <c r="K104" s="321">
        <f t="shared" si="2"/>
        <v>45916.666666666664</v>
      </c>
      <c r="L104" s="57">
        <v>45698</v>
      </c>
      <c r="M104" s="57">
        <v>46062</v>
      </c>
      <c r="N104" s="58" t="s">
        <v>19</v>
      </c>
      <c r="O104" s="26" t="s">
        <v>2</v>
      </c>
      <c r="P104" s="26"/>
      <c r="Q104" s="59" t="s">
        <v>591</v>
      </c>
      <c r="R104" s="58" t="s">
        <v>555</v>
      </c>
      <c r="S104" s="59" t="s">
        <v>592</v>
      </c>
      <c r="T104" s="58" t="s">
        <v>464</v>
      </c>
      <c r="U104" s="59" t="s">
        <v>593</v>
      </c>
      <c r="V104" s="58" t="s">
        <v>594</v>
      </c>
      <c r="W104" s="58"/>
      <c r="X104" s="58"/>
      <c r="Y104" s="58"/>
      <c r="Z104" s="58"/>
      <c r="AA104" s="58"/>
      <c r="AB104" s="58"/>
      <c r="AC104" s="58" t="s">
        <v>551</v>
      </c>
      <c r="AD104" s="16" t="s">
        <v>207</v>
      </c>
      <c r="AE104" s="26">
        <v>3</v>
      </c>
      <c r="AF104" s="58"/>
    </row>
    <row r="105" spans="2:32" ht="14.4" x14ac:dyDescent="0.3">
      <c r="B105" s="16" t="s">
        <v>14</v>
      </c>
      <c r="C105" s="68" t="s">
        <v>595</v>
      </c>
      <c r="D105" s="44" t="s">
        <v>596</v>
      </c>
      <c r="E105" s="93">
        <v>3110014461</v>
      </c>
      <c r="F105" s="43">
        <v>45700</v>
      </c>
      <c r="G105" s="42" t="s">
        <v>55</v>
      </c>
      <c r="H105" s="42">
        <v>1</v>
      </c>
      <c r="I105" s="61">
        <v>50000</v>
      </c>
      <c r="J105" s="42">
        <v>2</v>
      </c>
      <c r="K105" s="321">
        <f t="shared" si="2"/>
        <v>25000</v>
      </c>
      <c r="L105" s="62">
        <v>45748</v>
      </c>
      <c r="M105" s="62">
        <v>46112</v>
      </c>
      <c r="N105" s="63" t="s">
        <v>19</v>
      </c>
      <c r="O105" s="42" t="s">
        <v>3</v>
      </c>
      <c r="P105" s="42"/>
      <c r="Q105" s="64" t="s">
        <v>463</v>
      </c>
      <c r="R105" s="63" t="s">
        <v>537</v>
      </c>
      <c r="S105" s="64" t="s">
        <v>465</v>
      </c>
      <c r="T105" s="63" t="s">
        <v>597</v>
      </c>
      <c r="U105" s="63"/>
      <c r="V105" s="63"/>
      <c r="W105" s="63"/>
      <c r="X105" s="63"/>
      <c r="Y105" s="63"/>
      <c r="Z105" s="63"/>
      <c r="AA105" s="63"/>
      <c r="AB105" s="63"/>
      <c r="AC105" s="63" t="s">
        <v>507</v>
      </c>
      <c r="AD105" s="16" t="s">
        <v>63</v>
      </c>
      <c r="AE105" s="42">
        <v>2</v>
      </c>
      <c r="AF105" s="63"/>
    </row>
    <row r="106" spans="2:32" ht="14.4" x14ac:dyDescent="0.3">
      <c r="B106" s="16" t="s">
        <v>14</v>
      </c>
      <c r="C106" s="68" t="s">
        <v>598</v>
      </c>
      <c r="D106" s="44" t="s">
        <v>599</v>
      </c>
      <c r="E106" s="84">
        <v>3001027074</v>
      </c>
      <c r="F106" s="43">
        <v>45702</v>
      </c>
      <c r="G106" s="42" t="s">
        <v>55</v>
      </c>
      <c r="H106" s="42">
        <v>5</v>
      </c>
      <c r="I106" s="61">
        <v>290000</v>
      </c>
      <c r="J106" s="42">
        <v>2</v>
      </c>
      <c r="K106" s="321">
        <f t="shared" si="2"/>
        <v>145000</v>
      </c>
      <c r="L106" s="62">
        <v>45702</v>
      </c>
      <c r="M106" s="62">
        <v>46065</v>
      </c>
      <c r="N106" s="63" t="s">
        <v>19</v>
      </c>
      <c r="O106" s="42" t="s">
        <v>2</v>
      </c>
      <c r="P106" s="42"/>
      <c r="Q106" s="64" t="s">
        <v>600</v>
      </c>
      <c r="R106" s="63" t="s">
        <v>601</v>
      </c>
      <c r="S106" s="64" t="s">
        <v>602</v>
      </c>
      <c r="T106" s="63" t="s">
        <v>573</v>
      </c>
      <c r="U106" s="63"/>
      <c r="V106" s="63"/>
      <c r="W106" s="63"/>
      <c r="X106" s="63"/>
      <c r="Y106" s="63"/>
      <c r="Z106" s="63"/>
      <c r="AA106" s="63"/>
      <c r="AB106" s="63"/>
      <c r="AC106" s="63" t="s">
        <v>485</v>
      </c>
      <c r="AD106" s="16" t="s">
        <v>63</v>
      </c>
      <c r="AE106" s="42">
        <v>2</v>
      </c>
      <c r="AF106" s="65" t="s">
        <v>603</v>
      </c>
    </row>
    <row r="107" spans="2:32" ht="14.4" x14ac:dyDescent="0.3">
      <c r="B107" s="16" t="s">
        <v>14</v>
      </c>
      <c r="C107" s="39" t="s">
        <v>604</v>
      </c>
      <c r="D107" s="44" t="s">
        <v>605</v>
      </c>
      <c r="E107" s="42">
        <v>5700171274</v>
      </c>
      <c r="F107" s="55">
        <v>45705</v>
      </c>
      <c r="G107" s="26" t="s">
        <v>55</v>
      </c>
      <c r="H107" s="26">
        <v>5</v>
      </c>
      <c r="I107" s="56">
        <v>591675</v>
      </c>
      <c r="J107" s="26">
        <v>2</v>
      </c>
      <c r="K107" s="321">
        <f t="shared" si="2"/>
        <v>295837.5</v>
      </c>
      <c r="L107" s="57">
        <v>45658</v>
      </c>
      <c r="M107" s="57">
        <v>46022</v>
      </c>
      <c r="N107" s="58" t="s">
        <v>520</v>
      </c>
      <c r="O107" s="26" t="s">
        <v>2</v>
      </c>
      <c r="P107" s="26"/>
      <c r="Q107" s="59" t="s">
        <v>482</v>
      </c>
      <c r="R107" s="58" t="s">
        <v>371</v>
      </c>
      <c r="S107" s="59" t="s">
        <v>483</v>
      </c>
      <c r="T107" s="58" t="s">
        <v>606</v>
      </c>
      <c r="U107" s="58"/>
      <c r="V107" s="58"/>
      <c r="W107" s="58"/>
      <c r="X107" s="58"/>
      <c r="Y107" s="58"/>
      <c r="Z107" s="58"/>
      <c r="AA107" s="58"/>
      <c r="AB107" s="58"/>
      <c r="AC107" s="58" t="s">
        <v>485</v>
      </c>
      <c r="AD107" s="16" t="s">
        <v>63</v>
      </c>
      <c r="AE107" s="26">
        <v>3</v>
      </c>
      <c r="AF107" s="58"/>
    </row>
    <row r="108" spans="2:32" ht="14.4" hidden="1" x14ac:dyDescent="0.3">
      <c r="B108" s="16" t="s">
        <v>14</v>
      </c>
      <c r="C108" s="68" t="s">
        <v>604</v>
      </c>
      <c r="D108" s="44" t="s">
        <v>605</v>
      </c>
      <c r="E108" s="152">
        <v>5700171274</v>
      </c>
      <c r="F108" s="43">
        <v>45705</v>
      </c>
      <c r="G108" s="42"/>
      <c r="H108" s="42"/>
      <c r="I108" s="61">
        <v>591675</v>
      </c>
      <c r="J108" s="42"/>
      <c r="K108" s="321" t="e">
        <f t="shared" si="2"/>
        <v>#DIV/0!</v>
      </c>
      <c r="L108" s="62">
        <v>46023</v>
      </c>
      <c r="M108" s="62">
        <v>46387</v>
      </c>
      <c r="N108" s="63" t="s">
        <v>520</v>
      </c>
      <c r="O108" s="42" t="s">
        <v>2</v>
      </c>
      <c r="P108" s="42"/>
      <c r="Q108" s="63" t="s">
        <v>607</v>
      </c>
      <c r="R108" s="63"/>
      <c r="S108" s="63" t="s">
        <v>608</v>
      </c>
      <c r="T108" s="63"/>
      <c r="U108" s="63"/>
      <c r="V108" s="63"/>
      <c r="W108" s="63"/>
      <c r="X108" s="63"/>
      <c r="Y108" s="63"/>
      <c r="Z108" s="63"/>
      <c r="AA108" s="63"/>
      <c r="AB108" s="63"/>
      <c r="AC108" s="63" t="s">
        <v>485</v>
      </c>
      <c r="AD108" s="16" t="s">
        <v>63</v>
      </c>
      <c r="AE108" s="42">
        <v>3</v>
      </c>
      <c r="AF108" s="63"/>
    </row>
    <row r="109" spans="2:32" ht="14.4" x14ac:dyDescent="0.3">
      <c r="B109" s="16" t="s">
        <v>14</v>
      </c>
      <c r="C109" s="103" t="s">
        <v>609</v>
      </c>
      <c r="D109" s="44" t="s">
        <v>86</v>
      </c>
      <c r="E109" s="84">
        <v>3791225209</v>
      </c>
      <c r="F109" s="43">
        <v>45695</v>
      </c>
      <c r="G109" s="42" t="s">
        <v>55</v>
      </c>
      <c r="H109" s="42">
        <v>2</v>
      </c>
      <c r="I109" s="61">
        <v>364800</v>
      </c>
      <c r="J109" s="42">
        <v>3</v>
      </c>
      <c r="K109" s="321">
        <f t="shared" si="2"/>
        <v>121600</v>
      </c>
      <c r="L109" s="62">
        <v>45689</v>
      </c>
      <c r="M109" s="62">
        <v>46053</v>
      </c>
      <c r="N109" s="18" t="s">
        <v>19</v>
      </c>
      <c r="O109" s="26" t="s">
        <v>0</v>
      </c>
      <c r="P109" s="42" t="s">
        <v>1</v>
      </c>
      <c r="Q109" s="64" t="s">
        <v>79</v>
      </c>
      <c r="R109" s="63" t="s">
        <v>610</v>
      </c>
      <c r="S109" s="64" t="s">
        <v>81</v>
      </c>
      <c r="T109" s="63" t="s">
        <v>611</v>
      </c>
      <c r="U109" s="64" t="s">
        <v>83</v>
      </c>
      <c r="V109" t="s">
        <v>612</v>
      </c>
      <c r="W109" s="63"/>
      <c r="X109" s="63"/>
      <c r="Y109" s="63"/>
      <c r="Z109" s="63"/>
      <c r="AA109" s="63"/>
      <c r="AB109" s="63"/>
      <c r="AC109" s="63" t="s">
        <v>281</v>
      </c>
      <c r="AD109" s="42" t="s">
        <v>97</v>
      </c>
      <c r="AE109" s="42">
        <v>3</v>
      </c>
      <c r="AF109" s="63" t="s">
        <v>613</v>
      </c>
    </row>
    <row r="110" spans="2:32" ht="14.4" x14ac:dyDescent="0.3">
      <c r="B110" s="16" t="s">
        <v>14</v>
      </c>
      <c r="C110" s="94" t="s">
        <v>614</v>
      </c>
      <c r="D110" s="234" t="s">
        <v>53</v>
      </c>
      <c r="E110" s="95" t="s">
        <v>615</v>
      </c>
      <c r="F110" s="60">
        <v>45714</v>
      </c>
      <c r="G110" s="42" t="s">
        <v>616</v>
      </c>
      <c r="H110" s="42">
        <v>2</v>
      </c>
      <c r="I110" s="61">
        <v>147000</v>
      </c>
      <c r="J110" s="42">
        <v>3</v>
      </c>
      <c r="K110" s="321">
        <f t="shared" si="2"/>
        <v>49000</v>
      </c>
      <c r="L110" s="62">
        <v>45658</v>
      </c>
      <c r="M110" s="62">
        <v>46022</v>
      </c>
      <c r="N110" s="63" t="s">
        <v>19</v>
      </c>
      <c r="O110" s="294" t="s">
        <v>469</v>
      </c>
      <c r="P110" s="42"/>
      <c r="Q110" s="64" t="s">
        <v>341</v>
      </c>
      <c r="R110" s="63" t="s">
        <v>617</v>
      </c>
      <c r="S110" s="64" t="s">
        <v>343</v>
      </c>
      <c r="T110" s="63" t="s">
        <v>601</v>
      </c>
      <c r="U110" s="64" t="s">
        <v>345</v>
      </c>
      <c r="V110" s="63" t="s">
        <v>618</v>
      </c>
      <c r="W110" s="63"/>
      <c r="X110" s="63"/>
      <c r="Y110" s="63"/>
      <c r="Z110" s="63"/>
      <c r="AA110" s="63"/>
      <c r="AB110" s="63"/>
      <c r="AC110" s="63" t="s">
        <v>619</v>
      </c>
      <c r="AD110" s="16" t="s">
        <v>63</v>
      </c>
      <c r="AE110" s="42">
        <v>3</v>
      </c>
      <c r="AF110" s="63"/>
    </row>
    <row r="111" spans="2:32" ht="14.4" x14ac:dyDescent="0.3">
      <c r="B111" s="16" t="s">
        <v>14</v>
      </c>
      <c r="C111" s="68" t="s">
        <v>604</v>
      </c>
      <c r="D111" s="44" t="s">
        <v>620</v>
      </c>
      <c r="E111" s="84">
        <v>5700166357</v>
      </c>
      <c r="F111" s="43">
        <v>45679</v>
      </c>
      <c r="G111" s="42" t="s">
        <v>616</v>
      </c>
      <c r="H111" s="42">
        <v>8</v>
      </c>
      <c r="I111" s="61">
        <v>946680</v>
      </c>
      <c r="J111" s="42">
        <v>2</v>
      </c>
      <c r="K111" s="321">
        <f t="shared" si="2"/>
        <v>473340</v>
      </c>
      <c r="L111" s="62">
        <v>45658</v>
      </c>
      <c r="M111" s="62">
        <v>46022</v>
      </c>
      <c r="N111" s="63" t="s">
        <v>19</v>
      </c>
      <c r="O111" s="294" t="s">
        <v>469</v>
      </c>
      <c r="P111" s="42" t="s">
        <v>1</v>
      </c>
      <c r="Q111" s="64" t="s">
        <v>621</v>
      </c>
      <c r="R111" s="63" t="s">
        <v>622</v>
      </c>
      <c r="S111" s="64" t="s">
        <v>483</v>
      </c>
      <c r="T111" s="63" t="s">
        <v>623</v>
      </c>
      <c r="U111" s="63"/>
      <c r="V111" s="63"/>
      <c r="W111" s="63"/>
      <c r="X111" s="63"/>
      <c r="Y111" s="63"/>
      <c r="Z111" s="63"/>
      <c r="AA111" s="63"/>
      <c r="AB111" s="63"/>
      <c r="AC111" s="63" t="s">
        <v>619</v>
      </c>
      <c r="AD111" s="16" t="s">
        <v>63</v>
      </c>
      <c r="AE111" s="42">
        <v>3</v>
      </c>
      <c r="AF111" s="63"/>
    </row>
    <row r="112" spans="2:32" ht="14.4" x14ac:dyDescent="0.3">
      <c r="B112" s="16" t="s">
        <v>14</v>
      </c>
      <c r="C112" s="68" t="s">
        <v>598</v>
      </c>
      <c r="D112" s="44" t="s">
        <v>388</v>
      </c>
      <c r="E112" s="93">
        <v>3001030991</v>
      </c>
      <c r="F112" s="43">
        <v>45719</v>
      </c>
      <c r="G112" s="42" t="s">
        <v>616</v>
      </c>
      <c r="H112" s="42">
        <v>2</v>
      </c>
      <c r="I112" s="61">
        <v>116000</v>
      </c>
      <c r="J112" s="42">
        <v>2</v>
      </c>
      <c r="K112" s="321">
        <f t="shared" si="2"/>
        <v>58000</v>
      </c>
      <c r="L112" s="62">
        <v>45717</v>
      </c>
      <c r="M112" s="62">
        <v>46081</v>
      </c>
      <c r="N112" s="63" t="s">
        <v>19</v>
      </c>
      <c r="O112" s="42" t="s">
        <v>2</v>
      </c>
      <c r="P112" s="42"/>
      <c r="Q112" s="64" t="s">
        <v>624</v>
      </c>
      <c r="R112" s="63" t="s">
        <v>423</v>
      </c>
      <c r="S112" s="64" t="s">
        <v>625</v>
      </c>
      <c r="T112" s="63" t="s">
        <v>626</v>
      </c>
      <c r="U112" s="63"/>
      <c r="V112" s="63"/>
      <c r="W112" s="63"/>
      <c r="X112" s="63"/>
      <c r="Y112" s="63"/>
      <c r="Z112" s="63"/>
      <c r="AA112" s="63"/>
      <c r="AB112" s="63"/>
      <c r="AC112" s="63" t="s">
        <v>478</v>
      </c>
      <c r="AD112" s="16" t="s">
        <v>63</v>
      </c>
      <c r="AE112" s="42">
        <v>2</v>
      </c>
      <c r="AF112" s="105" t="s">
        <v>627</v>
      </c>
    </row>
    <row r="113" spans="2:32" ht="14.4" x14ac:dyDescent="0.3">
      <c r="B113" s="16" t="s">
        <v>14</v>
      </c>
      <c r="C113" s="94" t="s">
        <v>628</v>
      </c>
      <c r="D113" s="234" t="s">
        <v>629</v>
      </c>
      <c r="E113" s="96" t="s">
        <v>630</v>
      </c>
      <c r="F113" s="60">
        <v>45727</v>
      </c>
      <c r="G113" s="104" t="s">
        <v>616</v>
      </c>
      <c r="H113" s="104">
        <v>1</v>
      </c>
      <c r="I113" s="106">
        <v>52000</v>
      </c>
      <c r="J113" s="42">
        <v>1</v>
      </c>
      <c r="K113" s="321">
        <f t="shared" si="2"/>
        <v>52000</v>
      </c>
      <c r="L113" s="62">
        <v>45748</v>
      </c>
      <c r="M113" s="62">
        <v>46112</v>
      </c>
      <c r="N113" s="63" t="s">
        <v>19</v>
      </c>
      <c r="O113" s="42" t="s">
        <v>3</v>
      </c>
      <c r="P113" s="42"/>
      <c r="Q113" s="64" t="s">
        <v>631</v>
      </c>
      <c r="R113" s="63" t="s">
        <v>632</v>
      </c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 t="s">
        <v>485</v>
      </c>
      <c r="AD113" s="16" t="s">
        <v>63</v>
      </c>
      <c r="AE113" s="42">
        <v>2</v>
      </c>
      <c r="AF113" s="63" t="s">
        <v>633</v>
      </c>
    </row>
    <row r="114" spans="2:32" ht="14.4" x14ac:dyDescent="0.3">
      <c r="B114" s="16" t="s">
        <v>14</v>
      </c>
      <c r="C114" s="39" t="s">
        <v>634</v>
      </c>
      <c r="D114" s="44" t="s">
        <v>447</v>
      </c>
      <c r="E114" s="26">
        <v>4500262958</v>
      </c>
      <c r="F114" s="55">
        <v>45727</v>
      </c>
      <c r="G114" s="26" t="s">
        <v>616</v>
      </c>
      <c r="H114" s="26">
        <v>2</v>
      </c>
      <c r="I114" s="56">
        <f>597000/3</f>
        <v>199000</v>
      </c>
      <c r="J114" s="26">
        <v>4</v>
      </c>
      <c r="K114" s="321">
        <f t="shared" si="2"/>
        <v>49750</v>
      </c>
      <c r="L114" s="57">
        <v>45658</v>
      </c>
      <c r="M114" s="57">
        <v>46022</v>
      </c>
      <c r="N114" s="58" t="s">
        <v>520</v>
      </c>
      <c r="O114" s="26" t="s">
        <v>3</v>
      </c>
      <c r="P114" s="26"/>
      <c r="Q114" s="59" t="s">
        <v>390</v>
      </c>
      <c r="R114" s="58" t="s">
        <v>635</v>
      </c>
      <c r="S114" s="59" t="s">
        <v>391</v>
      </c>
      <c r="T114" s="58" t="s">
        <v>636</v>
      </c>
      <c r="U114" s="59" t="s">
        <v>168</v>
      </c>
      <c r="V114" s="58" t="s">
        <v>637</v>
      </c>
      <c r="W114" s="59" t="s">
        <v>228</v>
      </c>
      <c r="X114" s="58" t="s">
        <v>493</v>
      </c>
      <c r="Y114" s="58"/>
      <c r="Z114" s="58"/>
      <c r="AA114" s="58"/>
      <c r="AB114" s="58"/>
      <c r="AC114" s="58" t="s">
        <v>96</v>
      </c>
      <c r="AD114" s="26" t="s">
        <v>97</v>
      </c>
      <c r="AE114" s="26" t="s">
        <v>494</v>
      </c>
      <c r="AF114" s="58" t="s">
        <v>638</v>
      </c>
    </row>
    <row r="115" spans="2:32" ht="14.4" hidden="1" x14ac:dyDescent="0.3">
      <c r="B115" s="16" t="s">
        <v>14</v>
      </c>
      <c r="C115" s="39" t="s">
        <v>634</v>
      </c>
      <c r="D115" s="44" t="s">
        <v>447</v>
      </c>
      <c r="E115" s="26">
        <v>4500262958</v>
      </c>
      <c r="F115" s="55">
        <v>45727</v>
      </c>
      <c r="G115" s="26"/>
      <c r="H115" s="26"/>
      <c r="I115" s="56">
        <v>199000</v>
      </c>
      <c r="J115" s="26">
        <v>4</v>
      </c>
      <c r="K115" s="321">
        <f t="shared" si="2"/>
        <v>49750</v>
      </c>
      <c r="L115" s="57">
        <v>46023</v>
      </c>
      <c r="M115" s="57">
        <v>46387</v>
      </c>
      <c r="N115" s="58" t="s">
        <v>520</v>
      </c>
      <c r="O115" s="26" t="s">
        <v>3</v>
      </c>
      <c r="P115" s="26"/>
      <c r="Q115" s="59" t="s">
        <v>396</v>
      </c>
      <c r="R115" s="58" t="s">
        <v>639</v>
      </c>
      <c r="S115" s="59" t="s">
        <v>397</v>
      </c>
      <c r="T115" s="58" t="s">
        <v>1715</v>
      </c>
      <c r="U115" s="58" t="s">
        <v>496</v>
      </c>
      <c r="V115" s="58"/>
      <c r="W115" s="58" t="s">
        <v>497</v>
      </c>
      <c r="X115" s="58"/>
      <c r="Y115" s="58"/>
      <c r="Z115" s="58"/>
      <c r="AA115" s="58"/>
      <c r="AB115" s="58"/>
      <c r="AC115" s="58" t="s">
        <v>96</v>
      </c>
      <c r="AD115" s="26" t="s">
        <v>97</v>
      </c>
      <c r="AE115" s="26" t="s">
        <v>494</v>
      </c>
      <c r="AF115" s="58"/>
    </row>
    <row r="116" spans="2:32" ht="14.4" hidden="1" x14ac:dyDescent="0.3">
      <c r="B116" s="16" t="s">
        <v>14</v>
      </c>
      <c r="C116" s="68" t="s">
        <v>634</v>
      </c>
      <c r="D116" s="44" t="s">
        <v>447</v>
      </c>
      <c r="E116" s="42">
        <v>4500262958</v>
      </c>
      <c r="F116" s="43">
        <v>45727</v>
      </c>
      <c r="G116" s="42"/>
      <c r="H116" s="42"/>
      <c r="I116" s="61">
        <v>199000</v>
      </c>
      <c r="J116" s="42">
        <v>4</v>
      </c>
      <c r="K116" s="321">
        <f t="shared" si="2"/>
        <v>49750</v>
      </c>
      <c r="L116" s="62">
        <v>46388</v>
      </c>
      <c r="M116" s="62">
        <v>46752</v>
      </c>
      <c r="N116" s="63" t="s">
        <v>520</v>
      </c>
      <c r="O116" s="42" t="s">
        <v>3</v>
      </c>
      <c r="P116" s="42"/>
      <c r="Q116" s="63" t="s">
        <v>498</v>
      </c>
      <c r="R116" s="63"/>
      <c r="S116" s="63" t="s">
        <v>499</v>
      </c>
      <c r="T116" s="63"/>
      <c r="U116" s="63" t="s">
        <v>500</v>
      </c>
      <c r="V116" s="63"/>
      <c r="W116" s="63" t="s">
        <v>501</v>
      </c>
      <c r="X116" s="63"/>
      <c r="Y116" s="63"/>
      <c r="Z116" s="63"/>
      <c r="AA116" s="63"/>
      <c r="AB116" s="63"/>
      <c r="AC116" s="63" t="s">
        <v>96</v>
      </c>
      <c r="AD116" s="42" t="s">
        <v>97</v>
      </c>
      <c r="AE116" s="42" t="s">
        <v>494</v>
      </c>
      <c r="AF116" s="63"/>
    </row>
    <row r="117" spans="2:32" ht="14.4" x14ac:dyDescent="0.3">
      <c r="B117" s="16" t="s">
        <v>14</v>
      </c>
      <c r="C117" s="39" t="s">
        <v>640</v>
      </c>
      <c r="D117" s="44" t="s">
        <v>641</v>
      </c>
      <c r="E117" s="26" t="s">
        <v>642</v>
      </c>
      <c r="F117" s="55">
        <v>45731</v>
      </c>
      <c r="G117" s="26" t="s">
        <v>643</v>
      </c>
      <c r="H117" s="26">
        <v>3</v>
      </c>
      <c r="I117" s="56">
        <v>152460</v>
      </c>
      <c r="J117" s="26">
        <v>1</v>
      </c>
      <c r="K117" s="321">
        <f t="shared" si="2"/>
        <v>152460</v>
      </c>
      <c r="L117" s="57">
        <v>45748</v>
      </c>
      <c r="M117" s="57">
        <v>46112</v>
      </c>
      <c r="N117" s="58" t="s">
        <v>19</v>
      </c>
      <c r="O117" s="26" t="s">
        <v>3</v>
      </c>
      <c r="P117" s="26"/>
      <c r="Q117" s="59" t="s">
        <v>631</v>
      </c>
      <c r="R117" s="58" t="s">
        <v>644</v>
      </c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 t="s">
        <v>551</v>
      </c>
      <c r="AD117" s="16" t="s">
        <v>207</v>
      </c>
      <c r="AE117" s="26">
        <v>2</v>
      </c>
      <c r="AF117" s="58" t="s">
        <v>645</v>
      </c>
    </row>
    <row r="118" spans="2:32" ht="14.4" hidden="1" x14ac:dyDescent="0.3">
      <c r="B118" s="16" t="s">
        <v>14</v>
      </c>
      <c r="C118" s="68" t="s">
        <v>640</v>
      </c>
      <c r="D118" s="44" t="s">
        <v>641</v>
      </c>
      <c r="E118" s="42" t="s">
        <v>642</v>
      </c>
      <c r="F118" s="43">
        <v>45731</v>
      </c>
      <c r="G118" s="42"/>
      <c r="H118" s="42"/>
      <c r="I118" s="61">
        <v>152460</v>
      </c>
      <c r="J118" s="42">
        <v>1</v>
      </c>
      <c r="K118" s="321">
        <f t="shared" si="2"/>
        <v>152460</v>
      </c>
      <c r="L118" s="62">
        <v>46113</v>
      </c>
      <c r="M118" s="62">
        <v>46477</v>
      </c>
      <c r="N118" s="63" t="s">
        <v>520</v>
      </c>
      <c r="O118" s="42" t="s">
        <v>3</v>
      </c>
      <c r="P118" s="42"/>
      <c r="Q118" s="63" t="s">
        <v>646</v>
      </c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 t="s">
        <v>551</v>
      </c>
      <c r="AD118" s="16" t="s">
        <v>207</v>
      </c>
      <c r="AE118" s="42">
        <v>2</v>
      </c>
      <c r="AF118" s="63"/>
    </row>
    <row r="119" spans="2:32" ht="14.4" x14ac:dyDescent="0.3">
      <c r="B119" s="16" t="s">
        <v>14</v>
      </c>
      <c r="C119" s="37" t="s">
        <v>647</v>
      </c>
      <c r="D119" s="44" t="s">
        <v>648</v>
      </c>
      <c r="E119" s="196">
        <v>450087563</v>
      </c>
      <c r="F119" s="22">
        <v>45728</v>
      </c>
      <c r="G119" s="16" t="s">
        <v>643</v>
      </c>
      <c r="H119" s="16">
        <v>2</v>
      </c>
      <c r="I119" s="19">
        <v>220000</v>
      </c>
      <c r="J119" s="16">
        <v>2</v>
      </c>
      <c r="K119" s="321">
        <f t="shared" si="2"/>
        <v>110000</v>
      </c>
      <c r="L119" s="20">
        <v>45660</v>
      </c>
      <c r="M119" s="20">
        <v>46081</v>
      </c>
      <c r="N119" s="18" t="s">
        <v>19</v>
      </c>
      <c r="O119" s="16" t="s">
        <v>2</v>
      </c>
      <c r="P119" s="16"/>
      <c r="Q119" s="21" t="s">
        <v>624</v>
      </c>
      <c r="R119" s="18" t="s">
        <v>504</v>
      </c>
      <c r="S119" s="195" t="s">
        <v>625</v>
      </c>
      <c r="T119" s="18" t="s">
        <v>649</v>
      </c>
      <c r="U119" s="18"/>
      <c r="V119" s="18"/>
      <c r="W119" s="18"/>
      <c r="X119" s="18"/>
      <c r="Y119" s="18"/>
      <c r="Z119" s="18"/>
      <c r="AA119" s="18"/>
      <c r="AB119" s="18"/>
      <c r="AC119" s="18" t="s">
        <v>183</v>
      </c>
      <c r="AD119" s="16" t="s">
        <v>97</v>
      </c>
      <c r="AE119" s="16">
        <v>2</v>
      </c>
      <c r="AF119" s="18" t="s">
        <v>650</v>
      </c>
    </row>
    <row r="120" spans="2:32" ht="14.4" x14ac:dyDescent="0.3">
      <c r="B120" s="16" t="s">
        <v>14</v>
      </c>
      <c r="C120" s="37" t="s">
        <v>651</v>
      </c>
      <c r="D120" s="44" t="s">
        <v>447</v>
      </c>
      <c r="E120" s="28">
        <v>9200013983</v>
      </c>
      <c r="F120" s="22">
        <v>45727</v>
      </c>
      <c r="G120" s="16" t="s">
        <v>643</v>
      </c>
      <c r="H120" s="16">
        <v>1</v>
      </c>
      <c r="I120" s="19">
        <v>87360</v>
      </c>
      <c r="J120" s="16">
        <v>3</v>
      </c>
      <c r="K120" s="321">
        <f t="shared" si="2"/>
        <v>29120</v>
      </c>
      <c r="L120" s="20">
        <v>45717</v>
      </c>
      <c r="M120" s="20">
        <v>46081</v>
      </c>
      <c r="N120" s="18" t="s">
        <v>19</v>
      </c>
      <c r="O120" s="16" t="s">
        <v>2</v>
      </c>
      <c r="P120" s="16"/>
      <c r="Q120" s="21" t="s">
        <v>188</v>
      </c>
      <c r="R120" s="18" t="s">
        <v>652</v>
      </c>
      <c r="S120" s="21" t="s">
        <v>190</v>
      </c>
      <c r="T120" s="18" t="s">
        <v>475</v>
      </c>
      <c r="U120" s="21" t="s">
        <v>192</v>
      </c>
      <c r="V120" s="18" t="s">
        <v>653</v>
      </c>
      <c r="W120" s="18"/>
      <c r="X120" s="18"/>
      <c r="Y120" s="18"/>
      <c r="Z120" s="18"/>
      <c r="AA120" s="18"/>
      <c r="AB120" s="18"/>
      <c r="AC120" s="18" t="s">
        <v>281</v>
      </c>
      <c r="AD120" s="16" t="s">
        <v>97</v>
      </c>
      <c r="AE120" s="16">
        <v>3</v>
      </c>
      <c r="AF120" s="18" t="s">
        <v>654</v>
      </c>
    </row>
    <row r="121" spans="2:32" ht="14.4" x14ac:dyDescent="0.3">
      <c r="B121" s="16" t="s">
        <v>14</v>
      </c>
      <c r="C121" s="37" t="s">
        <v>655</v>
      </c>
      <c r="D121" s="235" t="s">
        <v>151</v>
      </c>
      <c r="E121" s="102">
        <v>2006637</v>
      </c>
      <c r="F121" s="22">
        <v>45729</v>
      </c>
      <c r="G121" s="16" t="s">
        <v>643</v>
      </c>
      <c r="H121" s="16">
        <v>4</v>
      </c>
      <c r="I121" s="19">
        <v>288000</v>
      </c>
      <c r="J121" s="16">
        <v>2</v>
      </c>
      <c r="K121" s="321">
        <f t="shared" si="2"/>
        <v>144000</v>
      </c>
      <c r="L121" s="20">
        <v>45661</v>
      </c>
      <c r="M121" s="20">
        <v>46112</v>
      </c>
      <c r="N121" s="18" t="s">
        <v>19</v>
      </c>
      <c r="O121" s="16" t="s">
        <v>5</v>
      </c>
      <c r="P121" s="16"/>
      <c r="Q121" s="21" t="s">
        <v>463</v>
      </c>
      <c r="R121" s="18" t="s">
        <v>582</v>
      </c>
      <c r="S121" s="21" t="s">
        <v>465</v>
      </c>
      <c r="T121" s="18" t="s">
        <v>656</v>
      </c>
      <c r="U121" s="18"/>
      <c r="V121" s="18"/>
      <c r="W121" s="18"/>
      <c r="X121" s="18"/>
      <c r="Y121" s="18"/>
      <c r="Z121" s="18"/>
      <c r="AA121" s="18"/>
      <c r="AB121" s="18"/>
      <c r="AC121" s="18" t="s">
        <v>478</v>
      </c>
      <c r="AD121" s="16" t="s">
        <v>63</v>
      </c>
      <c r="AE121" s="16">
        <v>2</v>
      </c>
      <c r="AF121" s="18" t="s">
        <v>657</v>
      </c>
    </row>
    <row r="122" spans="2:32" ht="14.4" x14ac:dyDescent="0.3">
      <c r="B122" s="16" t="s">
        <v>14</v>
      </c>
      <c r="C122" s="37" t="s">
        <v>658</v>
      </c>
      <c r="D122" s="44" t="s">
        <v>388</v>
      </c>
      <c r="E122" s="102" t="s">
        <v>659</v>
      </c>
      <c r="F122" s="22">
        <v>45705</v>
      </c>
      <c r="G122" s="16" t="s">
        <v>643</v>
      </c>
      <c r="H122" s="16">
        <v>1</v>
      </c>
      <c r="I122" s="19">
        <v>68000</v>
      </c>
      <c r="J122" s="16">
        <v>2</v>
      </c>
      <c r="K122" s="321">
        <f t="shared" si="2"/>
        <v>34000</v>
      </c>
      <c r="L122" s="20">
        <v>45717</v>
      </c>
      <c r="M122" s="20">
        <v>46081</v>
      </c>
      <c r="N122" s="18" t="s">
        <v>19</v>
      </c>
      <c r="O122" s="25" t="s">
        <v>3</v>
      </c>
      <c r="P122" s="16"/>
      <c r="Q122" s="21" t="s">
        <v>624</v>
      </c>
      <c r="R122" s="18" t="s">
        <v>660</v>
      </c>
      <c r="S122" s="21" t="s">
        <v>625</v>
      </c>
      <c r="T122" s="18" t="s">
        <v>661</v>
      </c>
      <c r="U122" s="18"/>
      <c r="V122" s="18"/>
      <c r="W122" s="18"/>
      <c r="X122" s="18"/>
      <c r="Y122" s="18"/>
      <c r="Z122" s="18"/>
      <c r="AA122" s="18"/>
      <c r="AB122" s="18"/>
      <c r="AC122" s="18" t="s">
        <v>478</v>
      </c>
      <c r="AD122" s="16" t="s">
        <v>63</v>
      </c>
      <c r="AE122" s="16">
        <v>3</v>
      </c>
      <c r="AF122" s="18" t="s">
        <v>662</v>
      </c>
    </row>
    <row r="123" spans="2:32" ht="14.4" x14ac:dyDescent="0.3">
      <c r="B123" s="16" t="s">
        <v>14</v>
      </c>
      <c r="C123" s="37" t="s">
        <v>663</v>
      </c>
      <c r="D123" s="236" t="s">
        <v>664</v>
      </c>
      <c r="E123" s="85">
        <v>4507449999</v>
      </c>
      <c r="F123" s="22">
        <v>45742</v>
      </c>
      <c r="G123" s="16" t="s">
        <v>643</v>
      </c>
      <c r="H123" s="16">
        <v>1</v>
      </c>
      <c r="I123" s="19">
        <v>66999.990000000005</v>
      </c>
      <c r="J123" s="16">
        <v>3</v>
      </c>
      <c r="K123" s="321">
        <f t="shared" si="2"/>
        <v>22333.33</v>
      </c>
      <c r="L123" s="20">
        <v>45748</v>
      </c>
      <c r="M123" s="20">
        <v>46112</v>
      </c>
      <c r="N123" s="18" t="s">
        <v>19</v>
      </c>
      <c r="O123" s="25" t="s">
        <v>3</v>
      </c>
      <c r="P123" s="16"/>
      <c r="Q123" s="21" t="s">
        <v>357</v>
      </c>
      <c r="R123" s="18" t="s">
        <v>401</v>
      </c>
      <c r="S123" s="21" t="s">
        <v>665</v>
      </c>
      <c r="T123" s="18" t="s">
        <v>73</v>
      </c>
      <c r="U123" s="21" t="s">
        <v>361</v>
      </c>
      <c r="V123" s="18" t="s">
        <v>666</v>
      </c>
      <c r="W123" s="18"/>
      <c r="X123" s="18"/>
      <c r="Y123" s="18"/>
      <c r="Z123" s="18"/>
      <c r="AA123" s="18"/>
      <c r="AB123" s="18"/>
      <c r="AC123" s="18" t="s">
        <v>478</v>
      </c>
      <c r="AD123" s="16" t="s">
        <v>63</v>
      </c>
      <c r="AE123" s="16" t="s">
        <v>494</v>
      </c>
      <c r="AF123" s="18" t="s">
        <v>667</v>
      </c>
    </row>
    <row r="124" spans="2:32" ht="14.4" x14ac:dyDescent="0.3">
      <c r="B124" s="16" t="s">
        <v>14</v>
      </c>
      <c r="C124" s="37" t="s">
        <v>668</v>
      </c>
      <c r="D124" s="236" t="s">
        <v>669</v>
      </c>
      <c r="E124" s="16">
        <v>50055662</v>
      </c>
      <c r="F124" s="51">
        <v>45743</v>
      </c>
      <c r="G124" s="16" t="s">
        <v>643</v>
      </c>
      <c r="H124" s="16">
        <v>13</v>
      </c>
      <c r="I124" s="19">
        <v>585000</v>
      </c>
      <c r="J124" s="16">
        <v>1</v>
      </c>
      <c r="K124" s="321">
        <f t="shared" si="2"/>
        <v>585000</v>
      </c>
      <c r="L124" s="20">
        <v>45748</v>
      </c>
      <c r="M124" s="20">
        <v>46112</v>
      </c>
      <c r="N124" s="18" t="s">
        <v>19</v>
      </c>
      <c r="O124" s="25" t="s">
        <v>3</v>
      </c>
      <c r="P124" s="16"/>
      <c r="Q124" s="21" t="s">
        <v>631</v>
      </c>
      <c r="R124" s="18" t="s">
        <v>670</v>
      </c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 t="s">
        <v>478</v>
      </c>
      <c r="AD124" s="16" t="s">
        <v>63</v>
      </c>
      <c r="AE124" s="16">
        <v>1</v>
      </c>
      <c r="AF124" s="18"/>
    </row>
    <row r="125" spans="2:32" ht="14.4" x14ac:dyDescent="0.3">
      <c r="B125" s="16" t="s">
        <v>14</v>
      </c>
      <c r="C125" s="37" t="s">
        <v>668</v>
      </c>
      <c r="D125" s="236" t="s">
        <v>669</v>
      </c>
      <c r="E125" s="25">
        <v>50055662</v>
      </c>
      <c r="F125" s="51">
        <v>45743</v>
      </c>
      <c r="G125" s="16" t="s">
        <v>643</v>
      </c>
      <c r="H125" s="16">
        <v>2</v>
      </c>
      <c r="I125" s="19">
        <v>160000</v>
      </c>
      <c r="J125" s="16">
        <v>2</v>
      </c>
      <c r="K125" s="321">
        <f t="shared" si="2"/>
        <v>80000</v>
      </c>
      <c r="L125" s="20">
        <v>45748</v>
      </c>
      <c r="M125" s="20">
        <v>46112</v>
      </c>
      <c r="N125" s="18" t="s">
        <v>19</v>
      </c>
      <c r="O125" s="25" t="s">
        <v>3</v>
      </c>
      <c r="P125" s="16"/>
      <c r="Q125" s="21" t="s">
        <v>463</v>
      </c>
      <c r="R125" s="18" t="s">
        <v>169</v>
      </c>
      <c r="S125" s="21" t="s">
        <v>465</v>
      </c>
      <c r="T125" s="18" t="s">
        <v>526</v>
      </c>
      <c r="U125" s="18"/>
      <c r="V125" s="18"/>
      <c r="W125" s="18"/>
      <c r="X125" s="18"/>
      <c r="Y125" s="18"/>
      <c r="Z125" s="18"/>
      <c r="AA125" s="18"/>
      <c r="AB125" s="18"/>
      <c r="AC125" s="18" t="s">
        <v>478</v>
      </c>
      <c r="AD125" s="16" t="s">
        <v>63</v>
      </c>
      <c r="AE125" s="16">
        <v>2</v>
      </c>
      <c r="AF125" s="18" t="s">
        <v>671</v>
      </c>
    </row>
    <row r="126" spans="2:32" ht="14.4" x14ac:dyDescent="0.3">
      <c r="B126" s="16" t="s">
        <v>14</v>
      </c>
      <c r="C126" s="39" t="s">
        <v>672</v>
      </c>
      <c r="D126" s="54" t="s">
        <v>447</v>
      </c>
      <c r="E126" s="26">
        <v>4800086922</v>
      </c>
      <c r="F126" s="55">
        <v>45747</v>
      </c>
      <c r="G126" s="26" t="s">
        <v>643</v>
      </c>
      <c r="H126" s="26">
        <v>3</v>
      </c>
      <c r="I126" s="107">
        <f>44887.5*4</f>
        <v>179550</v>
      </c>
      <c r="J126" s="26">
        <v>4</v>
      </c>
      <c r="K126" s="321">
        <f t="shared" si="2"/>
        <v>44887.5</v>
      </c>
      <c r="L126" s="57">
        <v>45748</v>
      </c>
      <c r="M126" s="57">
        <v>46112</v>
      </c>
      <c r="N126" s="58" t="s">
        <v>520</v>
      </c>
      <c r="O126" s="26" t="s">
        <v>5</v>
      </c>
      <c r="P126" s="26"/>
      <c r="Q126" s="59" t="s">
        <v>391</v>
      </c>
      <c r="R126" s="58" t="s">
        <v>401</v>
      </c>
      <c r="S126" s="59" t="s">
        <v>523</v>
      </c>
      <c r="T126" s="58" t="s">
        <v>126</v>
      </c>
      <c r="U126" s="59" t="s">
        <v>228</v>
      </c>
      <c r="V126" s="58" t="s">
        <v>673</v>
      </c>
      <c r="W126" s="59" t="s">
        <v>396</v>
      </c>
      <c r="X126" s="58" t="s">
        <v>495</v>
      </c>
      <c r="Y126" s="58"/>
      <c r="Z126" s="58"/>
      <c r="AA126" s="58"/>
      <c r="AB126" s="58"/>
      <c r="AC126" s="58" t="s">
        <v>96</v>
      </c>
      <c r="AD126" s="26" t="s">
        <v>97</v>
      </c>
      <c r="AE126" s="26" t="s">
        <v>494</v>
      </c>
      <c r="AF126" s="58" t="s">
        <v>657</v>
      </c>
    </row>
    <row r="127" spans="2:32" ht="14.4" hidden="1" x14ac:dyDescent="0.3">
      <c r="B127" s="16" t="s">
        <v>14</v>
      </c>
      <c r="C127" s="39" t="s">
        <v>672</v>
      </c>
      <c r="D127" s="54" t="s">
        <v>447</v>
      </c>
      <c r="E127" s="26">
        <v>4800086922</v>
      </c>
      <c r="F127" s="55">
        <v>45747</v>
      </c>
      <c r="G127" s="26" t="s">
        <v>643</v>
      </c>
      <c r="H127" s="26"/>
      <c r="I127" s="56">
        <f>47133.75*4</f>
        <v>188535</v>
      </c>
      <c r="J127" s="26">
        <v>4</v>
      </c>
      <c r="K127" s="321">
        <f t="shared" si="2"/>
        <v>47133.75</v>
      </c>
      <c r="L127" s="57">
        <v>46113</v>
      </c>
      <c r="M127" s="57">
        <v>46477</v>
      </c>
      <c r="N127" s="58" t="s">
        <v>520</v>
      </c>
      <c r="O127" s="26" t="s">
        <v>5</v>
      </c>
      <c r="P127" s="26"/>
      <c r="Q127" s="58" t="s">
        <v>397</v>
      </c>
      <c r="R127" s="58"/>
      <c r="S127" s="58" t="s">
        <v>496</v>
      </c>
      <c r="T127" s="58"/>
      <c r="U127" s="58" t="s">
        <v>497</v>
      </c>
      <c r="V127" s="58"/>
      <c r="W127" s="58" t="s">
        <v>498</v>
      </c>
      <c r="X127" s="58"/>
      <c r="Y127" s="58"/>
      <c r="Z127" s="58"/>
      <c r="AA127" s="58"/>
      <c r="AB127" s="58"/>
      <c r="AC127" s="58" t="s">
        <v>96</v>
      </c>
      <c r="AD127" s="26" t="s">
        <v>97</v>
      </c>
      <c r="AE127" s="26" t="s">
        <v>494</v>
      </c>
      <c r="AF127" s="58"/>
    </row>
    <row r="128" spans="2:32" ht="14.4" hidden="1" x14ac:dyDescent="0.3">
      <c r="B128" s="16" t="s">
        <v>14</v>
      </c>
      <c r="C128" s="68" t="s">
        <v>672</v>
      </c>
      <c r="D128" s="44" t="s">
        <v>447</v>
      </c>
      <c r="E128" s="42">
        <v>4800086922</v>
      </c>
      <c r="F128" s="43">
        <v>45747</v>
      </c>
      <c r="G128" s="42" t="s">
        <v>643</v>
      </c>
      <c r="H128" s="42"/>
      <c r="I128" s="61">
        <v>196500</v>
      </c>
      <c r="J128" s="42">
        <v>4</v>
      </c>
      <c r="K128" s="321">
        <f t="shared" si="2"/>
        <v>49125</v>
      </c>
      <c r="L128" s="62">
        <v>46478</v>
      </c>
      <c r="M128" s="62">
        <v>46843</v>
      </c>
      <c r="N128" s="63" t="s">
        <v>520</v>
      </c>
      <c r="O128" s="26" t="s">
        <v>5</v>
      </c>
      <c r="P128" s="42"/>
      <c r="Q128" s="63" t="s">
        <v>499</v>
      </c>
      <c r="R128" s="63"/>
      <c r="S128" s="63" t="s">
        <v>500</v>
      </c>
      <c r="T128" s="63"/>
      <c r="U128" s="63" t="s">
        <v>501</v>
      </c>
      <c r="V128" s="63"/>
      <c r="W128" s="63" t="s">
        <v>674</v>
      </c>
      <c r="X128" s="63"/>
      <c r="Y128" s="63"/>
      <c r="Z128" s="63"/>
      <c r="AA128" s="63"/>
      <c r="AB128" s="63"/>
      <c r="AC128" s="63" t="s">
        <v>96</v>
      </c>
      <c r="AD128" s="42" t="s">
        <v>97</v>
      </c>
      <c r="AE128" s="42" t="s">
        <v>494</v>
      </c>
      <c r="AF128" s="63"/>
    </row>
    <row r="129" spans="2:32" ht="14.4" x14ac:dyDescent="0.3">
      <c r="B129" s="16" t="s">
        <v>14</v>
      </c>
      <c r="C129" s="49" t="s">
        <v>614</v>
      </c>
      <c r="D129" s="237" t="s">
        <v>447</v>
      </c>
      <c r="E129" s="108" t="s">
        <v>675</v>
      </c>
      <c r="F129" s="109">
        <v>45743</v>
      </c>
      <c r="G129" s="42" t="s">
        <v>643</v>
      </c>
      <c r="H129" s="26">
        <v>2</v>
      </c>
      <c r="I129" s="56">
        <v>152880</v>
      </c>
      <c r="J129" s="42">
        <v>3</v>
      </c>
      <c r="K129" s="321">
        <f t="shared" si="2"/>
        <v>50960</v>
      </c>
      <c r="L129" s="57">
        <v>45748</v>
      </c>
      <c r="M129" s="57">
        <v>46112</v>
      </c>
      <c r="N129" s="63" t="s">
        <v>19</v>
      </c>
      <c r="O129" s="26" t="s">
        <v>3</v>
      </c>
      <c r="P129" s="26"/>
      <c r="Q129" s="59" t="s">
        <v>357</v>
      </c>
      <c r="R129" s="58" t="s">
        <v>676</v>
      </c>
      <c r="S129" s="59" t="s">
        <v>665</v>
      </c>
      <c r="T129" s="58" t="s">
        <v>677</v>
      </c>
      <c r="U129" s="59" t="s">
        <v>361</v>
      </c>
      <c r="V129" s="58" t="s">
        <v>403</v>
      </c>
      <c r="W129" s="58"/>
      <c r="X129" s="58"/>
      <c r="Y129" s="58"/>
      <c r="Z129" s="58"/>
      <c r="AA129" s="58"/>
      <c r="AB129" s="58"/>
      <c r="AC129" s="58" t="s">
        <v>281</v>
      </c>
      <c r="AD129" s="42" t="s">
        <v>97</v>
      </c>
      <c r="AE129" s="26">
        <v>3</v>
      </c>
      <c r="AF129" s="58" t="s">
        <v>678</v>
      </c>
    </row>
    <row r="130" spans="2:32" ht="14.4" x14ac:dyDescent="0.3">
      <c r="B130" s="16" t="s">
        <v>14</v>
      </c>
      <c r="C130" s="110" t="s">
        <v>679</v>
      </c>
      <c r="D130" s="236" t="s">
        <v>680</v>
      </c>
      <c r="E130" s="16">
        <v>7000168921</v>
      </c>
      <c r="F130" s="111">
        <v>45834</v>
      </c>
      <c r="G130" s="42" t="s">
        <v>643</v>
      </c>
      <c r="H130" s="26">
        <v>2</v>
      </c>
      <c r="I130" s="107">
        <v>180000</v>
      </c>
      <c r="J130" s="42">
        <v>2</v>
      </c>
      <c r="K130" s="321">
        <f t="shared" si="2"/>
        <v>90000</v>
      </c>
      <c r="L130" s="57">
        <v>45748</v>
      </c>
      <c r="M130" s="57">
        <v>46112</v>
      </c>
      <c r="N130" s="63" t="s">
        <v>19</v>
      </c>
      <c r="O130" s="26" t="s">
        <v>3</v>
      </c>
      <c r="P130" s="26"/>
      <c r="Q130" s="59" t="s">
        <v>681</v>
      </c>
      <c r="R130" s="58" t="s">
        <v>682</v>
      </c>
      <c r="S130" s="59" t="s">
        <v>465</v>
      </c>
      <c r="T130" s="58" t="s">
        <v>683</v>
      </c>
      <c r="U130" s="58"/>
      <c r="V130" s="58"/>
      <c r="W130" s="58"/>
      <c r="X130" s="58"/>
      <c r="Y130" s="58"/>
      <c r="Z130" s="58"/>
      <c r="AA130" s="58"/>
      <c r="AB130" s="58"/>
      <c r="AC130" s="58" t="s">
        <v>485</v>
      </c>
      <c r="AD130" s="16" t="s">
        <v>63</v>
      </c>
      <c r="AE130" s="26">
        <v>2</v>
      </c>
      <c r="AF130" s="58" t="s">
        <v>684</v>
      </c>
    </row>
    <row r="131" spans="2:32" ht="14.4" x14ac:dyDescent="0.3">
      <c r="B131" s="16" t="s">
        <v>14</v>
      </c>
      <c r="C131" s="53" t="s">
        <v>685</v>
      </c>
      <c r="D131" s="54" t="s">
        <v>151</v>
      </c>
      <c r="E131" s="77">
        <v>4512433191</v>
      </c>
      <c r="F131" s="55">
        <v>45749</v>
      </c>
      <c r="G131" s="42" t="s">
        <v>643</v>
      </c>
      <c r="H131" s="26">
        <v>1</v>
      </c>
      <c r="I131" s="56">
        <v>46000</v>
      </c>
      <c r="J131" s="42">
        <v>3</v>
      </c>
      <c r="K131" s="321">
        <f t="shared" si="2"/>
        <v>15333.333333333334</v>
      </c>
      <c r="L131" s="57">
        <v>45778</v>
      </c>
      <c r="M131" s="57">
        <v>46142</v>
      </c>
      <c r="N131" s="63" t="s">
        <v>19</v>
      </c>
      <c r="O131" s="26" t="s">
        <v>5</v>
      </c>
      <c r="P131" s="26"/>
      <c r="Q131" s="59" t="s">
        <v>343</v>
      </c>
      <c r="R131" s="58" t="s">
        <v>686</v>
      </c>
      <c r="S131" s="59" t="s">
        <v>345</v>
      </c>
      <c r="T131" s="58" t="s">
        <v>687</v>
      </c>
      <c r="U131" s="59" t="s">
        <v>347</v>
      </c>
      <c r="V131" s="58" t="s">
        <v>688</v>
      </c>
      <c r="W131" s="58"/>
      <c r="X131" s="58"/>
      <c r="Y131" s="58"/>
      <c r="Z131" s="58"/>
      <c r="AA131" s="58"/>
      <c r="AB131" s="58"/>
      <c r="AC131" s="58" t="s">
        <v>478</v>
      </c>
      <c r="AD131" s="16" t="s">
        <v>63</v>
      </c>
      <c r="AE131" s="26">
        <v>5</v>
      </c>
      <c r="AF131" s="58" t="s">
        <v>689</v>
      </c>
    </row>
    <row r="132" spans="2:32" ht="14.4" x14ac:dyDescent="0.3">
      <c r="B132" s="16" t="s">
        <v>14</v>
      </c>
      <c r="C132" s="53" t="s">
        <v>685</v>
      </c>
      <c r="D132" s="54" t="s">
        <v>151</v>
      </c>
      <c r="E132" s="112">
        <v>4512439844</v>
      </c>
      <c r="F132" s="55">
        <v>45750</v>
      </c>
      <c r="G132" s="42" t="s">
        <v>643</v>
      </c>
      <c r="H132" s="26">
        <v>1</v>
      </c>
      <c r="I132" s="56">
        <v>269660</v>
      </c>
      <c r="J132" s="42">
        <v>3</v>
      </c>
      <c r="K132" s="321">
        <f t="shared" si="2"/>
        <v>89886.666666666672</v>
      </c>
      <c r="L132" s="57">
        <v>45748</v>
      </c>
      <c r="M132" s="57">
        <v>46112</v>
      </c>
      <c r="N132" s="63" t="s">
        <v>19</v>
      </c>
      <c r="O132" s="26" t="s">
        <v>5</v>
      </c>
      <c r="P132" s="26"/>
      <c r="Q132" s="59" t="s">
        <v>357</v>
      </c>
      <c r="R132" s="58" t="s">
        <v>690</v>
      </c>
      <c r="S132" s="59" t="s">
        <v>665</v>
      </c>
      <c r="T132" s="58" t="s">
        <v>691</v>
      </c>
      <c r="U132" s="59" t="s">
        <v>361</v>
      </c>
      <c r="V132" s="58" t="s">
        <v>692</v>
      </c>
      <c r="W132" s="58"/>
      <c r="X132" s="58"/>
      <c r="Y132" s="58"/>
      <c r="Z132" s="58"/>
      <c r="AA132" s="58"/>
      <c r="AB132" s="58"/>
      <c r="AC132" s="58" t="s">
        <v>478</v>
      </c>
      <c r="AD132" s="16" t="s">
        <v>63</v>
      </c>
      <c r="AE132" s="26">
        <v>5</v>
      </c>
      <c r="AF132" s="58" t="s">
        <v>689</v>
      </c>
    </row>
    <row r="133" spans="2:32" ht="14.4" x14ac:dyDescent="0.3">
      <c r="B133" s="16" t="s">
        <v>14</v>
      </c>
      <c r="C133" s="37" t="s">
        <v>668</v>
      </c>
      <c r="D133" s="238" t="s">
        <v>693</v>
      </c>
      <c r="E133" s="50">
        <v>30078594</v>
      </c>
      <c r="F133" s="113">
        <v>45755</v>
      </c>
      <c r="G133" s="26" t="s">
        <v>643</v>
      </c>
      <c r="H133" s="114">
        <v>7</v>
      </c>
      <c r="I133" s="56">
        <v>420413</v>
      </c>
      <c r="J133" s="42">
        <v>2</v>
      </c>
      <c r="K133" s="321">
        <f t="shared" si="2"/>
        <v>210206.5</v>
      </c>
      <c r="L133" s="57">
        <v>45748</v>
      </c>
      <c r="M133" s="57">
        <v>46112</v>
      </c>
      <c r="N133" s="63" t="s">
        <v>19</v>
      </c>
      <c r="O133" s="26" t="s">
        <v>5</v>
      </c>
      <c r="P133" s="26"/>
      <c r="Q133" s="59" t="s">
        <v>463</v>
      </c>
      <c r="R133" s="58" t="s">
        <v>694</v>
      </c>
      <c r="S133" s="59" t="s">
        <v>465</v>
      </c>
      <c r="T133" s="58" t="s">
        <v>695</v>
      </c>
      <c r="U133" s="58"/>
      <c r="V133" s="58"/>
      <c r="W133" s="58"/>
      <c r="X133" s="58"/>
      <c r="Y133" s="58"/>
      <c r="Z133" s="58"/>
      <c r="AA133" s="58"/>
      <c r="AB133" s="58"/>
      <c r="AC133" s="58" t="s">
        <v>128</v>
      </c>
      <c r="AD133" s="26" t="s">
        <v>129</v>
      </c>
      <c r="AE133" s="26">
        <v>2</v>
      </c>
      <c r="AF133" s="58" t="s">
        <v>696</v>
      </c>
    </row>
    <row r="134" spans="2:32" ht="14.4" x14ac:dyDescent="0.3">
      <c r="B134" s="16" t="s">
        <v>14</v>
      </c>
      <c r="C134" s="37" t="s">
        <v>544</v>
      </c>
      <c r="D134" s="239" t="s">
        <v>447</v>
      </c>
      <c r="E134" s="77">
        <v>1240065413</v>
      </c>
      <c r="F134" s="55">
        <v>45744</v>
      </c>
      <c r="G134" s="88" t="s">
        <v>643</v>
      </c>
      <c r="H134" s="26">
        <v>2</v>
      </c>
      <c r="I134" s="56">
        <v>204999.96</v>
      </c>
      <c r="J134" s="42">
        <v>3</v>
      </c>
      <c r="K134" s="321">
        <f t="shared" si="2"/>
        <v>68333.319999999992</v>
      </c>
      <c r="L134" s="57">
        <v>45748</v>
      </c>
      <c r="M134" s="57">
        <v>46112</v>
      </c>
      <c r="N134" s="63" t="s">
        <v>19</v>
      </c>
      <c r="O134" s="26" t="s">
        <v>3</v>
      </c>
      <c r="P134" s="26"/>
      <c r="Q134" s="59" t="s">
        <v>357</v>
      </c>
      <c r="R134" s="58" t="s">
        <v>697</v>
      </c>
      <c r="S134" s="59" t="s">
        <v>665</v>
      </c>
      <c r="T134" s="58" t="s">
        <v>698</v>
      </c>
      <c r="U134" s="59" t="s">
        <v>361</v>
      </c>
      <c r="V134" s="58" t="s">
        <v>699</v>
      </c>
      <c r="W134" s="58"/>
      <c r="X134" s="58"/>
      <c r="Y134" s="58"/>
      <c r="Z134" s="58"/>
      <c r="AA134" s="58"/>
      <c r="AB134" s="58"/>
      <c r="AC134" s="58" t="s">
        <v>96</v>
      </c>
      <c r="AD134" s="26" t="s">
        <v>97</v>
      </c>
      <c r="AE134" s="26">
        <v>3</v>
      </c>
      <c r="AF134" s="58" t="s">
        <v>700</v>
      </c>
    </row>
    <row r="135" spans="2:32" ht="14.4" x14ac:dyDescent="0.3">
      <c r="B135" s="16" t="s">
        <v>14</v>
      </c>
      <c r="C135" s="18" t="s">
        <v>701</v>
      </c>
      <c r="D135" s="225" t="s">
        <v>702</v>
      </c>
      <c r="E135" s="112">
        <v>6000079727</v>
      </c>
      <c r="F135" s="55">
        <v>45754</v>
      </c>
      <c r="G135" s="4" t="s">
        <v>703</v>
      </c>
      <c r="H135" s="26">
        <v>1</v>
      </c>
      <c r="I135" s="56">
        <v>362744.94</v>
      </c>
      <c r="J135" s="42">
        <v>6</v>
      </c>
      <c r="K135" s="321">
        <f t="shared" si="2"/>
        <v>60457.49</v>
      </c>
      <c r="L135" s="57">
        <v>45818</v>
      </c>
      <c r="M135" s="57">
        <v>46182</v>
      </c>
      <c r="N135" s="63" t="s">
        <v>520</v>
      </c>
      <c r="O135" s="26" t="s">
        <v>5</v>
      </c>
      <c r="P135" s="26"/>
      <c r="Q135" s="59" t="s">
        <v>704</v>
      </c>
      <c r="R135" s="58" t="s">
        <v>705</v>
      </c>
      <c r="S135" s="59" t="s">
        <v>706</v>
      </c>
      <c r="T135" s="58" t="s">
        <v>707</v>
      </c>
      <c r="U135" s="59" t="s">
        <v>708</v>
      </c>
      <c r="V135" s="58" t="s">
        <v>709</v>
      </c>
      <c r="W135" s="59" t="s">
        <v>710</v>
      </c>
      <c r="X135" s="58" t="s">
        <v>230</v>
      </c>
      <c r="Y135" s="59" t="s">
        <v>711</v>
      </c>
      <c r="Z135" s="58" t="s">
        <v>712</v>
      </c>
      <c r="AA135" s="58" t="s">
        <v>713</v>
      </c>
      <c r="AB135" s="58" t="s">
        <v>714</v>
      </c>
      <c r="AC135" s="58" t="s">
        <v>128</v>
      </c>
      <c r="AD135" s="26" t="s">
        <v>129</v>
      </c>
      <c r="AE135" s="26" t="s">
        <v>494</v>
      </c>
      <c r="AF135" s="58" t="s">
        <v>715</v>
      </c>
    </row>
    <row r="136" spans="2:32" ht="14.4" x14ac:dyDescent="0.3">
      <c r="B136" s="16" t="s">
        <v>14</v>
      </c>
      <c r="C136" s="37" t="s">
        <v>716</v>
      </c>
      <c r="D136" s="293" t="s">
        <v>447</v>
      </c>
      <c r="E136" s="42" t="s">
        <v>717</v>
      </c>
      <c r="F136" s="55">
        <v>45751</v>
      </c>
      <c r="G136" s="42" t="s">
        <v>643</v>
      </c>
      <c r="H136" s="26">
        <v>2</v>
      </c>
      <c r="I136" s="56">
        <f>118050+118050</f>
        <v>236100</v>
      </c>
      <c r="J136" s="42">
        <v>3</v>
      </c>
      <c r="K136" s="321">
        <f t="shared" ref="K136:K199" si="3">I136/J136</f>
        <v>78700</v>
      </c>
      <c r="L136" s="57">
        <v>45748</v>
      </c>
      <c r="M136" s="57">
        <v>46112</v>
      </c>
      <c r="N136" s="63" t="s">
        <v>19</v>
      </c>
      <c r="O136" s="26" t="s">
        <v>3</v>
      </c>
      <c r="P136" s="26"/>
      <c r="Q136" s="59" t="s">
        <v>357</v>
      </c>
      <c r="R136" s="58" t="s">
        <v>570</v>
      </c>
      <c r="S136" s="59" t="s">
        <v>665</v>
      </c>
      <c r="T136" s="58" t="s">
        <v>718</v>
      </c>
      <c r="U136" s="59" t="s">
        <v>361</v>
      </c>
      <c r="V136" s="58" t="s">
        <v>719</v>
      </c>
      <c r="W136" s="58"/>
      <c r="X136" s="58"/>
      <c r="Y136" s="58"/>
      <c r="Z136" s="58"/>
      <c r="AA136" s="58"/>
      <c r="AB136" s="58"/>
      <c r="AC136" s="58" t="s">
        <v>281</v>
      </c>
      <c r="AD136" s="26" t="s">
        <v>97</v>
      </c>
      <c r="AE136" s="26" t="s">
        <v>494</v>
      </c>
      <c r="AF136" s="58" t="s">
        <v>720</v>
      </c>
    </row>
    <row r="137" spans="2:32" ht="14.4" x14ac:dyDescent="0.3">
      <c r="B137" s="16" t="s">
        <v>14</v>
      </c>
      <c r="C137" s="37" t="s">
        <v>716</v>
      </c>
      <c r="D137" s="238" t="s">
        <v>447</v>
      </c>
      <c r="E137" s="42" t="s">
        <v>721</v>
      </c>
      <c r="F137" s="55">
        <v>45751</v>
      </c>
      <c r="G137" s="42" t="s">
        <v>643</v>
      </c>
      <c r="H137" s="26">
        <v>3</v>
      </c>
      <c r="I137" s="56">
        <f>59022+83613+118050</f>
        <v>260685</v>
      </c>
      <c r="J137" s="42">
        <v>3</v>
      </c>
      <c r="K137" s="321">
        <f t="shared" si="3"/>
        <v>86895</v>
      </c>
      <c r="L137" s="57">
        <v>45748</v>
      </c>
      <c r="M137" s="57">
        <v>46112</v>
      </c>
      <c r="N137" s="63" t="s">
        <v>19</v>
      </c>
      <c r="O137" s="26" t="s">
        <v>3</v>
      </c>
      <c r="P137" s="26"/>
      <c r="Q137" s="59" t="s">
        <v>357</v>
      </c>
      <c r="R137" s="58" t="s">
        <v>722</v>
      </c>
      <c r="S137" s="59" t="s">
        <v>665</v>
      </c>
      <c r="T137" s="58" t="s">
        <v>723</v>
      </c>
      <c r="U137" s="59" t="s">
        <v>361</v>
      </c>
      <c r="V137" s="58" t="s">
        <v>719</v>
      </c>
      <c r="W137" s="58"/>
      <c r="X137" s="58"/>
      <c r="Y137" s="58"/>
      <c r="Z137" s="58"/>
      <c r="AA137" s="58"/>
      <c r="AB137" s="58"/>
      <c r="AC137" s="58"/>
      <c r="AD137" s="26"/>
      <c r="AE137" s="26"/>
      <c r="AF137" s="58"/>
    </row>
    <row r="138" spans="2:32" ht="14.4" x14ac:dyDescent="0.3">
      <c r="B138" s="16" t="s">
        <v>14</v>
      </c>
      <c r="C138" s="86" t="s">
        <v>716</v>
      </c>
      <c r="D138" s="239" t="s">
        <v>447</v>
      </c>
      <c r="E138" s="42" t="s">
        <v>724</v>
      </c>
      <c r="F138" s="43">
        <v>45751</v>
      </c>
      <c r="G138" s="42" t="s">
        <v>643</v>
      </c>
      <c r="H138" s="42">
        <v>1</v>
      </c>
      <c r="I138" s="115">
        <v>57078</v>
      </c>
      <c r="J138" s="42">
        <v>3</v>
      </c>
      <c r="K138" s="321">
        <f t="shared" si="3"/>
        <v>19026</v>
      </c>
      <c r="L138" s="62">
        <v>45748</v>
      </c>
      <c r="M138" s="62">
        <v>46112</v>
      </c>
      <c r="N138" s="63" t="s">
        <v>19</v>
      </c>
      <c r="O138" s="26" t="s">
        <v>3</v>
      </c>
      <c r="P138" s="42"/>
      <c r="Q138" s="64" t="s">
        <v>357</v>
      </c>
      <c r="R138" s="63" t="s">
        <v>725</v>
      </c>
      <c r="S138" s="64" t="s">
        <v>665</v>
      </c>
      <c r="T138" s="63" t="s">
        <v>718</v>
      </c>
      <c r="U138" s="64" t="s">
        <v>361</v>
      </c>
      <c r="V138" s="63" t="s">
        <v>726</v>
      </c>
      <c r="W138" s="63"/>
      <c r="X138" s="63"/>
      <c r="Y138" s="63"/>
      <c r="Z138" s="63"/>
      <c r="AA138" s="63"/>
      <c r="AB138" s="63"/>
      <c r="AC138" s="63"/>
      <c r="AD138" s="42"/>
      <c r="AE138" s="42"/>
      <c r="AF138" s="63"/>
    </row>
    <row r="139" spans="2:32" ht="14.4" x14ac:dyDescent="0.3">
      <c r="B139" s="16" t="s">
        <v>14</v>
      </c>
      <c r="C139" s="94" t="s">
        <v>727</v>
      </c>
      <c r="D139" s="234" t="s">
        <v>447</v>
      </c>
      <c r="E139" s="96">
        <v>4100030249</v>
      </c>
      <c r="F139" s="60">
        <v>45726</v>
      </c>
      <c r="G139" s="116" t="s">
        <v>703</v>
      </c>
      <c r="H139" s="42">
        <v>1</v>
      </c>
      <c r="I139" s="61">
        <v>476000</v>
      </c>
      <c r="J139" s="42">
        <v>3</v>
      </c>
      <c r="K139" s="321">
        <f t="shared" si="3"/>
        <v>158666.66666666666</v>
      </c>
      <c r="L139" s="62">
        <v>45726</v>
      </c>
      <c r="M139" s="62">
        <v>46090</v>
      </c>
      <c r="N139" s="63" t="s">
        <v>19</v>
      </c>
      <c r="O139" s="26" t="s">
        <v>3</v>
      </c>
      <c r="P139" s="42"/>
      <c r="Q139" s="64" t="s">
        <v>728</v>
      </c>
      <c r="R139" s="63" t="s">
        <v>225</v>
      </c>
      <c r="S139" s="64" t="s">
        <v>729</v>
      </c>
      <c r="T139" s="63" t="s">
        <v>730</v>
      </c>
      <c r="U139" s="64" t="s">
        <v>731</v>
      </c>
      <c r="V139" s="63" t="s">
        <v>732</v>
      </c>
      <c r="W139" s="63"/>
      <c r="X139" s="63"/>
      <c r="Y139" s="63"/>
      <c r="Z139" s="63"/>
      <c r="AA139" s="63"/>
      <c r="AB139" s="63"/>
      <c r="AC139" s="63" t="s">
        <v>281</v>
      </c>
      <c r="AD139" s="42" t="s">
        <v>97</v>
      </c>
      <c r="AE139" s="42" t="s">
        <v>494</v>
      </c>
      <c r="AF139" s="63" t="s">
        <v>733</v>
      </c>
    </row>
    <row r="140" spans="2:32" ht="14.4" x14ac:dyDescent="0.3">
      <c r="B140" s="16" t="s">
        <v>14</v>
      </c>
      <c r="C140" s="39" t="s">
        <v>734</v>
      </c>
      <c r="D140" s="54" t="s">
        <v>323</v>
      </c>
      <c r="E140" s="50">
        <v>101265544</v>
      </c>
      <c r="F140" s="55">
        <v>45716</v>
      </c>
      <c r="G140" s="26" t="s">
        <v>643</v>
      </c>
      <c r="H140" s="26">
        <v>4</v>
      </c>
      <c r="I140" s="56">
        <v>329600</v>
      </c>
      <c r="J140" s="26">
        <v>3</v>
      </c>
      <c r="K140" s="321">
        <f t="shared" si="3"/>
        <v>109866.66666666667</v>
      </c>
      <c r="L140" s="57">
        <v>45778</v>
      </c>
      <c r="M140" s="57">
        <v>46142</v>
      </c>
      <c r="N140" s="58" t="s">
        <v>520</v>
      </c>
      <c r="O140" s="26" t="s">
        <v>5</v>
      </c>
      <c r="P140" s="26"/>
      <c r="Q140" s="59" t="s">
        <v>343</v>
      </c>
      <c r="R140" s="58" t="s">
        <v>344</v>
      </c>
      <c r="S140" s="59" t="s">
        <v>345</v>
      </c>
      <c r="T140" s="58" t="s">
        <v>493</v>
      </c>
      <c r="U140" s="59" t="s">
        <v>347</v>
      </c>
      <c r="V140" s="58" t="s">
        <v>735</v>
      </c>
      <c r="W140" s="58"/>
      <c r="X140" s="58"/>
      <c r="Y140" s="58"/>
      <c r="Z140" s="58"/>
      <c r="AA140" s="58"/>
      <c r="AB140" s="58"/>
      <c r="AC140" s="58" t="s">
        <v>96</v>
      </c>
      <c r="AD140" s="26" t="s">
        <v>97</v>
      </c>
      <c r="AE140" s="26" t="s">
        <v>494</v>
      </c>
      <c r="AF140" s="58" t="s">
        <v>736</v>
      </c>
    </row>
    <row r="141" spans="2:32" ht="14.4" hidden="1" x14ac:dyDescent="0.3">
      <c r="B141" s="16" t="s">
        <v>14</v>
      </c>
      <c r="C141" s="68" t="s">
        <v>734</v>
      </c>
      <c r="D141" s="44" t="s">
        <v>323</v>
      </c>
      <c r="E141" s="316">
        <v>101265544</v>
      </c>
      <c r="F141" s="43">
        <v>45716</v>
      </c>
      <c r="G141" s="42" t="s">
        <v>643</v>
      </c>
      <c r="H141" s="42"/>
      <c r="I141" s="61">
        <v>339488</v>
      </c>
      <c r="J141" s="42">
        <v>3</v>
      </c>
      <c r="K141" s="321">
        <f t="shared" si="3"/>
        <v>113162.66666666667</v>
      </c>
      <c r="L141" s="62">
        <v>46143</v>
      </c>
      <c r="M141" s="62">
        <v>46507</v>
      </c>
      <c r="N141" s="63" t="s">
        <v>520</v>
      </c>
      <c r="O141" s="26" t="s">
        <v>5</v>
      </c>
      <c r="P141" s="42"/>
      <c r="Q141" s="63" t="s">
        <v>737</v>
      </c>
      <c r="R141" s="63"/>
      <c r="S141" s="63" t="s">
        <v>349</v>
      </c>
      <c r="T141" s="63"/>
      <c r="U141" s="63" t="s">
        <v>738</v>
      </c>
      <c r="V141" s="63"/>
      <c r="W141" s="63"/>
      <c r="X141" s="63"/>
      <c r="Y141" s="63"/>
      <c r="Z141" s="63"/>
      <c r="AA141" s="63"/>
      <c r="AB141" s="63"/>
      <c r="AC141" s="63" t="s">
        <v>96</v>
      </c>
      <c r="AD141" s="42" t="s">
        <v>97</v>
      </c>
      <c r="AE141" s="42" t="s">
        <v>494</v>
      </c>
      <c r="AF141" s="63" t="s">
        <v>736</v>
      </c>
    </row>
    <row r="142" spans="2:32" ht="14.4" x14ac:dyDescent="0.3">
      <c r="B142" s="16" t="s">
        <v>14</v>
      </c>
      <c r="C142" s="68" t="s">
        <v>739</v>
      </c>
      <c r="D142" s="44" t="s">
        <v>740</v>
      </c>
      <c r="E142" s="84">
        <v>3400014785</v>
      </c>
      <c r="F142" s="43">
        <v>45735</v>
      </c>
      <c r="G142" s="42" t="s">
        <v>643</v>
      </c>
      <c r="H142" s="42">
        <v>10</v>
      </c>
      <c r="I142" s="61">
        <v>660800</v>
      </c>
      <c r="J142" s="42">
        <v>4</v>
      </c>
      <c r="K142" s="321">
        <f t="shared" si="3"/>
        <v>165200</v>
      </c>
      <c r="L142" s="62">
        <v>45689</v>
      </c>
      <c r="M142" s="62">
        <v>46053</v>
      </c>
      <c r="N142" s="63" t="s">
        <v>19</v>
      </c>
      <c r="O142" s="26" t="s">
        <v>0</v>
      </c>
      <c r="P142" s="42"/>
      <c r="Q142" s="64" t="s">
        <v>264</v>
      </c>
      <c r="R142" s="63" t="s">
        <v>741</v>
      </c>
      <c r="S142" s="64" t="s">
        <v>266</v>
      </c>
      <c r="T142" s="63" t="s">
        <v>379</v>
      </c>
      <c r="U142" s="64" t="s">
        <v>267</v>
      </c>
      <c r="V142" s="63" t="s">
        <v>742</v>
      </c>
      <c r="W142" s="64" t="s">
        <v>269</v>
      </c>
      <c r="X142" s="63" t="s">
        <v>441</v>
      </c>
      <c r="Y142" s="63"/>
      <c r="Z142" s="63"/>
      <c r="AA142" s="63"/>
      <c r="AB142" s="63"/>
      <c r="AC142" s="63" t="s">
        <v>96</v>
      </c>
      <c r="AD142" s="42" t="s">
        <v>97</v>
      </c>
      <c r="AE142" s="42" t="s">
        <v>494</v>
      </c>
      <c r="AF142" s="63" t="s">
        <v>743</v>
      </c>
    </row>
    <row r="143" spans="2:32" ht="14.4" x14ac:dyDescent="0.3">
      <c r="B143" s="16" t="s">
        <v>14</v>
      </c>
      <c r="C143" s="68" t="s">
        <v>744</v>
      </c>
      <c r="D143" s="44" t="s">
        <v>176</v>
      </c>
      <c r="E143" s="84">
        <v>4500022079</v>
      </c>
      <c r="F143" s="43">
        <v>45758</v>
      </c>
      <c r="G143" s="42" t="s">
        <v>643</v>
      </c>
      <c r="H143" s="42">
        <v>1</v>
      </c>
      <c r="I143" s="61">
        <v>95545</v>
      </c>
      <c r="J143" s="42">
        <v>2</v>
      </c>
      <c r="K143" s="321">
        <f t="shared" si="3"/>
        <v>47772.5</v>
      </c>
      <c r="L143" s="62">
        <v>45704</v>
      </c>
      <c r="M143" s="62">
        <v>46068</v>
      </c>
      <c r="N143" s="63" t="s">
        <v>19</v>
      </c>
      <c r="O143" s="26" t="s">
        <v>2</v>
      </c>
      <c r="P143" s="42"/>
      <c r="Q143" s="64" t="s">
        <v>745</v>
      </c>
      <c r="R143" s="63" t="s">
        <v>601</v>
      </c>
      <c r="S143" s="64" t="s">
        <v>746</v>
      </c>
      <c r="T143" s="63" t="s">
        <v>747</v>
      </c>
      <c r="U143" s="63"/>
      <c r="V143" s="63"/>
      <c r="W143" s="63"/>
      <c r="X143" s="63"/>
      <c r="Y143" s="63"/>
      <c r="Z143" s="63"/>
      <c r="AA143" s="63"/>
      <c r="AB143" s="63"/>
      <c r="AC143" s="63" t="s">
        <v>183</v>
      </c>
      <c r="AD143" s="42" t="s">
        <v>97</v>
      </c>
      <c r="AE143" s="42">
        <v>2</v>
      </c>
      <c r="AF143" s="63" t="s">
        <v>748</v>
      </c>
    </row>
    <row r="144" spans="2:32" ht="14.4" x14ac:dyDescent="0.3">
      <c r="B144" s="16" t="s">
        <v>14</v>
      </c>
      <c r="C144" s="37" t="s">
        <v>527</v>
      </c>
      <c r="D144" s="240" t="s">
        <v>131</v>
      </c>
      <c r="E144" s="93">
        <v>7000880580</v>
      </c>
      <c r="F144" s="51">
        <v>45758</v>
      </c>
      <c r="G144" s="42" t="s">
        <v>643</v>
      </c>
      <c r="H144" s="16">
        <v>1</v>
      </c>
      <c r="I144" s="19">
        <v>78750</v>
      </c>
      <c r="J144" s="16">
        <v>2</v>
      </c>
      <c r="K144" s="321">
        <f t="shared" si="3"/>
        <v>39375</v>
      </c>
      <c r="L144" s="20">
        <v>45748</v>
      </c>
      <c r="M144" s="20">
        <v>46112</v>
      </c>
      <c r="N144" s="63" t="s">
        <v>19</v>
      </c>
      <c r="O144" s="26" t="s">
        <v>3</v>
      </c>
      <c r="P144" s="16"/>
      <c r="Q144" s="21" t="s">
        <v>463</v>
      </c>
      <c r="R144" s="18" t="s">
        <v>749</v>
      </c>
      <c r="S144" s="21" t="s">
        <v>465</v>
      </c>
      <c r="T144" s="18" t="s">
        <v>750</v>
      </c>
      <c r="U144" s="18"/>
      <c r="V144" s="18"/>
      <c r="W144" s="18"/>
      <c r="X144" s="18"/>
      <c r="Y144" s="18"/>
      <c r="Z144" s="18"/>
      <c r="AA144" s="18"/>
      <c r="AB144" s="18"/>
      <c r="AC144" s="18" t="s">
        <v>485</v>
      </c>
      <c r="AD144" s="16" t="s">
        <v>63</v>
      </c>
      <c r="AE144" s="16">
        <v>2</v>
      </c>
      <c r="AF144" s="63" t="s">
        <v>748</v>
      </c>
    </row>
    <row r="145" spans="2:32" ht="14.4" x14ac:dyDescent="0.3">
      <c r="B145" s="16" t="s">
        <v>14</v>
      </c>
      <c r="C145" s="37" t="s">
        <v>751</v>
      </c>
      <c r="D145" s="240" t="s">
        <v>752</v>
      </c>
      <c r="E145" s="84">
        <v>351002166</v>
      </c>
      <c r="F145" s="51">
        <v>45758</v>
      </c>
      <c r="G145" s="42" t="s">
        <v>643</v>
      </c>
      <c r="H145" s="16">
        <v>1</v>
      </c>
      <c r="I145" s="19">
        <v>84000</v>
      </c>
      <c r="J145" s="16">
        <v>3</v>
      </c>
      <c r="K145" s="321">
        <f t="shared" si="3"/>
        <v>28000</v>
      </c>
      <c r="L145" s="20">
        <v>45778</v>
      </c>
      <c r="M145" s="20">
        <v>46142</v>
      </c>
      <c r="N145" s="63" t="s">
        <v>19</v>
      </c>
      <c r="O145" s="26" t="s">
        <v>5</v>
      </c>
      <c r="P145" s="16"/>
      <c r="Q145" s="21" t="s">
        <v>343</v>
      </c>
      <c r="R145" s="18" t="s">
        <v>753</v>
      </c>
      <c r="S145" s="21" t="s">
        <v>345</v>
      </c>
      <c r="T145" s="18" t="s">
        <v>754</v>
      </c>
      <c r="U145" s="21" t="s">
        <v>347</v>
      </c>
      <c r="V145" s="18" t="s">
        <v>443</v>
      </c>
      <c r="W145" s="18"/>
      <c r="X145" s="18"/>
      <c r="Y145" s="18"/>
      <c r="Z145" s="18"/>
      <c r="AA145" s="18"/>
      <c r="AB145" s="18"/>
      <c r="AC145" s="18" t="s">
        <v>619</v>
      </c>
      <c r="AD145" s="16" t="s">
        <v>63</v>
      </c>
      <c r="AE145" s="16">
        <v>3</v>
      </c>
      <c r="AF145" s="18" t="s">
        <v>755</v>
      </c>
    </row>
    <row r="146" spans="2:32" ht="14.4" x14ac:dyDescent="0.3">
      <c r="B146" s="16" t="s">
        <v>14</v>
      </c>
      <c r="C146" s="37" t="s">
        <v>756</v>
      </c>
      <c r="D146" s="241" t="s">
        <v>757</v>
      </c>
      <c r="E146" s="50">
        <v>2265005320</v>
      </c>
      <c r="F146" s="51">
        <v>45722</v>
      </c>
      <c r="G146" s="42" t="s">
        <v>643</v>
      </c>
      <c r="H146" s="16">
        <v>2</v>
      </c>
      <c r="I146" s="19">
        <v>164160</v>
      </c>
      <c r="J146" s="16">
        <v>3</v>
      </c>
      <c r="K146" s="321">
        <f t="shared" si="3"/>
        <v>54720</v>
      </c>
      <c r="L146" s="20">
        <v>45748</v>
      </c>
      <c r="M146" s="20">
        <v>46112</v>
      </c>
      <c r="N146" s="63" t="s">
        <v>19</v>
      </c>
      <c r="O146" s="26" t="s">
        <v>5</v>
      </c>
      <c r="P146" s="16"/>
      <c r="Q146" s="21" t="s">
        <v>758</v>
      </c>
      <c r="R146" s="18" t="s">
        <v>759</v>
      </c>
      <c r="S146" s="21" t="s">
        <v>665</v>
      </c>
      <c r="T146" s="18" t="s">
        <v>760</v>
      </c>
      <c r="U146" s="21" t="s">
        <v>361</v>
      </c>
      <c r="V146" s="18" t="s">
        <v>455</v>
      </c>
      <c r="W146" s="18"/>
      <c r="X146" s="18"/>
      <c r="Y146" s="18"/>
      <c r="Z146" s="18"/>
      <c r="AA146" s="18"/>
      <c r="AB146" s="18"/>
      <c r="AC146" s="18" t="s">
        <v>507</v>
      </c>
      <c r="AD146" s="16" t="s">
        <v>63</v>
      </c>
      <c r="AE146" s="16">
        <v>3</v>
      </c>
      <c r="AF146" s="117" t="s">
        <v>761</v>
      </c>
    </row>
    <row r="147" spans="2:32" ht="14.4" x14ac:dyDescent="0.3">
      <c r="B147" s="16" t="s">
        <v>14</v>
      </c>
      <c r="C147" s="37" t="s">
        <v>762</v>
      </c>
      <c r="D147" s="240" t="s">
        <v>763</v>
      </c>
      <c r="E147" s="50" t="s">
        <v>764</v>
      </c>
      <c r="F147" s="51">
        <v>45761</v>
      </c>
      <c r="G147" s="42" t="s">
        <v>643</v>
      </c>
      <c r="H147" s="16">
        <v>1</v>
      </c>
      <c r="I147" s="19">
        <v>80001</v>
      </c>
      <c r="J147" s="16">
        <v>3</v>
      </c>
      <c r="K147" s="321">
        <f t="shared" si="3"/>
        <v>26667</v>
      </c>
      <c r="L147" s="20">
        <v>45748</v>
      </c>
      <c r="M147" s="20">
        <v>46112</v>
      </c>
      <c r="N147" s="63" t="s">
        <v>19</v>
      </c>
      <c r="O147" s="26" t="s">
        <v>3</v>
      </c>
      <c r="P147" s="16"/>
      <c r="Q147" s="21" t="s">
        <v>758</v>
      </c>
      <c r="R147" s="18" t="s">
        <v>429</v>
      </c>
      <c r="S147" s="21" t="s">
        <v>665</v>
      </c>
      <c r="T147" s="18" t="s">
        <v>765</v>
      </c>
      <c r="U147" s="21" t="s">
        <v>361</v>
      </c>
      <c r="V147" s="18" t="s">
        <v>466</v>
      </c>
      <c r="W147" s="18"/>
      <c r="X147" s="18"/>
      <c r="Y147" s="18"/>
      <c r="Z147" s="18"/>
      <c r="AA147" s="18"/>
      <c r="AB147" s="18"/>
      <c r="AC147" s="18" t="s">
        <v>507</v>
      </c>
      <c r="AD147" s="16" t="s">
        <v>63</v>
      </c>
      <c r="AE147" s="16">
        <v>3</v>
      </c>
      <c r="AF147" s="18" t="s">
        <v>667</v>
      </c>
    </row>
    <row r="148" spans="2:32" ht="14.4" x14ac:dyDescent="0.3">
      <c r="B148" s="16" t="s">
        <v>14</v>
      </c>
      <c r="C148" s="37" t="s">
        <v>766</v>
      </c>
      <c r="D148" s="227" t="s">
        <v>767</v>
      </c>
      <c r="E148" s="50" t="s">
        <v>768</v>
      </c>
      <c r="F148" s="51">
        <v>45762</v>
      </c>
      <c r="G148" s="42" t="s">
        <v>643</v>
      </c>
      <c r="H148" s="16">
        <v>2</v>
      </c>
      <c r="I148" s="19">
        <v>105600</v>
      </c>
      <c r="J148" s="16">
        <v>1</v>
      </c>
      <c r="K148" s="321">
        <f t="shared" si="3"/>
        <v>105600</v>
      </c>
      <c r="L148" s="20">
        <v>45748</v>
      </c>
      <c r="M148" s="20">
        <v>46112</v>
      </c>
      <c r="N148" s="63" t="s">
        <v>19</v>
      </c>
      <c r="O148" s="26" t="s">
        <v>3</v>
      </c>
      <c r="P148" s="16"/>
      <c r="Q148" s="21" t="s">
        <v>631</v>
      </c>
      <c r="R148" s="18" t="s">
        <v>769</v>
      </c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 t="s">
        <v>485</v>
      </c>
      <c r="AD148" s="16" t="s">
        <v>63</v>
      </c>
      <c r="AE148" s="16">
        <v>2</v>
      </c>
      <c r="AF148" s="18" t="s">
        <v>770</v>
      </c>
    </row>
    <row r="149" spans="2:32" ht="14.4" x14ac:dyDescent="0.3">
      <c r="B149" s="16" t="s">
        <v>14</v>
      </c>
      <c r="C149" s="37" t="s">
        <v>771</v>
      </c>
      <c r="D149" s="227" t="s">
        <v>388</v>
      </c>
      <c r="E149" s="50">
        <v>6000059199</v>
      </c>
      <c r="F149" s="118">
        <v>45764</v>
      </c>
      <c r="G149" s="42" t="s">
        <v>643</v>
      </c>
      <c r="H149" s="16">
        <v>1</v>
      </c>
      <c r="I149" s="119">
        <v>66144.070000000007</v>
      </c>
      <c r="J149" s="16">
        <v>2</v>
      </c>
      <c r="K149" s="321">
        <f t="shared" si="3"/>
        <v>33072.035000000003</v>
      </c>
      <c r="L149" s="20">
        <v>45748</v>
      </c>
      <c r="M149" s="20">
        <v>46112</v>
      </c>
      <c r="N149" s="63" t="s">
        <v>19</v>
      </c>
      <c r="O149" s="26" t="s">
        <v>3</v>
      </c>
      <c r="P149" s="16"/>
      <c r="Q149" s="21" t="s">
        <v>463</v>
      </c>
      <c r="R149" s="18" t="s">
        <v>772</v>
      </c>
      <c r="S149" s="21" t="s">
        <v>465</v>
      </c>
      <c r="T149" s="18" t="s">
        <v>773</v>
      </c>
      <c r="U149" s="18"/>
      <c r="V149" s="18"/>
      <c r="W149" s="18"/>
      <c r="X149" s="18"/>
      <c r="Y149" s="18"/>
      <c r="Z149" s="18"/>
      <c r="AA149" s="18"/>
      <c r="AB149" s="18"/>
      <c r="AC149" s="18" t="s">
        <v>619</v>
      </c>
      <c r="AD149" s="16" t="s">
        <v>63</v>
      </c>
      <c r="AE149" s="16">
        <v>2</v>
      </c>
      <c r="AF149" s="18" t="s">
        <v>774</v>
      </c>
    </row>
    <row r="150" spans="2:32" ht="14.4" x14ac:dyDescent="0.3">
      <c r="B150" s="16" t="s">
        <v>14</v>
      </c>
      <c r="C150" s="49" t="s">
        <v>775</v>
      </c>
      <c r="D150" s="242" t="s">
        <v>776</v>
      </c>
      <c r="E150" s="120">
        <v>2710000560</v>
      </c>
      <c r="F150" s="51">
        <v>45713</v>
      </c>
      <c r="G150" s="42" t="s">
        <v>643</v>
      </c>
      <c r="H150" s="16">
        <v>2</v>
      </c>
      <c r="I150" s="19">
        <v>122000</v>
      </c>
      <c r="J150" s="16">
        <v>3</v>
      </c>
      <c r="K150" s="321">
        <f t="shared" si="3"/>
        <v>40666.666666666664</v>
      </c>
      <c r="L150" s="20">
        <v>45748</v>
      </c>
      <c r="M150" s="20">
        <v>46112</v>
      </c>
      <c r="N150" s="63" t="s">
        <v>19</v>
      </c>
      <c r="O150" s="26" t="s">
        <v>3</v>
      </c>
      <c r="P150" s="16"/>
      <c r="Q150" s="21" t="s">
        <v>758</v>
      </c>
      <c r="R150" s="18" t="s">
        <v>777</v>
      </c>
      <c r="S150" s="21" t="s">
        <v>665</v>
      </c>
      <c r="T150" s="18" t="s">
        <v>360</v>
      </c>
      <c r="U150" s="21" t="s">
        <v>361</v>
      </c>
      <c r="V150" s="18" t="s">
        <v>666</v>
      </c>
      <c r="W150" s="18"/>
      <c r="X150" s="18"/>
      <c r="Y150" s="18"/>
      <c r="Z150" s="18"/>
      <c r="AA150" s="18"/>
      <c r="AB150" s="18"/>
      <c r="AC150" s="18" t="s">
        <v>551</v>
      </c>
      <c r="AD150" s="16" t="s">
        <v>207</v>
      </c>
      <c r="AE150" s="16">
        <v>3</v>
      </c>
      <c r="AF150" s="18" t="s">
        <v>778</v>
      </c>
    </row>
    <row r="151" spans="2:32" ht="14.4" x14ac:dyDescent="0.3">
      <c r="B151" s="16" t="s">
        <v>14</v>
      </c>
      <c r="C151" s="37" t="s">
        <v>779</v>
      </c>
      <c r="D151" s="225" t="s">
        <v>53</v>
      </c>
      <c r="E151" s="121">
        <v>2500235067</v>
      </c>
      <c r="F151" s="22">
        <v>45764</v>
      </c>
      <c r="G151" s="42" t="s">
        <v>643</v>
      </c>
      <c r="H151" s="16">
        <v>3</v>
      </c>
      <c r="I151" s="19">
        <v>282816</v>
      </c>
      <c r="J151" s="16">
        <v>3</v>
      </c>
      <c r="K151" s="321">
        <f t="shared" si="3"/>
        <v>94272</v>
      </c>
      <c r="L151" s="20">
        <v>45748</v>
      </c>
      <c r="M151" s="20">
        <v>46112</v>
      </c>
      <c r="N151" s="63" t="s">
        <v>19</v>
      </c>
      <c r="O151" s="26" t="s">
        <v>5</v>
      </c>
      <c r="P151" s="16"/>
      <c r="Q151" s="21" t="s">
        <v>758</v>
      </c>
      <c r="R151" s="18" t="s">
        <v>780</v>
      </c>
      <c r="S151" s="21" t="s">
        <v>665</v>
      </c>
      <c r="T151" s="18" t="s">
        <v>781</v>
      </c>
      <c r="U151" s="21" t="s">
        <v>361</v>
      </c>
      <c r="V151" s="18" t="s">
        <v>782</v>
      </c>
      <c r="W151" s="18"/>
      <c r="X151" s="18"/>
      <c r="Y151" s="18"/>
      <c r="Z151" s="18"/>
      <c r="AA151" s="18"/>
      <c r="AB151" s="18"/>
      <c r="AC151" s="18" t="s">
        <v>619</v>
      </c>
      <c r="AD151" s="16" t="s">
        <v>63</v>
      </c>
      <c r="AE151" s="16">
        <v>3</v>
      </c>
      <c r="AF151" s="18" t="s">
        <v>667</v>
      </c>
    </row>
    <row r="152" spans="2:32" ht="14.4" x14ac:dyDescent="0.3">
      <c r="B152" s="16" t="s">
        <v>14</v>
      </c>
      <c r="C152" s="37" t="s">
        <v>783</v>
      </c>
      <c r="D152" s="227" t="s">
        <v>151</v>
      </c>
      <c r="E152" s="50">
        <v>8000155292</v>
      </c>
      <c r="F152" s="51">
        <v>45768</v>
      </c>
      <c r="G152" s="208" t="s">
        <v>643</v>
      </c>
      <c r="H152" s="209">
        <v>5</v>
      </c>
      <c r="I152" s="210">
        <v>636000</v>
      </c>
      <c r="J152" s="209">
        <v>3</v>
      </c>
      <c r="K152" s="321">
        <f t="shared" si="3"/>
        <v>212000</v>
      </c>
      <c r="L152" s="211">
        <v>45658</v>
      </c>
      <c r="M152" s="211">
        <v>46022</v>
      </c>
      <c r="N152" s="212" t="s">
        <v>19</v>
      </c>
      <c r="O152" s="294" t="s">
        <v>469</v>
      </c>
      <c r="P152" s="16"/>
      <c r="Q152" s="21" t="s">
        <v>554</v>
      </c>
      <c r="R152" s="18" t="s">
        <v>784</v>
      </c>
      <c r="S152" s="21" t="s">
        <v>785</v>
      </c>
      <c r="T152" s="18" t="s">
        <v>786</v>
      </c>
      <c r="U152" s="21" t="s">
        <v>345</v>
      </c>
      <c r="V152" s="18" t="s">
        <v>787</v>
      </c>
      <c r="W152" s="18"/>
      <c r="X152" s="18"/>
      <c r="Y152" s="18"/>
      <c r="Z152" s="18"/>
      <c r="AA152" s="18"/>
      <c r="AB152" s="18"/>
      <c r="AC152" s="18" t="s">
        <v>788</v>
      </c>
      <c r="AD152" s="16" t="s">
        <v>63</v>
      </c>
      <c r="AE152" s="16">
        <v>3</v>
      </c>
      <c r="AF152" s="18" t="s">
        <v>667</v>
      </c>
    </row>
    <row r="153" spans="2:32" ht="14.4" x14ac:dyDescent="0.3">
      <c r="B153" s="16" t="s">
        <v>14</v>
      </c>
      <c r="C153" s="49" t="s">
        <v>789</v>
      </c>
      <c r="D153" s="243" t="s">
        <v>790</v>
      </c>
      <c r="E153" s="122">
        <v>8480219192</v>
      </c>
      <c r="F153" s="123">
        <v>45756</v>
      </c>
      <c r="G153" s="42" t="s">
        <v>643</v>
      </c>
      <c r="H153" s="16">
        <v>1</v>
      </c>
      <c r="I153" s="19">
        <v>76440</v>
      </c>
      <c r="J153" s="16">
        <v>3</v>
      </c>
      <c r="K153" s="321">
        <f t="shared" si="3"/>
        <v>25480</v>
      </c>
      <c r="L153" s="20">
        <v>45748</v>
      </c>
      <c r="M153" s="20">
        <v>46112</v>
      </c>
      <c r="N153" s="63" t="s">
        <v>19</v>
      </c>
      <c r="O153" s="26" t="s">
        <v>3</v>
      </c>
      <c r="P153" s="16"/>
      <c r="Q153" s="21" t="s">
        <v>357</v>
      </c>
      <c r="R153" s="18" t="s">
        <v>225</v>
      </c>
      <c r="S153" s="21" t="s">
        <v>665</v>
      </c>
      <c r="T153" s="18" t="s">
        <v>791</v>
      </c>
      <c r="U153" s="21" t="s">
        <v>361</v>
      </c>
      <c r="V153" s="18" t="s">
        <v>792</v>
      </c>
      <c r="W153" s="18"/>
      <c r="X153" s="18"/>
      <c r="Y153" s="18"/>
      <c r="Z153" s="18"/>
      <c r="AA153" s="18"/>
      <c r="AB153" s="18"/>
      <c r="AC153" s="18" t="s">
        <v>281</v>
      </c>
      <c r="AD153" s="16" t="s">
        <v>97</v>
      </c>
      <c r="AE153" s="16">
        <v>3</v>
      </c>
      <c r="AF153" s="18" t="s">
        <v>793</v>
      </c>
    </row>
    <row r="154" spans="2:32" ht="14.4" x14ac:dyDescent="0.3">
      <c r="B154" s="16" t="s">
        <v>14</v>
      </c>
      <c r="C154" s="18" t="s">
        <v>195</v>
      </c>
      <c r="D154" s="225" t="s">
        <v>196</v>
      </c>
      <c r="E154" s="23" t="s">
        <v>197</v>
      </c>
      <c r="F154" s="22">
        <v>45210</v>
      </c>
      <c r="G154" s="16" t="s">
        <v>55</v>
      </c>
      <c r="H154" s="16">
        <v>13</v>
      </c>
      <c r="I154" s="19">
        <v>741000</v>
      </c>
      <c r="J154" s="16">
        <v>4</v>
      </c>
      <c r="K154" s="321">
        <f t="shared" si="3"/>
        <v>185250</v>
      </c>
      <c r="L154" s="20">
        <v>45934</v>
      </c>
      <c r="M154" s="20">
        <v>46298</v>
      </c>
      <c r="N154" s="63" t="s">
        <v>520</v>
      </c>
      <c r="O154" s="26" t="s">
        <v>5</v>
      </c>
      <c r="P154" s="16"/>
      <c r="Q154" s="21" t="s">
        <v>794</v>
      </c>
      <c r="R154" s="18" t="s">
        <v>687</v>
      </c>
      <c r="S154" s="192" t="s">
        <v>795</v>
      </c>
      <c r="T154" s="18" t="s">
        <v>666</v>
      </c>
      <c r="U154" s="18" t="s">
        <v>796</v>
      </c>
      <c r="V154" s="18"/>
      <c r="W154" s="18" t="s">
        <v>797</v>
      </c>
      <c r="X154" s="18"/>
      <c r="Y154" s="18"/>
      <c r="Z154" s="18"/>
      <c r="AA154" s="18"/>
      <c r="AB154" s="18"/>
      <c r="AC154" s="18" t="s">
        <v>551</v>
      </c>
      <c r="AD154" s="16" t="s">
        <v>207</v>
      </c>
      <c r="AE154" s="16">
        <v>3</v>
      </c>
      <c r="AF154" s="18"/>
    </row>
    <row r="155" spans="2:32" ht="14.4" x14ac:dyDescent="0.3">
      <c r="B155" s="16" t="s">
        <v>14</v>
      </c>
      <c r="C155" s="37" t="s">
        <v>756</v>
      </c>
      <c r="D155" s="236" t="s">
        <v>757</v>
      </c>
      <c r="E155" s="16">
        <v>2265005504</v>
      </c>
      <c r="F155" s="22">
        <v>45754</v>
      </c>
      <c r="G155" s="16" t="s">
        <v>55</v>
      </c>
      <c r="H155" s="16">
        <v>13</v>
      </c>
      <c r="I155" s="19">
        <v>1067040</v>
      </c>
      <c r="J155" s="16">
        <v>3</v>
      </c>
      <c r="K155" s="321">
        <f t="shared" si="3"/>
        <v>355680</v>
      </c>
      <c r="L155" s="20">
        <v>45748</v>
      </c>
      <c r="M155" s="20">
        <v>46112</v>
      </c>
      <c r="N155" s="63" t="s">
        <v>19</v>
      </c>
      <c r="O155" s="26" t="s">
        <v>5</v>
      </c>
      <c r="P155" s="16"/>
      <c r="Q155" s="21" t="s">
        <v>357</v>
      </c>
      <c r="R155" s="18" t="s">
        <v>777</v>
      </c>
      <c r="S155" s="21" t="s">
        <v>665</v>
      </c>
      <c r="T155" s="18" t="s">
        <v>289</v>
      </c>
      <c r="U155" s="21" t="s">
        <v>361</v>
      </c>
      <c r="V155" s="18" t="s">
        <v>798</v>
      </c>
      <c r="W155" s="18"/>
      <c r="X155" s="18"/>
      <c r="Y155" s="18"/>
      <c r="Z155" s="18"/>
      <c r="AA155" s="18"/>
      <c r="AB155" s="18"/>
      <c r="AC155" s="18" t="s">
        <v>507</v>
      </c>
      <c r="AD155" s="16" t="s">
        <v>63</v>
      </c>
      <c r="AE155" s="16">
        <v>3</v>
      </c>
      <c r="AF155" s="18" t="s">
        <v>799</v>
      </c>
    </row>
    <row r="156" spans="2:32" ht="14.4" x14ac:dyDescent="0.3">
      <c r="B156" s="16" t="s">
        <v>14</v>
      </c>
      <c r="C156" s="86" t="s">
        <v>800</v>
      </c>
      <c r="D156" s="124" t="s">
        <v>801</v>
      </c>
      <c r="E156" s="25">
        <v>3102500128</v>
      </c>
      <c r="F156" s="32">
        <v>45765</v>
      </c>
      <c r="G156" s="25" t="s">
        <v>55</v>
      </c>
      <c r="H156" s="25">
        <v>6</v>
      </c>
      <c r="I156" s="33">
        <v>468000</v>
      </c>
      <c r="J156" s="25">
        <v>2</v>
      </c>
      <c r="K156" s="321">
        <f t="shared" si="3"/>
        <v>234000</v>
      </c>
      <c r="L156" s="34">
        <v>45748</v>
      </c>
      <c r="M156" s="34">
        <v>46112</v>
      </c>
      <c r="N156" s="63" t="s">
        <v>19</v>
      </c>
      <c r="O156" s="26" t="s">
        <v>3</v>
      </c>
      <c r="P156" s="25"/>
      <c r="Q156" s="35" t="s">
        <v>463</v>
      </c>
      <c r="R156" s="24" t="s">
        <v>802</v>
      </c>
      <c r="S156" s="35" t="s">
        <v>465</v>
      </c>
      <c r="T156" s="24" t="s">
        <v>803</v>
      </c>
      <c r="U156" s="24"/>
      <c r="V156" s="24"/>
      <c r="W156" s="24"/>
      <c r="X156" s="24"/>
      <c r="Y156" s="24"/>
      <c r="Z156" s="24"/>
      <c r="AA156" s="24"/>
      <c r="AB156" s="24"/>
      <c r="AC156" s="24" t="s">
        <v>485</v>
      </c>
      <c r="AD156" s="16" t="s">
        <v>63</v>
      </c>
      <c r="AE156" s="25">
        <v>2</v>
      </c>
      <c r="AF156" s="24" t="s">
        <v>804</v>
      </c>
    </row>
    <row r="157" spans="2:32" ht="14.4" x14ac:dyDescent="0.3">
      <c r="B157" s="16" t="s">
        <v>14</v>
      </c>
      <c r="C157" s="39" t="s">
        <v>805</v>
      </c>
      <c r="D157" s="232" t="s">
        <v>86</v>
      </c>
      <c r="E157" s="125">
        <v>7500114971</v>
      </c>
      <c r="F157" s="55">
        <v>45763</v>
      </c>
      <c r="G157" s="26" t="s">
        <v>55</v>
      </c>
      <c r="H157" s="26">
        <v>1</v>
      </c>
      <c r="I157" s="56">
        <v>82000</v>
      </c>
      <c r="J157" s="26">
        <v>3</v>
      </c>
      <c r="K157" s="321">
        <f t="shared" si="3"/>
        <v>27333.333333333332</v>
      </c>
      <c r="L157" s="57">
        <v>45748</v>
      </c>
      <c r="M157" s="57">
        <v>46112</v>
      </c>
      <c r="N157" s="58" t="s">
        <v>19</v>
      </c>
      <c r="O157" s="26" t="s">
        <v>3</v>
      </c>
      <c r="P157" s="26"/>
      <c r="Q157" s="59" t="s">
        <v>357</v>
      </c>
      <c r="R157" s="58" t="s">
        <v>806</v>
      </c>
      <c r="S157" s="59" t="s">
        <v>665</v>
      </c>
      <c r="T157" s="58" t="s">
        <v>807</v>
      </c>
      <c r="U157" s="59" t="s">
        <v>361</v>
      </c>
      <c r="V157" s="58" t="s">
        <v>808</v>
      </c>
      <c r="W157" s="58"/>
      <c r="X157" s="58"/>
      <c r="Y157" s="58"/>
      <c r="Z157" s="58"/>
      <c r="AA157" s="58"/>
      <c r="AB157" s="58"/>
      <c r="AC157" s="58" t="s">
        <v>96</v>
      </c>
      <c r="AD157" s="26" t="s">
        <v>97</v>
      </c>
      <c r="AE157" s="26" t="s">
        <v>494</v>
      </c>
      <c r="AF157" s="58" t="s">
        <v>667</v>
      </c>
    </row>
    <row r="158" spans="2:32" ht="14.4" x14ac:dyDescent="0.3">
      <c r="B158" s="16" t="s">
        <v>14</v>
      </c>
      <c r="C158" s="39" t="s">
        <v>809</v>
      </c>
      <c r="D158" s="232" t="s">
        <v>629</v>
      </c>
      <c r="E158" s="125" t="s">
        <v>810</v>
      </c>
      <c r="F158" s="55">
        <v>45770</v>
      </c>
      <c r="G158" s="26" t="s">
        <v>55</v>
      </c>
      <c r="H158" s="26">
        <v>5</v>
      </c>
      <c r="I158" s="56">
        <v>341250</v>
      </c>
      <c r="J158" s="26">
        <v>2</v>
      </c>
      <c r="K158" s="321">
        <f t="shared" si="3"/>
        <v>170625</v>
      </c>
      <c r="L158" s="57">
        <v>45748</v>
      </c>
      <c r="M158" s="57">
        <v>46112</v>
      </c>
      <c r="N158" s="58" t="s">
        <v>19</v>
      </c>
      <c r="O158" s="26" t="s">
        <v>3</v>
      </c>
      <c r="P158" s="26"/>
      <c r="Q158" s="35" t="s">
        <v>463</v>
      </c>
      <c r="R158" s="24" t="s">
        <v>811</v>
      </c>
      <c r="S158" s="35" t="s">
        <v>465</v>
      </c>
      <c r="T158" s="58" t="s">
        <v>320</v>
      </c>
      <c r="U158" s="58"/>
      <c r="V158" s="58"/>
      <c r="W158" s="58"/>
      <c r="X158" s="58"/>
      <c r="Y158" s="58"/>
      <c r="Z158" s="58"/>
      <c r="AA158" s="58"/>
      <c r="AB158" s="58"/>
      <c r="AC158" s="58" t="s">
        <v>485</v>
      </c>
      <c r="AD158" s="26" t="s">
        <v>97</v>
      </c>
      <c r="AE158" s="26">
        <v>3</v>
      </c>
      <c r="AF158" s="58" t="s">
        <v>667</v>
      </c>
    </row>
    <row r="159" spans="2:32" ht="14.4" x14ac:dyDescent="0.3">
      <c r="B159" s="16" t="s">
        <v>14</v>
      </c>
      <c r="C159" s="39" t="s">
        <v>800</v>
      </c>
      <c r="D159" s="232" t="s">
        <v>812</v>
      </c>
      <c r="E159" s="125">
        <v>2102500018</v>
      </c>
      <c r="F159" s="55">
        <v>45749</v>
      </c>
      <c r="G159" s="26" t="s">
        <v>55</v>
      </c>
      <c r="H159" s="26">
        <v>4</v>
      </c>
      <c r="I159" s="56">
        <v>332800</v>
      </c>
      <c r="J159" s="26">
        <v>2</v>
      </c>
      <c r="K159" s="321">
        <f t="shared" si="3"/>
        <v>166400</v>
      </c>
      <c r="L159" s="57">
        <v>45748</v>
      </c>
      <c r="M159" s="57">
        <v>46112</v>
      </c>
      <c r="N159" s="58" t="s">
        <v>19</v>
      </c>
      <c r="O159" s="26" t="s">
        <v>3</v>
      </c>
      <c r="P159" s="26"/>
      <c r="Q159" s="35" t="s">
        <v>463</v>
      </c>
      <c r="R159" s="24" t="s">
        <v>813</v>
      </c>
      <c r="S159" s="35" t="s">
        <v>465</v>
      </c>
      <c r="T159" s="24" t="s">
        <v>814</v>
      </c>
      <c r="U159" s="58"/>
      <c r="V159" s="58"/>
      <c r="W159" s="58"/>
      <c r="X159" s="58"/>
      <c r="Y159" s="58"/>
      <c r="Z159" s="58"/>
      <c r="AA159" s="58"/>
      <c r="AB159" s="58"/>
      <c r="AC159" s="58" t="s">
        <v>485</v>
      </c>
      <c r="AD159" s="16" t="s">
        <v>63</v>
      </c>
      <c r="AE159" s="26">
        <v>2</v>
      </c>
      <c r="AF159" s="58" t="s">
        <v>667</v>
      </c>
    </row>
    <row r="160" spans="2:32" ht="14.4" x14ac:dyDescent="0.3">
      <c r="B160" s="16" t="s">
        <v>14</v>
      </c>
      <c r="C160" s="39" t="s">
        <v>800</v>
      </c>
      <c r="D160" s="232" t="s">
        <v>812</v>
      </c>
      <c r="E160" s="125">
        <v>2102500206</v>
      </c>
      <c r="F160" s="55">
        <v>45758</v>
      </c>
      <c r="G160" s="26" t="s">
        <v>55</v>
      </c>
      <c r="H160" s="26">
        <v>4</v>
      </c>
      <c r="I160" s="56">
        <v>270400</v>
      </c>
      <c r="J160" s="26">
        <v>2</v>
      </c>
      <c r="K160" s="321">
        <f t="shared" si="3"/>
        <v>135200</v>
      </c>
      <c r="L160" s="57">
        <v>45748</v>
      </c>
      <c r="M160" s="57">
        <v>46112</v>
      </c>
      <c r="N160" s="58" t="s">
        <v>19</v>
      </c>
      <c r="O160" s="26" t="s">
        <v>3</v>
      </c>
      <c r="P160" s="26"/>
      <c r="Q160" s="35" t="s">
        <v>463</v>
      </c>
      <c r="R160" s="24" t="s">
        <v>815</v>
      </c>
      <c r="S160" s="35" t="s">
        <v>465</v>
      </c>
      <c r="T160" s="24" t="s">
        <v>816</v>
      </c>
      <c r="U160" s="58"/>
      <c r="V160" s="58"/>
      <c r="W160" s="58"/>
      <c r="X160" s="58"/>
      <c r="Y160" s="58"/>
      <c r="Z160" s="58"/>
      <c r="AA160" s="58"/>
      <c r="AB160" s="58"/>
      <c r="AC160" s="58" t="s">
        <v>485</v>
      </c>
      <c r="AD160" s="16" t="s">
        <v>63</v>
      </c>
      <c r="AE160" s="26">
        <v>2</v>
      </c>
      <c r="AF160" s="58" t="s">
        <v>667</v>
      </c>
    </row>
    <row r="161" spans="2:32" ht="14.4" x14ac:dyDescent="0.3">
      <c r="B161" s="16" t="s">
        <v>14</v>
      </c>
      <c r="C161" s="37" t="s">
        <v>817</v>
      </c>
      <c r="D161" s="235" t="s">
        <v>818</v>
      </c>
      <c r="E161" s="30">
        <v>242500783</v>
      </c>
      <c r="F161" s="55">
        <v>45756</v>
      </c>
      <c r="G161" s="26" t="s">
        <v>55</v>
      </c>
      <c r="H161" s="26">
        <v>3</v>
      </c>
      <c r="I161" s="56">
        <v>344997</v>
      </c>
      <c r="J161" s="26">
        <v>2</v>
      </c>
      <c r="K161" s="321">
        <f t="shared" si="3"/>
        <v>172498.5</v>
      </c>
      <c r="L161" s="57">
        <v>45778</v>
      </c>
      <c r="M161" s="57">
        <v>46142</v>
      </c>
      <c r="N161" s="58" t="s">
        <v>19</v>
      </c>
      <c r="O161" s="26" t="s">
        <v>5</v>
      </c>
      <c r="P161" s="26"/>
      <c r="Q161" s="59" t="s">
        <v>328</v>
      </c>
      <c r="R161" s="58" t="s">
        <v>819</v>
      </c>
      <c r="S161" s="59" t="s">
        <v>330</v>
      </c>
      <c r="T161" s="58" t="s">
        <v>820</v>
      </c>
      <c r="U161" s="58"/>
      <c r="V161" s="58"/>
      <c r="W161" s="58"/>
      <c r="X161" s="58"/>
      <c r="Y161" s="58"/>
      <c r="Z161" s="58"/>
      <c r="AA161" s="58"/>
      <c r="AB161" s="58"/>
      <c r="AC161" s="58" t="s">
        <v>281</v>
      </c>
      <c r="AD161" s="26" t="s">
        <v>97</v>
      </c>
      <c r="AE161" s="26" t="s">
        <v>494</v>
      </c>
      <c r="AF161" s="58" t="s">
        <v>821</v>
      </c>
    </row>
    <row r="162" spans="2:32" ht="14.4" x14ac:dyDescent="0.3">
      <c r="B162" s="16" t="s">
        <v>14</v>
      </c>
      <c r="C162" s="52" t="s">
        <v>822</v>
      </c>
      <c r="D162" s="244" t="s">
        <v>823</v>
      </c>
      <c r="E162" s="120" t="s">
        <v>824</v>
      </c>
      <c r="F162" s="40">
        <v>45772</v>
      </c>
      <c r="G162" s="26" t="s">
        <v>55</v>
      </c>
      <c r="H162" s="26">
        <v>1</v>
      </c>
      <c r="I162" s="56">
        <v>98500</v>
      </c>
      <c r="J162" s="26">
        <v>2</v>
      </c>
      <c r="K162" s="321">
        <f t="shared" si="3"/>
        <v>49250</v>
      </c>
      <c r="L162" s="57">
        <v>45763</v>
      </c>
      <c r="M162" s="57">
        <v>46127</v>
      </c>
      <c r="N162" s="58" t="s">
        <v>19</v>
      </c>
      <c r="O162" s="26" t="s">
        <v>5</v>
      </c>
      <c r="P162" s="26" t="s">
        <v>1</v>
      </c>
      <c r="Q162" s="59" t="s">
        <v>825</v>
      </c>
      <c r="R162" s="58" t="s">
        <v>826</v>
      </c>
      <c r="S162" s="59" t="s">
        <v>827</v>
      </c>
      <c r="T162" s="58" t="s">
        <v>828</v>
      </c>
      <c r="U162" s="58"/>
      <c r="V162" s="58"/>
      <c r="W162" s="58"/>
      <c r="X162" s="58"/>
      <c r="Y162" s="58"/>
      <c r="Z162" s="58"/>
      <c r="AA162" s="58"/>
      <c r="AB162" s="58"/>
      <c r="AC162" s="58" t="s">
        <v>183</v>
      </c>
      <c r="AD162" s="26" t="s">
        <v>97</v>
      </c>
      <c r="AE162" s="26">
        <v>2</v>
      </c>
      <c r="AF162" s="58" t="s">
        <v>829</v>
      </c>
    </row>
    <row r="163" spans="2:32" ht="14.4" x14ac:dyDescent="0.3">
      <c r="B163" s="16" t="s">
        <v>14</v>
      </c>
      <c r="C163" s="53" t="s">
        <v>830</v>
      </c>
      <c r="D163" s="245" t="s">
        <v>831</v>
      </c>
      <c r="E163" s="125">
        <v>3500120284</v>
      </c>
      <c r="F163" s="55">
        <v>45756</v>
      </c>
      <c r="G163" s="26" t="s">
        <v>55</v>
      </c>
      <c r="H163" s="26">
        <v>1</v>
      </c>
      <c r="I163" s="56">
        <v>120000</v>
      </c>
      <c r="J163" s="26">
        <v>3</v>
      </c>
      <c r="K163" s="321">
        <f t="shared" si="3"/>
        <v>40000</v>
      </c>
      <c r="L163" s="57">
        <v>45689</v>
      </c>
      <c r="M163" s="57">
        <v>46053</v>
      </c>
      <c r="N163" s="18" t="s">
        <v>19</v>
      </c>
      <c r="O163" s="26" t="s">
        <v>0</v>
      </c>
      <c r="P163" s="26"/>
      <c r="Q163" s="59" t="s">
        <v>832</v>
      </c>
      <c r="R163" s="58" t="s">
        <v>833</v>
      </c>
      <c r="S163" s="59" t="s">
        <v>81</v>
      </c>
      <c r="T163" s="58" t="s">
        <v>287</v>
      </c>
      <c r="U163" s="59" t="s">
        <v>83</v>
      </c>
      <c r="V163" s="58" t="s">
        <v>395</v>
      </c>
      <c r="W163" s="58"/>
      <c r="X163" s="58"/>
      <c r="Y163" s="58"/>
      <c r="Z163" s="58"/>
      <c r="AA163" s="58"/>
      <c r="AB163" s="58"/>
      <c r="AC163" s="58" t="s">
        <v>834</v>
      </c>
      <c r="AD163" s="16" t="s">
        <v>207</v>
      </c>
      <c r="AE163" s="26">
        <v>3</v>
      </c>
      <c r="AF163" s="58" t="s">
        <v>835</v>
      </c>
    </row>
    <row r="164" spans="2:32" ht="14.4" x14ac:dyDescent="0.3">
      <c r="B164" s="16" t="s">
        <v>14</v>
      </c>
      <c r="C164" s="53" t="s">
        <v>836</v>
      </c>
      <c r="D164" s="245" t="s">
        <v>629</v>
      </c>
      <c r="E164" s="125" t="s">
        <v>837</v>
      </c>
      <c r="F164" s="55">
        <v>45773</v>
      </c>
      <c r="G164" s="26" t="s">
        <v>55</v>
      </c>
      <c r="H164" s="26">
        <v>2</v>
      </c>
      <c r="I164" s="56">
        <v>168000</v>
      </c>
      <c r="J164" s="26">
        <v>2</v>
      </c>
      <c r="K164" s="321">
        <f t="shared" si="3"/>
        <v>84000</v>
      </c>
      <c r="L164" s="57">
        <v>45748</v>
      </c>
      <c r="M164" s="57">
        <v>46112</v>
      </c>
      <c r="N164" s="58" t="s">
        <v>19</v>
      </c>
      <c r="O164" s="26" t="s">
        <v>3</v>
      </c>
      <c r="P164" s="26"/>
      <c r="Q164" s="59" t="s">
        <v>838</v>
      </c>
      <c r="R164" s="58" t="s">
        <v>344</v>
      </c>
      <c r="S164" s="59" t="s">
        <v>465</v>
      </c>
      <c r="T164" s="58" t="s">
        <v>839</v>
      </c>
      <c r="U164" s="58"/>
      <c r="V164" s="58"/>
      <c r="W164" s="58"/>
      <c r="X164" s="58"/>
      <c r="Y164" s="58"/>
      <c r="Z164" s="58"/>
      <c r="AA164" s="58"/>
      <c r="AB164" s="58"/>
      <c r="AC164" s="58" t="s">
        <v>485</v>
      </c>
      <c r="AD164" s="16" t="s">
        <v>63</v>
      </c>
      <c r="AE164" s="26">
        <v>2</v>
      </c>
      <c r="AF164" s="58" t="s">
        <v>799</v>
      </c>
    </row>
    <row r="165" spans="2:32" ht="14.4" x14ac:dyDescent="0.3">
      <c r="B165" s="16" t="s">
        <v>14</v>
      </c>
      <c r="C165" s="53" t="s">
        <v>840</v>
      </c>
      <c r="D165" s="245" t="s">
        <v>841</v>
      </c>
      <c r="E165" s="125" t="s">
        <v>842</v>
      </c>
      <c r="F165" s="55">
        <v>45768</v>
      </c>
      <c r="G165" s="26" t="s">
        <v>55</v>
      </c>
      <c r="H165" s="26">
        <v>3</v>
      </c>
      <c r="I165" s="56">
        <v>202500</v>
      </c>
      <c r="J165" s="26">
        <v>3</v>
      </c>
      <c r="K165" s="321">
        <f t="shared" si="3"/>
        <v>67500</v>
      </c>
      <c r="L165" s="57">
        <v>45748</v>
      </c>
      <c r="M165" s="57">
        <v>46112</v>
      </c>
      <c r="N165" s="58" t="s">
        <v>19</v>
      </c>
      <c r="O165" s="26" t="s">
        <v>3</v>
      </c>
      <c r="P165" s="26"/>
      <c r="Q165" s="59" t="s">
        <v>758</v>
      </c>
      <c r="R165" s="58" t="s">
        <v>843</v>
      </c>
      <c r="S165" s="59" t="s">
        <v>665</v>
      </c>
      <c r="T165" s="58" t="s">
        <v>791</v>
      </c>
      <c r="U165" s="59" t="s">
        <v>361</v>
      </c>
      <c r="V165" s="58" t="s">
        <v>844</v>
      </c>
      <c r="W165" s="58"/>
      <c r="X165" s="58"/>
      <c r="Y165" s="58"/>
      <c r="Z165" s="58"/>
      <c r="AA165" s="58"/>
      <c r="AB165" s="58"/>
      <c r="AC165" s="58" t="s">
        <v>485</v>
      </c>
      <c r="AD165" s="16" t="s">
        <v>63</v>
      </c>
      <c r="AE165" s="26">
        <v>2</v>
      </c>
      <c r="AF165" s="58" t="s">
        <v>657</v>
      </c>
    </row>
    <row r="166" spans="2:32" ht="14.4" x14ac:dyDescent="0.3">
      <c r="B166" s="16" t="s">
        <v>14</v>
      </c>
      <c r="C166" s="53" t="s">
        <v>845</v>
      </c>
      <c r="D166" s="245" t="s">
        <v>846</v>
      </c>
      <c r="E166" s="125">
        <v>901965547</v>
      </c>
      <c r="F166" s="55">
        <v>45729</v>
      </c>
      <c r="G166" s="26" t="s">
        <v>55</v>
      </c>
      <c r="H166" s="26">
        <v>1</v>
      </c>
      <c r="I166" s="56">
        <v>139000</v>
      </c>
      <c r="J166" s="26">
        <v>3</v>
      </c>
      <c r="K166" s="321">
        <f t="shared" si="3"/>
        <v>46333.333333333336</v>
      </c>
      <c r="L166" s="57">
        <v>45658</v>
      </c>
      <c r="M166" s="57">
        <v>46022</v>
      </c>
      <c r="N166" s="58" t="s">
        <v>19</v>
      </c>
      <c r="O166" s="294" t="s">
        <v>469</v>
      </c>
      <c r="P166" s="26"/>
      <c r="Q166" s="59" t="s">
        <v>554</v>
      </c>
      <c r="R166" s="58" t="s">
        <v>106</v>
      </c>
      <c r="S166" s="59" t="s">
        <v>847</v>
      </c>
      <c r="T166" s="58" t="s">
        <v>213</v>
      </c>
      <c r="U166" s="59" t="s">
        <v>345</v>
      </c>
      <c r="V166" s="58" t="s">
        <v>848</v>
      </c>
      <c r="W166" s="58"/>
      <c r="X166" s="58"/>
      <c r="Y166" s="58"/>
      <c r="Z166" s="58"/>
      <c r="AA166" s="58"/>
      <c r="AB166" s="58"/>
      <c r="AC166" s="58" t="s">
        <v>834</v>
      </c>
      <c r="AD166" s="16" t="s">
        <v>207</v>
      </c>
      <c r="AE166" s="26">
        <v>3</v>
      </c>
      <c r="AF166" s="213" t="s">
        <v>849</v>
      </c>
    </row>
    <row r="167" spans="2:32" ht="14.4" x14ac:dyDescent="0.3">
      <c r="B167" s="16" t="s">
        <v>14</v>
      </c>
      <c r="C167" s="53" t="s">
        <v>850</v>
      </c>
      <c r="D167" s="245" t="s">
        <v>388</v>
      </c>
      <c r="E167" s="125">
        <v>5000132738</v>
      </c>
      <c r="F167" s="55">
        <v>45769</v>
      </c>
      <c r="G167" s="26" t="s">
        <v>55</v>
      </c>
      <c r="H167" s="26">
        <v>1</v>
      </c>
      <c r="I167" s="56">
        <v>83000</v>
      </c>
      <c r="J167" s="26">
        <v>2</v>
      </c>
      <c r="K167" s="321">
        <f t="shared" si="3"/>
        <v>41500</v>
      </c>
      <c r="L167" s="57">
        <v>45748</v>
      </c>
      <c r="M167" s="57">
        <v>46112</v>
      </c>
      <c r="N167" s="58" t="s">
        <v>19</v>
      </c>
      <c r="O167" s="26" t="s">
        <v>3</v>
      </c>
      <c r="P167" s="26" t="s">
        <v>1</v>
      </c>
      <c r="Q167" s="59" t="s">
        <v>838</v>
      </c>
      <c r="R167" s="58" t="s">
        <v>379</v>
      </c>
      <c r="S167" s="59" t="s">
        <v>465</v>
      </c>
      <c r="T167" s="58" t="s">
        <v>851</v>
      </c>
      <c r="U167" s="58"/>
      <c r="V167" s="58"/>
      <c r="W167" s="58"/>
      <c r="X167" s="58"/>
      <c r="Y167" s="58"/>
      <c r="Z167" s="58"/>
      <c r="AA167" s="58"/>
      <c r="AB167" s="58"/>
      <c r="AC167" s="58" t="s">
        <v>619</v>
      </c>
      <c r="AD167" s="16" t="s">
        <v>63</v>
      </c>
      <c r="AE167" s="26">
        <v>3</v>
      </c>
      <c r="AF167" s="126">
        <v>1</v>
      </c>
    </row>
    <row r="168" spans="2:32" ht="14.4" x14ac:dyDescent="0.3">
      <c r="B168" s="16" t="s">
        <v>14</v>
      </c>
      <c r="C168" s="53" t="s">
        <v>775</v>
      </c>
      <c r="D168" s="245" t="s">
        <v>852</v>
      </c>
      <c r="E168" s="121">
        <v>2710000809</v>
      </c>
      <c r="F168" s="55">
        <v>45763</v>
      </c>
      <c r="G168" s="26" t="s">
        <v>55</v>
      </c>
      <c r="H168" s="26">
        <v>2</v>
      </c>
      <c r="I168" s="56">
        <v>170000</v>
      </c>
      <c r="J168" s="26">
        <v>3</v>
      </c>
      <c r="K168" s="321">
        <f t="shared" si="3"/>
        <v>56666.666666666664</v>
      </c>
      <c r="L168" s="57">
        <v>45748</v>
      </c>
      <c r="M168" s="57">
        <v>46112</v>
      </c>
      <c r="N168" s="58" t="s">
        <v>19</v>
      </c>
      <c r="O168" s="26" t="s">
        <v>3</v>
      </c>
      <c r="P168" s="26"/>
      <c r="Q168" s="59" t="s">
        <v>758</v>
      </c>
      <c r="R168" s="58" t="s">
        <v>853</v>
      </c>
      <c r="S168" s="59" t="s">
        <v>665</v>
      </c>
      <c r="T168" s="58" t="s">
        <v>854</v>
      </c>
      <c r="U168" s="59" t="s">
        <v>361</v>
      </c>
      <c r="V168" s="58" t="s">
        <v>855</v>
      </c>
      <c r="W168" s="58"/>
      <c r="X168" s="58"/>
      <c r="Y168" s="58"/>
      <c r="Z168" s="58"/>
      <c r="AA168" s="58"/>
      <c r="AB168" s="58"/>
      <c r="AC168" s="58" t="s">
        <v>551</v>
      </c>
      <c r="AD168" s="16" t="s">
        <v>207</v>
      </c>
      <c r="AE168" s="26">
        <v>3</v>
      </c>
      <c r="AF168" s="126" t="s">
        <v>856</v>
      </c>
    </row>
    <row r="169" spans="2:32" ht="14.4" x14ac:dyDescent="0.3">
      <c r="B169" s="16" t="s">
        <v>14</v>
      </c>
      <c r="C169" s="18" t="s">
        <v>857</v>
      </c>
      <c r="D169" s="227" t="s">
        <v>858</v>
      </c>
      <c r="E169" s="50" t="s">
        <v>859</v>
      </c>
      <c r="F169" s="111">
        <v>45747</v>
      </c>
      <c r="G169" s="26" t="s">
        <v>55</v>
      </c>
      <c r="H169" s="26">
        <v>2</v>
      </c>
      <c r="I169" s="56">
        <v>370000</v>
      </c>
      <c r="J169" s="26">
        <v>4</v>
      </c>
      <c r="K169" s="321">
        <f t="shared" si="3"/>
        <v>92500</v>
      </c>
      <c r="L169" s="57">
        <v>45748</v>
      </c>
      <c r="M169" s="57">
        <v>46112</v>
      </c>
      <c r="N169" s="58" t="s">
        <v>19</v>
      </c>
      <c r="O169" s="26" t="s">
        <v>3</v>
      </c>
      <c r="P169" s="26"/>
      <c r="Q169" s="59" t="s">
        <v>391</v>
      </c>
      <c r="R169" s="58" t="s">
        <v>860</v>
      </c>
      <c r="S169" s="59" t="s">
        <v>168</v>
      </c>
      <c r="T169" s="58" t="s">
        <v>505</v>
      </c>
      <c r="U169" s="59" t="s">
        <v>228</v>
      </c>
      <c r="V169" s="58" t="s">
        <v>417</v>
      </c>
      <c r="W169" s="58" t="s">
        <v>396</v>
      </c>
      <c r="X169" s="58"/>
      <c r="Y169" s="58"/>
      <c r="Z169" s="58"/>
      <c r="AA169" s="58"/>
      <c r="AB169" s="58"/>
      <c r="AC169" s="58" t="s">
        <v>551</v>
      </c>
      <c r="AD169" s="16" t="s">
        <v>207</v>
      </c>
      <c r="AE169" s="26" t="s">
        <v>861</v>
      </c>
      <c r="AF169" s="58" t="s">
        <v>862</v>
      </c>
    </row>
    <row r="170" spans="2:32" ht="14.4" x14ac:dyDescent="0.3">
      <c r="B170" s="16" t="s">
        <v>14</v>
      </c>
      <c r="C170" s="37" t="s">
        <v>863</v>
      </c>
      <c r="D170" s="235" t="s">
        <v>864</v>
      </c>
      <c r="E170" s="85">
        <v>4504578229</v>
      </c>
      <c r="F170" s="55">
        <v>45779</v>
      </c>
      <c r="G170" s="26" t="s">
        <v>55</v>
      </c>
      <c r="H170" s="26">
        <v>1</v>
      </c>
      <c r="I170" s="56">
        <v>67000</v>
      </c>
      <c r="J170" s="26">
        <v>2</v>
      </c>
      <c r="K170" s="321">
        <f t="shared" si="3"/>
        <v>33500</v>
      </c>
      <c r="L170" s="57">
        <v>45839</v>
      </c>
      <c r="M170" s="57">
        <v>46203</v>
      </c>
      <c r="N170" s="58" t="s">
        <v>520</v>
      </c>
      <c r="O170" s="26" t="s">
        <v>6</v>
      </c>
      <c r="P170" s="26"/>
      <c r="Q170" s="59" t="s">
        <v>483</v>
      </c>
      <c r="R170" s="58" t="s">
        <v>865</v>
      </c>
      <c r="S170" s="58" t="s">
        <v>607</v>
      </c>
      <c r="T170" s="58"/>
      <c r="U170" s="58"/>
      <c r="V170" s="58"/>
      <c r="W170" s="58"/>
      <c r="X170" s="58"/>
      <c r="Y170" s="58"/>
      <c r="Z170" s="58"/>
      <c r="AA170" s="58"/>
      <c r="AB170" s="58"/>
      <c r="AC170" s="58" t="s">
        <v>507</v>
      </c>
      <c r="AD170" s="16" t="s">
        <v>63</v>
      </c>
      <c r="AE170" s="26">
        <v>2</v>
      </c>
      <c r="AF170" s="58" t="s">
        <v>743</v>
      </c>
    </row>
    <row r="171" spans="2:32" ht="14.4" x14ac:dyDescent="0.3">
      <c r="B171" s="16" t="s">
        <v>14</v>
      </c>
      <c r="C171" s="49" t="s">
        <v>508</v>
      </c>
      <c r="D171" s="246" t="s">
        <v>866</v>
      </c>
      <c r="E171" s="128" t="s">
        <v>867</v>
      </c>
      <c r="F171" s="40">
        <v>45777</v>
      </c>
      <c r="G171" s="26" t="s">
        <v>55</v>
      </c>
      <c r="H171" s="26">
        <v>2</v>
      </c>
      <c r="I171" s="56">
        <v>178000</v>
      </c>
      <c r="J171" s="26">
        <v>3</v>
      </c>
      <c r="K171" s="321">
        <f t="shared" si="3"/>
        <v>59333.333333333336</v>
      </c>
      <c r="L171" s="57">
        <v>45778</v>
      </c>
      <c r="M171" s="57">
        <v>46142</v>
      </c>
      <c r="N171" s="58" t="s">
        <v>19</v>
      </c>
      <c r="O171" s="26" t="s">
        <v>5</v>
      </c>
      <c r="P171" s="26"/>
      <c r="Q171" s="59" t="s">
        <v>343</v>
      </c>
      <c r="R171" s="58" t="s">
        <v>868</v>
      </c>
      <c r="S171" s="59" t="s">
        <v>345</v>
      </c>
      <c r="T171" s="59" t="s">
        <v>673</v>
      </c>
      <c r="U171" s="59" t="s">
        <v>347</v>
      </c>
      <c r="V171" s="58" t="s">
        <v>869</v>
      </c>
      <c r="W171" s="58"/>
      <c r="X171" s="58"/>
      <c r="Y171" s="58"/>
      <c r="Z171" s="58"/>
      <c r="AA171" s="58"/>
      <c r="AB171" s="58"/>
      <c r="AC171" s="58" t="s">
        <v>96</v>
      </c>
      <c r="AD171" s="26" t="s">
        <v>97</v>
      </c>
      <c r="AE171" s="26" t="s">
        <v>494</v>
      </c>
      <c r="AF171" s="76" t="s">
        <v>870</v>
      </c>
    </row>
    <row r="172" spans="2:32" ht="14.4" x14ac:dyDescent="0.3">
      <c r="B172" s="16" t="s">
        <v>14</v>
      </c>
      <c r="C172" s="49" t="s">
        <v>508</v>
      </c>
      <c r="D172" s="246" t="s">
        <v>866</v>
      </c>
      <c r="E172" s="128" t="s">
        <v>871</v>
      </c>
      <c r="F172" s="40">
        <v>45777</v>
      </c>
      <c r="G172" s="26" t="s">
        <v>55</v>
      </c>
      <c r="H172" s="26">
        <v>2</v>
      </c>
      <c r="I172" s="56">
        <v>178000</v>
      </c>
      <c r="J172" s="26">
        <v>3</v>
      </c>
      <c r="K172" s="321">
        <f t="shared" si="3"/>
        <v>59333.333333333336</v>
      </c>
      <c r="L172" s="57">
        <v>45778</v>
      </c>
      <c r="M172" s="57">
        <v>46142</v>
      </c>
      <c r="N172" s="58" t="s">
        <v>19</v>
      </c>
      <c r="O172" s="26" t="s">
        <v>5</v>
      </c>
      <c r="P172" s="26"/>
      <c r="Q172" s="59" t="s">
        <v>343</v>
      </c>
      <c r="R172" s="58" t="s">
        <v>872</v>
      </c>
      <c r="S172" s="59" t="s">
        <v>345</v>
      </c>
      <c r="T172" s="58" t="s">
        <v>873</v>
      </c>
      <c r="U172" s="59" t="s">
        <v>347</v>
      </c>
      <c r="V172" s="58" t="s">
        <v>874</v>
      </c>
      <c r="W172" s="58"/>
      <c r="X172" s="58"/>
      <c r="Y172" s="58"/>
      <c r="Z172" s="58"/>
      <c r="AA172" s="58"/>
      <c r="AB172" s="58"/>
      <c r="AC172" s="58" t="s">
        <v>96</v>
      </c>
      <c r="AD172" s="26" t="s">
        <v>97</v>
      </c>
      <c r="AE172" s="26" t="s">
        <v>494</v>
      </c>
      <c r="AF172" s="76" t="s">
        <v>870</v>
      </c>
    </row>
    <row r="173" spans="2:32" ht="14.4" x14ac:dyDescent="0.3">
      <c r="B173" s="16" t="s">
        <v>14</v>
      </c>
      <c r="C173" s="124" t="s">
        <v>875</v>
      </c>
      <c r="D173" s="124" t="s">
        <v>876</v>
      </c>
      <c r="E173" s="129" t="s">
        <v>877</v>
      </c>
      <c r="F173" s="43">
        <v>45772</v>
      </c>
      <c r="G173" s="42" t="s">
        <v>55</v>
      </c>
      <c r="H173" s="42">
        <v>3</v>
      </c>
      <c r="I173" s="61">
        <v>435000</v>
      </c>
      <c r="J173" s="42">
        <v>3</v>
      </c>
      <c r="K173" s="321">
        <f t="shared" si="3"/>
        <v>145000</v>
      </c>
      <c r="L173" s="62">
        <v>45770</v>
      </c>
      <c r="M173" s="62">
        <v>46134</v>
      </c>
      <c r="N173" s="63" t="s">
        <v>19</v>
      </c>
      <c r="O173" s="26" t="s">
        <v>5</v>
      </c>
      <c r="P173" s="42" t="s">
        <v>1</v>
      </c>
      <c r="Q173" s="64" t="s">
        <v>878</v>
      </c>
      <c r="R173" s="63" t="s">
        <v>108</v>
      </c>
      <c r="S173" s="64" t="s">
        <v>879</v>
      </c>
      <c r="T173" s="63" t="s">
        <v>880</v>
      </c>
      <c r="U173" s="64" t="s">
        <v>881</v>
      </c>
      <c r="V173" s="63" t="s">
        <v>882</v>
      </c>
      <c r="W173" s="63"/>
      <c r="X173" s="63"/>
      <c r="Y173" s="63"/>
      <c r="Z173" s="63"/>
      <c r="AA173" s="63"/>
      <c r="AB173" s="63"/>
      <c r="AC173" s="63" t="s">
        <v>281</v>
      </c>
      <c r="AD173" s="42" t="s">
        <v>97</v>
      </c>
      <c r="AE173" s="42">
        <v>3</v>
      </c>
      <c r="AF173" s="63" t="s">
        <v>883</v>
      </c>
    </row>
    <row r="174" spans="2:32" ht="14.4" x14ac:dyDescent="0.3">
      <c r="B174" s="16" t="s">
        <v>14</v>
      </c>
      <c r="C174" s="130" t="s">
        <v>614</v>
      </c>
      <c r="D174" s="130" t="s">
        <v>884</v>
      </c>
      <c r="E174" s="131" t="s">
        <v>885</v>
      </c>
      <c r="F174" s="55">
        <v>45782</v>
      </c>
      <c r="G174" s="26" t="s">
        <v>55</v>
      </c>
      <c r="H174" s="26">
        <v>1</v>
      </c>
      <c r="I174" s="56">
        <v>76440</v>
      </c>
      <c r="J174" s="26">
        <v>3</v>
      </c>
      <c r="K174" s="321"/>
      <c r="L174" s="57">
        <v>45809</v>
      </c>
      <c r="M174" s="57">
        <v>46173</v>
      </c>
      <c r="N174" s="58" t="s">
        <v>19</v>
      </c>
      <c r="O174" s="26" t="s">
        <v>6</v>
      </c>
      <c r="P174" s="26"/>
      <c r="Q174" s="59" t="s">
        <v>81</v>
      </c>
      <c r="R174" s="58" t="s">
        <v>886</v>
      </c>
      <c r="S174" s="354" t="s">
        <v>83</v>
      </c>
      <c r="T174" s="58" t="s">
        <v>1716</v>
      </c>
      <c r="U174" s="354" t="s">
        <v>887</v>
      </c>
      <c r="V174" s="58" t="s">
        <v>1716</v>
      </c>
      <c r="W174" s="58"/>
      <c r="X174" s="58"/>
      <c r="Y174" s="58"/>
      <c r="Z174" s="58"/>
      <c r="AA174" s="58"/>
      <c r="AB174" s="58"/>
      <c r="AC174" s="58" t="s">
        <v>281</v>
      </c>
      <c r="AD174" s="26" t="s">
        <v>97</v>
      </c>
      <c r="AE174" s="26">
        <v>3</v>
      </c>
      <c r="AF174" s="58" t="s">
        <v>888</v>
      </c>
    </row>
    <row r="175" spans="2:32" ht="14.4" x14ac:dyDescent="0.3">
      <c r="B175" s="16" t="s">
        <v>14</v>
      </c>
      <c r="C175" s="37" t="s">
        <v>889</v>
      </c>
      <c r="D175" s="232" t="s">
        <v>890</v>
      </c>
      <c r="E175" s="50">
        <v>4500008676</v>
      </c>
      <c r="F175" s="55">
        <v>45734</v>
      </c>
      <c r="G175" s="26" t="s">
        <v>55</v>
      </c>
      <c r="H175" s="26">
        <v>2</v>
      </c>
      <c r="I175" s="56">
        <v>191000</v>
      </c>
      <c r="J175" s="26">
        <v>2</v>
      </c>
      <c r="K175" s="321">
        <f t="shared" si="3"/>
        <v>95500</v>
      </c>
      <c r="L175" s="57">
        <v>45689</v>
      </c>
      <c r="M175" s="57">
        <v>46053</v>
      </c>
      <c r="N175" s="18" t="s">
        <v>19</v>
      </c>
      <c r="O175" s="26" t="s">
        <v>0</v>
      </c>
      <c r="P175" s="26" t="s">
        <v>1</v>
      </c>
      <c r="Q175" s="59" t="s">
        <v>422</v>
      </c>
      <c r="R175" s="58" t="s">
        <v>413</v>
      </c>
      <c r="S175" s="59" t="s">
        <v>424</v>
      </c>
      <c r="T175" s="58" t="s">
        <v>707</v>
      </c>
      <c r="U175" s="58"/>
      <c r="V175" s="58"/>
      <c r="W175" s="58"/>
      <c r="X175" s="58"/>
      <c r="Y175" s="58"/>
      <c r="Z175" s="58"/>
      <c r="AA175" s="58"/>
      <c r="AB175" s="58"/>
      <c r="AC175" s="58" t="s">
        <v>183</v>
      </c>
      <c r="AD175" s="26" t="s">
        <v>97</v>
      </c>
      <c r="AE175" s="26">
        <v>2</v>
      </c>
      <c r="AF175" s="126">
        <v>1</v>
      </c>
    </row>
    <row r="176" spans="2:32" ht="14.4" x14ac:dyDescent="0.3">
      <c r="B176" s="16" t="s">
        <v>14</v>
      </c>
      <c r="C176" s="37" t="s">
        <v>195</v>
      </c>
      <c r="D176" s="235" t="s">
        <v>447</v>
      </c>
      <c r="E176" s="16" t="s">
        <v>891</v>
      </c>
      <c r="F176" s="55">
        <v>45789</v>
      </c>
      <c r="G176" s="26" t="s">
        <v>55</v>
      </c>
      <c r="H176" s="26">
        <v>3</v>
      </c>
      <c r="I176" s="56">
        <v>179550</v>
      </c>
      <c r="J176" s="26">
        <v>4</v>
      </c>
      <c r="K176" s="321">
        <f t="shared" si="3"/>
        <v>44887.5</v>
      </c>
      <c r="L176" s="57">
        <v>45778</v>
      </c>
      <c r="M176" s="57">
        <v>46142</v>
      </c>
      <c r="N176" s="58" t="s">
        <v>520</v>
      </c>
      <c r="O176" s="26" t="s">
        <v>6</v>
      </c>
      <c r="P176" s="26"/>
      <c r="Q176" s="59" t="s">
        <v>266</v>
      </c>
      <c r="R176" s="58" t="s">
        <v>806</v>
      </c>
      <c r="S176" s="59" t="s">
        <v>892</v>
      </c>
      <c r="T176" s="58" t="s">
        <v>723</v>
      </c>
      <c r="U176" s="59" t="s">
        <v>269</v>
      </c>
      <c r="V176" s="58" t="s">
        <v>171</v>
      </c>
      <c r="W176" s="59" t="s">
        <v>442</v>
      </c>
      <c r="X176" s="58" t="s">
        <v>882</v>
      </c>
      <c r="Y176" s="58"/>
      <c r="Z176" s="58"/>
      <c r="AA176" s="58"/>
      <c r="AB176" s="58"/>
      <c r="AC176" s="58" t="s">
        <v>96</v>
      </c>
      <c r="AD176" s="26" t="s">
        <v>97</v>
      </c>
      <c r="AE176" s="26" t="s">
        <v>494</v>
      </c>
      <c r="AF176" s="58" t="s">
        <v>667</v>
      </c>
    </row>
    <row r="177" spans="2:32" ht="14.4" hidden="1" x14ac:dyDescent="0.3">
      <c r="B177" s="16" t="s">
        <v>14</v>
      </c>
      <c r="C177" s="37" t="s">
        <v>195</v>
      </c>
      <c r="D177" s="235" t="s">
        <v>447</v>
      </c>
      <c r="E177" s="16" t="s">
        <v>891</v>
      </c>
      <c r="F177" s="55">
        <v>45789</v>
      </c>
      <c r="G177" s="26"/>
      <c r="H177" s="26"/>
      <c r="I177" s="56">
        <v>188535</v>
      </c>
      <c r="J177" s="26">
        <v>4</v>
      </c>
      <c r="K177" s="321">
        <f t="shared" si="3"/>
        <v>47133.75</v>
      </c>
      <c r="L177" s="57">
        <v>46143</v>
      </c>
      <c r="M177" s="57">
        <v>46507</v>
      </c>
      <c r="N177" s="58" t="s">
        <v>520</v>
      </c>
      <c r="O177" s="26" t="s">
        <v>6</v>
      </c>
      <c r="P177" s="26"/>
      <c r="Q177" s="58" t="s">
        <v>444</v>
      </c>
      <c r="R177" s="58"/>
      <c r="S177" s="58" t="s">
        <v>445</v>
      </c>
      <c r="T177" s="58"/>
      <c r="U177" s="57" t="s">
        <v>456</v>
      </c>
      <c r="V177" s="58"/>
      <c r="W177" s="58" t="s">
        <v>457</v>
      </c>
      <c r="X177" s="58"/>
      <c r="Y177" s="58"/>
      <c r="Z177" s="58"/>
      <c r="AA177" s="58"/>
      <c r="AB177" s="58"/>
      <c r="AC177" s="58"/>
      <c r="AD177" s="26"/>
      <c r="AE177" s="26"/>
      <c r="AF177" s="58"/>
    </row>
    <row r="178" spans="2:32" ht="14.4" hidden="1" x14ac:dyDescent="0.3">
      <c r="B178" s="16" t="s">
        <v>14</v>
      </c>
      <c r="C178" s="37" t="s">
        <v>195</v>
      </c>
      <c r="D178" s="235" t="s">
        <v>447</v>
      </c>
      <c r="E178" s="16" t="s">
        <v>891</v>
      </c>
      <c r="F178" s="55">
        <v>45789</v>
      </c>
      <c r="G178" s="26"/>
      <c r="H178" s="26"/>
      <c r="I178" s="56">
        <v>197955</v>
      </c>
      <c r="J178" s="26">
        <v>4</v>
      </c>
      <c r="K178" s="321">
        <f t="shared" si="3"/>
        <v>49488.75</v>
      </c>
      <c r="L178" s="57">
        <v>46508</v>
      </c>
      <c r="M178" s="57">
        <v>46873</v>
      </c>
      <c r="N178" s="58" t="s">
        <v>520</v>
      </c>
      <c r="O178" s="26" t="s">
        <v>6</v>
      </c>
      <c r="P178" s="26"/>
      <c r="Q178" s="58" t="s">
        <v>458</v>
      </c>
      <c r="R178" s="58"/>
      <c r="S178" s="58" t="s">
        <v>459</v>
      </c>
      <c r="T178" s="58"/>
      <c r="U178" s="58" t="s">
        <v>893</v>
      </c>
      <c r="V178" s="58"/>
      <c r="W178" s="58" t="s">
        <v>894</v>
      </c>
      <c r="X178" s="58"/>
      <c r="Y178" s="58"/>
      <c r="Z178" s="58"/>
      <c r="AA178" s="58"/>
      <c r="AB178" s="58"/>
      <c r="AC178" s="58"/>
      <c r="AD178" s="26"/>
      <c r="AE178" s="26"/>
      <c r="AF178" s="58"/>
    </row>
    <row r="179" spans="2:32" ht="14.4" x14ac:dyDescent="0.3">
      <c r="B179" s="16" t="s">
        <v>14</v>
      </c>
      <c r="C179" s="18" t="s">
        <v>895</v>
      </c>
      <c r="D179" s="225" t="s">
        <v>896</v>
      </c>
      <c r="E179" s="16" t="s">
        <v>897</v>
      </c>
      <c r="F179" s="55">
        <v>45789</v>
      </c>
      <c r="G179" s="26" t="s">
        <v>55</v>
      </c>
      <c r="H179" s="26">
        <v>1</v>
      </c>
      <c r="I179" s="56">
        <v>90000</v>
      </c>
      <c r="J179" s="26">
        <v>2</v>
      </c>
      <c r="K179" s="321">
        <f t="shared" si="3"/>
        <v>45000</v>
      </c>
      <c r="L179" s="57">
        <v>45748</v>
      </c>
      <c r="M179" s="57">
        <v>46112</v>
      </c>
      <c r="N179" s="58" t="s">
        <v>19</v>
      </c>
      <c r="O179" s="26" t="s">
        <v>3</v>
      </c>
      <c r="P179" s="26"/>
      <c r="Q179" s="59" t="s">
        <v>463</v>
      </c>
      <c r="R179" s="58" t="s">
        <v>898</v>
      </c>
      <c r="S179" s="59" t="s">
        <v>465</v>
      </c>
      <c r="T179" s="58" t="s">
        <v>899</v>
      </c>
      <c r="U179" s="58"/>
      <c r="V179" s="58"/>
      <c r="W179" s="58"/>
      <c r="X179" s="58"/>
      <c r="Y179" s="58"/>
      <c r="Z179" s="58"/>
      <c r="AA179" s="58"/>
      <c r="AB179" s="58"/>
      <c r="AC179" s="58" t="s">
        <v>96</v>
      </c>
      <c r="AD179" s="26" t="s">
        <v>97</v>
      </c>
      <c r="AE179" s="26">
        <v>3</v>
      </c>
      <c r="AF179" s="58" t="s">
        <v>774</v>
      </c>
    </row>
    <row r="180" spans="2:32" ht="14.4" x14ac:dyDescent="0.3">
      <c r="B180" s="16" t="s">
        <v>14</v>
      </c>
      <c r="C180" s="86" t="s">
        <v>775</v>
      </c>
      <c r="D180" s="124" t="s">
        <v>900</v>
      </c>
      <c r="E180" s="129">
        <v>2710000789</v>
      </c>
      <c r="F180" s="43">
        <v>45762</v>
      </c>
      <c r="G180" s="42" t="s">
        <v>55</v>
      </c>
      <c r="H180" s="42">
        <v>4</v>
      </c>
      <c r="I180" s="61">
        <v>320000</v>
      </c>
      <c r="J180" s="42">
        <v>3</v>
      </c>
      <c r="K180" s="321">
        <f t="shared" si="3"/>
        <v>106666.66666666667</v>
      </c>
      <c r="L180" s="62">
        <v>45748</v>
      </c>
      <c r="M180" s="62">
        <v>46112</v>
      </c>
      <c r="N180" s="63" t="s">
        <v>19</v>
      </c>
      <c r="O180" s="26" t="s">
        <v>3</v>
      </c>
      <c r="P180" s="42"/>
      <c r="Q180" s="64" t="s">
        <v>758</v>
      </c>
      <c r="R180" s="63" t="s">
        <v>504</v>
      </c>
      <c r="S180" s="64" t="s">
        <v>901</v>
      </c>
      <c r="T180" s="63" t="s">
        <v>902</v>
      </c>
      <c r="U180" s="64" t="s">
        <v>361</v>
      </c>
      <c r="V180" s="63" t="s">
        <v>903</v>
      </c>
      <c r="W180" s="63"/>
      <c r="X180" s="63"/>
      <c r="Y180" s="63"/>
      <c r="Z180" s="63"/>
      <c r="AA180" s="63"/>
      <c r="AB180" s="63"/>
      <c r="AC180" s="63" t="s">
        <v>551</v>
      </c>
      <c r="AD180" s="16" t="s">
        <v>207</v>
      </c>
      <c r="AE180" s="42">
        <v>3</v>
      </c>
      <c r="AF180" s="105" t="s">
        <v>904</v>
      </c>
    </row>
    <row r="181" spans="2:32" ht="14.4" x14ac:dyDescent="0.3">
      <c r="B181" s="16" t="s">
        <v>14</v>
      </c>
      <c r="C181" s="68" t="s">
        <v>905</v>
      </c>
      <c r="D181" s="132" t="s">
        <v>906</v>
      </c>
      <c r="E181" s="121">
        <v>1100033763</v>
      </c>
      <c r="F181" s="50" t="s">
        <v>907</v>
      </c>
      <c r="G181" s="42" t="s">
        <v>55</v>
      </c>
      <c r="H181" s="42">
        <v>4</v>
      </c>
      <c r="I181" s="61">
        <v>280000</v>
      </c>
      <c r="J181" s="42">
        <v>2</v>
      </c>
      <c r="K181" s="321">
        <f t="shared" si="3"/>
        <v>140000</v>
      </c>
      <c r="L181" s="62">
        <v>45809</v>
      </c>
      <c r="M181" s="62">
        <v>46173</v>
      </c>
      <c r="N181" s="63" t="s">
        <v>19</v>
      </c>
      <c r="O181" s="26" t="s">
        <v>6</v>
      </c>
      <c r="P181" s="42"/>
      <c r="Q181" s="64" t="s">
        <v>125</v>
      </c>
      <c r="R181" s="63" t="s">
        <v>908</v>
      </c>
      <c r="S181" s="64" t="s">
        <v>127</v>
      </c>
      <c r="T181" s="63" t="s">
        <v>909</v>
      </c>
      <c r="U181" s="63"/>
      <c r="V181" s="63"/>
      <c r="W181" s="63"/>
      <c r="X181" s="63"/>
      <c r="Y181" s="63"/>
      <c r="Z181" s="63"/>
      <c r="AA181" s="63"/>
      <c r="AB181" s="63"/>
      <c r="AC181" s="63" t="s">
        <v>551</v>
      </c>
      <c r="AD181" s="16" t="s">
        <v>207</v>
      </c>
      <c r="AE181" s="42">
        <v>3</v>
      </c>
      <c r="AF181" s="63" t="s">
        <v>667</v>
      </c>
    </row>
    <row r="182" spans="2:32" ht="14.4" x14ac:dyDescent="0.3">
      <c r="B182" s="16" t="s">
        <v>14</v>
      </c>
      <c r="C182" s="94" t="s">
        <v>628</v>
      </c>
      <c r="D182" s="247" t="s">
        <v>910</v>
      </c>
      <c r="E182" s="133" t="s">
        <v>911</v>
      </c>
      <c r="F182" s="60">
        <v>45792</v>
      </c>
      <c r="G182" s="42" t="s">
        <v>55</v>
      </c>
      <c r="H182" s="42">
        <v>3</v>
      </c>
      <c r="I182" s="61">
        <v>156000</v>
      </c>
      <c r="J182" s="42">
        <v>1</v>
      </c>
      <c r="K182" s="321">
        <f t="shared" si="3"/>
        <v>156000</v>
      </c>
      <c r="L182" s="62">
        <v>45748</v>
      </c>
      <c r="M182" s="62">
        <v>46112</v>
      </c>
      <c r="N182" s="63" t="s">
        <v>19</v>
      </c>
      <c r="O182" s="26" t="s">
        <v>3</v>
      </c>
      <c r="P182" s="42"/>
      <c r="Q182" s="64" t="s">
        <v>631</v>
      </c>
      <c r="R182" s="63" t="s">
        <v>909</v>
      </c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 t="s">
        <v>485</v>
      </c>
      <c r="AD182" s="16" t="s">
        <v>63</v>
      </c>
      <c r="AE182" s="42">
        <v>2</v>
      </c>
      <c r="AF182" s="63" t="s">
        <v>912</v>
      </c>
    </row>
    <row r="183" spans="2:32" ht="14.4" x14ac:dyDescent="0.3">
      <c r="B183" s="16" t="s">
        <v>14</v>
      </c>
      <c r="C183" s="94" t="s">
        <v>508</v>
      </c>
      <c r="D183" s="247" t="s">
        <v>866</v>
      </c>
      <c r="E183" s="134" t="s">
        <v>913</v>
      </c>
      <c r="F183" s="60">
        <v>45779</v>
      </c>
      <c r="G183" s="42" t="s">
        <v>55</v>
      </c>
      <c r="H183" s="42">
        <v>2</v>
      </c>
      <c r="I183" s="61">
        <v>178000</v>
      </c>
      <c r="J183" s="42">
        <v>3</v>
      </c>
      <c r="K183" s="321">
        <f t="shared" si="3"/>
        <v>59333.333333333336</v>
      </c>
      <c r="L183" s="62">
        <v>45792</v>
      </c>
      <c r="M183" s="62">
        <v>46156</v>
      </c>
      <c r="N183" s="63" t="s">
        <v>19</v>
      </c>
      <c r="O183" s="26" t="s">
        <v>6</v>
      </c>
      <c r="P183" s="42"/>
      <c r="Q183" s="64" t="s">
        <v>914</v>
      </c>
      <c r="R183" s="63" t="s">
        <v>915</v>
      </c>
      <c r="S183" s="64" t="s">
        <v>916</v>
      </c>
      <c r="T183" s="63" t="s">
        <v>917</v>
      </c>
      <c r="U183" s="64" t="s">
        <v>918</v>
      </c>
      <c r="V183" s="63" t="s">
        <v>919</v>
      </c>
      <c r="W183" s="63"/>
      <c r="X183" s="63"/>
      <c r="Y183" s="63"/>
      <c r="Z183" s="63"/>
      <c r="AA183" s="63"/>
      <c r="AB183" s="63"/>
      <c r="AC183" s="63" t="s">
        <v>96</v>
      </c>
      <c r="AD183" s="42" t="s">
        <v>97</v>
      </c>
      <c r="AE183" s="42" t="s">
        <v>494</v>
      </c>
      <c r="AF183" s="63" t="s">
        <v>920</v>
      </c>
    </row>
    <row r="184" spans="2:32" ht="14.4" x14ac:dyDescent="0.3">
      <c r="B184" s="16" t="s">
        <v>14</v>
      </c>
      <c r="C184" s="39" t="s">
        <v>921</v>
      </c>
      <c r="D184" s="248" t="s">
        <v>922</v>
      </c>
      <c r="E184" s="125">
        <v>4510868028</v>
      </c>
      <c r="F184" s="55">
        <v>45797</v>
      </c>
      <c r="G184" s="26" t="s">
        <v>55</v>
      </c>
      <c r="H184" s="26">
        <v>4</v>
      </c>
      <c r="I184" s="56">
        <v>340000</v>
      </c>
      <c r="J184" s="26">
        <v>3</v>
      </c>
      <c r="K184" s="321">
        <f t="shared" si="3"/>
        <v>113333.33333333333</v>
      </c>
      <c r="L184" s="57">
        <v>45778</v>
      </c>
      <c r="M184" s="57">
        <v>46142</v>
      </c>
      <c r="N184" s="58" t="s">
        <v>520</v>
      </c>
      <c r="O184" s="26" t="s">
        <v>6</v>
      </c>
      <c r="P184" s="26" t="s">
        <v>1</v>
      </c>
      <c r="Q184" s="59" t="s">
        <v>343</v>
      </c>
      <c r="R184" s="58" t="s">
        <v>923</v>
      </c>
      <c r="S184" s="59" t="s">
        <v>345</v>
      </c>
      <c r="T184" s="58" t="s">
        <v>687</v>
      </c>
      <c r="U184" s="59" t="s">
        <v>347</v>
      </c>
      <c r="V184" s="58" t="s">
        <v>924</v>
      </c>
      <c r="W184" s="58"/>
      <c r="X184" s="58"/>
      <c r="Y184" s="58"/>
      <c r="Z184" s="58"/>
      <c r="AA184" s="58"/>
      <c r="AB184" s="58"/>
      <c r="AC184" s="58" t="s">
        <v>507</v>
      </c>
      <c r="AD184" s="16" t="s">
        <v>63</v>
      </c>
      <c r="AE184" s="26">
        <v>3</v>
      </c>
      <c r="AF184" s="58" t="s">
        <v>925</v>
      </c>
    </row>
    <row r="185" spans="2:32" ht="14.4" hidden="1" x14ac:dyDescent="0.3">
      <c r="B185" s="16" t="s">
        <v>14</v>
      </c>
      <c r="C185" s="68" t="s">
        <v>921</v>
      </c>
      <c r="D185" s="249" t="s">
        <v>922</v>
      </c>
      <c r="E185" s="121">
        <v>4510868028</v>
      </c>
      <c r="F185" s="43">
        <v>45797</v>
      </c>
      <c r="G185" s="42" t="s">
        <v>55</v>
      </c>
      <c r="H185" s="42"/>
      <c r="I185" s="61">
        <v>340000</v>
      </c>
      <c r="J185" s="42">
        <v>3</v>
      </c>
      <c r="K185" s="321">
        <f t="shared" si="3"/>
        <v>113333.33333333333</v>
      </c>
      <c r="L185" s="62">
        <v>46143</v>
      </c>
      <c r="M185" s="62">
        <v>46507</v>
      </c>
      <c r="N185" s="63" t="s">
        <v>520</v>
      </c>
      <c r="O185" s="26" t="s">
        <v>6</v>
      </c>
      <c r="P185" s="42" t="s">
        <v>1</v>
      </c>
      <c r="Q185" s="63" t="s">
        <v>348</v>
      </c>
      <c r="R185" s="63"/>
      <c r="S185" s="63" t="s">
        <v>349</v>
      </c>
      <c r="T185" s="63"/>
      <c r="U185" s="63" t="s">
        <v>738</v>
      </c>
      <c r="V185" s="63"/>
      <c r="W185" s="63"/>
      <c r="X185" s="63"/>
      <c r="Y185" s="63"/>
      <c r="Z185" s="63"/>
      <c r="AA185" s="63"/>
      <c r="AB185" s="63"/>
      <c r="AC185" s="63" t="s">
        <v>507</v>
      </c>
      <c r="AD185" s="16" t="s">
        <v>63</v>
      </c>
      <c r="AE185" s="42">
        <v>3</v>
      </c>
      <c r="AF185" s="63"/>
    </row>
    <row r="186" spans="2:32" ht="14.4" x14ac:dyDescent="0.3">
      <c r="B186" s="16" t="s">
        <v>14</v>
      </c>
      <c r="C186" s="68" t="s">
        <v>926</v>
      </c>
      <c r="D186" s="135" t="s">
        <v>151</v>
      </c>
      <c r="E186" s="42" t="s">
        <v>927</v>
      </c>
      <c r="F186" s="43">
        <v>45798</v>
      </c>
      <c r="G186" s="42" t="s">
        <v>55</v>
      </c>
      <c r="H186" s="42">
        <v>1</v>
      </c>
      <c r="I186" s="61">
        <v>78000</v>
      </c>
      <c r="J186" s="42">
        <v>3</v>
      </c>
      <c r="K186" s="321">
        <f t="shared" si="3"/>
        <v>26000</v>
      </c>
      <c r="L186" s="62">
        <v>45809</v>
      </c>
      <c r="M186" s="62">
        <v>46173</v>
      </c>
      <c r="N186" s="63" t="s">
        <v>19</v>
      </c>
      <c r="O186" s="26" t="s">
        <v>6</v>
      </c>
      <c r="P186" s="42"/>
      <c r="Q186" s="64" t="s">
        <v>81</v>
      </c>
      <c r="R186" s="63" t="s">
        <v>928</v>
      </c>
      <c r="S186" s="64" t="s">
        <v>83</v>
      </c>
      <c r="T186" s="63" t="s">
        <v>929</v>
      </c>
      <c r="U186" s="64" t="s">
        <v>404</v>
      </c>
      <c r="V186" s="63" t="s">
        <v>930</v>
      </c>
      <c r="W186" s="63"/>
      <c r="X186" s="63"/>
      <c r="Y186" s="63"/>
      <c r="Z186" s="63"/>
      <c r="AA186" s="63"/>
      <c r="AB186" s="63"/>
      <c r="AC186" s="63" t="s">
        <v>507</v>
      </c>
      <c r="AD186" s="16" t="s">
        <v>63</v>
      </c>
      <c r="AE186" s="42">
        <v>3</v>
      </c>
      <c r="AF186" s="63" t="s">
        <v>931</v>
      </c>
    </row>
    <row r="187" spans="2:32" ht="14.4" x14ac:dyDescent="0.3">
      <c r="B187" s="16" t="s">
        <v>14</v>
      </c>
      <c r="C187" s="68" t="s">
        <v>926</v>
      </c>
      <c r="D187" s="135" t="s">
        <v>932</v>
      </c>
      <c r="E187" s="84" t="s">
        <v>933</v>
      </c>
      <c r="F187" s="43">
        <v>45798</v>
      </c>
      <c r="G187" s="42" t="s">
        <v>55</v>
      </c>
      <c r="H187" s="42">
        <v>1</v>
      </c>
      <c r="I187" s="61">
        <v>78000</v>
      </c>
      <c r="J187" s="42">
        <v>3</v>
      </c>
      <c r="K187" s="321">
        <f t="shared" si="3"/>
        <v>26000</v>
      </c>
      <c r="L187" s="62">
        <v>45748</v>
      </c>
      <c r="M187" s="62">
        <v>46112</v>
      </c>
      <c r="N187" s="63" t="s">
        <v>19</v>
      </c>
      <c r="O187" s="26" t="s">
        <v>3</v>
      </c>
      <c r="P187" s="42"/>
      <c r="Q187" s="64" t="s">
        <v>357</v>
      </c>
      <c r="R187" s="63" t="s">
        <v>934</v>
      </c>
      <c r="S187" s="64" t="s">
        <v>665</v>
      </c>
      <c r="T187" s="63" t="s">
        <v>929</v>
      </c>
      <c r="U187" s="64" t="s">
        <v>361</v>
      </c>
      <c r="V187" s="63" t="s">
        <v>732</v>
      </c>
      <c r="W187" s="63"/>
      <c r="X187" s="63"/>
      <c r="Y187" s="63"/>
      <c r="Z187" s="63"/>
      <c r="AA187" s="63"/>
      <c r="AB187" s="63"/>
      <c r="AC187" s="63" t="s">
        <v>507</v>
      </c>
      <c r="AD187" s="16" t="s">
        <v>63</v>
      </c>
      <c r="AE187" s="42">
        <v>3</v>
      </c>
      <c r="AF187" s="63" t="s">
        <v>931</v>
      </c>
    </row>
    <row r="188" spans="2:32" ht="14.4" x14ac:dyDescent="0.3">
      <c r="B188" s="16" t="s">
        <v>14</v>
      </c>
      <c r="C188" s="94" t="s">
        <v>935</v>
      </c>
      <c r="D188" s="247" t="s">
        <v>176</v>
      </c>
      <c r="E188" s="133" t="s">
        <v>936</v>
      </c>
      <c r="F188" s="60">
        <v>45794</v>
      </c>
      <c r="G188" s="42" t="s">
        <v>55</v>
      </c>
      <c r="H188" s="42">
        <v>1</v>
      </c>
      <c r="I188" s="61">
        <v>94500</v>
      </c>
      <c r="J188" s="42">
        <v>2</v>
      </c>
      <c r="K188" s="321">
        <f t="shared" si="3"/>
        <v>47250</v>
      </c>
      <c r="L188" s="62">
        <v>45753</v>
      </c>
      <c r="M188" s="62">
        <v>46117</v>
      </c>
      <c r="N188" s="63" t="s">
        <v>19</v>
      </c>
      <c r="O188" s="26" t="s">
        <v>5</v>
      </c>
      <c r="P188" s="42" t="s">
        <v>1</v>
      </c>
      <c r="Q188" s="64" t="s">
        <v>937</v>
      </c>
      <c r="R188" s="63" t="s">
        <v>807</v>
      </c>
      <c r="S188" s="64" t="s">
        <v>938</v>
      </c>
      <c r="T188" s="63" t="s">
        <v>939</v>
      </c>
      <c r="U188" s="63"/>
      <c r="V188" s="63"/>
      <c r="W188" s="63"/>
      <c r="X188" s="63"/>
      <c r="Y188" s="63"/>
      <c r="Z188" s="63"/>
      <c r="AA188" s="63"/>
      <c r="AB188" s="63"/>
      <c r="AC188" s="63" t="s">
        <v>183</v>
      </c>
      <c r="AD188" s="42" t="s">
        <v>97</v>
      </c>
      <c r="AE188" s="42">
        <v>2</v>
      </c>
      <c r="AF188" s="63" t="s">
        <v>861</v>
      </c>
    </row>
    <row r="189" spans="2:32" ht="14.4" x14ac:dyDescent="0.3">
      <c r="B189" s="16" t="s">
        <v>14</v>
      </c>
      <c r="C189" s="68" t="s">
        <v>130</v>
      </c>
      <c r="D189" s="132" t="s">
        <v>940</v>
      </c>
      <c r="E189" s="84">
        <v>6800046962</v>
      </c>
      <c r="F189" s="43">
        <v>45786</v>
      </c>
      <c r="G189" s="42" t="s">
        <v>55</v>
      </c>
      <c r="H189" s="42">
        <v>1</v>
      </c>
      <c r="I189" s="61">
        <v>85000</v>
      </c>
      <c r="J189" s="42">
        <v>3</v>
      </c>
      <c r="K189" s="321">
        <f t="shared" si="3"/>
        <v>28333.333333333332</v>
      </c>
      <c r="L189" s="62">
        <v>45753</v>
      </c>
      <c r="M189" s="62">
        <v>46117</v>
      </c>
      <c r="N189" s="63" t="s">
        <v>19</v>
      </c>
      <c r="O189" s="26" t="s">
        <v>5</v>
      </c>
      <c r="P189" s="42" t="s">
        <v>1</v>
      </c>
      <c r="Q189" s="64" t="s">
        <v>941</v>
      </c>
      <c r="R189" s="63" t="s">
        <v>942</v>
      </c>
      <c r="S189" s="64" t="s">
        <v>943</v>
      </c>
      <c r="T189" s="63" t="s">
        <v>944</v>
      </c>
      <c r="U189" s="64" t="s">
        <v>945</v>
      </c>
      <c r="V189" s="63" t="s">
        <v>946</v>
      </c>
      <c r="W189" s="63"/>
      <c r="X189" s="63"/>
      <c r="Y189" s="63"/>
      <c r="Z189" s="63"/>
      <c r="AA189" s="63"/>
      <c r="AB189" s="63"/>
      <c r="AC189" s="63" t="s">
        <v>183</v>
      </c>
      <c r="AD189" s="42" t="s">
        <v>97</v>
      </c>
      <c r="AE189" s="42">
        <v>2</v>
      </c>
      <c r="AF189" s="63" t="s">
        <v>947</v>
      </c>
    </row>
    <row r="190" spans="2:32" ht="14.4" x14ac:dyDescent="0.3">
      <c r="B190" s="16" t="s">
        <v>14</v>
      </c>
      <c r="C190" s="68" t="s">
        <v>130</v>
      </c>
      <c r="D190" s="132" t="s">
        <v>940</v>
      </c>
      <c r="E190" s="84">
        <v>6800046959</v>
      </c>
      <c r="F190" s="43"/>
      <c r="G190" s="42" t="s">
        <v>55</v>
      </c>
      <c r="H190" s="42">
        <v>5</v>
      </c>
      <c r="I190" s="61">
        <v>425000</v>
      </c>
      <c r="J190" s="42">
        <v>3</v>
      </c>
      <c r="K190" s="321">
        <f t="shared" si="3"/>
        <v>141666.66666666666</v>
      </c>
      <c r="L190" s="62">
        <v>45753</v>
      </c>
      <c r="M190" s="62">
        <v>46117</v>
      </c>
      <c r="N190" s="63" t="s">
        <v>19</v>
      </c>
      <c r="O190" s="26" t="s">
        <v>5</v>
      </c>
      <c r="P190" s="42" t="s">
        <v>1</v>
      </c>
      <c r="Q190" s="64" t="s">
        <v>941</v>
      </c>
      <c r="R190" s="63" t="s">
        <v>942</v>
      </c>
      <c r="S190" s="64" t="s">
        <v>943</v>
      </c>
      <c r="T190" s="63" t="s">
        <v>944</v>
      </c>
      <c r="U190" s="64" t="s">
        <v>945</v>
      </c>
      <c r="V190" s="63" t="s">
        <v>946</v>
      </c>
      <c r="W190" s="63"/>
      <c r="X190" s="63"/>
      <c r="Y190" s="63"/>
      <c r="Z190" s="63"/>
      <c r="AA190" s="63"/>
      <c r="AB190" s="63"/>
      <c r="AC190" s="63" t="s">
        <v>183</v>
      </c>
      <c r="AD190" s="42" t="s">
        <v>97</v>
      </c>
      <c r="AE190" s="42">
        <v>2</v>
      </c>
      <c r="AF190" s="63" t="s">
        <v>947</v>
      </c>
    </row>
    <row r="191" spans="2:32" ht="14.4" x14ac:dyDescent="0.3">
      <c r="B191" s="16" t="s">
        <v>14</v>
      </c>
      <c r="C191" s="68" t="s">
        <v>948</v>
      </c>
      <c r="D191" s="132" t="s">
        <v>949</v>
      </c>
      <c r="E191" s="42">
        <v>916184</v>
      </c>
      <c r="F191" s="43">
        <v>45722</v>
      </c>
      <c r="G191" s="42" t="s">
        <v>55</v>
      </c>
      <c r="H191" s="42">
        <v>4</v>
      </c>
      <c r="I191" s="61">
        <v>297920</v>
      </c>
      <c r="J191" s="42">
        <v>4</v>
      </c>
      <c r="K191" s="321">
        <f t="shared" si="3"/>
        <v>74480</v>
      </c>
      <c r="L191" s="62">
        <v>45778</v>
      </c>
      <c r="M191" s="62">
        <v>46142</v>
      </c>
      <c r="N191" s="63" t="s">
        <v>19</v>
      </c>
      <c r="O191" s="26" t="s">
        <v>5</v>
      </c>
      <c r="P191" s="42"/>
      <c r="Q191" s="64" t="s">
        <v>266</v>
      </c>
      <c r="R191" s="63" t="s">
        <v>676</v>
      </c>
      <c r="S191" s="64" t="s">
        <v>267</v>
      </c>
      <c r="T191" s="63" t="s">
        <v>492</v>
      </c>
      <c r="U191" s="64" t="s">
        <v>269</v>
      </c>
      <c r="V191" s="63" t="s">
        <v>709</v>
      </c>
      <c r="W191" s="64" t="s">
        <v>442</v>
      </c>
      <c r="X191" s="63" t="s">
        <v>820</v>
      </c>
      <c r="Y191" s="63"/>
      <c r="Z191" s="63"/>
      <c r="AA191" s="63"/>
      <c r="AB191" s="63"/>
      <c r="AC191" s="63" t="s">
        <v>551</v>
      </c>
      <c r="AD191" s="16" t="s">
        <v>207</v>
      </c>
      <c r="AE191" s="42">
        <v>3</v>
      </c>
      <c r="AF191" s="63" t="s">
        <v>736</v>
      </c>
    </row>
    <row r="192" spans="2:32" ht="14.4" x14ac:dyDescent="0.3">
      <c r="B192" s="16" t="s">
        <v>14</v>
      </c>
      <c r="C192" s="68" t="s">
        <v>663</v>
      </c>
      <c r="D192" s="250" t="s">
        <v>950</v>
      </c>
      <c r="E192" s="42">
        <v>4507494931</v>
      </c>
      <c r="F192" s="136">
        <v>45771</v>
      </c>
      <c r="G192" s="42" t="s">
        <v>55</v>
      </c>
      <c r="H192" s="42">
        <v>6</v>
      </c>
      <c r="I192" s="61">
        <v>371999.98</v>
      </c>
      <c r="J192" s="42">
        <v>3</v>
      </c>
      <c r="K192" s="321">
        <f t="shared" si="3"/>
        <v>123999.99333333333</v>
      </c>
      <c r="L192" s="62">
        <v>45748</v>
      </c>
      <c r="M192" s="62">
        <v>46112</v>
      </c>
      <c r="N192" s="63" t="s">
        <v>19</v>
      </c>
      <c r="O192" s="26" t="s">
        <v>3</v>
      </c>
      <c r="P192" s="42"/>
      <c r="Q192" s="64" t="s">
        <v>357</v>
      </c>
      <c r="R192" s="63" t="s">
        <v>951</v>
      </c>
      <c r="S192" s="64" t="s">
        <v>665</v>
      </c>
      <c r="T192" s="63" t="s">
        <v>707</v>
      </c>
      <c r="U192" s="64" t="s">
        <v>361</v>
      </c>
      <c r="V192" s="63" t="s">
        <v>952</v>
      </c>
      <c r="W192" s="63"/>
      <c r="X192" s="63"/>
      <c r="Y192" s="63"/>
      <c r="Z192" s="63"/>
      <c r="AA192" s="63"/>
      <c r="AB192" s="63"/>
      <c r="AC192" s="63" t="s">
        <v>478</v>
      </c>
      <c r="AD192" s="16" t="s">
        <v>63</v>
      </c>
      <c r="AE192" s="42">
        <v>3</v>
      </c>
      <c r="AF192" s="137" t="s">
        <v>953</v>
      </c>
    </row>
    <row r="193" spans="2:32" ht="14.4" x14ac:dyDescent="0.3">
      <c r="B193" s="16" t="s">
        <v>14</v>
      </c>
      <c r="C193" s="68" t="s">
        <v>954</v>
      </c>
      <c r="D193" s="132" t="s">
        <v>151</v>
      </c>
      <c r="E193" s="42">
        <v>4601450532</v>
      </c>
      <c r="F193" s="43">
        <v>45796</v>
      </c>
      <c r="G193" s="42" t="s">
        <v>55</v>
      </c>
      <c r="H193" s="42">
        <v>1</v>
      </c>
      <c r="I193" s="61">
        <v>75000</v>
      </c>
      <c r="J193" s="42">
        <v>3</v>
      </c>
      <c r="K193" s="321">
        <f t="shared" si="3"/>
        <v>25000</v>
      </c>
      <c r="L193" s="62">
        <v>45748</v>
      </c>
      <c r="M193" s="62">
        <v>46112</v>
      </c>
      <c r="N193" s="63" t="s">
        <v>19</v>
      </c>
      <c r="O193" s="26" t="s">
        <v>3</v>
      </c>
      <c r="P193" s="42"/>
      <c r="Q193" s="64" t="s">
        <v>357</v>
      </c>
      <c r="R193" s="63" t="s">
        <v>955</v>
      </c>
      <c r="S193" s="64" t="s">
        <v>665</v>
      </c>
      <c r="T193" s="63" t="s">
        <v>956</v>
      </c>
      <c r="U193" s="64" t="s">
        <v>361</v>
      </c>
      <c r="V193" s="63" t="s">
        <v>957</v>
      </c>
      <c r="W193" s="63"/>
      <c r="X193" s="63"/>
      <c r="Y193" s="63"/>
      <c r="Z193" s="63"/>
      <c r="AA193" s="63"/>
      <c r="AB193" s="63"/>
      <c r="AC193" s="63" t="s">
        <v>478</v>
      </c>
      <c r="AD193" s="16" t="s">
        <v>63</v>
      </c>
      <c r="AE193" s="42">
        <v>3</v>
      </c>
      <c r="AF193" s="63" t="s">
        <v>736</v>
      </c>
    </row>
    <row r="194" spans="2:32" ht="14.4" x14ac:dyDescent="0.3">
      <c r="B194" s="16" t="s">
        <v>14</v>
      </c>
      <c r="C194" s="68" t="s">
        <v>905</v>
      </c>
      <c r="D194" s="132" t="s">
        <v>801</v>
      </c>
      <c r="E194" s="42">
        <v>1100033993</v>
      </c>
      <c r="F194" s="43">
        <v>45780</v>
      </c>
      <c r="G194" s="42" t="s">
        <v>55</v>
      </c>
      <c r="H194" s="42">
        <v>1</v>
      </c>
      <c r="I194" s="61">
        <v>75000</v>
      </c>
      <c r="J194" s="42">
        <v>2</v>
      </c>
      <c r="K194" s="321">
        <f t="shared" si="3"/>
        <v>37500</v>
      </c>
      <c r="L194" s="62">
        <v>45778</v>
      </c>
      <c r="M194" s="62">
        <v>46142</v>
      </c>
      <c r="N194" s="63" t="s">
        <v>19</v>
      </c>
      <c r="O194" s="26" t="s">
        <v>5</v>
      </c>
      <c r="P194" s="42"/>
      <c r="Q194" s="64" t="s">
        <v>328</v>
      </c>
      <c r="R194" s="63" t="s">
        <v>958</v>
      </c>
      <c r="S194" s="64" t="s">
        <v>330</v>
      </c>
      <c r="T194" s="63" t="s">
        <v>173</v>
      </c>
      <c r="U194" s="63"/>
      <c r="V194" s="63"/>
      <c r="W194" s="63"/>
      <c r="X194" s="63"/>
      <c r="Y194" s="63"/>
      <c r="Z194" s="63"/>
      <c r="AA194" s="63"/>
      <c r="AB194" s="63"/>
      <c r="AC194" s="63" t="s">
        <v>485</v>
      </c>
      <c r="AD194" s="16" t="s">
        <v>63</v>
      </c>
      <c r="AE194" s="42">
        <v>3</v>
      </c>
      <c r="AF194" s="63" t="s">
        <v>736</v>
      </c>
    </row>
    <row r="195" spans="2:32" ht="14.4" x14ac:dyDescent="0.3">
      <c r="B195" s="16" t="s">
        <v>14</v>
      </c>
      <c r="C195" s="117" t="s">
        <v>959</v>
      </c>
      <c r="D195" s="248" t="s">
        <v>151</v>
      </c>
      <c r="E195" s="50">
        <v>4521013686</v>
      </c>
      <c r="F195" s="55">
        <v>45801</v>
      </c>
      <c r="G195" s="26" t="s">
        <v>55</v>
      </c>
      <c r="H195" s="26">
        <v>1</v>
      </c>
      <c r="I195" s="56">
        <v>70000</v>
      </c>
      <c r="J195" s="26">
        <v>3</v>
      </c>
      <c r="K195" s="325">
        <f t="shared" si="3"/>
        <v>23333.333333333332</v>
      </c>
      <c r="L195" s="57">
        <v>45801</v>
      </c>
      <c r="M195" s="57">
        <v>46165</v>
      </c>
      <c r="N195" s="58" t="s">
        <v>520</v>
      </c>
      <c r="O195" s="26" t="s">
        <v>6</v>
      </c>
      <c r="P195" s="26"/>
      <c r="Q195" s="59" t="s">
        <v>960</v>
      </c>
      <c r="R195" s="58" t="s">
        <v>961</v>
      </c>
      <c r="S195" s="59" t="s">
        <v>962</v>
      </c>
      <c r="T195" s="58" t="s">
        <v>606</v>
      </c>
      <c r="U195" s="58" t="s">
        <v>963</v>
      </c>
      <c r="V195" s="58"/>
      <c r="W195" s="58"/>
      <c r="X195" s="58"/>
      <c r="Y195" s="58"/>
      <c r="Z195" s="58"/>
      <c r="AA195" s="58"/>
      <c r="AB195" s="58"/>
      <c r="AC195" s="58" t="s">
        <v>964</v>
      </c>
      <c r="AD195" s="16" t="s">
        <v>63</v>
      </c>
      <c r="AE195" s="26">
        <v>3</v>
      </c>
      <c r="AF195" s="58" t="s">
        <v>736</v>
      </c>
    </row>
    <row r="196" spans="2:32" ht="14.4" x14ac:dyDescent="0.3">
      <c r="B196" s="16" t="s">
        <v>14</v>
      </c>
      <c r="C196" s="138" t="s">
        <v>965</v>
      </c>
      <c r="D196" s="251" t="s">
        <v>447</v>
      </c>
      <c r="E196" s="139">
        <v>5400057119</v>
      </c>
      <c r="F196" s="140">
        <v>45801</v>
      </c>
      <c r="G196" s="88" t="s">
        <v>55</v>
      </c>
      <c r="H196" s="88">
        <v>1</v>
      </c>
      <c r="I196" s="89">
        <v>107040</v>
      </c>
      <c r="J196" s="88">
        <v>4</v>
      </c>
      <c r="K196" s="321">
        <f t="shared" si="3"/>
        <v>26760</v>
      </c>
      <c r="L196" s="90">
        <v>45748</v>
      </c>
      <c r="M196" s="90">
        <v>46112</v>
      </c>
      <c r="N196" s="92" t="s">
        <v>19</v>
      </c>
      <c r="O196" s="26" t="s">
        <v>3</v>
      </c>
      <c r="P196" s="88"/>
      <c r="Q196" s="91" t="s">
        <v>391</v>
      </c>
      <c r="R196" s="92" t="s">
        <v>722</v>
      </c>
      <c r="S196" s="91" t="s">
        <v>168</v>
      </c>
      <c r="T196" s="92" t="s">
        <v>966</v>
      </c>
      <c r="U196" s="91" t="s">
        <v>228</v>
      </c>
      <c r="V196" s="92" t="s">
        <v>967</v>
      </c>
      <c r="W196" s="91" t="s">
        <v>396</v>
      </c>
      <c r="X196" s="92" t="s">
        <v>526</v>
      </c>
      <c r="Y196" s="92"/>
      <c r="Z196" s="92"/>
      <c r="AA196" s="92"/>
      <c r="AB196" s="92"/>
      <c r="AC196" s="92" t="s">
        <v>96</v>
      </c>
      <c r="AD196" s="88" t="s">
        <v>968</v>
      </c>
      <c r="AE196" s="88" t="s">
        <v>494</v>
      </c>
      <c r="AF196" s="138" t="s">
        <v>969</v>
      </c>
    </row>
    <row r="197" spans="2:32" ht="14.4" x14ac:dyDescent="0.3">
      <c r="B197" s="16" t="s">
        <v>14</v>
      </c>
      <c r="C197" s="94" t="s">
        <v>614</v>
      </c>
      <c r="D197" s="252" t="s">
        <v>970</v>
      </c>
      <c r="E197" s="104">
        <v>4500049503</v>
      </c>
      <c r="F197" s="141">
        <v>45796</v>
      </c>
      <c r="G197" s="42" t="s">
        <v>55</v>
      </c>
      <c r="H197" s="42">
        <v>2</v>
      </c>
      <c r="I197" s="61">
        <v>152880</v>
      </c>
      <c r="J197" s="42">
        <v>3</v>
      </c>
      <c r="K197" s="321">
        <f t="shared" si="3"/>
        <v>50960</v>
      </c>
      <c r="L197" s="62">
        <v>45797</v>
      </c>
      <c r="M197" s="62">
        <v>46161</v>
      </c>
      <c r="N197" s="63" t="s">
        <v>19</v>
      </c>
      <c r="O197" s="26" t="s">
        <v>6</v>
      </c>
      <c r="P197" s="42"/>
      <c r="Q197" s="64" t="s">
        <v>971</v>
      </c>
      <c r="R197" s="63" t="s">
        <v>439</v>
      </c>
      <c r="S197" s="64" t="s">
        <v>972</v>
      </c>
      <c r="T197" s="63" t="s">
        <v>673</v>
      </c>
      <c r="U197" s="64" t="s">
        <v>973</v>
      </c>
      <c r="V197" s="63" t="s">
        <v>782</v>
      </c>
      <c r="W197" s="63"/>
      <c r="X197" s="63"/>
      <c r="Y197" s="63"/>
      <c r="Z197" s="63"/>
      <c r="AA197" s="63"/>
      <c r="AB197" s="63"/>
      <c r="AC197" s="63" t="s">
        <v>281</v>
      </c>
      <c r="AD197" s="42" t="s">
        <v>97</v>
      </c>
      <c r="AE197" s="42">
        <v>3</v>
      </c>
      <c r="AF197" s="63" t="s">
        <v>974</v>
      </c>
    </row>
    <row r="198" spans="2:32" ht="14.4" x14ac:dyDescent="0.3">
      <c r="B198" s="16" t="s">
        <v>14</v>
      </c>
      <c r="C198" s="68" t="s">
        <v>975</v>
      </c>
      <c r="D198" s="249" t="s">
        <v>976</v>
      </c>
      <c r="E198" s="42">
        <v>6100008808</v>
      </c>
      <c r="F198" s="43">
        <v>45799</v>
      </c>
      <c r="G198" s="42" t="s">
        <v>55</v>
      </c>
      <c r="H198" s="42">
        <v>3</v>
      </c>
      <c r="I198" s="61">
        <v>360000</v>
      </c>
      <c r="J198" s="42">
        <v>3</v>
      </c>
      <c r="K198" s="321">
        <f t="shared" si="3"/>
        <v>120000</v>
      </c>
      <c r="L198" s="62">
        <v>45709</v>
      </c>
      <c r="M198" s="62">
        <v>46073</v>
      </c>
      <c r="N198" s="63" t="s">
        <v>19</v>
      </c>
      <c r="O198" s="26" t="s">
        <v>2</v>
      </c>
      <c r="P198" s="42"/>
      <c r="Q198" s="64" t="s">
        <v>977</v>
      </c>
      <c r="R198" s="63" t="s">
        <v>722</v>
      </c>
      <c r="S198" s="64" t="s">
        <v>978</v>
      </c>
      <c r="T198" s="63" t="s">
        <v>791</v>
      </c>
      <c r="U198" s="64" t="s">
        <v>979</v>
      </c>
      <c r="V198" s="63" t="s">
        <v>980</v>
      </c>
      <c r="W198" s="63"/>
      <c r="X198" s="63"/>
      <c r="Y198" s="63"/>
      <c r="Z198" s="63"/>
      <c r="AA198" s="63"/>
      <c r="AB198" s="63"/>
      <c r="AC198" s="63" t="s">
        <v>551</v>
      </c>
      <c r="AD198" s="16" t="s">
        <v>207</v>
      </c>
      <c r="AE198" s="42">
        <v>3</v>
      </c>
      <c r="AF198" s="142" t="s">
        <v>981</v>
      </c>
    </row>
    <row r="199" spans="2:32" ht="14.4" x14ac:dyDescent="0.3">
      <c r="B199" s="16" t="s">
        <v>14</v>
      </c>
      <c r="C199" s="68" t="s">
        <v>982</v>
      </c>
      <c r="D199" s="253" t="s">
        <v>801</v>
      </c>
      <c r="E199" s="42" t="s">
        <v>983</v>
      </c>
      <c r="F199" s="136">
        <v>45761</v>
      </c>
      <c r="G199" s="42" t="s">
        <v>55</v>
      </c>
      <c r="H199" s="42">
        <v>1</v>
      </c>
      <c r="I199" s="61">
        <v>90000</v>
      </c>
      <c r="J199" s="42">
        <v>2</v>
      </c>
      <c r="K199" s="321">
        <f t="shared" si="3"/>
        <v>45000</v>
      </c>
      <c r="L199" s="62">
        <v>45809</v>
      </c>
      <c r="M199" s="62">
        <v>46173</v>
      </c>
      <c r="N199" s="83" t="s">
        <v>19</v>
      </c>
      <c r="O199" s="26" t="s">
        <v>6</v>
      </c>
      <c r="P199" s="66"/>
      <c r="Q199" s="64" t="s">
        <v>125</v>
      </c>
      <c r="R199" s="63" t="s">
        <v>423</v>
      </c>
      <c r="S199" s="64" t="s">
        <v>127</v>
      </c>
      <c r="T199" s="63" t="s">
        <v>712</v>
      </c>
      <c r="U199" s="63"/>
      <c r="V199" s="63"/>
      <c r="W199" s="63"/>
      <c r="X199" s="63"/>
      <c r="Y199" s="63"/>
      <c r="Z199" s="63"/>
      <c r="AA199" s="63"/>
      <c r="AB199" s="63"/>
      <c r="AC199" s="63" t="s">
        <v>485</v>
      </c>
      <c r="AD199" s="16" t="s">
        <v>63</v>
      </c>
      <c r="AE199" s="42">
        <v>2</v>
      </c>
      <c r="AF199" s="63" t="s">
        <v>667</v>
      </c>
    </row>
    <row r="200" spans="2:32" ht="14.4" x14ac:dyDescent="0.3">
      <c r="B200" s="16" t="s">
        <v>14</v>
      </c>
      <c r="C200" s="94" t="s">
        <v>727</v>
      </c>
      <c r="D200" s="247" t="s">
        <v>984</v>
      </c>
      <c r="E200" s="133">
        <v>4100031856</v>
      </c>
      <c r="F200" s="43">
        <v>45804</v>
      </c>
      <c r="G200" s="42" t="s">
        <v>55</v>
      </c>
      <c r="H200" s="42">
        <v>4</v>
      </c>
      <c r="I200" s="61">
        <v>608328</v>
      </c>
      <c r="J200" s="42">
        <v>3</v>
      </c>
      <c r="K200" s="321"/>
      <c r="L200" s="62">
        <v>45809</v>
      </c>
      <c r="M200" s="62">
        <v>46173</v>
      </c>
      <c r="N200" s="63" t="s">
        <v>19</v>
      </c>
      <c r="O200" s="26" t="s">
        <v>6</v>
      </c>
      <c r="P200" s="42"/>
      <c r="Q200" s="64" t="s">
        <v>81</v>
      </c>
      <c r="R200" s="63" t="s">
        <v>637</v>
      </c>
      <c r="S200" s="64" t="s">
        <v>83</v>
      </c>
      <c r="T200" s="63" t="s">
        <v>985</v>
      </c>
      <c r="U200" s="64" t="s">
        <v>887</v>
      </c>
      <c r="V200" s="63" t="s">
        <v>986</v>
      </c>
      <c r="W200" s="63"/>
      <c r="X200" s="63"/>
      <c r="Y200" s="63"/>
      <c r="Z200" s="63"/>
      <c r="AA200" s="63"/>
      <c r="AB200" s="63"/>
      <c r="AC200" s="63" t="s">
        <v>281</v>
      </c>
      <c r="AD200" s="42" t="s">
        <v>97</v>
      </c>
      <c r="AE200" s="42">
        <v>3</v>
      </c>
      <c r="AF200" s="63" t="s">
        <v>774</v>
      </c>
    </row>
    <row r="201" spans="2:32" ht="14.4" x14ac:dyDescent="0.3">
      <c r="B201" s="16" t="s">
        <v>14</v>
      </c>
      <c r="C201" s="214" t="s">
        <v>948</v>
      </c>
      <c r="D201" s="254" t="s">
        <v>987</v>
      </c>
      <c r="E201" s="127">
        <v>918126</v>
      </c>
      <c r="F201" s="55">
        <v>45804</v>
      </c>
      <c r="G201" s="26" t="s">
        <v>55</v>
      </c>
      <c r="H201" s="26">
        <v>1</v>
      </c>
      <c r="I201" s="56">
        <v>18620</v>
      </c>
      <c r="J201" s="26">
        <v>1</v>
      </c>
      <c r="K201" s="321">
        <f t="shared" ref="K201:K264" si="4">I201/J201</f>
        <v>18620</v>
      </c>
      <c r="L201" s="57">
        <v>45748</v>
      </c>
      <c r="M201" s="215">
        <v>45838</v>
      </c>
      <c r="N201" s="63" t="s">
        <v>19</v>
      </c>
      <c r="O201" s="311" t="s">
        <v>988</v>
      </c>
      <c r="P201" s="42"/>
      <c r="Q201" s="64" t="s">
        <v>391</v>
      </c>
      <c r="R201" s="63" t="s">
        <v>989</v>
      </c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 t="s">
        <v>551</v>
      </c>
      <c r="AD201" s="16" t="s">
        <v>207</v>
      </c>
      <c r="AE201" s="42">
        <v>0</v>
      </c>
      <c r="AF201" s="63"/>
    </row>
    <row r="202" spans="2:32" ht="14.4" x14ac:dyDescent="0.3">
      <c r="B202" s="16" t="s">
        <v>14</v>
      </c>
      <c r="C202" s="322" t="s">
        <v>990</v>
      </c>
      <c r="D202" s="323" t="s">
        <v>991</v>
      </c>
      <c r="E202" s="324">
        <v>115487274</v>
      </c>
      <c r="F202" s="140">
        <v>45807</v>
      </c>
      <c r="G202" s="88" t="s">
        <v>55</v>
      </c>
      <c r="H202" s="88">
        <v>3</v>
      </c>
      <c r="I202" s="89">
        <f>81600*3</f>
        <v>244800</v>
      </c>
      <c r="J202" s="88">
        <v>2</v>
      </c>
      <c r="K202" s="321"/>
      <c r="L202" s="90">
        <v>45809</v>
      </c>
      <c r="M202" s="62">
        <v>46173</v>
      </c>
      <c r="N202" s="63" t="s">
        <v>19</v>
      </c>
      <c r="O202" s="26" t="s">
        <v>6</v>
      </c>
      <c r="P202" s="42"/>
      <c r="Q202" s="64" t="s">
        <v>125</v>
      </c>
      <c r="R202" s="63" t="s">
        <v>289</v>
      </c>
      <c r="S202" s="64" t="s">
        <v>127</v>
      </c>
      <c r="T202" s="63" t="s">
        <v>1712</v>
      </c>
      <c r="U202" s="63"/>
      <c r="V202" s="63"/>
      <c r="W202" s="63"/>
      <c r="X202" s="63"/>
      <c r="Y202" s="63"/>
      <c r="Z202" s="63"/>
      <c r="AA202" s="63"/>
      <c r="AB202" s="63"/>
      <c r="AC202" s="63" t="s">
        <v>485</v>
      </c>
      <c r="AD202" s="16" t="s">
        <v>63</v>
      </c>
      <c r="AE202" s="42">
        <v>2</v>
      </c>
      <c r="AF202" s="63" t="s">
        <v>992</v>
      </c>
    </row>
    <row r="203" spans="2:32" ht="14.4" x14ac:dyDescent="0.3">
      <c r="B203" s="16" t="s">
        <v>14</v>
      </c>
      <c r="C203" s="143" t="s">
        <v>508</v>
      </c>
      <c r="D203" s="255" t="s">
        <v>866</v>
      </c>
      <c r="E203" s="144" t="s">
        <v>993</v>
      </c>
      <c r="F203" s="43">
        <v>45806</v>
      </c>
      <c r="G203" s="42" t="s">
        <v>55</v>
      </c>
      <c r="H203" s="42">
        <v>2</v>
      </c>
      <c r="I203" s="145">
        <v>178000</v>
      </c>
      <c r="J203" s="42">
        <v>3</v>
      </c>
      <c r="K203" s="321"/>
      <c r="L203" s="62">
        <v>45809</v>
      </c>
      <c r="M203" s="62">
        <v>46173</v>
      </c>
      <c r="N203" s="63" t="s">
        <v>19</v>
      </c>
      <c r="O203" s="82" t="s">
        <v>6</v>
      </c>
      <c r="P203" s="42"/>
      <c r="Q203" s="64" t="s">
        <v>81</v>
      </c>
      <c r="R203" s="63" t="s">
        <v>562</v>
      </c>
      <c r="S203" s="64" t="s">
        <v>83</v>
      </c>
      <c r="T203" s="63" t="s">
        <v>994</v>
      </c>
      <c r="U203" s="64" t="s">
        <v>404</v>
      </c>
      <c r="V203" s="63" t="s">
        <v>995</v>
      </c>
      <c r="W203" s="63"/>
      <c r="X203" s="63"/>
      <c r="Y203" s="63"/>
      <c r="Z203" s="63"/>
      <c r="AA203" s="63"/>
      <c r="AB203" s="63"/>
      <c r="AC203" s="63" t="s">
        <v>96</v>
      </c>
      <c r="AD203" s="42" t="s">
        <v>97</v>
      </c>
      <c r="AE203" s="82" t="s">
        <v>494</v>
      </c>
      <c r="AF203" s="146" t="s">
        <v>996</v>
      </c>
    </row>
    <row r="204" spans="2:32" ht="14.4" x14ac:dyDescent="0.3">
      <c r="B204" s="16" t="s">
        <v>14</v>
      </c>
      <c r="C204" s="147" t="s">
        <v>634</v>
      </c>
      <c r="D204" s="248" t="s">
        <v>997</v>
      </c>
      <c r="E204" s="50">
        <v>4500268257</v>
      </c>
      <c r="F204" s="55">
        <v>45806</v>
      </c>
      <c r="G204" s="26" t="s">
        <v>55</v>
      </c>
      <c r="H204" s="26">
        <v>1</v>
      </c>
      <c r="I204" s="61">
        <f>24875*4</f>
        <v>99500</v>
      </c>
      <c r="J204" s="26">
        <v>4</v>
      </c>
      <c r="K204" s="321">
        <f t="shared" si="4"/>
        <v>24875</v>
      </c>
      <c r="L204" s="57">
        <v>45748</v>
      </c>
      <c r="M204" s="57">
        <v>46112</v>
      </c>
      <c r="N204" s="58" t="s">
        <v>998</v>
      </c>
      <c r="O204" s="82" t="s">
        <v>9</v>
      </c>
      <c r="P204" s="26"/>
      <c r="Q204" s="59" t="s">
        <v>391</v>
      </c>
      <c r="R204" s="58" t="s">
        <v>636</v>
      </c>
      <c r="S204" s="59" t="s">
        <v>168</v>
      </c>
      <c r="T204" s="58" t="s">
        <v>637</v>
      </c>
      <c r="U204" s="59" t="s">
        <v>228</v>
      </c>
      <c r="V204" s="58" t="s">
        <v>493</v>
      </c>
      <c r="W204" s="59" t="s">
        <v>396</v>
      </c>
      <c r="X204" s="58" t="s">
        <v>639</v>
      </c>
      <c r="Y204" s="58"/>
      <c r="Z204" s="58"/>
      <c r="AA204" s="58"/>
      <c r="AB204" s="63"/>
      <c r="AC204" s="63" t="s">
        <v>96</v>
      </c>
      <c r="AD204" s="42" t="s">
        <v>97</v>
      </c>
      <c r="AE204" s="26" t="s">
        <v>494</v>
      </c>
      <c r="AF204" s="58"/>
    </row>
    <row r="205" spans="2:32" ht="14.4" hidden="1" x14ac:dyDescent="0.3">
      <c r="B205" s="16" t="s">
        <v>14</v>
      </c>
      <c r="C205" s="68" t="s">
        <v>634</v>
      </c>
      <c r="D205" s="249" t="s">
        <v>997</v>
      </c>
      <c r="E205" s="50">
        <v>4500268257</v>
      </c>
      <c r="F205" s="43">
        <v>45806</v>
      </c>
      <c r="G205" s="42" t="s">
        <v>55</v>
      </c>
      <c r="H205" s="42"/>
      <c r="I205" s="61">
        <f>24875*4</f>
        <v>99500</v>
      </c>
      <c r="J205" s="42">
        <v>4</v>
      </c>
      <c r="K205" s="321">
        <f t="shared" si="4"/>
        <v>24875</v>
      </c>
      <c r="L205" s="62">
        <v>46113</v>
      </c>
      <c r="M205" s="62">
        <v>46477</v>
      </c>
      <c r="N205" s="58" t="s">
        <v>998</v>
      </c>
      <c r="O205" s="82" t="s">
        <v>9</v>
      </c>
      <c r="P205" s="42"/>
      <c r="Q205" s="64" t="s">
        <v>397</v>
      </c>
      <c r="R205" s="63" t="s">
        <v>1715</v>
      </c>
      <c r="S205" s="63" t="s">
        <v>496</v>
      </c>
      <c r="T205" s="63"/>
      <c r="U205" s="63" t="s">
        <v>497</v>
      </c>
      <c r="V205" s="63"/>
      <c r="W205" s="63" t="s">
        <v>498</v>
      </c>
      <c r="X205" s="63"/>
      <c r="Y205" s="63"/>
      <c r="Z205" s="63"/>
      <c r="AA205" s="63"/>
      <c r="AB205" s="63"/>
      <c r="AC205" s="63" t="s">
        <v>96</v>
      </c>
      <c r="AD205" s="42" t="s">
        <v>97</v>
      </c>
      <c r="AE205" s="42"/>
      <c r="AF205" s="63"/>
    </row>
    <row r="206" spans="2:32" ht="14.4" hidden="1" x14ac:dyDescent="0.3">
      <c r="B206" s="16" t="s">
        <v>14</v>
      </c>
      <c r="C206" s="68" t="s">
        <v>634</v>
      </c>
      <c r="D206" s="249" t="s">
        <v>997</v>
      </c>
      <c r="E206" s="50">
        <v>4500268257</v>
      </c>
      <c r="F206" s="43">
        <v>45806</v>
      </c>
      <c r="G206" s="42" t="s">
        <v>55</v>
      </c>
      <c r="H206" s="42"/>
      <c r="I206" s="61">
        <f>24875*3</f>
        <v>74625</v>
      </c>
      <c r="J206" s="42">
        <v>3</v>
      </c>
      <c r="K206" s="321">
        <f t="shared" si="4"/>
        <v>24875</v>
      </c>
      <c r="L206" s="62">
        <v>46478</v>
      </c>
      <c r="M206" s="62">
        <v>46752</v>
      </c>
      <c r="N206" s="63" t="s">
        <v>998</v>
      </c>
      <c r="O206" s="82" t="s">
        <v>9</v>
      </c>
      <c r="P206" s="42"/>
      <c r="Q206" s="63" t="s">
        <v>499</v>
      </c>
      <c r="R206" s="63"/>
      <c r="S206" s="63" t="s">
        <v>500</v>
      </c>
      <c r="T206" s="63"/>
      <c r="U206" s="63" t="s">
        <v>501</v>
      </c>
      <c r="V206" s="63"/>
      <c r="W206" s="63"/>
      <c r="X206" s="63"/>
      <c r="Y206" s="63"/>
      <c r="Z206" s="63"/>
      <c r="AA206" s="63"/>
      <c r="AB206" s="63"/>
      <c r="AC206" s="63" t="s">
        <v>96</v>
      </c>
      <c r="AD206" s="42" t="s">
        <v>97</v>
      </c>
      <c r="AE206" s="42"/>
      <c r="AF206" s="63"/>
    </row>
    <row r="207" spans="2:32" ht="14.4" x14ac:dyDescent="0.3">
      <c r="B207" s="16" t="s">
        <v>14</v>
      </c>
      <c r="C207" s="68" t="s">
        <v>751</v>
      </c>
      <c r="D207" s="132" t="s">
        <v>151</v>
      </c>
      <c r="E207" s="121">
        <v>307000194</v>
      </c>
      <c r="F207" s="43">
        <v>45799</v>
      </c>
      <c r="G207" s="42" t="s">
        <v>55</v>
      </c>
      <c r="H207" s="42">
        <v>1</v>
      </c>
      <c r="I207" s="61">
        <v>124440</v>
      </c>
      <c r="J207" s="42">
        <v>4</v>
      </c>
      <c r="K207" s="321">
        <f t="shared" si="4"/>
        <v>31110</v>
      </c>
      <c r="L207" s="62">
        <v>45748</v>
      </c>
      <c r="M207" s="62">
        <v>46112</v>
      </c>
      <c r="N207" s="63" t="s">
        <v>19</v>
      </c>
      <c r="O207" s="82" t="s">
        <v>3</v>
      </c>
      <c r="P207" s="42"/>
      <c r="Q207" s="64" t="s">
        <v>391</v>
      </c>
      <c r="R207" s="63" t="s">
        <v>725</v>
      </c>
      <c r="S207" s="64" t="s">
        <v>168</v>
      </c>
      <c r="T207" s="63" t="s">
        <v>169</v>
      </c>
      <c r="U207" s="64" t="s">
        <v>228</v>
      </c>
      <c r="V207" s="63" t="s">
        <v>687</v>
      </c>
      <c r="W207" s="64" t="s">
        <v>396</v>
      </c>
      <c r="X207" s="63" t="s">
        <v>999</v>
      </c>
      <c r="Y207" s="63"/>
      <c r="Z207" s="63"/>
      <c r="AA207" s="63"/>
      <c r="AB207" s="63"/>
      <c r="AC207" s="63" t="s">
        <v>507</v>
      </c>
      <c r="AD207" s="16" t="s">
        <v>63</v>
      </c>
      <c r="AE207" s="42">
        <v>4</v>
      </c>
      <c r="AF207" s="63" t="s">
        <v>667</v>
      </c>
    </row>
    <row r="208" spans="2:32" ht="14.4" x14ac:dyDescent="0.3">
      <c r="B208" s="16" t="s">
        <v>14</v>
      </c>
      <c r="C208" s="68" t="s">
        <v>595</v>
      </c>
      <c r="D208" s="81" t="s">
        <v>1000</v>
      </c>
      <c r="E208" s="148">
        <v>3110015195</v>
      </c>
      <c r="F208" s="43">
        <v>45807</v>
      </c>
      <c r="G208" s="42" t="s">
        <v>55</v>
      </c>
      <c r="H208" s="42">
        <v>1</v>
      </c>
      <c r="I208" s="61">
        <v>75999.990000000005</v>
      </c>
      <c r="J208" s="42">
        <v>3</v>
      </c>
      <c r="K208" s="321">
        <f t="shared" si="4"/>
        <v>25333.33</v>
      </c>
      <c r="L208" s="62">
        <v>45778</v>
      </c>
      <c r="M208" s="62">
        <v>46142</v>
      </c>
      <c r="N208" s="63" t="s">
        <v>19</v>
      </c>
      <c r="O208" s="82" t="s">
        <v>6</v>
      </c>
      <c r="P208" s="42" t="s">
        <v>437</v>
      </c>
      <c r="Q208" s="64" t="s">
        <v>343</v>
      </c>
      <c r="R208" s="63" t="s">
        <v>394</v>
      </c>
      <c r="S208" s="64" t="s">
        <v>345</v>
      </c>
      <c r="T208" s="63" t="s">
        <v>1001</v>
      </c>
      <c r="U208" s="64" t="s">
        <v>347</v>
      </c>
      <c r="V208" s="63" t="s">
        <v>1717</v>
      </c>
      <c r="W208" s="63"/>
      <c r="X208" s="63"/>
      <c r="Y208" s="63"/>
      <c r="Z208" s="63"/>
      <c r="AA208" s="63"/>
      <c r="AB208" s="63"/>
      <c r="AC208" s="63" t="s">
        <v>507</v>
      </c>
      <c r="AD208" s="16" t="s">
        <v>63</v>
      </c>
      <c r="AE208" s="42">
        <v>3</v>
      </c>
      <c r="AF208" s="63" t="s">
        <v>799</v>
      </c>
    </row>
    <row r="209" spans="2:32" ht="14.4" x14ac:dyDescent="0.3">
      <c r="B209" s="16" t="s">
        <v>14</v>
      </c>
      <c r="C209" s="39" t="s">
        <v>1002</v>
      </c>
      <c r="D209" s="233" t="s">
        <v>151</v>
      </c>
      <c r="E209" s="50">
        <v>4518004947</v>
      </c>
      <c r="F209" s="55">
        <v>45812</v>
      </c>
      <c r="G209" s="26" t="s">
        <v>55</v>
      </c>
      <c r="H209" s="26">
        <v>4</v>
      </c>
      <c r="I209" s="56">
        <v>186000</v>
      </c>
      <c r="J209" s="26">
        <v>1</v>
      </c>
      <c r="K209" s="321">
        <f t="shared" si="4"/>
        <v>186000</v>
      </c>
      <c r="L209" s="57">
        <v>45748</v>
      </c>
      <c r="M209" s="57">
        <v>46112</v>
      </c>
      <c r="N209" s="18" t="s">
        <v>19</v>
      </c>
      <c r="O209" s="82" t="s">
        <v>3</v>
      </c>
      <c r="P209" s="26" t="s">
        <v>437</v>
      </c>
      <c r="Q209" s="59" t="s">
        <v>631</v>
      </c>
      <c r="R209" s="58" t="s">
        <v>1003</v>
      </c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 t="s">
        <v>507</v>
      </c>
      <c r="AD209" s="16" t="s">
        <v>63</v>
      </c>
      <c r="AE209" s="26">
        <v>2</v>
      </c>
      <c r="AF209" s="58" t="s">
        <v>667</v>
      </c>
    </row>
    <row r="210" spans="2:32" ht="15.6" x14ac:dyDescent="0.3">
      <c r="B210" s="16" t="s">
        <v>14</v>
      </c>
      <c r="C210" s="74" t="s">
        <v>614</v>
      </c>
      <c r="D210" s="247" t="s">
        <v>970</v>
      </c>
      <c r="E210" s="149">
        <v>4500049533</v>
      </c>
      <c r="F210" s="43">
        <v>45810</v>
      </c>
      <c r="G210" s="42" t="s">
        <v>55</v>
      </c>
      <c r="H210" s="42">
        <v>2</v>
      </c>
      <c r="I210" s="61">
        <v>152880</v>
      </c>
      <c r="J210" s="42">
        <v>3</v>
      </c>
      <c r="K210" s="321">
        <f t="shared" si="4"/>
        <v>50960</v>
      </c>
      <c r="L210" s="62">
        <v>45818</v>
      </c>
      <c r="M210" s="62">
        <v>46182</v>
      </c>
      <c r="N210" s="63" t="s">
        <v>19</v>
      </c>
      <c r="O210" s="82" t="s">
        <v>9</v>
      </c>
      <c r="P210" s="42"/>
      <c r="Q210" s="64" t="s">
        <v>592</v>
      </c>
      <c r="R210" s="63"/>
      <c r="S210" s="64" t="s">
        <v>593</v>
      </c>
      <c r="T210" s="63" t="s">
        <v>84</v>
      </c>
      <c r="U210" s="64" t="s">
        <v>1004</v>
      </c>
      <c r="V210" s="63" t="s">
        <v>1710</v>
      </c>
      <c r="W210" s="63"/>
      <c r="X210" s="63"/>
      <c r="Y210" s="63"/>
      <c r="Z210" s="63"/>
      <c r="AA210" s="63"/>
      <c r="AB210" s="63"/>
      <c r="AC210" s="63" t="s">
        <v>281</v>
      </c>
      <c r="AD210" s="42" t="s">
        <v>97</v>
      </c>
      <c r="AE210" s="42">
        <v>3</v>
      </c>
      <c r="AF210" s="150" t="s">
        <v>1005</v>
      </c>
    </row>
    <row r="211" spans="2:32" s="31" customFormat="1" ht="14.4" x14ac:dyDescent="0.3">
      <c r="B211" s="16" t="s">
        <v>14</v>
      </c>
      <c r="C211" s="37" t="s">
        <v>433</v>
      </c>
      <c r="D211" s="239" t="s">
        <v>388</v>
      </c>
      <c r="E211" s="50" t="s">
        <v>1006</v>
      </c>
      <c r="F211" s="151">
        <v>45804</v>
      </c>
      <c r="G211" s="42" t="s">
        <v>55</v>
      </c>
      <c r="H211" s="152">
        <v>16</v>
      </c>
      <c r="I211" s="153">
        <f>3746500
/1.18</f>
        <v>3175000</v>
      </c>
      <c r="J211" s="152">
        <v>4</v>
      </c>
      <c r="K211" s="325">
        <f t="shared" si="4"/>
        <v>793750</v>
      </c>
      <c r="L211" s="154">
        <v>45807</v>
      </c>
      <c r="M211" s="154">
        <v>46171</v>
      </c>
      <c r="N211" s="63" t="s">
        <v>520</v>
      </c>
      <c r="O211" s="82" t="s">
        <v>9</v>
      </c>
      <c r="P211" s="152"/>
      <c r="Q211" s="155" t="s">
        <v>286</v>
      </c>
      <c r="R211" s="65" t="s">
        <v>505</v>
      </c>
      <c r="S211" s="155" t="s">
        <v>1007</v>
      </c>
      <c r="T211" s="65" t="s">
        <v>1008</v>
      </c>
      <c r="U211" s="155" t="s">
        <v>290</v>
      </c>
      <c r="V211" s="65" t="s">
        <v>1009</v>
      </c>
      <c r="W211" s="65" t="s">
        <v>1010</v>
      </c>
      <c r="X211" s="65"/>
      <c r="Y211" s="65"/>
      <c r="Z211" s="65"/>
      <c r="AA211" s="65"/>
      <c r="AB211" s="65"/>
      <c r="AC211" s="65" t="s">
        <v>478</v>
      </c>
      <c r="AD211" s="16" t="s">
        <v>63</v>
      </c>
      <c r="AE211" s="152"/>
      <c r="AF211" s="65" t="s">
        <v>667</v>
      </c>
    </row>
    <row r="212" spans="2:32" ht="14.4" hidden="1" x14ac:dyDescent="0.3">
      <c r="B212" s="16" t="s">
        <v>14</v>
      </c>
      <c r="C212" s="156" t="s">
        <v>1011</v>
      </c>
      <c r="D212" s="233" t="s">
        <v>1012</v>
      </c>
      <c r="E212" s="157" t="s">
        <v>1013</v>
      </c>
      <c r="F212" s="43">
        <v>46000</v>
      </c>
      <c r="G212" s="26" t="s">
        <v>55</v>
      </c>
      <c r="H212" s="42"/>
      <c r="I212" s="61"/>
      <c r="J212" s="42"/>
      <c r="K212" s="321" t="e">
        <f t="shared" si="4"/>
        <v>#DIV/0!</v>
      </c>
      <c r="L212" s="62"/>
      <c r="M212" s="62"/>
      <c r="N212" s="63"/>
      <c r="O212" s="82"/>
      <c r="P212" s="42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E212" s="42"/>
      <c r="AF212" s="63"/>
    </row>
    <row r="213" spans="2:32" ht="14.4" x14ac:dyDescent="0.3">
      <c r="B213" s="16" t="s">
        <v>14</v>
      </c>
      <c r="C213" s="68" t="s">
        <v>1014</v>
      </c>
      <c r="D213" s="81" t="s">
        <v>151</v>
      </c>
      <c r="E213" s="84">
        <v>4500539790</v>
      </c>
      <c r="F213" s="43">
        <v>45818</v>
      </c>
      <c r="G213" s="42" t="s">
        <v>55</v>
      </c>
      <c r="H213" s="42">
        <v>2</v>
      </c>
      <c r="I213" s="61">
        <f>3*60000</f>
        <v>180000</v>
      </c>
      <c r="J213" s="42">
        <v>3</v>
      </c>
      <c r="K213" s="321">
        <f t="shared" si="4"/>
        <v>60000</v>
      </c>
      <c r="L213" s="62">
        <v>45809</v>
      </c>
      <c r="M213" s="62">
        <v>46173</v>
      </c>
      <c r="N213" s="63" t="s">
        <v>19</v>
      </c>
      <c r="O213" s="82" t="s">
        <v>6</v>
      </c>
      <c r="P213" s="42"/>
      <c r="Q213" s="64" t="s">
        <v>81</v>
      </c>
      <c r="R213" s="63" t="s">
        <v>1015</v>
      </c>
      <c r="S213" s="64" t="s">
        <v>83</v>
      </c>
      <c r="T213" s="63" t="s">
        <v>191</v>
      </c>
      <c r="U213" s="64" t="s">
        <v>404</v>
      </c>
      <c r="V213" s="63" t="s">
        <v>291</v>
      </c>
      <c r="W213" s="63"/>
      <c r="X213" s="63"/>
      <c r="Y213" s="63"/>
      <c r="Z213" s="63"/>
      <c r="AA213" s="63"/>
      <c r="AB213" s="63"/>
      <c r="AC213" s="63" t="s">
        <v>507</v>
      </c>
      <c r="AD213" s="16" t="s">
        <v>63</v>
      </c>
      <c r="AE213" s="42">
        <v>3</v>
      </c>
      <c r="AF213" s="63" t="s">
        <v>667</v>
      </c>
    </row>
    <row r="214" spans="2:32" ht="14.4" x14ac:dyDescent="0.3">
      <c r="B214" s="16" t="s">
        <v>14</v>
      </c>
      <c r="C214" s="103" t="s">
        <v>609</v>
      </c>
      <c r="D214" s="81" t="s">
        <v>1016</v>
      </c>
      <c r="E214" s="84">
        <v>3791227950</v>
      </c>
      <c r="F214" s="43">
        <v>45770</v>
      </c>
      <c r="G214" s="42" t="s">
        <v>55</v>
      </c>
      <c r="H214" s="42">
        <v>1</v>
      </c>
      <c r="I214" s="61">
        <v>61500</v>
      </c>
      <c r="J214" s="42">
        <v>3</v>
      </c>
      <c r="K214" s="321">
        <f t="shared" si="4"/>
        <v>20500</v>
      </c>
      <c r="L214" s="62">
        <v>45748</v>
      </c>
      <c r="M214" s="62">
        <v>46112</v>
      </c>
      <c r="N214" s="63" t="s">
        <v>19</v>
      </c>
      <c r="O214" s="82" t="s">
        <v>5</v>
      </c>
      <c r="P214" s="42"/>
      <c r="Q214" s="64" t="s">
        <v>357</v>
      </c>
      <c r="R214" s="63" t="s">
        <v>1017</v>
      </c>
      <c r="S214" s="64" t="s">
        <v>665</v>
      </c>
      <c r="T214" s="63" t="s">
        <v>967</v>
      </c>
      <c r="U214" s="64" t="s">
        <v>361</v>
      </c>
      <c r="V214" s="63" t="s">
        <v>455</v>
      </c>
      <c r="W214" s="63"/>
      <c r="X214" s="63"/>
      <c r="Y214" s="63"/>
      <c r="Z214" s="63"/>
      <c r="AA214" s="63"/>
      <c r="AB214" s="63"/>
      <c r="AC214" s="63" t="s">
        <v>619</v>
      </c>
      <c r="AD214" s="16" t="s">
        <v>63</v>
      </c>
      <c r="AE214" s="42">
        <v>3</v>
      </c>
      <c r="AF214" s="63" t="s">
        <v>667</v>
      </c>
    </row>
    <row r="215" spans="2:32" ht="14.4" x14ac:dyDescent="0.3">
      <c r="B215" s="16" t="s">
        <v>14</v>
      </c>
      <c r="C215" s="103" t="s">
        <v>614</v>
      </c>
      <c r="D215" s="256" t="s">
        <v>447</v>
      </c>
      <c r="E215" s="158" t="s">
        <v>1018</v>
      </c>
      <c r="F215" s="136">
        <v>45806</v>
      </c>
      <c r="G215" s="42" t="s">
        <v>55</v>
      </c>
      <c r="H215" s="42">
        <v>1</v>
      </c>
      <c r="I215" s="61">
        <v>76440</v>
      </c>
      <c r="J215" s="42">
        <v>3</v>
      </c>
      <c r="K215" s="321"/>
      <c r="L215" s="62">
        <v>45778</v>
      </c>
      <c r="M215" s="62">
        <v>46142</v>
      </c>
      <c r="N215" s="63" t="s">
        <v>19</v>
      </c>
      <c r="O215" s="82" t="s">
        <v>5</v>
      </c>
      <c r="P215" s="42"/>
      <c r="Q215" s="64" t="s">
        <v>343</v>
      </c>
      <c r="R215" s="63" t="s">
        <v>759</v>
      </c>
      <c r="S215" s="64" t="s">
        <v>345</v>
      </c>
      <c r="T215" s="63" t="s">
        <v>781</v>
      </c>
      <c r="U215" s="64" t="s">
        <v>347</v>
      </c>
      <c r="V215" s="63" t="s">
        <v>1019</v>
      </c>
      <c r="W215" s="63"/>
      <c r="X215" s="63"/>
      <c r="Y215" s="63"/>
      <c r="Z215" s="63"/>
      <c r="AA215" s="63"/>
      <c r="AB215" s="63"/>
      <c r="AC215" s="63" t="s">
        <v>281</v>
      </c>
      <c r="AD215" s="42" t="s">
        <v>97</v>
      </c>
      <c r="AE215" s="42">
        <v>3</v>
      </c>
      <c r="AF215" s="63" t="s">
        <v>1020</v>
      </c>
    </row>
    <row r="216" spans="2:32" ht="14.4" x14ac:dyDescent="0.3">
      <c r="B216" s="16" t="s">
        <v>14</v>
      </c>
      <c r="C216" s="159" t="s">
        <v>1021</v>
      </c>
      <c r="D216" s="257" t="s">
        <v>1022</v>
      </c>
      <c r="E216" s="149">
        <v>1421076377</v>
      </c>
      <c r="F216" s="136">
        <v>45812</v>
      </c>
      <c r="G216" s="42" t="s">
        <v>55</v>
      </c>
      <c r="H216" s="42">
        <v>1</v>
      </c>
      <c r="I216" s="61">
        <v>84480</v>
      </c>
      <c r="J216" s="42">
        <v>2</v>
      </c>
      <c r="K216" s="321">
        <f t="shared" si="4"/>
        <v>42240</v>
      </c>
      <c r="L216" s="62">
        <v>45809</v>
      </c>
      <c r="M216" s="62">
        <v>46173</v>
      </c>
      <c r="N216" s="63" t="s">
        <v>19</v>
      </c>
      <c r="O216" s="82" t="s">
        <v>6</v>
      </c>
      <c r="P216" s="42"/>
      <c r="Q216" s="64" t="s">
        <v>125</v>
      </c>
      <c r="R216" s="63" t="s">
        <v>287</v>
      </c>
      <c r="S216" s="64" t="s">
        <v>127</v>
      </c>
      <c r="T216" s="63" t="s">
        <v>939</v>
      </c>
      <c r="U216" s="63"/>
      <c r="V216" s="63"/>
      <c r="W216" s="63"/>
      <c r="X216" s="63"/>
      <c r="Y216" s="63"/>
      <c r="Z216" s="63"/>
      <c r="AA216" s="63"/>
      <c r="AB216" s="63"/>
      <c r="AC216" s="63" t="s">
        <v>485</v>
      </c>
      <c r="AD216" s="16" t="s">
        <v>63</v>
      </c>
      <c r="AE216" s="42">
        <v>2</v>
      </c>
      <c r="AF216" s="63" t="s">
        <v>1023</v>
      </c>
    </row>
    <row r="217" spans="2:32" ht="14.4" x14ac:dyDescent="0.3">
      <c r="B217" s="16" t="s">
        <v>14</v>
      </c>
      <c r="C217" s="70" t="s">
        <v>1024</v>
      </c>
      <c r="D217" s="258" t="s">
        <v>1025</v>
      </c>
      <c r="E217" s="50">
        <v>7026010733</v>
      </c>
      <c r="F217" s="55">
        <v>45819</v>
      </c>
      <c r="G217" s="26" t="s">
        <v>55</v>
      </c>
      <c r="H217" s="26">
        <v>8</v>
      </c>
      <c r="I217" s="56">
        <v>512000</v>
      </c>
      <c r="J217" s="26">
        <v>2</v>
      </c>
      <c r="K217" s="321">
        <f t="shared" si="4"/>
        <v>256000</v>
      </c>
      <c r="L217" s="57">
        <v>45748</v>
      </c>
      <c r="M217" s="57">
        <v>46112</v>
      </c>
      <c r="N217" s="58" t="s">
        <v>520</v>
      </c>
      <c r="O217" s="82" t="s">
        <v>9</v>
      </c>
      <c r="P217" s="26"/>
      <c r="Q217" s="59" t="s">
        <v>463</v>
      </c>
      <c r="R217" s="58" t="s">
        <v>1026</v>
      </c>
      <c r="S217" s="58" t="s">
        <v>465</v>
      </c>
      <c r="T217" s="58"/>
      <c r="U217" s="58"/>
      <c r="V217" s="58"/>
      <c r="W217" s="58"/>
      <c r="X217" s="58"/>
      <c r="Y217" s="58"/>
      <c r="Z217" s="58"/>
      <c r="AA217" s="58"/>
      <c r="AB217" s="58"/>
      <c r="AC217" s="58" t="s">
        <v>507</v>
      </c>
      <c r="AD217" s="16" t="s">
        <v>63</v>
      </c>
      <c r="AE217" s="26">
        <v>2</v>
      </c>
      <c r="AF217" s="58" t="s">
        <v>1027</v>
      </c>
    </row>
    <row r="218" spans="2:32" ht="14.4" x14ac:dyDescent="0.3">
      <c r="B218" s="16" t="s">
        <v>14</v>
      </c>
      <c r="C218" s="103" t="s">
        <v>658</v>
      </c>
      <c r="D218" s="256" t="s">
        <v>151</v>
      </c>
      <c r="E218" s="84">
        <v>6500007595</v>
      </c>
      <c r="F218" s="43">
        <v>45820</v>
      </c>
      <c r="G218" s="42" t="s">
        <v>55</v>
      </c>
      <c r="H218" s="42">
        <v>8</v>
      </c>
      <c r="I218" s="61">
        <v>448000</v>
      </c>
      <c r="J218" s="42">
        <v>1</v>
      </c>
      <c r="K218" s="321">
        <f t="shared" si="4"/>
        <v>448000</v>
      </c>
      <c r="L218" s="62">
        <v>45748</v>
      </c>
      <c r="M218" s="62">
        <v>46112</v>
      </c>
      <c r="N218" s="63" t="s">
        <v>19</v>
      </c>
      <c r="O218" s="82" t="s">
        <v>3</v>
      </c>
      <c r="P218" s="42"/>
      <c r="Q218" s="64" t="s">
        <v>631</v>
      </c>
      <c r="R218" s="63" t="s">
        <v>939</v>
      </c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 t="s">
        <v>507</v>
      </c>
      <c r="AD218" s="16" t="s">
        <v>63</v>
      </c>
      <c r="AE218" s="42">
        <v>2</v>
      </c>
      <c r="AF218" s="63" t="s">
        <v>1028</v>
      </c>
    </row>
    <row r="219" spans="2:32" ht="14.4" x14ac:dyDescent="0.3">
      <c r="B219" s="16" t="s">
        <v>14</v>
      </c>
      <c r="C219" s="103" t="s">
        <v>544</v>
      </c>
      <c r="D219" s="256" t="s">
        <v>1029</v>
      </c>
      <c r="E219" s="84">
        <v>1250008989</v>
      </c>
      <c r="F219" s="43">
        <v>45798</v>
      </c>
      <c r="G219" s="42" t="s">
        <v>55</v>
      </c>
      <c r="H219" s="42">
        <v>1</v>
      </c>
      <c r="I219" s="61">
        <v>130002</v>
      </c>
      <c r="J219" s="42">
        <v>3</v>
      </c>
      <c r="K219" s="321">
        <f t="shared" si="4"/>
        <v>43334</v>
      </c>
      <c r="L219" s="62">
        <v>45778</v>
      </c>
      <c r="M219" s="62">
        <v>46142</v>
      </c>
      <c r="N219" s="63" t="s">
        <v>19</v>
      </c>
      <c r="O219" s="82" t="s">
        <v>5</v>
      </c>
      <c r="P219" s="42"/>
      <c r="Q219" s="64" t="s">
        <v>343</v>
      </c>
      <c r="R219" s="63" t="s">
        <v>1030</v>
      </c>
      <c r="S219" s="64" t="s">
        <v>345</v>
      </c>
      <c r="T219" s="63" t="s">
        <v>395</v>
      </c>
      <c r="U219" s="64" t="s">
        <v>347</v>
      </c>
      <c r="V219" s="63" t="s">
        <v>443</v>
      </c>
      <c r="W219" s="63"/>
      <c r="X219" s="63"/>
      <c r="Y219" s="63"/>
      <c r="Z219" s="63"/>
      <c r="AA219" s="63"/>
      <c r="AB219" s="63"/>
      <c r="AC219" s="63" t="s">
        <v>551</v>
      </c>
      <c r="AD219" s="16" t="s">
        <v>207</v>
      </c>
      <c r="AE219" s="42">
        <v>3</v>
      </c>
      <c r="AF219" s="63" t="s">
        <v>667</v>
      </c>
    </row>
    <row r="220" spans="2:32" ht="14.4" x14ac:dyDescent="0.3">
      <c r="B220" s="16" t="s">
        <v>14</v>
      </c>
      <c r="C220" s="103" t="s">
        <v>685</v>
      </c>
      <c r="D220" s="256" t="s">
        <v>1031</v>
      </c>
      <c r="E220" s="84">
        <v>4512760492</v>
      </c>
      <c r="F220" s="136">
        <v>45826</v>
      </c>
      <c r="G220" s="42" t="s">
        <v>55</v>
      </c>
      <c r="H220" s="42">
        <v>2</v>
      </c>
      <c r="I220" s="61">
        <v>92000</v>
      </c>
      <c r="J220" s="42">
        <v>3</v>
      </c>
      <c r="K220" s="325">
        <f t="shared" si="4"/>
        <v>30666.666666666668</v>
      </c>
      <c r="L220" s="62">
        <v>45809</v>
      </c>
      <c r="M220" s="62">
        <v>46173</v>
      </c>
      <c r="N220" s="63" t="s">
        <v>19</v>
      </c>
      <c r="O220" s="82" t="s">
        <v>6</v>
      </c>
      <c r="P220" s="42"/>
      <c r="Q220" s="64" t="s">
        <v>81</v>
      </c>
      <c r="R220" s="63" t="s">
        <v>582</v>
      </c>
      <c r="S220" s="64" t="s">
        <v>83</v>
      </c>
      <c r="T220" s="63" t="s">
        <v>432</v>
      </c>
      <c r="U220" s="64" t="s">
        <v>404</v>
      </c>
      <c r="V220" s="63" t="s">
        <v>1718</v>
      </c>
      <c r="W220" s="63"/>
      <c r="X220" s="63"/>
      <c r="Y220" s="63"/>
      <c r="Z220" s="63"/>
      <c r="AA220" s="63"/>
      <c r="AB220" s="63"/>
      <c r="AC220" s="63" t="s">
        <v>478</v>
      </c>
      <c r="AD220" s="16" t="s">
        <v>63</v>
      </c>
      <c r="AE220" s="42">
        <v>3</v>
      </c>
      <c r="AF220" s="63" t="s">
        <v>667</v>
      </c>
    </row>
    <row r="221" spans="2:32" ht="14.4" x14ac:dyDescent="0.3">
      <c r="B221" s="16" t="s">
        <v>14</v>
      </c>
      <c r="C221" s="70" t="s">
        <v>1032</v>
      </c>
      <c r="D221" s="258" t="s">
        <v>693</v>
      </c>
      <c r="E221" s="50">
        <v>3430061224</v>
      </c>
      <c r="F221" s="55">
        <v>45800</v>
      </c>
      <c r="G221" s="26" t="s">
        <v>55</v>
      </c>
      <c r="H221" s="26">
        <v>10</v>
      </c>
      <c r="I221" s="56">
        <v>582120</v>
      </c>
      <c r="J221" s="26">
        <v>3</v>
      </c>
      <c r="K221" s="321">
        <f t="shared" si="4"/>
        <v>194040</v>
      </c>
      <c r="L221" s="57">
        <v>45748</v>
      </c>
      <c r="M221" s="57">
        <v>46112</v>
      </c>
      <c r="N221" s="58" t="s">
        <v>19</v>
      </c>
      <c r="O221" s="82" t="s">
        <v>5</v>
      </c>
      <c r="P221" s="26"/>
      <c r="Q221" s="160" t="s">
        <v>357</v>
      </c>
      <c r="R221" s="58" t="s">
        <v>1033</v>
      </c>
      <c r="S221" s="59" t="s">
        <v>665</v>
      </c>
      <c r="T221" s="58" t="s">
        <v>1034</v>
      </c>
      <c r="U221" s="59" t="s">
        <v>361</v>
      </c>
      <c r="V221" s="58" t="s">
        <v>782</v>
      </c>
      <c r="W221" s="58"/>
      <c r="X221" s="58"/>
      <c r="Y221" s="58"/>
      <c r="Z221" s="58"/>
      <c r="AA221" s="58"/>
      <c r="AB221" s="58"/>
      <c r="AC221" s="58" t="s">
        <v>128</v>
      </c>
      <c r="AD221" s="26" t="s">
        <v>129</v>
      </c>
      <c r="AE221" s="26">
        <v>2</v>
      </c>
      <c r="AF221" s="117" t="s">
        <v>1035</v>
      </c>
    </row>
    <row r="222" spans="2:32" ht="14.4" x14ac:dyDescent="0.3">
      <c r="B222" s="16" t="s">
        <v>14</v>
      </c>
      <c r="C222" s="103" t="s">
        <v>1032</v>
      </c>
      <c r="D222" s="256" t="s">
        <v>1036</v>
      </c>
      <c r="E222" s="84">
        <v>4430017625</v>
      </c>
      <c r="F222" s="43">
        <v>45829</v>
      </c>
      <c r="G222" s="42" t="s">
        <v>55</v>
      </c>
      <c r="H222" s="42">
        <v>3</v>
      </c>
      <c r="I222" s="61">
        <v>350000</v>
      </c>
      <c r="J222" s="42">
        <v>2</v>
      </c>
      <c r="K222" s="321">
        <f t="shared" si="4"/>
        <v>175000</v>
      </c>
      <c r="L222" s="62">
        <v>45839</v>
      </c>
      <c r="M222" s="62">
        <v>46203</v>
      </c>
      <c r="N222" s="63" t="s">
        <v>998</v>
      </c>
      <c r="O222" s="82" t="s">
        <v>9</v>
      </c>
      <c r="P222" s="42"/>
      <c r="Q222" s="64" t="s">
        <v>483</v>
      </c>
      <c r="R222" s="63" t="s">
        <v>423</v>
      </c>
      <c r="S222" s="63" t="s">
        <v>607</v>
      </c>
      <c r="T222" s="63"/>
      <c r="U222" s="63"/>
      <c r="V222" s="63"/>
      <c r="W222" s="63"/>
      <c r="X222" s="63"/>
      <c r="Y222" s="63"/>
      <c r="Z222" s="63"/>
      <c r="AA222" s="63"/>
      <c r="AB222" s="63"/>
      <c r="AC222" s="63" t="s">
        <v>834</v>
      </c>
      <c r="AD222" s="16" t="s">
        <v>207</v>
      </c>
      <c r="AE222" s="42">
        <v>2</v>
      </c>
      <c r="AF222" s="142" t="s">
        <v>1035</v>
      </c>
    </row>
    <row r="223" spans="2:32" ht="14.4" x14ac:dyDescent="0.3">
      <c r="B223" s="16" t="s">
        <v>14</v>
      </c>
      <c r="C223" s="132" t="s">
        <v>595</v>
      </c>
      <c r="D223" s="81" t="s">
        <v>1000</v>
      </c>
      <c r="E223" s="161">
        <v>3110015090</v>
      </c>
      <c r="F223" s="43">
        <v>45792</v>
      </c>
      <c r="G223" s="42" t="s">
        <v>55</v>
      </c>
      <c r="H223" s="42">
        <v>10</v>
      </c>
      <c r="I223" s="61">
        <v>600000</v>
      </c>
      <c r="J223" s="42">
        <v>3</v>
      </c>
      <c r="K223" s="321">
        <f t="shared" si="4"/>
        <v>200000</v>
      </c>
      <c r="L223" s="62">
        <v>45778</v>
      </c>
      <c r="M223" s="62">
        <v>46142</v>
      </c>
      <c r="N223" s="63" t="s">
        <v>19</v>
      </c>
      <c r="O223" s="82" t="s">
        <v>6</v>
      </c>
      <c r="P223" s="42"/>
      <c r="Q223" s="64" t="s">
        <v>343</v>
      </c>
      <c r="R223" s="63" t="s">
        <v>394</v>
      </c>
      <c r="S223" s="64" t="s">
        <v>345</v>
      </c>
      <c r="T223" s="63" t="s">
        <v>1001</v>
      </c>
      <c r="U223" s="64" t="s">
        <v>347</v>
      </c>
      <c r="V223" s="63" t="s">
        <v>114</v>
      </c>
      <c r="W223" s="63"/>
      <c r="X223" s="63"/>
      <c r="Y223" s="63"/>
      <c r="Z223" s="63"/>
      <c r="AA223" s="63"/>
      <c r="AB223" s="63"/>
      <c r="AC223" s="63" t="s">
        <v>507</v>
      </c>
      <c r="AD223" s="16" t="s">
        <v>63</v>
      </c>
      <c r="AE223" s="42">
        <v>3</v>
      </c>
      <c r="AF223" s="63" t="s">
        <v>1037</v>
      </c>
    </row>
    <row r="224" spans="2:32" ht="14.4" x14ac:dyDescent="0.3">
      <c r="B224" s="16" t="s">
        <v>14</v>
      </c>
      <c r="C224" s="94" t="s">
        <v>614</v>
      </c>
      <c r="D224" s="162" t="s">
        <v>1016</v>
      </c>
      <c r="E224" s="95" t="s">
        <v>1038</v>
      </c>
      <c r="F224" s="60">
        <v>45810</v>
      </c>
      <c r="G224" s="42" t="s">
        <v>55</v>
      </c>
      <c r="H224" s="42">
        <v>12</v>
      </c>
      <c r="I224" s="61">
        <f>76440*12</f>
        <v>917280</v>
      </c>
      <c r="J224" s="42">
        <v>3</v>
      </c>
      <c r="K224" s="321"/>
      <c r="L224" s="62">
        <v>45809</v>
      </c>
      <c r="M224" s="62">
        <v>46173</v>
      </c>
      <c r="N224" s="63" t="s">
        <v>520</v>
      </c>
      <c r="O224" s="82" t="s">
        <v>9</v>
      </c>
      <c r="P224" s="42"/>
      <c r="Q224" s="64" t="s">
        <v>81</v>
      </c>
      <c r="R224" s="63" t="s">
        <v>1039</v>
      </c>
      <c r="S224" s="64" t="s">
        <v>83</v>
      </c>
      <c r="T224" s="63" t="s">
        <v>441</v>
      </c>
      <c r="U224" s="63" t="s">
        <v>404</v>
      </c>
      <c r="V224" s="63"/>
      <c r="W224" s="63"/>
      <c r="X224" s="63"/>
      <c r="Y224" s="63"/>
      <c r="Z224" s="63"/>
      <c r="AA224" s="63"/>
      <c r="AB224" s="63"/>
      <c r="AC224" s="63" t="s">
        <v>619</v>
      </c>
      <c r="AD224" s="16" t="s">
        <v>63</v>
      </c>
      <c r="AE224" s="42">
        <v>3</v>
      </c>
      <c r="AF224" s="105" t="s">
        <v>1040</v>
      </c>
    </row>
    <row r="225" spans="2:32" ht="14.4" x14ac:dyDescent="0.3">
      <c r="B225" s="16" t="s">
        <v>14</v>
      </c>
      <c r="C225" s="68" t="s">
        <v>1041</v>
      </c>
      <c r="D225" s="135" t="s">
        <v>1016</v>
      </c>
      <c r="E225" s="84">
        <v>4220019956</v>
      </c>
      <c r="F225" s="43">
        <v>45802</v>
      </c>
      <c r="G225" s="42" t="s">
        <v>55</v>
      </c>
      <c r="H225" s="42">
        <v>3</v>
      </c>
      <c r="I225" s="61">
        <v>218592</v>
      </c>
      <c r="J225" s="42">
        <v>3</v>
      </c>
      <c r="K225" s="321">
        <f t="shared" si="4"/>
        <v>72864</v>
      </c>
      <c r="L225" s="62">
        <v>45748</v>
      </c>
      <c r="M225" s="62">
        <v>46112</v>
      </c>
      <c r="N225" s="63" t="s">
        <v>19</v>
      </c>
      <c r="O225" s="82" t="s">
        <v>3</v>
      </c>
      <c r="P225" s="42"/>
      <c r="Q225" s="64" t="s">
        <v>357</v>
      </c>
      <c r="R225" s="63" t="s">
        <v>806</v>
      </c>
      <c r="S225" s="64" t="s">
        <v>665</v>
      </c>
      <c r="T225" s="63" t="s">
        <v>191</v>
      </c>
      <c r="U225" s="64" t="s">
        <v>361</v>
      </c>
      <c r="V225" s="63" t="s">
        <v>1042</v>
      </c>
      <c r="W225" s="63"/>
      <c r="X225" s="63"/>
      <c r="Y225" s="63"/>
      <c r="Z225" s="63"/>
      <c r="AA225" s="63"/>
      <c r="AB225" s="63"/>
      <c r="AC225" s="63" t="s">
        <v>619</v>
      </c>
      <c r="AD225" s="16" t="s">
        <v>63</v>
      </c>
      <c r="AE225" s="42">
        <v>3</v>
      </c>
      <c r="AF225" s="63" t="s">
        <v>667</v>
      </c>
    </row>
    <row r="226" spans="2:32" ht="14.4" x14ac:dyDescent="0.3">
      <c r="B226" s="16" t="s">
        <v>14</v>
      </c>
      <c r="C226" s="142" t="s">
        <v>1043</v>
      </c>
      <c r="D226" s="249" t="s">
        <v>151</v>
      </c>
      <c r="E226" s="84">
        <v>8176740</v>
      </c>
      <c r="F226" s="43">
        <v>45832</v>
      </c>
      <c r="G226" s="42" t="s">
        <v>55</v>
      </c>
      <c r="H226" s="42">
        <v>2</v>
      </c>
      <c r="I226" s="61">
        <v>155000</v>
      </c>
      <c r="J226" s="42">
        <v>3</v>
      </c>
      <c r="K226" s="321">
        <f t="shared" si="4"/>
        <v>51666.666666666664</v>
      </c>
      <c r="L226" s="62">
        <v>45901</v>
      </c>
      <c r="M226" s="62">
        <v>46265</v>
      </c>
      <c r="N226" s="63" t="s">
        <v>520</v>
      </c>
      <c r="O226" s="82" t="s">
        <v>9</v>
      </c>
      <c r="P226" s="42"/>
      <c r="Q226" s="64" t="s">
        <v>345</v>
      </c>
      <c r="R226" s="63" t="s">
        <v>147</v>
      </c>
      <c r="S226" s="64" t="s">
        <v>347</v>
      </c>
      <c r="T226" s="63" t="s">
        <v>1044</v>
      </c>
      <c r="U226" s="63" t="s">
        <v>348</v>
      </c>
      <c r="V226" s="63" t="s">
        <v>1045</v>
      </c>
      <c r="W226" s="63"/>
      <c r="X226" s="63"/>
      <c r="Y226" s="63"/>
      <c r="Z226" s="63"/>
      <c r="AA226" s="63"/>
      <c r="AB226" s="63"/>
      <c r="AC226" s="63" t="s">
        <v>478</v>
      </c>
      <c r="AD226" s="16" t="s">
        <v>63</v>
      </c>
      <c r="AE226" s="42">
        <v>3</v>
      </c>
      <c r="AF226" s="142" t="s">
        <v>1046</v>
      </c>
    </row>
    <row r="227" spans="2:32" ht="14.4" x14ac:dyDescent="0.3">
      <c r="B227" s="16" t="s">
        <v>14</v>
      </c>
      <c r="C227" s="94" t="s">
        <v>614</v>
      </c>
      <c r="D227" s="162" t="s">
        <v>1016</v>
      </c>
      <c r="E227" s="95" t="s">
        <v>1047</v>
      </c>
      <c r="F227" s="60">
        <v>45831</v>
      </c>
      <c r="G227" s="42" t="s">
        <v>55</v>
      </c>
      <c r="H227" s="42">
        <v>7</v>
      </c>
      <c r="I227" s="61">
        <v>535080</v>
      </c>
      <c r="J227" s="42">
        <v>3</v>
      </c>
      <c r="K227" s="321"/>
      <c r="L227" s="62">
        <v>45809</v>
      </c>
      <c r="M227" s="62">
        <v>46173</v>
      </c>
      <c r="N227" s="63" t="s">
        <v>520</v>
      </c>
      <c r="O227" s="82" t="s">
        <v>9</v>
      </c>
      <c r="P227" s="42"/>
      <c r="Q227" s="64" t="s">
        <v>81</v>
      </c>
      <c r="R227" s="63" t="s">
        <v>819</v>
      </c>
      <c r="S227" s="64" t="s">
        <v>83</v>
      </c>
      <c r="T227" s="63" t="s">
        <v>903</v>
      </c>
      <c r="U227" s="63" t="s">
        <v>404</v>
      </c>
      <c r="V227" s="63"/>
      <c r="W227" s="63"/>
      <c r="X227" s="63"/>
      <c r="Y227" s="63"/>
      <c r="Z227" s="63"/>
      <c r="AA227" s="63"/>
      <c r="AB227" s="63"/>
      <c r="AC227" s="63" t="s">
        <v>619</v>
      </c>
      <c r="AD227" s="16" t="s">
        <v>63</v>
      </c>
      <c r="AE227" s="42">
        <v>3</v>
      </c>
      <c r="AF227" s="63" t="s">
        <v>1048</v>
      </c>
    </row>
    <row r="228" spans="2:32" ht="14.4" x14ac:dyDescent="0.3">
      <c r="B228" s="16" t="s">
        <v>14</v>
      </c>
      <c r="C228" s="68" t="s">
        <v>1049</v>
      </c>
      <c r="D228" s="132" t="s">
        <v>447</v>
      </c>
      <c r="E228" s="101">
        <v>3300013521</v>
      </c>
      <c r="F228" s="43">
        <v>45832</v>
      </c>
      <c r="G228" s="42" t="s">
        <v>55</v>
      </c>
      <c r="H228" s="42">
        <v>1</v>
      </c>
      <c r="I228" s="61">
        <v>109500</v>
      </c>
      <c r="J228" s="42">
        <v>4</v>
      </c>
      <c r="K228" s="321">
        <f t="shared" si="4"/>
        <v>27375</v>
      </c>
      <c r="L228" s="62">
        <v>45778</v>
      </c>
      <c r="M228" s="62">
        <v>46142</v>
      </c>
      <c r="N228" s="7" t="s">
        <v>19</v>
      </c>
      <c r="O228" s="42" t="s">
        <v>5</v>
      </c>
      <c r="P228" s="42"/>
      <c r="Q228" s="64" t="s">
        <v>266</v>
      </c>
      <c r="R228" s="63" t="s">
        <v>145</v>
      </c>
      <c r="S228" s="64" t="s">
        <v>267</v>
      </c>
      <c r="T228" s="63" t="s">
        <v>452</v>
      </c>
      <c r="U228" s="64" t="s">
        <v>269</v>
      </c>
      <c r="V228" s="63" t="s">
        <v>320</v>
      </c>
      <c r="W228" s="64" t="s">
        <v>442</v>
      </c>
      <c r="X228" s="63" t="s">
        <v>1050</v>
      </c>
      <c r="Y228" s="63"/>
      <c r="Z228" s="63"/>
      <c r="AA228" s="63"/>
      <c r="AB228" s="63"/>
      <c r="AC228" s="63" t="s">
        <v>281</v>
      </c>
      <c r="AD228" s="42" t="s">
        <v>97</v>
      </c>
      <c r="AE228" s="42" t="s">
        <v>494</v>
      </c>
      <c r="AF228" s="63" t="s">
        <v>667</v>
      </c>
    </row>
    <row r="229" spans="2:32" ht="14.4" x14ac:dyDescent="0.3">
      <c r="B229" s="16" t="s">
        <v>14</v>
      </c>
      <c r="C229" s="68" t="s">
        <v>195</v>
      </c>
      <c r="D229" s="132" t="s">
        <v>1051</v>
      </c>
      <c r="E229" s="101" t="s">
        <v>1052</v>
      </c>
      <c r="F229" s="43">
        <v>45834</v>
      </c>
      <c r="G229" s="42" t="s">
        <v>55</v>
      </c>
      <c r="H229" s="42">
        <v>6</v>
      </c>
      <c r="I229" s="61">
        <v>497859.84000000003</v>
      </c>
      <c r="J229" s="42">
        <v>3</v>
      </c>
      <c r="K229" s="321">
        <f t="shared" si="4"/>
        <v>165953.28</v>
      </c>
      <c r="L229" s="62">
        <v>45834</v>
      </c>
      <c r="M229" s="62">
        <v>46198</v>
      </c>
      <c r="N229" s="63" t="s">
        <v>520</v>
      </c>
      <c r="O229" s="82" t="s">
        <v>9</v>
      </c>
      <c r="P229" s="42"/>
      <c r="Q229" s="64" t="s">
        <v>1053</v>
      </c>
      <c r="R229" s="63" t="s">
        <v>1054</v>
      </c>
      <c r="S229" s="64" t="s">
        <v>1055</v>
      </c>
      <c r="T229" s="63" t="s">
        <v>1056</v>
      </c>
      <c r="U229" s="63" t="s">
        <v>1057</v>
      </c>
      <c r="V229" s="63"/>
      <c r="W229" s="63"/>
      <c r="X229" s="63"/>
      <c r="Y229" s="63"/>
      <c r="Z229" s="63"/>
      <c r="AA229" s="63"/>
      <c r="AB229" s="63"/>
      <c r="AC229" s="63" t="s">
        <v>281</v>
      </c>
      <c r="AD229" s="42" t="s">
        <v>97</v>
      </c>
      <c r="AE229" s="42">
        <v>3</v>
      </c>
      <c r="AF229" s="63" t="s">
        <v>667</v>
      </c>
    </row>
    <row r="230" spans="2:32" ht="14.4" x14ac:dyDescent="0.3">
      <c r="B230" s="16" t="s">
        <v>14</v>
      </c>
      <c r="C230" s="97" t="s">
        <v>614</v>
      </c>
      <c r="D230" s="259" t="s">
        <v>447</v>
      </c>
      <c r="E230" s="163" t="s">
        <v>1058</v>
      </c>
      <c r="F230" s="136">
        <v>45821</v>
      </c>
      <c r="G230" s="42" t="s">
        <v>55</v>
      </c>
      <c r="H230" s="42">
        <v>15</v>
      </c>
      <c r="I230" s="61">
        <v>1146600</v>
      </c>
      <c r="J230" s="42">
        <v>3</v>
      </c>
      <c r="K230" s="321"/>
      <c r="L230" s="62">
        <v>45809</v>
      </c>
      <c r="M230" s="62">
        <v>46173</v>
      </c>
      <c r="N230" s="63" t="s">
        <v>520</v>
      </c>
      <c r="O230" s="82" t="s">
        <v>9</v>
      </c>
      <c r="P230" s="42"/>
      <c r="Q230" s="64" t="s">
        <v>81</v>
      </c>
      <c r="R230" s="63" t="s">
        <v>811</v>
      </c>
      <c r="S230" s="64" t="s">
        <v>83</v>
      </c>
      <c r="T230" s="63" t="s">
        <v>1059</v>
      </c>
      <c r="U230" s="63" t="s">
        <v>404</v>
      </c>
      <c r="V230" s="63"/>
      <c r="W230" s="63"/>
      <c r="X230" s="63"/>
      <c r="Y230" s="63"/>
      <c r="Z230" s="63"/>
      <c r="AA230" s="63"/>
      <c r="AB230" s="63"/>
      <c r="AC230" s="63" t="s">
        <v>281</v>
      </c>
      <c r="AD230" s="42" t="s">
        <v>97</v>
      </c>
      <c r="AE230" s="42">
        <v>3</v>
      </c>
      <c r="AF230" s="63" t="s">
        <v>1060</v>
      </c>
    </row>
    <row r="231" spans="2:32" ht="15" customHeight="1" x14ac:dyDescent="0.3">
      <c r="B231" s="16" t="s">
        <v>14</v>
      </c>
      <c r="C231" s="74" t="s">
        <v>789</v>
      </c>
      <c r="D231" s="260" t="s">
        <v>629</v>
      </c>
      <c r="E231" s="164">
        <v>8480224138</v>
      </c>
      <c r="F231" s="55">
        <v>45818</v>
      </c>
      <c r="G231" s="26" t="s">
        <v>55</v>
      </c>
      <c r="H231" s="26">
        <v>10</v>
      </c>
      <c r="I231" s="56">
        <v>764400</v>
      </c>
      <c r="J231" s="26">
        <v>3</v>
      </c>
      <c r="K231" s="321"/>
      <c r="L231" s="57">
        <v>45809</v>
      </c>
      <c r="M231" s="57">
        <v>46173</v>
      </c>
      <c r="N231" s="58" t="s">
        <v>19</v>
      </c>
      <c r="O231" s="26" t="s">
        <v>6</v>
      </c>
      <c r="P231" s="26"/>
      <c r="Q231" s="59" t="s">
        <v>81</v>
      </c>
      <c r="R231" s="58" t="s">
        <v>492</v>
      </c>
      <c r="S231" s="59" t="s">
        <v>83</v>
      </c>
      <c r="T231" s="58" t="s">
        <v>346</v>
      </c>
      <c r="U231" s="59" t="s">
        <v>404</v>
      </c>
      <c r="V231" s="58" t="s">
        <v>1719</v>
      </c>
      <c r="W231" s="58"/>
      <c r="X231" s="58"/>
      <c r="Y231" s="58"/>
      <c r="Z231" s="58"/>
      <c r="AA231" s="58"/>
      <c r="AB231" s="58"/>
      <c r="AC231" s="58" t="s">
        <v>485</v>
      </c>
      <c r="AD231" s="16" t="s">
        <v>63</v>
      </c>
      <c r="AE231" s="26">
        <v>3</v>
      </c>
      <c r="AF231" s="58" t="s">
        <v>1060</v>
      </c>
    </row>
    <row r="232" spans="2:32" ht="14.4" x14ac:dyDescent="0.3">
      <c r="B232" s="16" t="s">
        <v>14</v>
      </c>
      <c r="C232" s="68" t="s">
        <v>1061</v>
      </c>
      <c r="D232" s="132" t="s">
        <v>841</v>
      </c>
      <c r="E232" s="101">
        <v>326050136</v>
      </c>
      <c r="F232" s="43">
        <v>45831</v>
      </c>
      <c r="G232" s="42" t="s">
        <v>55</v>
      </c>
      <c r="H232" s="42">
        <v>1</v>
      </c>
      <c r="I232" s="61">
        <v>90000</v>
      </c>
      <c r="J232" s="42">
        <v>3</v>
      </c>
      <c r="K232" s="321">
        <f t="shared" si="4"/>
        <v>30000</v>
      </c>
      <c r="L232" s="62">
        <v>45809</v>
      </c>
      <c r="M232" s="62">
        <v>46173</v>
      </c>
      <c r="N232" s="63" t="s">
        <v>19</v>
      </c>
      <c r="O232" s="26" t="s">
        <v>6</v>
      </c>
      <c r="P232" s="42" t="s">
        <v>1</v>
      </c>
      <c r="Q232" s="64" t="s">
        <v>81</v>
      </c>
      <c r="R232" s="63" t="s">
        <v>431</v>
      </c>
      <c r="S232" s="64" t="s">
        <v>83</v>
      </c>
      <c r="T232" s="63" t="s">
        <v>765</v>
      </c>
      <c r="U232" s="64" t="s">
        <v>404</v>
      </c>
      <c r="V232" s="63" t="s">
        <v>820</v>
      </c>
      <c r="W232" s="63"/>
      <c r="X232" s="63"/>
      <c r="Y232" s="63"/>
      <c r="Z232" s="63"/>
      <c r="AA232" s="63"/>
      <c r="AB232" s="63"/>
      <c r="AC232" s="63" t="s">
        <v>485</v>
      </c>
      <c r="AD232" s="16" t="s">
        <v>63</v>
      </c>
      <c r="AE232" s="42">
        <v>3</v>
      </c>
      <c r="AF232" s="63" t="s">
        <v>667</v>
      </c>
    </row>
    <row r="233" spans="2:32" ht="14.4" x14ac:dyDescent="0.3">
      <c r="B233" s="16" t="s">
        <v>14</v>
      </c>
      <c r="C233" s="68" t="s">
        <v>1062</v>
      </c>
      <c r="D233" s="135" t="s">
        <v>388</v>
      </c>
      <c r="E233" s="84">
        <v>3006483602</v>
      </c>
      <c r="F233" s="43">
        <v>45840</v>
      </c>
      <c r="G233" s="42" t="s">
        <v>55</v>
      </c>
      <c r="H233" s="42">
        <v>1</v>
      </c>
      <c r="I233" s="61">
        <v>87500</v>
      </c>
      <c r="J233" s="42">
        <v>2</v>
      </c>
      <c r="K233" s="321">
        <f t="shared" si="4"/>
        <v>43750</v>
      </c>
      <c r="L233" s="62">
        <v>45839</v>
      </c>
      <c r="M233" s="165">
        <v>46203</v>
      </c>
      <c r="N233" s="63" t="s">
        <v>520</v>
      </c>
      <c r="O233" s="26" t="s">
        <v>11</v>
      </c>
      <c r="P233" s="42"/>
      <c r="Q233" s="64" t="s">
        <v>483</v>
      </c>
      <c r="R233" s="63" t="s">
        <v>709</v>
      </c>
      <c r="S233" s="63" t="s">
        <v>607</v>
      </c>
      <c r="T233" s="63"/>
      <c r="U233" s="63"/>
      <c r="V233" s="63"/>
      <c r="W233" s="63"/>
      <c r="X233" s="63"/>
      <c r="Y233" s="63"/>
      <c r="Z233" s="63"/>
      <c r="AA233" s="63"/>
      <c r="AB233" s="63"/>
      <c r="AC233" s="63" t="s">
        <v>619</v>
      </c>
      <c r="AD233" s="16" t="s">
        <v>63</v>
      </c>
      <c r="AE233" s="42">
        <v>2</v>
      </c>
      <c r="AF233" s="63" t="s">
        <v>799</v>
      </c>
    </row>
    <row r="234" spans="2:32" ht="14.4" x14ac:dyDescent="0.3">
      <c r="B234" s="16" t="s">
        <v>14</v>
      </c>
      <c r="C234" s="142" t="s">
        <v>1063</v>
      </c>
      <c r="D234" s="249" t="s">
        <v>151</v>
      </c>
      <c r="E234" s="84" t="s">
        <v>1064</v>
      </c>
      <c r="F234" s="43">
        <v>45723</v>
      </c>
      <c r="G234" s="42" t="s">
        <v>55</v>
      </c>
      <c r="H234" s="42">
        <v>4</v>
      </c>
      <c r="I234" s="61">
        <v>340000</v>
      </c>
      <c r="J234" s="42">
        <v>3</v>
      </c>
      <c r="K234" s="321">
        <f t="shared" si="4"/>
        <v>113333.33333333333</v>
      </c>
      <c r="L234" s="62">
        <v>45839</v>
      </c>
      <c r="M234" s="165">
        <v>46203</v>
      </c>
      <c r="N234" s="63" t="s">
        <v>520</v>
      </c>
      <c r="O234" s="26" t="s">
        <v>11</v>
      </c>
      <c r="P234" s="42" t="s">
        <v>1</v>
      </c>
      <c r="Q234" s="64" t="s">
        <v>190</v>
      </c>
      <c r="R234" s="63" t="s">
        <v>886</v>
      </c>
      <c r="S234" s="64" t="s">
        <v>192</v>
      </c>
      <c r="T234" s="63" t="s">
        <v>1065</v>
      </c>
      <c r="U234" s="63" t="s">
        <v>194</v>
      </c>
      <c r="V234" s="63"/>
      <c r="W234" s="63"/>
      <c r="X234" s="63"/>
      <c r="Y234" s="63"/>
      <c r="Z234" s="63"/>
      <c r="AA234" s="63"/>
      <c r="AB234" s="63"/>
      <c r="AC234" s="63" t="s">
        <v>507</v>
      </c>
      <c r="AD234" s="16" t="s">
        <v>63</v>
      </c>
      <c r="AE234" s="42">
        <v>3</v>
      </c>
      <c r="AF234" s="63" t="s">
        <v>1066</v>
      </c>
    </row>
    <row r="235" spans="2:32" ht="14.4" x14ac:dyDescent="0.3">
      <c r="B235" s="16" t="s">
        <v>14</v>
      </c>
      <c r="C235" s="97" t="s">
        <v>614</v>
      </c>
      <c r="D235" s="252" t="s">
        <v>447</v>
      </c>
      <c r="E235" s="166" t="s">
        <v>1067</v>
      </c>
      <c r="F235" s="43">
        <v>45827</v>
      </c>
      <c r="G235" s="42" t="s">
        <v>55</v>
      </c>
      <c r="H235" s="42">
        <v>1</v>
      </c>
      <c r="I235" s="61">
        <v>76440</v>
      </c>
      <c r="J235" s="42">
        <v>3</v>
      </c>
      <c r="K235" s="321">
        <f t="shared" si="4"/>
        <v>25480</v>
      </c>
      <c r="L235" s="62">
        <v>45809</v>
      </c>
      <c r="M235" s="165">
        <v>46173</v>
      </c>
      <c r="N235" s="63" t="s">
        <v>19</v>
      </c>
      <c r="O235" s="26" t="s">
        <v>6</v>
      </c>
      <c r="P235" s="42"/>
      <c r="Q235" s="167" t="s">
        <v>81</v>
      </c>
      <c r="R235" s="63" t="s">
        <v>431</v>
      </c>
      <c r="S235" s="64" t="s">
        <v>83</v>
      </c>
      <c r="T235" s="63" t="s">
        <v>1059</v>
      </c>
      <c r="U235" s="64" t="s">
        <v>887</v>
      </c>
      <c r="V235" s="63" t="s">
        <v>712</v>
      </c>
      <c r="W235" s="63"/>
      <c r="X235" s="63"/>
      <c r="Y235" s="63"/>
      <c r="Z235" s="63"/>
      <c r="AA235" s="63"/>
      <c r="AB235" s="63"/>
      <c r="AC235" s="63" t="s">
        <v>281</v>
      </c>
      <c r="AD235" s="42" t="s">
        <v>97</v>
      </c>
      <c r="AE235" s="42">
        <v>3</v>
      </c>
      <c r="AF235" s="63" t="s">
        <v>1068</v>
      </c>
    </row>
    <row r="236" spans="2:32" ht="14.4" x14ac:dyDescent="0.3">
      <c r="B236" s="16" t="s">
        <v>14</v>
      </c>
      <c r="C236" s="68" t="s">
        <v>1069</v>
      </c>
      <c r="D236" s="261" t="s">
        <v>151</v>
      </c>
      <c r="E236" s="168">
        <v>4400012768</v>
      </c>
      <c r="F236" s="43">
        <v>45845</v>
      </c>
      <c r="G236" s="42" t="s">
        <v>55</v>
      </c>
      <c r="H236" s="42">
        <v>1</v>
      </c>
      <c r="I236" s="61">
        <v>46000</v>
      </c>
      <c r="J236" s="42">
        <v>3</v>
      </c>
      <c r="K236" s="321">
        <f t="shared" si="4"/>
        <v>15333.333333333334</v>
      </c>
      <c r="L236" s="62">
        <v>45839</v>
      </c>
      <c r="M236" s="62">
        <v>46203</v>
      </c>
      <c r="N236" s="63" t="s">
        <v>19</v>
      </c>
      <c r="O236" s="26" t="s">
        <v>9</v>
      </c>
      <c r="P236" s="42"/>
      <c r="Q236" s="64" t="s">
        <v>190</v>
      </c>
      <c r="R236" s="63" t="s">
        <v>611</v>
      </c>
      <c r="S236" s="64" t="s">
        <v>192</v>
      </c>
      <c r="T236" s="63" t="s">
        <v>430</v>
      </c>
      <c r="U236" s="64" t="s">
        <v>194</v>
      </c>
      <c r="V236" s="63" t="s">
        <v>1712</v>
      </c>
      <c r="W236" s="63"/>
      <c r="X236" s="63"/>
      <c r="Y236" s="63"/>
      <c r="Z236" s="63"/>
      <c r="AA236" s="63"/>
      <c r="AB236" s="63"/>
      <c r="AC236" s="63" t="s">
        <v>478</v>
      </c>
      <c r="AD236" s="16" t="s">
        <v>63</v>
      </c>
      <c r="AE236" s="42">
        <v>5</v>
      </c>
      <c r="AF236" s="63" t="s">
        <v>667</v>
      </c>
    </row>
    <row r="237" spans="2:32" ht="14.4" x14ac:dyDescent="0.3">
      <c r="B237" s="16" t="s">
        <v>14</v>
      </c>
      <c r="C237" s="68" t="s">
        <v>954</v>
      </c>
      <c r="D237" s="132" t="s">
        <v>1070</v>
      </c>
      <c r="E237" s="84">
        <v>4601465628</v>
      </c>
      <c r="F237" s="43">
        <v>45845</v>
      </c>
      <c r="G237" s="42" t="s">
        <v>55</v>
      </c>
      <c r="H237" s="42">
        <v>1</v>
      </c>
      <c r="I237" s="61">
        <v>85000</v>
      </c>
      <c r="J237" s="42">
        <v>1</v>
      </c>
      <c r="K237" s="321">
        <f t="shared" si="4"/>
        <v>85000</v>
      </c>
      <c r="L237" s="62">
        <v>45839</v>
      </c>
      <c r="M237" s="62">
        <v>46203</v>
      </c>
      <c r="N237" s="63" t="s">
        <v>520</v>
      </c>
      <c r="O237" s="26" t="s">
        <v>11</v>
      </c>
      <c r="P237" s="42"/>
      <c r="Q237" s="64" t="s">
        <v>1071</v>
      </c>
      <c r="R237" s="63" t="s">
        <v>618</v>
      </c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 t="s">
        <v>478</v>
      </c>
      <c r="AD237" s="16" t="s">
        <v>63</v>
      </c>
      <c r="AE237" s="42">
        <v>3</v>
      </c>
      <c r="AF237" s="63" t="s">
        <v>667</v>
      </c>
    </row>
    <row r="238" spans="2:32" ht="14.4" x14ac:dyDescent="0.3">
      <c r="B238" s="16" t="s">
        <v>14</v>
      </c>
      <c r="C238" s="68" t="s">
        <v>954</v>
      </c>
      <c r="D238" s="132" t="s">
        <v>1072</v>
      </c>
      <c r="E238" s="84">
        <v>4601465566</v>
      </c>
      <c r="F238" s="43">
        <v>45845</v>
      </c>
      <c r="G238" s="42" t="s">
        <v>55</v>
      </c>
      <c r="H238" s="42">
        <v>1</v>
      </c>
      <c r="I238" s="61">
        <v>85000</v>
      </c>
      <c r="J238" s="42">
        <v>1</v>
      </c>
      <c r="K238" s="321">
        <f t="shared" si="4"/>
        <v>85000</v>
      </c>
      <c r="L238" s="62">
        <v>45839</v>
      </c>
      <c r="M238" s="62">
        <v>46203</v>
      </c>
      <c r="N238" s="63" t="s">
        <v>520</v>
      </c>
      <c r="O238" s="26" t="s">
        <v>11</v>
      </c>
      <c r="P238" s="42"/>
      <c r="Q238" s="64" t="s">
        <v>1071</v>
      </c>
      <c r="R238" s="63" t="s">
        <v>618</v>
      </c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 t="s">
        <v>478</v>
      </c>
      <c r="AD238" s="16" t="s">
        <v>63</v>
      </c>
      <c r="AE238" s="42">
        <v>3</v>
      </c>
      <c r="AF238" s="63" t="s">
        <v>667</v>
      </c>
    </row>
    <row r="239" spans="2:32" ht="14.4" x14ac:dyDescent="0.3">
      <c r="B239" s="16" t="s">
        <v>14</v>
      </c>
      <c r="C239" s="39" t="s">
        <v>1073</v>
      </c>
      <c r="D239" s="232" t="s">
        <v>1074</v>
      </c>
      <c r="E239" s="169">
        <v>440000458</v>
      </c>
      <c r="F239" s="55">
        <v>45834</v>
      </c>
      <c r="G239" s="26" t="s">
        <v>55</v>
      </c>
      <c r="H239" s="26">
        <v>3</v>
      </c>
      <c r="I239" s="170">
        <v>243000</v>
      </c>
      <c r="J239" s="26">
        <v>2</v>
      </c>
      <c r="K239" s="321">
        <f t="shared" si="4"/>
        <v>121500</v>
      </c>
      <c r="L239" s="57">
        <v>45839</v>
      </c>
      <c r="M239" s="57">
        <v>46022</v>
      </c>
      <c r="N239" s="58" t="s">
        <v>520</v>
      </c>
      <c r="O239" s="26" t="s">
        <v>11</v>
      </c>
      <c r="P239" s="26" t="s">
        <v>1</v>
      </c>
      <c r="Q239" s="59" t="s">
        <v>168</v>
      </c>
      <c r="R239" s="58" t="s">
        <v>505</v>
      </c>
      <c r="S239" s="59" t="s">
        <v>228</v>
      </c>
      <c r="T239" s="58" t="s">
        <v>1075</v>
      </c>
      <c r="U239" s="58"/>
      <c r="V239" s="58"/>
      <c r="W239" s="58"/>
      <c r="X239" s="58"/>
      <c r="Y239" s="58"/>
      <c r="Z239" s="58"/>
      <c r="AA239" s="58"/>
      <c r="AB239" s="58"/>
      <c r="AC239" s="58" t="s">
        <v>551</v>
      </c>
      <c r="AD239" s="16" t="s">
        <v>207</v>
      </c>
      <c r="AE239" s="26">
        <v>2</v>
      </c>
      <c r="AF239" s="58" t="s">
        <v>1076</v>
      </c>
    </row>
    <row r="240" spans="2:32" ht="14.4" hidden="1" x14ac:dyDescent="0.3">
      <c r="B240" s="16" t="s">
        <v>14</v>
      </c>
      <c r="C240" s="39" t="s">
        <v>1073</v>
      </c>
      <c r="D240" s="232" t="s">
        <v>1074</v>
      </c>
      <c r="E240" s="169">
        <v>440000458</v>
      </c>
      <c r="F240" s="55">
        <v>45834</v>
      </c>
      <c r="G240" s="26" t="s">
        <v>55</v>
      </c>
      <c r="H240" s="26"/>
      <c r="I240" s="170">
        <v>518700</v>
      </c>
      <c r="J240" s="26">
        <v>3</v>
      </c>
      <c r="K240" s="321">
        <f t="shared" si="4"/>
        <v>172900</v>
      </c>
      <c r="L240" s="57">
        <v>46023</v>
      </c>
      <c r="M240" s="57">
        <v>46387</v>
      </c>
      <c r="N240" s="58" t="s">
        <v>520</v>
      </c>
      <c r="O240" s="26" t="s">
        <v>11</v>
      </c>
      <c r="P240" s="26" t="s">
        <v>1</v>
      </c>
      <c r="Q240" s="59" t="s">
        <v>347</v>
      </c>
      <c r="R240" s="58" t="s">
        <v>1056</v>
      </c>
      <c r="S240" s="58" t="s">
        <v>348</v>
      </c>
      <c r="T240" s="58"/>
      <c r="U240" s="58" t="s">
        <v>349</v>
      </c>
      <c r="V240" s="58"/>
      <c r="W240" s="58"/>
      <c r="X240" s="58"/>
      <c r="Y240" s="58"/>
      <c r="Z240" s="58"/>
      <c r="AA240" s="58"/>
      <c r="AB240" s="58"/>
      <c r="AC240" s="58" t="s">
        <v>551</v>
      </c>
      <c r="AD240" s="16" t="s">
        <v>207</v>
      </c>
      <c r="AE240" s="26">
        <v>3</v>
      </c>
      <c r="AF240" s="58" t="s">
        <v>1076</v>
      </c>
    </row>
    <row r="241" spans="1:32" ht="14.4" hidden="1" x14ac:dyDescent="0.3">
      <c r="B241" s="16" t="s">
        <v>14</v>
      </c>
      <c r="C241" s="39" t="s">
        <v>1073</v>
      </c>
      <c r="D241" s="232" t="s">
        <v>1074</v>
      </c>
      <c r="E241" s="169">
        <v>440000458</v>
      </c>
      <c r="F241" s="55">
        <v>45834</v>
      </c>
      <c r="G241" s="26" t="s">
        <v>55</v>
      </c>
      <c r="H241" s="26"/>
      <c r="I241" s="170">
        <v>518700</v>
      </c>
      <c r="J241" s="26">
        <v>3</v>
      </c>
      <c r="K241" s="321">
        <f t="shared" si="4"/>
        <v>172900</v>
      </c>
      <c r="L241" s="57">
        <v>46388</v>
      </c>
      <c r="M241" s="57">
        <v>46752</v>
      </c>
      <c r="N241" s="58" t="s">
        <v>520</v>
      </c>
      <c r="O241" s="26" t="s">
        <v>11</v>
      </c>
      <c r="P241" s="26" t="s">
        <v>1</v>
      </c>
      <c r="Q241" s="58" t="s">
        <v>738</v>
      </c>
      <c r="R241" s="58"/>
      <c r="S241" s="58" t="s">
        <v>1077</v>
      </c>
      <c r="T241" s="58"/>
      <c r="U241" s="58" t="s">
        <v>1078</v>
      </c>
      <c r="V241" s="58"/>
      <c r="W241" s="58"/>
      <c r="X241" s="58"/>
      <c r="Y241" s="58"/>
      <c r="Z241" s="58"/>
      <c r="AA241" s="58"/>
      <c r="AB241" s="58"/>
      <c r="AC241" s="58" t="s">
        <v>551</v>
      </c>
      <c r="AD241" s="16" t="s">
        <v>207</v>
      </c>
      <c r="AE241" s="26">
        <v>3</v>
      </c>
      <c r="AF241" s="58" t="s">
        <v>1076</v>
      </c>
    </row>
    <row r="242" spans="1:32" ht="14.4" x14ac:dyDescent="0.3">
      <c r="B242" s="16" t="s">
        <v>14</v>
      </c>
      <c r="C242" s="68" t="s">
        <v>775</v>
      </c>
      <c r="D242" s="132" t="s">
        <v>1079</v>
      </c>
      <c r="E242" s="84">
        <v>2700033067</v>
      </c>
      <c r="F242" s="43">
        <v>45848</v>
      </c>
      <c r="G242" s="42" t="s">
        <v>55</v>
      </c>
      <c r="H242" s="42">
        <v>2</v>
      </c>
      <c r="I242" s="61">
        <v>160000</v>
      </c>
      <c r="J242" s="42">
        <v>3</v>
      </c>
      <c r="K242" s="321">
        <f t="shared" si="4"/>
        <v>53333.333333333336</v>
      </c>
      <c r="L242" s="62">
        <v>45870</v>
      </c>
      <c r="M242" s="62">
        <v>46234</v>
      </c>
      <c r="N242" s="63" t="s">
        <v>520</v>
      </c>
      <c r="O242" s="26" t="s">
        <v>11</v>
      </c>
      <c r="P242" s="42"/>
      <c r="Q242" s="64" t="s">
        <v>665</v>
      </c>
      <c r="R242" s="63" t="s">
        <v>966</v>
      </c>
      <c r="S242" s="64" t="s">
        <v>361</v>
      </c>
      <c r="T242" s="63" t="s">
        <v>193</v>
      </c>
      <c r="U242" s="63" t="s">
        <v>1080</v>
      </c>
      <c r="V242" s="63"/>
      <c r="W242" s="63"/>
      <c r="X242" s="63"/>
      <c r="Y242" s="63"/>
      <c r="Z242" s="63"/>
      <c r="AA242" s="63"/>
      <c r="AB242" s="63"/>
      <c r="AC242" s="63" t="s">
        <v>551</v>
      </c>
      <c r="AD242" s="16" t="s">
        <v>207</v>
      </c>
      <c r="AE242" s="42">
        <v>3</v>
      </c>
      <c r="AF242" s="171">
        <v>1</v>
      </c>
    </row>
    <row r="243" spans="1:32" ht="15" customHeight="1" x14ac:dyDescent="0.3">
      <c r="B243" s="16" t="s">
        <v>14</v>
      </c>
      <c r="C243" s="68" t="s">
        <v>195</v>
      </c>
      <c r="D243" s="132" t="s">
        <v>447</v>
      </c>
      <c r="E243" s="101" t="s">
        <v>1081</v>
      </c>
      <c r="F243" s="43">
        <v>45852</v>
      </c>
      <c r="G243" s="42" t="s">
        <v>55</v>
      </c>
      <c r="H243" s="42">
        <v>1</v>
      </c>
      <c r="I243" s="61">
        <v>65500</v>
      </c>
      <c r="J243" s="42">
        <v>4</v>
      </c>
      <c r="K243" s="321">
        <f t="shared" si="4"/>
        <v>16375</v>
      </c>
      <c r="L243" s="62">
        <v>45853</v>
      </c>
      <c r="M243" s="62">
        <v>46217</v>
      </c>
      <c r="N243" s="63" t="s">
        <v>520</v>
      </c>
      <c r="O243" s="26" t="s">
        <v>11</v>
      </c>
      <c r="P243" s="42"/>
      <c r="Q243" s="64" t="s">
        <v>1082</v>
      </c>
      <c r="R243" s="63" t="s">
        <v>623</v>
      </c>
      <c r="S243" s="64" t="s">
        <v>1083</v>
      </c>
      <c r="T243" s="63" t="s">
        <v>865</v>
      </c>
      <c r="U243" s="64" t="s">
        <v>1084</v>
      </c>
      <c r="V243" s="63" t="s">
        <v>1085</v>
      </c>
      <c r="W243" s="63" t="s">
        <v>1086</v>
      </c>
      <c r="X243" s="63"/>
      <c r="Y243" s="63"/>
      <c r="Z243" s="63"/>
      <c r="AA243" s="63"/>
      <c r="AB243" s="63"/>
      <c r="AC243" s="63" t="s">
        <v>96</v>
      </c>
      <c r="AD243" s="42" t="s">
        <v>97</v>
      </c>
      <c r="AE243" s="42" t="s">
        <v>494</v>
      </c>
      <c r="AF243" s="63" t="s">
        <v>667</v>
      </c>
    </row>
    <row r="244" spans="1:32" ht="14.4" x14ac:dyDescent="0.3">
      <c r="B244" s="16" t="s">
        <v>14</v>
      </c>
      <c r="C244" s="68" t="s">
        <v>1087</v>
      </c>
      <c r="D244" s="132" t="s">
        <v>1088</v>
      </c>
      <c r="E244" s="101" t="s">
        <v>1089</v>
      </c>
      <c r="F244" s="43">
        <v>45854</v>
      </c>
      <c r="G244" s="42" t="s">
        <v>55</v>
      </c>
      <c r="H244" s="42">
        <v>2</v>
      </c>
      <c r="I244" s="61">
        <v>240000</v>
      </c>
      <c r="J244" s="42">
        <v>3</v>
      </c>
      <c r="K244" s="321">
        <f t="shared" si="4"/>
        <v>80000</v>
      </c>
      <c r="L244" s="62">
        <v>45870</v>
      </c>
      <c r="M244" s="62">
        <v>46234</v>
      </c>
      <c r="N244" s="63" t="s">
        <v>520</v>
      </c>
      <c r="O244" s="26" t="s">
        <v>11</v>
      </c>
      <c r="P244" s="42"/>
      <c r="Q244" s="64" t="s">
        <v>665</v>
      </c>
      <c r="R244" s="63" t="s">
        <v>1003</v>
      </c>
      <c r="S244" s="64" t="s">
        <v>361</v>
      </c>
      <c r="T244" s="63" t="s">
        <v>844</v>
      </c>
      <c r="U244" s="63" t="s">
        <v>1080</v>
      </c>
      <c r="V244" s="63"/>
      <c r="W244" s="63"/>
      <c r="X244" s="63"/>
      <c r="Y244" s="63"/>
      <c r="Z244" s="63"/>
      <c r="AA244" s="63"/>
      <c r="AB244" s="63"/>
      <c r="AC244" s="63" t="s">
        <v>96</v>
      </c>
      <c r="AD244" s="42" t="s">
        <v>97</v>
      </c>
      <c r="AE244" s="42">
        <v>4</v>
      </c>
      <c r="AF244" s="63" t="s">
        <v>667</v>
      </c>
    </row>
    <row r="245" spans="1:32" ht="14.4" x14ac:dyDescent="0.3">
      <c r="B245" s="16" t="s">
        <v>14</v>
      </c>
      <c r="C245" s="68" t="s">
        <v>845</v>
      </c>
      <c r="D245" s="132" t="s">
        <v>846</v>
      </c>
      <c r="E245" s="101">
        <v>901968953</v>
      </c>
      <c r="F245" s="136">
        <v>45804</v>
      </c>
      <c r="G245" s="42" t="s">
        <v>55</v>
      </c>
      <c r="H245" s="42">
        <v>1</v>
      </c>
      <c r="I245" s="61">
        <v>98000</v>
      </c>
      <c r="J245" s="42">
        <v>3</v>
      </c>
      <c r="K245" s="321">
        <f>98000/2</f>
        <v>49000</v>
      </c>
      <c r="L245" s="62">
        <v>45848</v>
      </c>
      <c r="M245" s="62">
        <v>46212</v>
      </c>
      <c r="N245" s="63" t="s">
        <v>19</v>
      </c>
      <c r="O245" s="26" t="s">
        <v>11</v>
      </c>
      <c r="P245" s="42"/>
      <c r="Q245" s="64" t="s">
        <v>729</v>
      </c>
      <c r="R245" s="63" t="s">
        <v>1090</v>
      </c>
      <c r="S245" s="64" t="s">
        <v>731</v>
      </c>
      <c r="T245" s="63" t="s">
        <v>1091</v>
      </c>
      <c r="U245" s="64" t="s">
        <v>1092</v>
      </c>
      <c r="V245" s="63" t="s">
        <v>1093</v>
      </c>
      <c r="W245" s="63"/>
      <c r="X245" s="63"/>
      <c r="Y245" s="63"/>
      <c r="Z245" s="63"/>
      <c r="AA245" s="63"/>
      <c r="AB245" s="63"/>
      <c r="AC245" s="63" t="s">
        <v>834</v>
      </c>
      <c r="AD245" s="16" t="s">
        <v>207</v>
      </c>
      <c r="AE245" s="42">
        <v>3</v>
      </c>
      <c r="AF245" s="65" t="s">
        <v>1094</v>
      </c>
    </row>
    <row r="246" spans="1:32" ht="14.4" x14ac:dyDescent="0.3">
      <c r="B246" s="16" t="s">
        <v>14</v>
      </c>
      <c r="C246" s="68" t="s">
        <v>1095</v>
      </c>
      <c r="D246" s="132" t="s">
        <v>1016</v>
      </c>
      <c r="E246" s="101">
        <v>9709257840</v>
      </c>
      <c r="F246" s="136">
        <v>45854</v>
      </c>
      <c r="G246" s="42" t="s">
        <v>55</v>
      </c>
      <c r="H246" s="42">
        <v>13</v>
      </c>
      <c r="I246" s="61">
        <v>949819</v>
      </c>
      <c r="J246" s="42">
        <v>4</v>
      </c>
      <c r="K246" s="321">
        <f t="shared" si="4"/>
        <v>237454.75</v>
      </c>
      <c r="L246" s="62">
        <v>45839</v>
      </c>
      <c r="M246" s="62">
        <v>46203</v>
      </c>
      <c r="N246" s="63" t="s">
        <v>19</v>
      </c>
      <c r="O246" s="26" t="s">
        <v>9</v>
      </c>
      <c r="P246" s="42"/>
      <c r="Q246" s="64" t="s">
        <v>168</v>
      </c>
      <c r="R246" s="63" t="s">
        <v>1096</v>
      </c>
      <c r="S246" s="167" t="s">
        <v>228</v>
      </c>
      <c r="T246" s="63" t="s">
        <v>1097</v>
      </c>
      <c r="U246" s="64" t="s">
        <v>396</v>
      </c>
      <c r="V246" s="63" t="s">
        <v>454</v>
      </c>
      <c r="W246" s="64" t="s">
        <v>397</v>
      </c>
      <c r="X246" s="63" t="s">
        <v>556</v>
      </c>
      <c r="Y246" s="63"/>
      <c r="Z246" s="63"/>
      <c r="AA246" s="63"/>
      <c r="AB246" s="63"/>
      <c r="AC246" s="63" t="s">
        <v>619</v>
      </c>
      <c r="AD246" s="16" t="s">
        <v>63</v>
      </c>
      <c r="AE246" s="42">
        <v>4</v>
      </c>
      <c r="AF246" s="142" t="s">
        <v>1098</v>
      </c>
    </row>
    <row r="247" spans="1:32" ht="14.4" x14ac:dyDescent="0.3">
      <c r="B247" s="16" t="s">
        <v>14</v>
      </c>
      <c r="C247" s="68" t="s">
        <v>595</v>
      </c>
      <c r="D247" s="81" t="s">
        <v>1012</v>
      </c>
      <c r="E247" s="148" t="s">
        <v>1099</v>
      </c>
      <c r="F247" s="43">
        <v>45843</v>
      </c>
      <c r="G247" s="42" t="s">
        <v>55</v>
      </c>
      <c r="H247" s="42">
        <v>1</v>
      </c>
      <c r="I247" s="61">
        <v>93312</v>
      </c>
      <c r="J247" s="42">
        <v>3</v>
      </c>
      <c r="K247" s="321">
        <f t="shared" si="4"/>
        <v>31104</v>
      </c>
      <c r="L247" s="62">
        <v>45870</v>
      </c>
      <c r="M247" s="62">
        <v>46234</v>
      </c>
      <c r="N247" s="63" t="s">
        <v>520</v>
      </c>
      <c r="O247" s="26" t="s">
        <v>11</v>
      </c>
      <c r="P247" s="42"/>
      <c r="Q247" s="64" t="s">
        <v>665</v>
      </c>
      <c r="R247" s="63" t="s">
        <v>1091</v>
      </c>
      <c r="S247" s="64" t="s">
        <v>361</v>
      </c>
      <c r="T247" s="63" t="s">
        <v>1100</v>
      </c>
      <c r="U247" s="63" t="s">
        <v>1080</v>
      </c>
      <c r="V247" s="63"/>
      <c r="W247" s="63"/>
      <c r="X247" s="63"/>
      <c r="Y247" s="63"/>
      <c r="Z247" s="63"/>
      <c r="AA247" s="63"/>
      <c r="AB247" s="63"/>
      <c r="AC247" s="63" t="s">
        <v>619</v>
      </c>
      <c r="AD247" s="16" t="s">
        <v>63</v>
      </c>
      <c r="AE247" s="42">
        <v>3</v>
      </c>
      <c r="AF247" s="63" t="s">
        <v>799</v>
      </c>
    </row>
    <row r="248" spans="1:32" ht="15" customHeight="1" x14ac:dyDescent="0.3">
      <c r="B248" s="16" t="s">
        <v>14</v>
      </c>
      <c r="C248" s="68" t="s">
        <v>1101</v>
      </c>
      <c r="D248" s="135" t="s">
        <v>1012</v>
      </c>
      <c r="E248" s="84" t="s">
        <v>1102</v>
      </c>
      <c r="F248" s="43">
        <v>45846</v>
      </c>
      <c r="G248" s="42" t="s">
        <v>55</v>
      </c>
      <c r="H248" s="42">
        <v>7</v>
      </c>
      <c r="I248" s="61">
        <v>455000</v>
      </c>
      <c r="J248" s="42">
        <v>2</v>
      </c>
      <c r="K248" s="325">
        <f t="shared" si="4"/>
        <v>227500</v>
      </c>
      <c r="L248" s="62">
        <v>45809</v>
      </c>
      <c r="M248" s="62">
        <v>46173</v>
      </c>
      <c r="N248" s="63" t="s">
        <v>520</v>
      </c>
      <c r="O248" s="26" t="s">
        <v>11</v>
      </c>
      <c r="P248" s="42"/>
      <c r="Q248" s="64" t="s">
        <v>125</v>
      </c>
      <c r="R248" s="63" t="s">
        <v>807</v>
      </c>
      <c r="S248" s="63" t="s">
        <v>127</v>
      </c>
      <c r="T248" s="63"/>
      <c r="U248" s="63"/>
      <c r="V248" s="63"/>
      <c r="W248" s="63"/>
      <c r="X248" s="63"/>
      <c r="Y248" s="63"/>
      <c r="Z248" s="63"/>
      <c r="AA248" s="63"/>
      <c r="AB248" s="63"/>
      <c r="AC248" s="63" t="s">
        <v>619</v>
      </c>
      <c r="AD248" s="16" t="s">
        <v>63</v>
      </c>
      <c r="AE248" s="42">
        <v>2</v>
      </c>
      <c r="AF248" s="63" t="s">
        <v>667</v>
      </c>
    </row>
    <row r="249" spans="1:32" ht="15" customHeight="1" x14ac:dyDescent="0.3">
      <c r="B249" s="16" t="s">
        <v>14</v>
      </c>
      <c r="C249" s="135" t="s">
        <v>1103</v>
      </c>
      <c r="D249" s="135" t="s">
        <v>1088</v>
      </c>
      <c r="E249" s="84" t="s">
        <v>1104</v>
      </c>
      <c r="F249" s="43">
        <v>45855</v>
      </c>
      <c r="G249" s="42" t="s">
        <v>55</v>
      </c>
      <c r="H249" s="42">
        <v>1</v>
      </c>
      <c r="I249" s="61">
        <v>62000</v>
      </c>
      <c r="J249" s="42">
        <v>4</v>
      </c>
      <c r="K249" s="321">
        <f t="shared" si="4"/>
        <v>15500</v>
      </c>
      <c r="L249" s="62">
        <v>45870</v>
      </c>
      <c r="M249" s="62">
        <v>46234</v>
      </c>
      <c r="N249" s="63" t="s">
        <v>520</v>
      </c>
      <c r="O249" s="26" t="s">
        <v>11</v>
      </c>
      <c r="P249" s="42"/>
      <c r="Q249" s="64" t="s">
        <v>267</v>
      </c>
      <c r="R249" s="63" t="s">
        <v>623</v>
      </c>
      <c r="S249" s="64" t="s">
        <v>269</v>
      </c>
      <c r="T249" s="63" t="s">
        <v>1105</v>
      </c>
      <c r="U249" s="64" t="s">
        <v>442</v>
      </c>
      <c r="V249" s="63" t="s">
        <v>782</v>
      </c>
      <c r="W249" s="63" t="s">
        <v>444</v>
      </c>
      <c r="X249" s="63"/>
      <c r="Y249" s="63"/>
      <c r="Z249" s="63"/>
      <c r="AA249" s="63"/>
      <c r="AB249" s="63"/>
      <c r="AC249" s="63" t="s">
        <v>96</v>
      </c>
      <c r="AD249" s="42" t="s">
        <v>97</v>
      </c>
      <c r="AE249" s="42" t="s">
        <v>494</v>
      </c>
      <c r="AF249" s="63" t="s">
        <v>667</v>
      </c>
    </row>
    <row r="250" spans="1:32" ht="15" customHeight="1" x14ac:dyDescent="0.3">
      <c r="B250" s="16" t="s">
        <v>14</v>
      </c>
      <c r="C250" s="39" t="s">
        <v>1106</v>
      </c>
      <c r="D250" s="232" t="s">
        <v>1107</v>
      </c>
      <c r="E250" s="50">
        <v>4502348009</v>
      </c>
      <c r="F250" s="55">
        <v>45853</v>
      </c>
      <c r="G250" s="26" t="s">
        <v>55</v>
      </c>
      <c r="H250" s="26">
        <v>2</v>
      </c>
      <c r="I250" s="56">
        <f>432000/3</f>
        <v>144000</v>
      </c>
      <c r="J250" s="26">
        <v>3</v>
      </c>
      <c r="K250" s="321">
        <f t="shared" si="4"/>
        <v>48000</v>
      </c>
      <c r="L250" s="57">
        <v>45748</v>
      </c>
      <c r="M250" s="57">
        <v>46112</v>
      </c>
      <c r="N250" s="58" t="s">
        <v>520</v>
      </c>
      <c r="O250" s="26" t="s">
        <v>11</v>
      </c>
      <c r="P250" s="26"/>
      <c r="Q250" s="59" t="s">
        <v>357</v>
      </c>
      <c r="R250" s="58" t="s">
        <v>811</v>
      </c>
      <c r="S250" s="59" t="s">
        <v>901</v>
      </c>
      <c r="T250" s="58" t="s">
        <v>1091</v>
      </c>
      <c r="U250" s="59" t="s">
        <v>361</v>
      </c>
      <c r="V250" s="58" t="s">
        <v>1100</v>
      </c>
      <c r="W250" s="58"/>
      <c r="X250" s="58"/>
      <c r="Y250" s="58"/>
      <c r="Z250" s="58"/>
      <c r="AA250" s="58"/>
      <c r="AB250" s="58"/>
      <c r="AC250" s="58" t="s">
        <v>478</v>
      </c>
      <c r="AD250" s="16" t="s">
        <v>63</v>
      </c>
      <c r="AE250" s="26">
        <v>5</v>
      </c>
      <c r="AF250" s="58" t="s">
        <v>667</v>
      </c>
    </row>
    <row r="251" spans="1:32" ht="15" hidden="1" customHeight="1" x14ac:dyDescent="0.3">
      <c r="B251" s="16" t="s">
        <v>14</v>
      </c>
      <c r="C251" s="39" t="s">
        <v>1106</v>
      </c>
      <c r="D251" s="232" t="s">
        <v>1107</v>
      </c>
      <c r="E251" s="50">
        <v>4502348009</v>
      </c>
      <c r="F251" s="55">
        <v>45853</v>
      </c>
      <c r="G251" s="26" t="s">
        <v>55</v>
      </c>
      <c r="H251" s="26"/>
      <c r="I251" s="56">
        <f>432000/3</f>
        <v>144000</v>
      </c>
      <c r="J251" s="26"/>
      <c r="K251" s="321" t="e">
        <f t="shared" si="4"/>
        <v>#DIV/0!</v>
      </c>
      <c r="L251" s="57">
        <v>46113</v>
      </c>
      <c r="M251" s="57">
        <v>46477</v>
      </c>
      <c r="N251" s="58" t="s">
        <v>520</v>
      </c>
      <c r="O251" s="26" t="s">
        <v>11</v>
      </c>
      <c r="P251" s="26"/>
      <c r="Q251" s="58" t="s">
        <v>1080</v>
      </c>
      <c r="R251" s="58"/>
      <c r="S251" s="58" t="s">
        <v>1108</v>
      </c>
      <c r="T251" s="58"/>
      <c r="U251" s="58" t="s">
        <v>1109</v>
      </c>
      <c r="V251" s="58"/>
      <c r="W251" s="58"/>
      <c r="X251" s="58"/>
      <c r="Y251" s="58"/>
      <c r="Z251" s="58"/>
      <c r="AA251" s="58"/>
      <c r="AB251" s="58"/>
      <c r="AC251" s="58" t="s">
        <v>478</v>
      </c>
      <c r="AD251" s="16" t="s">
        <v>63</v>
      </c>
      <c r="AE251" s="26">
        <v>5</v>
      </c>
      <c r="AF251" s="58" t="s">
        <v>667</v>
      </c>
    </row>
    <row r="252" spans="1:32" ht="15" hidden="1" customHeight="1" x14ac:dyDescent="0.3">
      <c r="B252" s="16" t="s">
        <v>14</v>
      </c>
      <c r="C252" s="68" t="s">
        <v>1106</v>
      </c>
      <c r="D252" s="132" t="s">
        <v>1107</v>
      </c>
      <c r="E252" s="84">
        <v>4502348009</v>
      </c>
      <c r="F252" s="43">
        <v>45853</v>
      </c>
      <c r="G252" s="26" t="s">
        <v>55</v>
      </c>
      <c r="H252" s="42"/>
      <c r="I252" s="72">
        <f>432000/3</f>
        <v>144000</v>
      </c>
      <c r="J252" s="42"/>
      <c r="K252" s="321" t="e">
        <f t="shared" si="4"/>
        <v>#DIV/0!</v>
      </c>
      <c r="L252" s="62">
        <v>46478</v>
      </c>
      <c r="M252" s="62">
        <v>46843</v>
      </c>
      <c r="N252" s="58" t="s">
        <v>520</v>
      </c>
      <c r="O252" s="26" t="s">
        <v>11</v>
      </c>
      <c r="P252" s="42"/>
      <c r="Q252" s="63" t="s">
        <v>1110</v>
      </c>
      <c r="R252" s="63"/>
      <c r="S252" s="63" t="s">
        <v>1111</v>
      </c>
      <c r="T252" s="63"/>
      <c r="U252" s="63" t="s">
        <v>1112</v>
      </c>
      <c r="V252" s="63"/>
      <c r="W252" s="63"/>
      <c r="X252" s="63"/>
      <c r="Y252" s="63"/>
      <c r="Z252" s="63"/>
      <c r="AA252" s="63"/>
      <c r="AB252" s="63"/>
      <c r="AC252" s="58" t="s">
        <v>478</v>
      </c>
      <c r="AD252" s="16" t="s">
        <v>63</v>
      </c>
      <c r="AE252" s="26">
        <v>5</v>
      </c>
      <c r="AF252" s="58" t="s">
        <v>667</v>
      </c>
    </row>
    <row r="253" spans="1:32" ht="15" customHeight="1" x14ac:dyDescent="0.3">
      <c r="B253" s="16" t="s">
        <v>14</v>
      </c>
      <c r="C253" s="68" t="s">
        <v>1113</v>
      </c>
      <c r="D253" s="132" t="s">
        <v>1114</v>
      </c>
      <c r="E253" s="101">
        <v>700005514</v>
      </c>
      <c r="F253" s="43">
        <v>45800</v>
      </c>
      <c r="G253" s="42" t="s">
        <v>55</v>
      </c>
      <c r="H253" s="42">
        <v>2</v>
      </c>
      <c r="I253" s="61">
        <v>175970</v>
      </c>
      <c r="J253" s="42">
        <v>3</v>
      </c>
      <c r="K253" s="321">
        <f t="shared" si="4"/>
        <v>58656.666666666664</v>
      </c>
      <c r="L253" s="62">
        <v>45748</v>
      </c>
      <c r="M253" s="62">
        <v>46112</v>
      </c>
      <c r="N253" s="63" t="s">
        <v>19</v>
      </c>
      <c r="O253" s="26" t="s">
        <v>3</v>
      </c>
      <c r="P253" s="42"/>
      <c r="Q253" s="64" t="s">
        <v>357</v>
      </c>
      <c r="R253" s="63" t="s">
        <v>451</v>
      </c>
      <c r="S253" s="64" t="s">
        <v>665</v>
      </c>
      <c r="T253" s="63" t="s">
        <v>848</v>
      </c>
      <c r="U253" s="64" t="s">
        <v>361</v>
      </c>
      <c r="V253" s="63" t="s">
        <v>1115</v>
      </c>
      <c r="W253" s="63"/>
      <c r="X253" s="63"/>
      <c r="Y253" s="63"/>
      <c r="Z253" s="63"/>
      <c r="AA253" s="63"/>
      <c r="AB253" s="63"/>
      <c r="AC253" s="63" t="s">
        <v>183</v>
      </c>
      <c r="AD253" s="42" t="s">
        <v>97</v>
      </c>
      <c r="AE253" s="42">
        <v>1</v>
      </c>
      <c r="AF253" s="65" t="s">
        <v>1116</v>
      </c>
    </row>
    <row r="254" spans="1:32" ht="15" customHeight="1" x14ac:dyDescent="0.3">
      <c r="A254" s="58"/>
      <c r="B254" s="16" t="s">
        <v>14</v>
      </c>
      <c r="C254" s="39" t="s">
        <v>1117</v>
      </c>
      <c r="D254" s="232" t="s">
        <v>1118</v>
      </c>
      <c r="E254" s="50">
        <v>8200197699</v>
      </c>
      <c r="F254" s="55">
        <v>45855</v>
      </c>
      <c r="G254" s="26" t="s">
        <v>55</v>
      </c>
      <c r="H254" s="26">
        <v>1</v>
      </c>
      <c r="I254" s="56">
        <v>91060</v>
      </c>
      <c r="J254" s="26">
        <v>2</v>
      </c>
      <c r="K254" s="321">
        <f t="shared" si="4"/>
        <v>45530</v>
      </c>
      <c r="L254" s="57">
        <v>45839</v>
      </c>
      <c r="M254" s="57">
        <v>46203</v>
      </c>
      <c r="N254" s="58" t="s">
        <v>520</v>
      </c>
      <c r="O254" s="26" t="s">
        <v>11</v>
      </c>
      <c r="P254" s="26"/>
      <c r="Q254" s="59" t="s">
        <v>483</v>
      </c>
      <c r="R254" s="58" t="s">
        <v>1009</v>
      </c>
      <c r="S254" s="58" t="s">
        <v>607</v>
      </c>
      <c r="T254" s="58"/>
      <c r="U254" s="58"/>
      <c r="V254" s="58"/>
      <c r="W254" s="58"/>
      <c r="X254" s="58"/>
      <c r="Y254" s="58"/>
      <c r="Z254" s="58"/>
      <c r="AA254" s="58"/>
      <c r="AB254" s="58"/>
      <c r="AC254" s="58" t="s">
        <v>128</v>
      </c>
      <c r="AD254" s="26" t="s">
        <v>129</v>
      </c>
      <c r="AE254" s="26">
        <v>2</v>
      </c>
      <c r="AF254" s="58" t="s">
        <v>667</v>
      </c>
    </row>
    <row r="255" spans="1:32" ht="15" hidden="1" customHeight="1" x14ac:dyDescent="0.3">
      <c r="A255" s="58"/>
      <c r="B255" s="16" t="s">
        <v>14</v>
      </c>
      <c r="C255" s="68" t="s">
        <v>1117</v>
      </c>
      <c r="D255" s="132" t="s">
        <v>1118</v>
      </c>
      <c r="E255" s="84">
        <v>8200197699</v>
      </c>
      <c r="F255" s="43">
        <v>45855</v>
      </c>
      <c r="G255" s="42" t="s">
        <v>55</v>
      </c>
      <c r="H255" s="42"/>
      <c r="I255" s="61">
        <v>91060</v>
      </c>
      <c r="J255" s="42">
        <v>2</v>
      </c>
      <c r="K255" s="321">
        <f t="shared" si="4"/>
        <v>45530</v>
      </c>
      <c r="L255" s="62">
        <v>46204</v>
      </c>
      <c r="M255" s="62">
        <v>46568</v>
      </c>
      <c r="N255" s="63" t="s">
        <v>520</v>
      </c>
      <c r="O255" s="26" t="s">
        <v>11</v>
      </c>
      <c r="P255" s="42"/>
      <c r="Q255" s="63" t="s">
        <v>608</v>
      </c>
      <c r="R255" s="63"/>
      <c r="S255" s="63" t="s">
        <v>1119</v>
      </c>
      <c r="T255" s="63"/>
      <c r="U255" s="63"/>
      <c r="V255" s="63"/>
      <c r="W255" s="63"/>
      <c r="X255" s="63"/>
      <c r="Y255" s="63"/>
      <c r="Z255" s="63"/>
      <c r="AA255" s="63"/>
      <c r="AB255" s="63"/>
      <c r="AC255" s="58" t="s">
        <v>128</v>
      </c>
      <c r="AD255" s="26" t="s">
        <v>129</v>
      </c>
      <c r="AE255" s="26">
        <v>2</v>
      </c>
      <c r="AF255" s="58" t="s">
        <v>667</v>
      </c>
    </row>
    <row r="256" spans="1:32" ht="15" customHeight="1" x14ac:dyDescent="0.3">
      <c r="B256" s="16" t="s">
        <v>14</v>
      </c>
      <c r="C256" s="58" t="s">
        <v>1120</v>
      </c>
      <c r="D256" s="232" t="s">
        <v>447</v>
      </c>
      <c r="E256" s="50">
        <v>5891136624</v>
      </c>
      <c r="F256" s="55">
        <v>45856</v>
      </c>
      <c r="G256" s="26" t="s">
        <v>55</v>
      </c>
      <c r="H256" s="26">
        <v>3</v>
      </c>
      <c r="I256" s="56">
        <v>307691.73</v>
      </c>
      <c r="J256" s="26">
        <v>3</v>
      </c>
      <c r="K256" s="321">
        <f t="shared" si="4"/>
        <v>102563.90999999999</v>
      </c>
      <c r="L256" s="57">
        <v>45870</v>
      </c>
      <c r="M256" s="57">
        <v>46234</v>
      </c>
      <c r="N256" s="58" t="s">
        <v>520</v>
      </c>
      <c r="O256" s="26" t="s">
        <v>11</v>
      </c>
      <c r="P256" s="26"/>
      <c r="Q256" s="59" t="s">
        <v>665</v>
      </c>
      <c r="R256" s="58" t="s">
        <v>229</v>
      </c>
      <c r="S256" s="59" t="s">
        <v>361</v>
      </c>
      <c r="T256" s="58" t="s">
        <v>495</v>
      </c>
      <c r="U256" s="58" t="s">
        <v>1080</v>
      </c>
      <c r="V256" s="58"/>
      <c r="W256" s="58"/>
      <c r="X256" s="58"/>
      <c r="Y256" s="58"/>
      <c r="Z256" s="58"/>
      <c r="AA256" s="58"/>
      <c r="AB256" s="58"/>
      <c r="AC256" s="58" t="s">
        <v>96</v>
      </c>
      <c r="AD256" s="26" t="s">
        <v>97</v>
      </c>
      <c r="AE256" s="26" t="s">
        <v>494</v>
      </c>
      <c r="AF256" s="58" t="s">
        <v>1121</v>
      </c>
    </row>
    <row r="257" spans="2:32" ht="15" customHeight="1" x14ac:dyDescent="0.3">
      <c r="B257" s="16" t="s">
        <v>14</v>
      </c>
      <c r="C257" s="94" t="s">
        <v>845</v>
      </c>
      <c r="D257" s="247" t="s">
        <v>846</v>
      </c>
      <c r="E257" s="149">
        <v>901971263</v>
      </c>
      <c r="F257" s="60">
        <v>45856</v>
      </c>
      <c r="G257" s="104" t="s">
        <v>55</v>
      </c>
      <c r="H257" s="42">
        <v>2</v>
      </c>
      <c r="I257" s="61">
        <v>196000</v>
      </c>
      <c r="J257" s="42">
        <v>3</v>
      </c>
      <c r="K257" s="321">
        <f t="shared" si="4"/>
        <v>65333.333333333336</v>
      </c>
      <c r="L257" s="62">
        <v>45848</v>
      </c>
      <c r="M257" s="62">
        <v>46212</v>
      </c>
      <c r="N257" s="63" t="s">
        <v>19</v>
      </c>
      <c r="O257" s="42" t="s">
        <v>11</v>
      </c>
      <c r="P257" s="42"/>
      <c r="Q257" s="64" t="s">
        <v>729</v>
      </c>
      <c r="R257" s="63" t="s">
        <v>777</v>
      </c>
      <c r="S257" s="64" t="s">
        <v>731</v>
      </c>
      <c r="T257" s="63" t="s">
        <v>1122</v>
      </c>
      <c r="U257" s="64" t="s">
        <v>1092</v>
      </c>
      <c r="V257" s="63" t="s">
        <v>828</v>
      </c>
      <c r="W257" s="63"/>
      <c r="X257" s="63"/>
      <c r="Y257" s="63"/>
      <c r="Z257" s="63"/>
      <c r="AA257" s="63"/>
      <c r="AB257" s="63"/>
      <c r="AC257" s="63" t="s">
        <v>834</v>
      </c>
      <c r="AD257" s="16" t="s">
        <v>207</v>
      </c>
      <c r="AE257" s="42">
        <v>6</v>
      </c>
      <c r="AF257" s="36" t="s">
        <v>1123</v>
      </c>
    </row>
    <row r="258" spans="2:32" ht="15" customHeight="1" x14ac:dyDescent="0.3">
      <c r="B258" s="16" t="s">
        <v>14</v>
      </c>
      <c r="C258" s="162" t="s">
        <v>614</v>
      </c>
      <c r="D258" s="162" t="s">
        <v>1016</v>
      </c>
      <c r="E258" s="172" t="s">
        <v>1124</v>
      </c>
      <c r="F258" s="60">
        <v>45849</v>
      </c>
      <c r="G258" s="42" t="s">
        <v>55</v>
      </c>
      <c r="H258" s="42">
        <v>1</v>
      </c>
      <c r="I258" s="61">
        <v>76440</v>
      </c>
      <c r="J258" s="42">
        <v>3</v>
      </c>
      <c r="K258" s="321"/>
      <c r="L258" s="62">
        <v>45809</v>
      </c>
      <c r="M258" s="62">
        <v>46173</v>
      </c>
      <c r="N258" s="63" t="s">
        <v>19</v>
      </c>
      <c r="O258" s="42" t="s">
        <v>6</v>
      </c>
      <c r="P258" s="42"/>
      <c r="Q258" s="64" t="s">
        <v>1125</v>
      </c>
      <c r="R258" s="63" t="s">
        <v>1126</v>
      </c>
      <c r="S258" s="64" t="s">
        <v>83</v>
      </c>
      <c r="T258" s="63" t="s">
        <v>270</v>
      </c>
      <c r="U258" s="64" t="s">
        <v>404</v>
      </c>
      <c r="V258" s="63" t="s">
        <v>1711</v>
      </c>
      <c r="W258" s="63"/>
      <c r="X258" s="63"/>
      <c r="Y258" s="63"/>
      <c r="Z258" s="63"/>
      <c r="AA258" s="63"/>
      <c r="AB258" s="63"/>
      <c r="AC258" s="63" t="s">
        <v>619</v>
      </c>
      <c r="AD258" s="16" t="s">
        <v>63</v>
      </c>
      <c r="AE258" s="42">
        <v>3</v>
      </c>
      <c r="AF258" s="63" t="s">
        <v>1127</v>
      </c>
    </row>
    <row r="259" spans="2:32" ht="15" customHeight="1" x14ac:dyDescent="0.3">
      <c r="B259" s="16" t="s">
        <v>14</v>
      </c>
      <c r="C259" s="81" t="s">
        <v>1128</v>
      </c>
      <c r="D259" s="81" t="s">
        <v>1129</v>
      </c>
      <c r="E259" s="173">
        <v>4503060756</v>
      </c>
      <c r="F259" s="43">
        <v>45853</v>
      </c>
      <c r="G259" s="42" t="s">
        <v>55</v>
      </c>
      <c r="H259" s="42">
        <v>4</v>
      </c>
      <c r="I259" s="61">
        <v>271864</v>
      </c>
      <c r="J259" s="42">
        <v>4</v>
      </c>
      <c r="K259" s="325">
        <f t="shared" si="4"/>
        <v>67966</v>
      </c>
      <c r="L259" s="62">
        <v>45809</v>
      </c>
      <c r="M259" s="62">
        <v>46173</v>
      </c>
      <c r="N259" s="63" t="s">
        <v>19</v>
      </c>
      <c r="O259" s="42" t="s">
        <v>6</v>
      </c>
      <c r="P259" s="42"/>
      <c r="Q259" s="64" t="s">
        <v>1130</v>
      </c>
      <c r="R259" s="63" t="s">
        <v>611</v>
      </c>
      <c r="S259" s="64" t="s">
        <v>1131</v>
      </c>
      <c r="T259" s="63" t="s">
        <v>1132</v>
      </c>
      <c r="U259" s="64" t="s">
        <v>1133</v>
      </c>
      <c r="V259" s="63" t="s">
        <v>403</v>
      </c>
      <c r="W259" s="64" t="s">
        <v>1134</v>
      </c>
      <c r="X259" s="63" t="s">
        <v>1720</v>
      </c>
      <c r="Y259" s="63"/>
      <c r="Z259" s="63"/>
      <c r="AA259" s="63"/>
      <c r="AB259" s="63"/>
      <c r="AC259" s="63" t="s">
        <v>281</v>
      </c>
      <c r="AD259" s="42" t="s">
        <v>97</v>
      </c>
      <c r="AE259" s="42" t="s">
        <v>494</v>
      </c>
      <c r="AF259" s="63" t="s">
        <v>1135</v>
      </c>
    </row>
    <row r="260" spans="2:32" ht="15" customHeight="1" x14ac:dyDescent="0.3">
      <c r="B260" s="16" t="s">
        <v>14</v>
      </c>
      <c r="C260" s="68" t="s">
        <v>975</v>
      </c>
      <c r="D260" s="132" t="s">
        <v>1136</v>
      </c>
      <c r="E260" s="84">
        <v>6100009693</v>
      </c>
      <c r="F260" s="43">
        <v>45849</v>
      </c>
      <c r="G260" s="42" t="s">
        <v>55</v>
      </c>
      <c r="H260" s="42">
        <v>2</v>
      </c>
      <c r="I260" s="61">
        <v>240000</v>
      </c>
      <c r="J260" s="42">
        <v>3</v>
      </c>
      <c r="K260" s="321">
        <f t="shared" si="4"/>
        <v>80000</v>
      </c>
      <c r="L260" s="62">
        <v>45870</v>
      </c>
      <c r="M260" s="62">
        <v>46234</v>
      </c>
      <c r="N260" s="63" t="s">
        <v>520</v>
      </c>
      <c r="O260" s="42" t="s">
        <v>11</v>
      </c>
      <c r="P260" s="42"/>
      <c r="Q260" s="64" t="s">
        <v>665</v>
      </c>
      <c r="R260" s="63" t="s">
        <v>464</v>
      </c>
      <c r="S260" s="64" t="s">
        <v>361</v>
      </c>
      <c r="T260" s="63" t="s">
        <v>750</v>
      </c>
      <c r="U260" s="63" t="s">
        <v>1080</v>
      </c>
      <c r="V260" s="63"/>
      <c r="W260" s="63"/>
      <c r="X260" s="63"/>
      <c r="Y260" s="63"/>
      <c r="Z260" s="63"/>
      <c r="AA260" s="63"/>
      <c r="AB260" s="63"/>
      <c r="AC260" s="63" t="s">
        <v>551</v>
      </c>
      <c r="AD260" s="16" t="s">
        <v>207</v>
      </c>
      <c r="AE260" s="42">
        <v>3</v>
      </c>
      <c r="AF260" s="142" t="s">
        <v>981</v>
      </c>
    </row>
    <row r="261" spans="2:32" ht="15" customHeight="1" x14ac:dyDescent="0.3">
      <c r="B261" s="16" t="s">
        <v>14</v>
      </c>
      <c r="C261" s="68" t="s">
        <v>195</v>
      </c>
      <c r="D261" s="81" t="s">
        <v>1137</v>
      </c>
      <c r="E261" s="174" t="s">
        <v>1138</v>
      </c>
      <c r="F261" s="43">
        <v>45854</v>
      </c>
      <c r="G261" s="42" t="s">
        <v>55</v>
      </c>
      <c r="H261" s="42">
        <v>9</v>
      </c>
      <c r="I261" s="61">
        <f>58000*9</f>
        <v>522000</v>
      </c>
      <c r="J261" s="42">
        <v>4</v>
      </c>
      <c r="K261" s="321">
        <f t="shared" si="4"/>
        <v>130500</v>
      </c>
      <c r="L261" s="62">
        <v>45762</v>
      </c>
      <c r="M261" s="62">
        <v>46156</v>
      </c>
      <c r="N261" s="63" t="s">
        <v>19</v>
      </c>
      <c r="O261" s="42" t="s">
        <v>6</v>
      </c>
      <c r="P261" s="42"/>
      <c r="Q261" s="64" t="s">
        <v>1139</v>
      </c>
      <c r="R261" s="63" t="s">
        <v>1140</v>
      </c>
      <c r="S261" s="64" t="s">
        <v>1082</v>
      </c>
      <c r="T261" s="63" t="s">
        <v>1054</v>
      </c>
      <c r="U261" s="64" t="s">
        <v>1083</v>
      </c>
      <c r="V261" s="63" t="s">
        <v>1122</v>
      </c>
      <c r="W261" s="64" t="s">
        <v>1084</v>
      </c>
      <c r="X261" s="63" t="s">
        <v>1141</v>
      </c>
      <c r="Y261" s="63"/>
      <c r="Z261" s="63"/>
      <c r="AA261" s="63"/>
      <c r="AB261" s="63"/>
      <c r="AC261" s="63" t="s">
        <v>478</v>
      </c>
      <c r="AD261" s="16" t="s">
        <v>63</v>
      </c>
      <c r="AE261" s="42">
        <v>3</v>
      </c>
      <c r="AF261" s="63" t="s">
        <v>657</v>
      </c>
    </row>
    <row r="262" spans="2:32" ht="15" customHeight="1" x14ac:dyDescent="0.3">
      <c r="B262" s="16" t="s">
        <v>14</v>
      </c>
      <c r="C262" s="39" t="s">
        <v>195</v>
      </c>
      <c r="D262" s="233" t="s">
        <v>388</v>
      </c>
      <c r="E262" s="50" t="s">
        <v>1142</v>
      </c>
      <c r="F262" s="55">
        <v>45862</v>
      </c>
      <c r="G262" s="26" t="s">
        <v>55</v>
      </c>
      <c r="H262" s="26">
        <v>4</v>
      </c>
      <c r="I262" s="56">
        <f>439992/2</f>
        <v>219996</v>
      </c>
      <c r="J262" s="26">
        <v>3</v>
      </c>
      <c r="K262" s="321">
        <f t="shared" si="4"/>
        <v>73332</v>
      </c>
      <c r="L262" s="57">
        <v>45862</v>
      </c>
      <c r="M262" s="57">
        <v>46226</v>
      </c>
      <c r="N262" s="58" t="s">
        <v>520</v>
      </c>
      <c r="O262" s="26" t="s">
        <v>11</v>
      </c>
      <c r="P262" s="26"/>
      <c r="Q262" s="59" t="s">
        <v>1143</v>
      </c>
      <c r="R262" s="58" t="s">
        <v>1144</v>
      </c>
      <c r="S262" s="59" t="s">
        <v>1145</v>
      </c>
      <c r="T262" s="58" t="s">
        <v>1146</v>
      </c>
      <c r="U262" s="58" t="s">
        <v>1147</v>
      </c>
      <c r="V262" s="58"/>
      <c r="W262" s="58"/>
      <c r="X262" s="58"/>
      <c r="Y262" s="58"/>
      <c r="Z262" s="58"/>
      <c r="AA262" s="58"/>
      <c r="AB262" s="58"/>
      <c r="AC262" s="58" t="s">
        <v>478</v>
      </c>
      <c r="AD262" s="16" t="s">
        <v>63</v>
      </c>
      <c r="AE262" s="26">
        <v>3</v>
      </c>
      <c r="AF262" s="58" t="s">
        <v>657</v>
      </c>
    </row>
    <row r="263" spans="2:32" ht="15" hidden="1" customHeight="1" x14ac:dyDescent="0.3">
      <c r="B263" s="16" t="s">
        <v>14</v>
      </c>
      <c r="C263" s="68" t="s">
        <v>195</v>
      </c>
      <c r="D263" s="81" t="s">
        <v>388</v>
      </c>
      <c r="E263" s="84" t="s">
        <v>1142</v>
      </c>
      <c r="F263" s="43">
        <v>45862</v>
      </c>
      <c r="G263" s="42"/>
      <c r="H263" s="42"/>
      <c r="I263" s="61">
        <f>439992/2</f>
        <v>219996</v>
      </c>
      <c r="J263" s="42">
        <v>3</v>
      </c>
      <c r="K263" s="321">
        <f t="shared" si="4"/>
        <v>73332</v>
      </c>
      <c r="L263" s="62">
        <v>46227</v>
      </c>
      <c r="M263" s="62">
        <v>46591</v>
      </c>
      <c r="N263" s="63" t="s">
        <v>520</v>
      </c>
      <c r="O263" s="42" t="s">
        <v>11</v>
      </c>
      <c r="P263" s="42"/>
      <c r="Q263" s="63" t="s">
        <v>1148</v>
      </c>
      <c r="R263" s="63"/>
      <c r="S263" s="63" t="s">
        <v>1149</v>
      </c>
      <c r="T263" s="63"/>
      <c r="U263" s="63" t="s">
        <v>1150</v>
      </c>
      <c r="V263" s="63"/>
      <c r="W263" s="63"/>
      <c r="X263" s="63"/>
      <c r="Y263" s="63"/>
      <c r="Z263" s="63"/>
      <c r="AA263" s="63"/>
      <c r="AB263" s="63"/>
      <c r="AC263" s="58" t="s">
        <v>478</v>
      </c>
      <c r="AD263" s="16" t="s">
        <v>63</v>
      </c>
      <c r="AE263" s="26">
        <v>3</v>
      </c>
      <c r="AF263" s="58" t="s">
        <v>657</v>
      </c>
    </row>
    <row r="264" spans="2:32" ht="15" customHeight="1" x14ac:dyDescent="0.3">
      <c r="B264" s="16" t="s">
        <v>14</v>
      </c>
      <c r="C264" s="68" t="s">
        <v>1151</v>
      </c>
      <c r="D264" s="81" t="s">
        <v>151</v>
      </c>
      <c r="E264" s="84">
        <v>4512862106</v>
      </c>
      <c r="F264" s="43">
        <v>45852</v>
      </c>
      <c r="G264" s="42" t="s">
        <v>55</v>
      </c>
      <c r="H264" s="42">
        <v>10</v>
      </c>
      <c r="I264" s="61">
        <v>460000</v>
      </c>
      <c r="J264" s="42">
        <v>3</v>
      </c>
      <c r="K264" s="325">
        <f t="shared" si="4"/>
        <v>153333.33333333334</v>
      </c>
      <c r="L264" s="62">
        <v>45809</v>
      </c>
      <c r="M264" s="62">
        <v>46173</v>
      </c>
      <c r="N264" s="63" t="s">
        <v>520</v>
      </c>
      <c r="O264" s="42" t="s">
        <v>11</v>
      </c>
      <c r="P264" s="42"/>
      <c r="Q264" s="64" t="s">
        <v>81</v>
      </c>
      <c r="R264" s="63" t="s">
        <v>898</v>
      </c>
      <c r="S264" s="64" t="s">
        <v>83</v>
      </c>
      <c r="T264" s="63" t="s">
        <v>320</v>
      </c>
      <c r="U264" s="63" t="s">
        <v>404</v>
      </c>
      <c r="V264" s="63"/>
      <c r="W264" s="63"/>
      <c r="X264" s="63"/>
      <c r="Y264" s="63"/>
      <c r="Z264" s="63"/>
      <c r="AA264" s="63"/>
      <c r="AB264" s="63"/>
      <c r="AC264" s="63" t="s">
        <v>1152</v>
      </c>
      <c r="AD264" s="16" t="s">
        <v>63</v>
      </c>
      <c r="AE264" s="42">
        <v>3</v>
      </c>
      <c r="AF264" s="63" t="s">
        <v>667</v>
      </c>
    </row>
    <row r="265" spans="2:32" ht="15" customHeight="1" x14ac:dyDescent="0.3">
      <c r="B265" s="16" t="s">
        <v>14</v>
      </c>
      <c r="C265" s="68" t="s">
        <v>975</v>
      </c>
      <c r="D265" s="132" t="s">
        <v>1153</v>
      </c>
      <c r="E265" s="84">
        <v>6100009808</v>
      </c>
      <c r="F265" s="43">
        <v>45855</v>
      </c>
      <c r="G265" s="42" t="s">
        <v>55</v>
      </c>
      <c r="H265" s="42">
        <v>2</v>
      </c>
      <c r="I265" s="61">
        <v>240000</v>
      </c>
      <c r="J265" s="42">
        <v>3</v>
      </c>
      <c r="K265" s="321">
        <f t="shared" ref="K265:K328" si="5">I265/J265</f>
        <v>80000</v>
      </c>
      <c r="L265" s="62">
        <v>45870</v>
      </c>
      <c r="M265" s="62">
        <v>46234</v>
      </c>
      <c r="N265" s="63" t="s">
        <v>520</v>
      </c>
      <c r="O265" s="42" t="s">
        <v>11</v>
      </c>
      <c r="P265" s="42"/>
      <c r="Q265" s="64" t="s">
        <v>1154</v>
      </c>
      <c r="R265" s="63" t="s">
        <v>169</v>
      </c>
      <c r="S265" s="64" t="s">
        <v>361</v>
      </c>
      <c r="T265" s="63" t="s">
        <v>639</v>
      </c>
      <c r="U265" s="63" t="s">
        <v>1080</v>
      </c>
      <c r="V265" s="63"/>
      <c r="W265" s="63"/>
      <c r="X265" s="63"/>
      <c r="Y265" s="63"/>
      <c r="Z265" s="63"/>
      <c r="AA265" s="63"/>
      <c r="AB265" s="63"/>
      <c r="AC265" s="63" t="s">
        <v>551</v>
      </c>
      <c r="AD265" s="16" t="s">
        <v>207</v>
      </c>
      <c r="AE265" s="42">
        <v>3</v>
      </c>
      <c r="AF265" s="63" t="s">
        <v>26</v>
      </c>
    </row>
    <row r="266" spans="2:32" ht="15" customHeight="1" x14ac:dyDescent="0.3">
      <c r="B266" s="16" t="s">
        <v>14</v>
      </c>
      <c r="C266" s="68" t="s">
        <v>1155</v>
      </c>
      <c r="D266" s="132" t="s">
        <v>151</v>
      </c>
      <c r="E266" s="84">
        <v>4300495205</v>
      </c>
      <c r="F266" s="43">
        <v>45848</v>
      </c>
      <c r="G266" s="42" t="s">
        <v>55</v>
      </c>
      <c r="H266" s="42">
        <v>4</v>
      </c>
      <c r="I266" s="61">
        <v>295998</v>
      </c>
      <c r="J266" s="42">
        <v>3</v>
      </c>
      <c r="K266" s="321">
        <f t="shared" si="5"/>
        <v>98666</v>
      </c>
      <c r="L266" s="62">
        <v>45778</v>
      </c>
      <c r="M266" s="62">
        <v>46142</v>
      </c>
      <c r="N266" s="63" t="s">
        <v>19</v>
      </c>
      <c r="O266" s="42" t="s">
        <v>5</v>
      </c>
      <c r="P266" s="42"/>
      <c r="Q266" s="64" t="s">
        <v>343</v>
      </c>
      <c r="R266" s="63" t="s">
        <v>753</v>
      </c>
      <c r="S266" s="64" t="s">
        <v>345</v>
      </c>
      <c r="T266" s="63" t="s">
        <v>1001</v>
      </c>
      <c r="U266" s="64" t="s">
        <v>347</v>
      </c>
      <c r="V266" s="63" t="s">
        <v>1044</v>
      </c>
      <c r="W266" s="63"/>
      <c r="X266" s="63"/>
      <c r="Y266" s="63"/>
      <c r="Z266" s="63"/>
      <c r="AA266" s="63"/>
      <c r="AB266" s="63"/>
      <c r="AC266" s="63" t="s">
        <v>507</v>
      </c>
      <c r="AD266" s="16" t="s">
        <v>63</v>
      </c>
      <c r="AE266" s="42">
        <v>3</v>
      </c>
      <c r="AF266" s="63" t="s">
        <v>667</v>
      </c>
    </row>
    <row r="267" spans="2:32" ht="15" customHeight="1" x14ac:dyDescent="0.3">
      <c r="B267" s="16" t="s">
        <v>14</v>
      </c>
      <c r="C267" s="63" t="s">
        <v>1156</v>
      </c>
      <c r="D267" s="135" t="s">
        <v>151</v>
      </c>
      <c r="E267" s="175" t="s">
        <v>1157</v>
      </c>
      <c r="F267" s="43">
        <v>45866</v>
      </c>
      <c r="G267" s="42" t="s">
        <v>55</v>
      </c>
      <c r="H267" s="42">
        <v>3</v>
      </c>
      <c r="I267" s="61">
        <v>75000</v>
      </c>
      <c r="J267" s="42">
        <v>3</v>
      </c>
      <c r="K267" s="321">
        <f t="shared" si="5"/>
        <v>25000</v>
      </c>
      <c r="L267" s="62">
        <v>45870</v>
      </c>
      <c r="M267" s="62">
        <v>46234</v>
      </c>
      <c r="N267" s="63" t="s">
        <v>520</v>
      </c>
      <c r="O267" s="42" t="s">
        <v>11</v>
      </c>
      <c r="P267" s="42"/>
      <c r="Q267" s="64" t="s">
        <v>665</v>
      </c>
      <c r="R267" s="63" t="s">
        <v>360</v>
      </c>
      <c r="S267" s="64" t="s">
        <v>361</v>
      </c>
      <c r="T267" s="63" t="s">
        <v>874</v>
      </c>
      <c r="U267" s="63" t="s">
        <v>1080</v>
      </c>
      <c r="V267" s="63"/>
      <c r="W267" s="63"/>
      <c r="X267" s="63"/>
      <c r="Y267" s="63"/>
      <c r="Z267" s="63"/>
      <c r="AA267" s="63"/>
      <c r="AB267" s="63"/>
      <c r="AC267" s="63" t="s">
        <v>478</v>
      </c>
      <c r="AD267" s="16" t="s">
        <v>63</v>
      </c>
      <c r="AE267" s="42">
        <v>3</v>
      </c>
      <c r="AF267" s="63" t="s">
        <v>667</v>
      </c>
    </row>
    <row r="268" spans="2:32" ht="15" customHeight="1" x14ac:dyDescent="0.3">
      <c r="B268" s="16" t="s">
        <v>14</v>
      </c>
      <c r="C268" s="292" t="s">
        <v>150</v>
      </c>
      <c r="D268" s="135" t="s">
        <v>447</v>
      </c>
      <c r="E268" s="84">
        <v>4200342890</v>
      </c>
      <c r="F268" s="43">
        <v>45817</v>
      </c>
      <c r="G268" s="42" t="s">
        <v>55</v>
      </c>
      <c r="H268" s="42">
        <v>3</v>
      </c>
      <c r="I268" s="61">
        <v>180000</v>
      </c>
      <c r="J268" s="42">
        <v>2</v>
      </c>
      <c r="K268" s="321">
        <f t="shared" si="5"/>
        <v>90000</v>
      </c>
      <c r="L268" s="62">
        <v>45839</v>
      </c>
      <c r="M268" s="62">
        <v>46203</v>
      </c>
      <c r="N268" s="63" t="s">
        <v>520</v>
      </c>
      <c r="O268" s="42" t="s">
        <v>11</v>
      </c>
      <c r="P268" s="42"/>
      <c r="Q268" s="64" t="s">
        <v>483</v>
      </c>
      <c r="R268" s="63" t="s">
        <v>588</v>
      </c>
      <c r="S268" s="63" t="s">
        <v>607</v>
      </c>
      <c r="T268" s="63"/>
      <c r="U268" s="63"/>
      <c r="V268" s="63"/>
      <c r="W268" s="63"/>
      <c r="X268" s="63"/>
      <c r="Y268" s="63"/>
      <c r="Z268" s="63"/>
      <c r="AA268" s="63"/>
      <c r="AB268" s="63"/>
      <c r="AC268" s="63" t="s">
        <v>96</v>
      </c>
      <c r="AD268" s="42" t="s">
        <v>97</v>
      </c>
      <c r="AE268" s="42" t="s">
        <v>494</v>
      </c>
      <c r="AF268" s="63" t="s">
        <v>667</v>
      </c>
    </row>
    <row r="269" spans="2:32" ht="15" customHeight="1" x14ac:dyDescent="0.3">
      <c r="B269" s="16" t="s">
        <v>14</v>
      </c>
      <c r="C269" s="135" t="s">
        <v>1158</v>
      </c>
      <c r="D269" s="135" t="s">
        <v>1159</v>
      </c>
      <c r="E269" s="84">
        <v>1600034060</v>
      </c>
      <c r="F269" s="136">
        <v>45867</v>
      </c>
      <c r="G269" s="42" t="s">
        <v>55</v>
      </c>
      <c r="H269" s="42">
        <v>2</v>
      </c>
      <c r="I269" s="61">
        <v>159080</v>
      </c>
      <c r="J269" s="42">
        <v>2</v>
      </c>
      <c r="K269" s="321">
        <f t="shared" si="5"/>
        <v>79540</v>
      </c>
      <c r="L269" s="62">
        <v>45839</v>
      </c>
      <c r="M269" s="62">
        <v>46203</v>
      </c>
      <c r="N269" s="63" t="s">
        <v>520</v>
      </c>
      <c r="O269" s="42" t="s">
        <v>11</v>
      </c>
      <c r="P269" s="42"/>
      <c r="Q269" s="64" t="s">
        <v>483</v>
      </c>
      <c r="R269" s="63" t="s">
        <v>1034</v>
      </c>
      <c r="S269" s="63" t="s">
        <v>607</v>
      </c>
      <c r="T269" s="63"/>
      <c r="U269" s="63"/>
      <c r="V269" s="63"/>
      <c r="W269" s="63"/>
      <c r="X269" s="63"/>
      <c r="Y269" s="63"/>
      <c r="Z269" s="63"/>
      <c r="AA269" s="63"/>
      <c r="AB269" s="63"/>
      <c r="AC269" s="63" t="s">
        <v>478</v>
      </c>
      <c r="AD269" s="16" t="s">
        <v>63</v>
      </c>
      <c r="AE269" s="42">
        <v>3</v>
      </c>
      <c r="AF269" s="63" t="s">
        <v>667</v>
      </c>
    </row>
    <row r="270" spans="2:32" ht="15" customHeight="1" x14ac:dyDescent="0.3">
      <c r="B270" s="16" t="s">
        <v>14</v>
      </c>
      <c r="C270" s="68" t="s">
        <v>1160</v>
      </c>
      <c r="D270" s="135" t="s">
        <v>151</v>
      </c>
      <c r="E270" s="42" t="s">
        <v>1161</v>
      </c>
      <c r="F270" s="43">
        <v>45852</v>
      </c>
      <c r="G270" s="42" t="s">
        <v>55</v>
      </c>
      <c r="H270" s="42">
        <v>2</v>
      </c>
      <c r="I270" s="61">
        <v>156000</v>
      </c>
      <c r="J270" s="42">
        <v>3</v>
      </c>
      <c r="K270" s="321">
        <f t="shared" si="5"/>
        <v>52000</v>
      </c>
      <c r="L270" s="62">
        <v>45839</v>
      </c>
      <c r="M270" s="62">
        <v>46203</v>
      </c>
      <c r="N270" s="63" t="s">
        <v>520</v>
      </c>
      <c r="O270" s="42" t="s">
        <v>11</v>
      </c>
      <c r="P270" s="42"/>
      <c r="Q270" s="64" t="s">
        <v>190</v>
      </c>
      <c r="R270" s="63" t="s">
        <v>791</v>
      </c>
      <c r="S270" s="64" t="s">
        <v>192</v>
      </c>
      <c r="T270" s="63" t="s">
        <v>1162</v>
      </c>
      <c r="U270" s="63" t="s">
        <v>1163</v>
      </c>
      <c r="V270" s="63"/>
      <c r="W270" s="63"/>
      <c r="X270" s="63"/>
      <c r="Y270" s="63"/>
      <c r="Z270" s="63"/>
      <c r="AA270" s="63"/>
      <c r="AB270" s="63"/>
      <c r="AC270" s="63" t="s">
        <v>478</v>
      </c>
      <c r="AD270" s="16" t="s">
        <v>63</v>
      </c>
      <c r="AE270" s="42">
        <v>3</v>
      </c>
      <c r="AF270" s="63" t="s">
        <v>667</v>
      </c>
    </row>
    <row r="271" spans="2:32" ht="15" customHeight="1" x14ac:dyDescent="0.3">
      <c r="B271" s="16" t="s">
        <v>14</v>
      </c>
      <c r="C271" s="68" t="s">
        <v>954</v>
      </c>
      <c r="D271" s="132" t="s">
        <v>1164</v>
      </c>
      <c r="E271" s="168">
        <v>4601465639</v>
      </c>
      <c r="F271" s="43">
        <v>45845</v>
      </c>
      <c r="G271" s="42" t="s">
        <v>55</v>
      </c>
      <c r="H271" s="42">
        <v>1</v>
      </c>
      <c r="I271" s="61">
        <v>85000</v>
      </c>
      <c r="J271" s="42">
        <v>1</v>
      </c>
      <c r="K271" s="321">
        <f t="shared" si="5"/>
        <v>85000</v>
      </c>
      <c r="L271" s="62">
        <v>45839</v>
      </c>
      <c r="M271" s="62">
        <v>46203</v>
      </c>
      <c r="N271" s="63" t="s">
        <v>520</v>
      </c>
      <c r="O271" s="42" t="s">
        <v>11</v>
      </c>
      <c r="P271" s="42"/>
      <c r="Q271" s="64" t="s">
        <v>1071</v>
      </c>
      <c r="R271" s="63" t="s">
        <v>618</v>
      </c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 t="s">
        <v>478</v>
      </c>
      <c r="AD271" s="16" t="s">
        <v>63</v>
      </c>
      <c r="AE271" s="42">
        <v>3</v>
      </c>
      <c r="AF271" s="63" t="s">
        <v>667</v>
      </c>
    </row>
    <row r="272" spans="2:32" ht="15" customHeight="1" x14ac:dyDescent="0.3">
      <c r="B272" s="16" t="s">
        <v>14</v>
      </c>
      <c r="C272" s="37" t="s">
        <v>756</v>
      </c>
      <c r="D272" s="132" t="s">
        <v>757</v>
      </c>
      <c r="E272" s="84">
        <v>2265006145</v>
      </c>
      <c r="F272" s="136">
        <v>45868</v>
      </c>
      <c r="G272" s="42" t="s">
        <v>55</v>
      </c>
      <c r="H272" s="42">
        <v>2</v>
      </c>
      <c r="I272" s="61">
        <v>164160</v>
      </c>
      <c r="J272" s="42">
        <v>3</v>
      </c>
      <c r="K272" s="321">
        <f t="shared" si="5"/>
        <v>54720</v>
      </c>
      <c r="L272" s="62">
        <v>45748</v>
      </c>
      <c r="M272" s="62">
        <v>46112</v>
      </c>
      <c r="N272" s="63" t="s">
        <v>19</v>
      </c>
      <c r="O272" s="42" t="s">
        <v>5</v>
      </c>
      <c r="P272" s="42"/>
      <c r="Q272" s="64" t="s">
        <v>357</v>
      </c>
      <c r="R272" s="63" t="s">
        <v>872</v>
      </c>
      <c r="S272" s="64" t="s">
        <v>665</v>
      </c>
      <c r="T272" s="63" t="s">
        <v>967</v>
      </c>
      <c r="U272" s="64" t="s">
        <v>361</v>
      </c>
      <c r="V272" s="63" t="s">
        <v>882</v>
      </c>
      <c r="W272" s="63"/>
      <c r="X272" s="63"/>
      <c r="Y272" s="63"/>
      <c r="Z272" s="63"/>
      <c r="AA272" s="63"/>
      <c r="AB272" s="63"/>
      <c r="AC272" s="63" t="s">
        <v>507</v>
      </c>
      <c r="AD272" s="16" t="s">
        <v>63</v>
      </c>
      <c r="AE272" s="42">
        <v>3</v>
      </c>
      <c r="AF272" s="63" t="s">
        <v>799</v>
      </c>
    </row>
    <row r="273" spans="2:32" ht="15" customHeight="1" x14ac:dyDescent="0.3">
      <c r="B273" s="16" t="s">
        <v>14</v>
      </c>
      <c r="C273" s="68" t="s">
        <v>195</v>
      </c>
      <c r="D273" s="132" t="s">
        <v>447</v>
      </c>
      <c r="E273" s="101" t="s">
        <v>1165</v>
      </c>
      <c r="F273" s="136">
        <v>45864</v>
      </c>
      <c r="G273" s="42" t="s">
        <v>55</v>
      </c>
      <c r="H273" s="42">
        <v>8</v>
      </c>
      <c r="I273" s="61">
        <v>513520</v>
      </c>
      <c r="J273" s="42">
        <v>4</v>
      </c>
      <c r="K273" s="321">
        <f t="shared" si="5"/>
        <v>128380</v>
      </c>
      <c r="L273" s="62">
        <v>45877</v>
      </c>
      <c r="M273" s="62">
        <v>46241</v>
      </c>
      <c r="N273" s="63" t="s">
        <v>520</v>
      </c>
      <c r="O273" s="42" t="s">
        <v>13</v>
      </c>
      <c r="P273" s="42"/>
      <c r="Q273" s="64" t="s">
        <v>1166</v>
      </c>
      <c r="R273" s="63" t="s">
        <v>707</v>
      </c>
      <c r="S273" s="64" t="s">
        <v>1167</v>
      </c>
      <c r="T273" s="63" t="s">
        <v>653</v>
      </c>
      <c r="U273" s="64" t="s">
        <v>1168</v>
      </c>
      <c r="V273" s="63" t="s">
        <v>1169</v>
      </c>
      <c r="W273" s="63" t="s">
        <v>1170</v>
      </c>
      <c r="X273" s="63"/>
      <c r="Y273" s="63"/>
      <c r="Z273" s="63"/>
      <c r="AA273" s="63"/>
      <c r="AB273" s="63"/>
      <c r="AC273" s="63" t="s">
        <v>96</v>
      </c>
      <c r="AD273" s="42" t="s">
        <v>1171</v>
      </c>
      <c r="AE273" s="42" t="s">
        <v>494</v>
      </c>
      <c r="AF273" s="63" t="s">
        <v>667</v>
      </c>
    </row>
    <row r="274" spans="2:32" ht="15" customHeight="1" x14ac:dyDescent="0.3">
      <c r="B274" s="16" t="s">
        <v>14</v>
      </c>
      <c r="C274" s="68" t="s">
        <v>1172</v>
      </c>
      <c r="D274" s="132" t="s">
        <v>1016</v>
      </c>
      <c r="E274" s="84">
        <v>7100090208</v>
      </c>
      <c r="F274" s="136">
        <v>45874</v>
      </c>
      <c r="G274" s="42" t="s">
        <v>55</v>
      </c>
      <c r="H274" s="42">
        <v>1</v>
      </c>
      <c r="I274" s="61">
        <v>81000</v>
      </c>
      <c r="J274" s="42">
        <v>3</v>
      </c>
      <c r="K274" s="321">
        <f t="shared" si="5"/>
        <v>27000</v>
      </c>
      <c r="L274" s="62">
        <v>45839</v>
      </c>
      <c r="M274" s="62">
        <v>46203</v>
      </c>
      <c r="N274" s="63" t="s">
        <v>520</v>
      </c>
      <c r="O274" s="42" t="s">
        <v>13</v>
      </c>
      <c r="P274" s="42"/>
      <c r="Q274" s="64" t="s">
        <v>190</v>
      </c>
      <c r="R274" s="63" t="s">
        <v>760</v>
      </c>
      <c r="S274" s="64" t="s">
        <v>192</v>
      </c>
      <c r="T274" s="63" t="s">
        <v>1173</v>
      </c>
      <c r="U274" s="63" t="s">
        <v>194</v>
      </c>
      <c r="V274" s="63"/>
      <c r="W274" s="63"/>
      <c r="X274" s="63"/>
      <c r="Y274" s="63"/>
      <c r="Z274" s="63"/>
      <c r="AA274" s="63"/>
      <c r="AB274" s="63"/>
      <c r="AC274" s="63" t="s">
        <v>619</v>
      </c>
      <c r="AD274" s="16" t="s">
        <v>63</v>
      </c>
      <c r="AE274" s="42">
        <v>3</v>
      </c>
      <c r="AF274" s="63" t="s">
        <v>667</v>
      </c>
    </row>
    <row r="275" spans="2:32" ht="15" customHeight="1" x14ac:dyDescent="0.3">
      <c r="B275" s="16" t="s">
        <v>14</v>
      </c>
      <c r="C275" s="176" t="s">
        <v>1174</v>
      </c>
      <c r="D275" s="132" t="s">
        <v>447</v>
      </c>
      <c r="E275" s="177" t="s">
        <v>1175</v>
      </c>
      <c r="F275" s="136">
        <v>45869</v>
      </c>
      <c r="G275" s="42" t="s">
        <v>55</v>
      </c>
      <c r="H275" s="42">
        <v>4</v>
      </c>
      <c r="I275" s="61">
        <v>236252</v>
      </c>
      <c r="J275" s="42">
        <v>3</v>
      </c>
      <c r="K275" s="321">
        <f t="shared" si="5"/>
        <v>78750.666666666672</v>
      </c>
      <c r="L275" s="62">
        <v>45853</v>
      </c>
      <c r="M275" s="62">
        <v>46217</v>
      </c>
      <c r="N275" s="63" t="s">
        <v>520</v>
      </c>
      <c r="O275" s="42" t="s">
        <v>13</v>
      </c>
      <c r="P275" s="42"/>
      <c r="Q275" s="64" t="s">
        <v>1176</v>
      </c>
      <c r="R275" s="63" t="s">
        <v>1177</v>
      </c>
      <c r="S275" s="64" t="s">
        <v>1178</v>
      </c>
      <c r="T275" s="63" t="s">
        <v>1179</v>
      </c>
      <c r="U275" s="63" t="s">
        <v>1180</v>
      </c>
      <c r="V275" s="63"/>
      <c r="W275" s="63"/>
      <c r="X275" s="63"/>
      <c r="Y275" s="63"/>
      <c r="Z275" s="63"/>
      <c r="AA275" s="63"/>
      <c r="AB275" s="63"/>
      <c r="AC275" s="63" t="s">
        <v>281</v>
      </c>
      <c r="AD275" s="42" t="s">
        <v>97</v>
      </c>
      <c r="AE275" s="42">
        <v>3</v>
      </c>
      <c r="AF275" s="63" t="s">
        <v>667</v>
      </c>
    </row>
    <row r="276" spans="2:32" ht="15" customHeight="1" x14ac:dyDescent="0.3">
      <c r="B276" s="16" t="s">
        <v>14</v>
      </c>
      <c r="C276" s="68" t="s">
        <v>195</v>
      </c>
      <c r="D276" s="132" t="s">
        <v>447</v>
      </c>
      <c r="E276" s="177" t="s">
        <v>1181</v>
      </c>
      <c r="F276" s="43">
        <v>45868</v>
      </c>
      <c r="G276" s="42" t="s">
        <v>55</v>
      </c>
      <c r="H276" s="42">
        <v>1</v>
      </c>
      <c r="I276" s="61">
        <v>61000</v>
      </c>
      <c r="J276" s="42">
        <v>4</v>
      </c>
      <c r="K276" s="321">
        <f t="shared" si="5"/>
        <v>15250</v>
      </c>
      <c r="L276" s="62">
        <v>45874</v>
      </c>
      <c r="M276" s="62">
        <v>46238</v>
      </c>
      <c r="N276" s="63" t="s">
        <v>520</v>
      </c>
      <c r="O276" s="42" t="s">
        <v>13</v>
      </c>
      <c r="P276" s="42"/>
      <c r="Q276" s="64" t="s">
        <v>1182</v>
      </c>
      <c r="R276" s="63" t="s">
        <v>110</v>
      </c>
      <c r="S276" s="64" t="s">
        <v>1183</v>
      </c>
      <c r="T276" s="63" t="s">
        <v>270</v>
      </c>
      <c r="U276" s="64" t="s">
        <v>1184</v>
      </c>
      <c r="V276" s="63" t="s">
        <v>443</v>
      </c>
      <c r="W276" s="63" t="s">
        <v>1185</v>
      </c>
      <c r="X276" s="63"/>
      <c r="Y276" s="63"/>
      <c r="Z276" s="63"/>
      <c r="AA276" s="63"/>
      <c r="AB276" s="63"/>
      <c r="AC276" s="63" t="s">
        <v>96</v>
      </c>
      <c r="AD276" s="42" t="s">
        <v>97</v>
      </c>
      <c r="AE276" s="42" t="s">
        <v>494</v>
      </c>
      <c r="AF276" s="63" t="s">
        <v>667</v>
      </c>
    </row>
    <row r="277" spans="2:32" ht="15" customHeight="1" x14ac:dyDescent="0.3">
      <c r="B277" s="16" t="s">
        <v>14</v>
      </c>
      <c r="C277" s="178" t="s">
        <v>1186</v>
      </c>
      <c r="D277" s="132" t="s">
        <v>841</v>
      </c>
      <c r="E277" s="101">
        <v>470072615</v>
      </c>
      <c r="F277" s="43">
        <v>45864</v>
      </c>
      <c r="G277" s="42" t="s">
        <v>55</v>
      </c>
      <c r="H277" s="42">
        <v>2</v>
      </c>
      <c r="I277" s="61">
        <v>40000</v>
      </c>
      <c r="J277" s="42">
        <v>2</v>
      </c>
      <c r="K277" s="321">
        <f t="shared" si="5"/>
        <v>20000</v>
      </c>
      <c r="L277" s="62">
        <v>45839</v>
      </c>
      <c r="M277" s="62">
        <v>46203</v>
      </c>
      <c r="N277" s="63" t="s">
        <v>520</v>
      </c>
      <c r="O277" s="42" t="s">
        <v>13</v>
      </c>
      <c r="P277" s="42" t="s">
        <v>1</v>
      </c>
      <c r="Q277" s="64" t="s">
        <v>483</v>
      </c>
      <c r="R277" s="63" t="s">
        <v>1187</v>
      </c>
      <c r="S277" s="63" t="s">
        <v>607</v>
      </c>
      <c r="T277" s="63"/>
      <c r="U277" s="63"/>
      <c r="V277" s="63"/>
      <c r="W277" s="63"/>
      <c r="X277" s="63"/>
      <c r="Y277" s="63"/>
      <c r="Z277" s="63"/>
      <c r="AA277" s="63"/>
      <c r="AB277" s="63"/>
      <c r="AC277" s="63" t="s">
        <v>1188</v>
      </c>
      <c r="AD277" s="16" t="s">
        <v>63</v>
      </c>
      <c r="AE277" s="42"/>
      <c r="AF277" s="63"/>
    </row>
    <row r="278" spans="2:32" ht="15" customHeight="1" x14ac:dyDescent="0.3">
      <c r="B278" s="16" t="s">
        <v>14</v>
      </c>
      <c r="C278" s="94" t="s">
        <v>508</v>
      </c>
      <c r="D278" s="247" t="s">
        <v>866</v>
      </c>
      <c r="E278" s="179" t="s">
        <v>1189</v>
      </c>
      <c r="F278" s="180">
        <v>45873</v>
      </c>
      <c r="G278" s="42" t="s">
        <v>55</v>
      </c>
      <c r="H278" s="42">
        <v>2</v>
      </c>
      <c r="I278" s="61">
        <f>89000*2</f>
        <v>178000</v>
      </c>
      <c r="J278" s="42">
        <v>3</v>
      </c>
      <c r="K278" s="321">
        <f t="shared" si="5"/>
        <v>59333.333333333336</v>
      </c>
      <c r="L278" s="62">
        <v>45878</v>
      </c>
      <c r="M278" s="62">
        <v>46242</v>
      </c>
      <c r="N278" s="63" t="s">
        <v>520</v>
      </c>
      <c r="O278" s="42" t="s">
        <v>13</v>
      </c>
      <c r="P278" s="42"/>
      <c r="Q278" s="64" t="s">
        <v>1190</v>
      </c>
      <c r="R278" s="63" t="s">
        <v>1191</v>
      </c>
      <c r="S278" s="64" t="s">
        <v>1192</v>
      </c>
      <c r="T278" s="63" t="s">
        <v>656</v>
      </c>
      <c r="U278" s="63" t="s">
        <v>1193</v>
      </c>
      <c r="V278" s="63" t="s">
        <v>1045</v>
      </c>
      <c r="W278" s="63"/>
      <c r="X278" s="63"/>
      <c r="Y278" s="63"/>
      <c r="Z278" s="63"/>
      <c r="AA278" s="63"/>
      <c r="AB278" s="63"/>
      <c r="AC278" s="63" t="s">
        <v>96</v>
      </c>
      <c r="AD278" s="42" t="s">
        <v>97</v>
      </c>
      <c r="AE278" s="42" t="s">
        <v>494</v>
      </c>
      <c r="AF278" s="181" t="s">
        <v>1194</v>
      </c>
    </row>
    <row r="279" spans="2:32" ht="15" customHeight="1" x14ac:dyDescent="0.3">
      <c r="B279" s="16" t="s">
        <v>14</v>
      </c>
      <c r="C279" s="68" t="s">
        <v>1195</v>
      </c>
      <c r="D279" s="132" t="s">
        <v>1196</v>
      </c>
      <c r="E279" s="174">
        <v>4601464540</v>
      </c>
      <c r="F279" s="43">
        <v>45841</v>
      </c>
      <c r="G279" s="42" t="s">
        <v>55</v>
      </c>
      <c r="H279" s="42">
        <v>2</v>
      </c>
      <c r="I279" s="61">
        <f>81900*2</f>
        <v>163800</v>
      </c>
      <c r="J279" s="42">
        <v>3</v>
      </c>
      <c r="K279" s="321">
        <f t="shared" si="5"/>
        <v>54600</v>
      </c>
      <c r="L279" s="62">
        <v>45748</v>
      </c>
      <c r="M279" s="62">
        <v>46112</v>
      </c>
      <c r="N279" s="63" t="s">
        <v>19</v>
      </c>
      <c r="O279" s="42" t="s">
        <v>3</v>
      </c>
      <c r="P279" s="42"/>
      <c r="Q279" s="64" t="s">
        <v>357</v>
      </c>
      <c r="R279" s="63" t="s">
        <v>1197</v>
      </c>
      <c r="S279" s="64" t="s">
        <v>665</v>
      </c>
      <c r="T279" s="63" t="s">
        <v>1198</v>
      </c>
      <c r="U279" s="64" t="s">
        <v>361</v>
      </c>
      <c r="V279" s="63" t="s">
        <v>899</v>
      </c>
      <c r="W279" s="63"/>
      <c r="X279" s="63"/>
      <c r="Y279" s="63"/>
      <c r="Z279" s="63"/>
      <c r="AA279" s="63"/>
      <c r="AB279" s="63"/>
      <c r="AC279" s="63" t="s">
        <v>478</v>
      </c>
      <c r="AD279" s="16" t="s">
        <v>63</v>
      </c>
      <c r="AE279" s="42">
        <v>3</v>
      </c>
      <c r="AF279" s="63" t="s">
        <v>667</v>
      </c>
    </row>
    <row r="280" spans="2:32" ht="15" customHeight="1" x14ac:dyDescent="0.3">
      <c r="B280" s="16" t="s">
        <v>14</v>
      </c>
      <c r="C280" s="68" t="s">
        <v>1199</v>
      </c>
      <c r="D280" s="250" t="s">
        <v>151</v>
      </c>
      <c r="E280" s="42">
        <v>66981</v>
      </c>
      <c r="F280" s="136">
        <v>45881</v>
      </c>
      <c r="G280" s="42" t="s">
        <v>55</v>
      </c>
      <c r="H280" s="42">
        <v>2</v>
      </c>
      <c r="I280" s="61">
        <v>130000</v>
      </c>
      <c r="J280" s="42">
        <v>2</v>
      </c>
      <c r="K280" s="321">
        <f t="shared" si="5"/>
        <v>65000</v>
      </c>
      <c r="L280" s="62">
        <v>45839</v>
      </c>
      <c r="M280" s="62">
        <v>46203</v>
      </c>
      <c r="N280" s="63" t="s">
        <v>520</v>
      </c>
      <c r="O280" s="42" t="s">
        <v>13</v>
      </c>
      <c r="P280" s="42"/>
      <c r="Q280" s="64" t="s">
        <v>483</v>
      </c>
      <c r="R280" s="63" t="s">
        <v>1034</v>
      </c>
      <c r="S280" s="63" t="s">
        <v>607</v>
      </c>
      <c r="T280" s="63"/>
      <c r="U280" s="63"/>
      <c r="V280" s="63"/>
      <c r="W280" s="63"/>
      <c r="X280" s="63"/>
      <c r="Y280" s="63"/>
      <c r="Z280" s="63"/>
      <c r="AA280" s="63"/>
      <c r="AB280" s="63"/>
      <c r="AC280" s="63" t="s">
        <v>478</v>
      </c>
      <c r="AD280" s="16" t="s">
        <v>63</v>
      </c>
      <c r="AE280" s="42">
        <v>3</v>
      </c>
      <c r="AF280" s="63" t="s">
        <v>667</v>
      </c>
    </row>
    <row r="281" spans="2:32" ht="15" customHeight="1" x14ac:dyDescent="0.3">
      <c r="B281" s="16" t="s">
        <v>14</v>
      </c>
      <c r="C281" s="68" t="s">
        <v>663</v>
      </c>
      <c r="D281" s="132" t="s">
        <v>1016</v>
      </c>
      <c r="E281" s="84">
        <v>4507651363</v>
      </c>
      <c r="F281" s="55">
        <v>45883</v>
      </c>
      <c r="G281" s="26" t="s">
        <v>55</v>
      </c>
      <c r="H281" s="26">
        <v>5</v>
      </c>
      <c r="I281" s="56">
        <f>462000-77000</f>
        <v>385000</v>
      </c>
      <c r="J281" s="26">
        <v>3</v>
      </c>
      <c r="K281" s="321">
        <f t="shared" si="5"/>
        <v>128333.33333333333</v>
      </c>
      <c r="L281" s="57">
        <v>45839</v>
      </c>
      <c r="M281" s="57">
        <v>46203</v>
      </c>
      <c r="N281" s="58" t="s">
        <v>520</v>
      </c>
      <c r="O281" s="26" t="s">
        <v>13</v>
      </c>
      <c r="P281" s="26"/>
      <c r="Q281" s="59" t="s">
        <v>190</v>
      </c>
      <c r="R281" s="58" t="s">
        <v>1026</v>
      </c>
      <c r="S281" s="59" t="s">
        <v>192</v>
      </c>
      <c r="T281" s="58" t="s">
        <v>193</v>
      </c>
      <c r="U281" s="58" t="s">
        <v>1200</v>
      </c>
      <c r="V281" s="58"/>
      <c r="W281" s="58"/>
      <c r="X281" s="58"/>
      <c r="Y281" s="58"/>
      <c r="Z281" s="58"/>
      <c r="AA281" s="58"/>
      <c r="AB281" s="58"/>
      <c r="AC281" s="58" t="s">
        <v>619</v>
      </c>
      <c r="AD281" s="16" t="s">
        <v>63</v>
      </c>
      <c r="AE281" s="26">
        <v>3</v>
      </c>
      <c r="AF281" s="58" t="s">
        <v>667</v>
      </c>
    </row>
    <row r="282" spans="2:32" ht="15" customHeight="1" x14ac:dyDescent="0.3">
      <c r="B282" s="16" t="s">
        <v>14</v>
      </c>
      <c r="C282" s="68" t="s">
        <v>663</v>
      </c>
      <c r="D282" s="132" t="s">
        <v>1016</v>
      </c>
      <c r="E282" s="84">
        <v>4507651363</v>
      </c>
      <c r="F282" s="136">
        <v>45883</v>
      </c>
      <c r="G282" s="42" t="s">
        <v>55</v>
      </c>
      <c r="H282" s="42">
        <v>1</v>
      </c>
      <c r="I282" s="61">
        <v>77000</v>
      </c>
      <c r="J282" s="42">
        <v>2</v>
      </c>
      <c r="K282" s="321">
        <f t="shared" si="5"/>
        <v>38500</v>
      </c>
      <c r="L282" s="62">
        <v>45839</v>
      </c>
      <c r="M282" s="62">
        <v>46203</v>
      </c>
      <c r="N282" s="63" t="s">
        <v>19</v>
      </c>
      <c r="O282" s="42" t="s">
        <v>9</v>
      </c>
      <c r="P282" s="42"/>
      <c r="Q282" s="64" t="s">
        <v>483</v>
      </c>
      <c r="R282" s="58" t="s">
        <v>1026</v>
      </c>
      <c r="S282" s="64" t="s">
        <v>607</v>
      </c>
      <c r="T282" s="58" t="s">
        <v>193</v>
      </c>
      <c r="U282" s="63"/>
      <c r="V282" s="63"/>
      <c r="W282" s="63"/>
      <c r="X282" s="63"/>
      <c r="Y282" s="63"/>
      <c r="Z282" s="63"/>
      <c r="AA282" s="63"/>
      <c r="AB282" s="63"/>
      <c r="AC282" s="63" t="s">
        <v>619</v>
      </c>
      <c r="AD282" s="16" t="s">
        <v>63</v>
      </c>
      <c r="AE282" s="42">
        <v>3</v>
      </c>
      <c r="AF282" s="63" t="s">
        <v>667</v>
      </c>
    </row>
    <row r="283" spans="2:32" ht="15" customHeight="1" x14ac:dyDescent="0.3">
      <c r="B283" s="16" t="s">
        <v>14</v>
      </c>
      <c r="C283" s="68" t="s">
        <v>655</v>
      </c>
      <c r="D283" s="132" t="s">
        <v>151</v>
      </c>
      <c r="E283" s="101">
        <v>2009800</v>
      </c>
      <c r="F283" s="43">
        <v>45874</v>
      </c>
      <c r="G283" s="42" t="s">
        <v>55</v>
      </c>
      <c r="H283" s="42">
        <v>1</v>
      </c>
      <c r="I283" s="61">
        <v>40000</v>
      </c>
      <c r="J283" s="42">
        <v>2</v>
      </c>
      <c r="K283" s="321">
        <f t="shared" si="5"/>
        <v>20000</v>
      </c>
      <c r="L283" s="62">
        <v>45874</v>
      </c>
      <c r="M283" s="62">
        <v>46238</v>
      </c>
      <c r="N283" s="63" t="s">
        <v>520</v>
      </c>
      <c r="O283" s="42" t="s">
        <v>13</v>
      </c>
      <c r="P283" s="42" t="s">
        <v>1</v>
      </c>
      <c r="Q283" s="64" t="s">
        <v>1201</v>
      </c>
      <c r="R283" s="63" t="s">
        <v>556</v>
      </c>
      <c r="S283" s="63" t="s">
        <v>1202</v>
      </c>
      <c r="T283" s="63"/>
      <c r="U283" s="63"/>
      <c r="V283" s="63"/>
      <c r="W283" s="63"/>
      <c r="X283" s="63"/>
      <c r="Y283" s="63"/>
      <c r="Z283" s="63"/>
      <c r="AA283" s="63"/>
      <c r="AB283" s="63"/>
      <c r="AC283" s="63" t="s">
        <v>1188</v>
      </c>
      <c r="AD283" s="16" t="s">
        <v>63</v>
      </c>
      <c r="AE283" s="42"/>
      <c r="AF283" s="63"/>
    </row>
    <row r="284" spans="2:32" ht="15" customHeight="1" x14ac:dyDescent="0.3">
      <c r="B284" s="16" t="s">
        <v>14</v>
      </c>
      <c r="C284" s="68" t="s">
        <v>1203</v>
      </c>
      <c r="D284" s="132" t="s">
        <v>997</v>
      </c>
      <c r="E284" s="101" t="s">
        <v>1204</v>
      </c>
      <c r="F284" s="43">
        <v>45882</v>
      </c>
      <c r="G284" s="42" t="s">
        <v>55</v>
      </c>
      <c r="H284" s="42">
        <v>1</v>
      </c>
      <c r="I284" s="61">
        <v>84000</v>
      </c>
      <c r="J284" s="42">
        <v>3</v>
      </c>
      <c r="K284" s="321">
        <f t="shared" si="5"/>
        <v>28000</v>
      </c>
      <c r="L284" s="62">
        <v>45839</v>
      </c>
      <c r="M284" s="62">
        <v>46203</v>
      </c>
      <c r="N284" s="63" t="s">
        <v>19</v>
      </c>
      <c r="O284" s="42" t="s">
        <v>9</v>
      </c>
      <c r="P284" s="42"/>
      <c r="Q284" s="64" t="s">
        <v>190</v>
      </c>
      <c r="R284" s="63" t="s">
        <v>807</v>
      </c>
      <c r="S284" s="64" t="s">
        <v>192</v>
      </c>
      <c r="T284" s="63" t="s">
        <v>1205</v>
      </c>
      <c r="U284" s="64" t="s">
        <v>1200</v>
      </c>
      <c r="V284" s="63" t="s">
        <v>1721</v>
      </c>
      <c r="W284" s="63"/>
      <c r="X284" s="63"/>
      <c r="Y284" s="63"/>
      <c r="Z284" s="63"/>
      <c r="AA284" s="63"/>
      <c r="AB284" s="63"/>
      <c r="AC284" s="63" t="s">
        <v>96</v>
      </c>
      <c r="AD284" s="42" t="s">
        <v>97</v>
      </c>
      <c r="AE284" s="42" t="s">
        <v>494</v>
      </c>
      <c r="AF284" s="63" t="s">
        <v>667</v>
      </c>
    </row>
    <row r="285" spans="2:32" ht="15" customHeight="1" x14ac:dyDescent="0.3">
      <c r="B285" s="16" t="s">
        <v>14</v>
      </c>
      <c r="C285" s="39" t="s">
        <v>1206</v>
      </c>
      <c r="D285" s="232" t="s">
        <v>1207</v>
      </c>
      <c r="E285" s="50">
        <v>401230020</v>
      </c>
      <c r="F285" s="55">
        <v>45878</v>
      </c>
      <c r="G285" s="26" t="s">
        <v>55</v>
      </c>
      <c r="H285" s="26">
        <v>1</v>
      </c>
      <c r="I285" s="56">
        <v>76000</v>
      </c>
      <c r="J285" s="26">
        <v>2</v>
      </c>
      <c r="K285" s="321">
        <f t="shared" si="5"/>
        <v>38000</v>
      </c>
      <c r="L285" s="57">
        <v>45839</v>
      </c>
      <c r="M285" s="57">
        <v>46203</v>
      </c>
      <c r="N285" s="58" t="s">
        <v>520</v>
      </c>
      <c r="O285" s="26" t="s">
        <v>13</v>
      </c>
      <c r="P285" s="26"/>
      <c r="Q285" s="59" t="s">
        <v>483</v>
      </c>
      <c r="R285" s="58" t="s">
        <v>1208</v>
      </c>
      <c r="S285" s="58" t="s">
        <v>607</v>
      </c>
      <c r="T285" s="58"/>
      <c r="U285" s="58"/>
      <c r="V285" s="58"/>
      <c r="W285" s="58"/>
      <c r="X285" s="58"/>
      <c r="Y285" s="58"/>
      <c r="Z285" s="58"/>
      <c r="AA285" s="58"/>
      <c r="AB285" s="58"/>
      <c r="AC285" s="58" t="s">
        <v>96</v>
      </c>
      <c r="AD285" s="26" t="s">
        <v>97</v>
      </c>
      <c r="AE285" s="26"/>
      <c r="AF285" s="58" t="s">
        <v>667</v>
      </c>
    </row>
    <row r="286" spans="2:32" ht="15" customHeight="1" x14ac:dyDescent="0.3">
      <c r="B286" s="16" t="s">
        <v>14</v>
      </c>
      <c r="C286" s="68" t="s">
        <v>1206</v>
      </c>
      <c r="D286" s="132" t="s">
        <v>1207</v>
      </c>
      <c r="E286" s="84">
        <v>401230026</v>
      </c>
      <c r="F286" s="43">
        <v>45878</v>
      </c>
      <c r="G286" s="42" t="s">
        <v>55</v>
      </c>
      <c r="H286" s="152">
        <v>4</v>
      </c>
      <c r="I286" s="61">
        <f>76000*4</f>
        <v>304000</v>
      </c>
      <c r="J286" s="42">
        <v>2</v>
      </c>
      <c r="K286" s="321">
        <f t="shared" si="5"/>
        <v>152000</v>
      </c>
      <c r="L286" s="62">
        <v>45839</v>
      </c>
      <c r="M286" s="62">
        <v>46203</v>
      </c>
      <c r="N286" s="63" t="s">
        <v>520</v>
      </c>
      <c r="O286" s="42" t="s">
        <v>13</v>
      </c>
      <c r="P286" s="42"/>
      <c r="Q286" s="64" t="s">
        <v>483</v>
      </c>
      <c r="R286" s="63" t="s">
        <v>147</v>
      </c>
      <c r="S286" s="63" t="s">
        <v>607</v>
      </c>
      <c r="T286" s="63"/>
      <c r="U286" s="63"/>
      <c r="V286" s="63"/>
      <c r="W286" s="63"/>
      <c r="X286" s="63"/>
      <c r="Y286" s="63"/>
      <c r="Z286" s="63"/>
      <c r="AA286" s="63"/>
      <c r="AB286" s="63"/>
      <c r="AC286" s="63" t="s">
        <v>96</v>
      </c>
      <c r="AD286" s="42" t="s">
        <v>97</v>
      </c>
      <c r="AE286" s="42"/>
      <c r="AF286" s="63" t="s">
        <v>667</v>
      </c>
    </row>
    <row r="287" spans="2:32" ht="15" customHeight="1" x14ac:dyDescent="0.3">
      <c r="B287" s="16" t="s">
        <v>14</v>
      </c>
      <c r="C287" s="216" t="s">
        <v>948</v>
      </c>
      <c r="D287" s="262" t="s">
        <v>987</v>
      </c>
      <c r="E287" s="217">
        <v>931669</v>
      </c>
      <c r="F287" s="43">
        <v>45871</v>
      </c>
      <c r="G287" s="42" t="s">
        <v>55</v>
      </c>
      <c r="H287" s="42">
        <v>1</v>
      </c>
      <c r="I287" s="61">
        <v>18620</v>
      </c>
      <c r="J287" s="42">
        <v>1</v>
      </c>
      <c r="K287" s="321">
        <f t="shared" si="5"/>
        <v>18620</v>
      </c>
      <c r="L287" s="62">
        <v>45839</v>
      </c>
      <c r="M287" s="62">
        <v>45930</v>
      </c>
      <c r="N287" s="63" t="s">
        <v>19</v>
      </c>
      <c r="O287" s="42" t="s">
        <v>1209</v>
      </c>
      <c r="P287" s="42"/>
      <c r="Q287" s="64" t="s">
        <v>168</v>
      </c>
      <c r="R287" s="63" t="s">
        <v>1210</v>
      </c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 t="s">
        <v>551</v>
      </c>
      <c r="AD287" s="16" t="s">
        <v>207</v>
      </c>
      <c r="AE287" s="42">
        <v>0</v>
      </c>
      <c r="AF287" s="63"/>
    </row>
    <row r="288" spans="2:32" ht="15" customHeight="1" x14ac:dyDescent="0.3">
      <c r="B288" s="16" t="s">
        <v>14</v>
      </c>
      <c r="C288" s="142" t="s">
        <v>1211</v>
      </c>
      <c r="D288" s="249" t="s">
        <v>906</v>
      </c>
      <c r="E288" s="84">
        <v>4800001110</v>
      </c>
      <c r="F288" s="43">
        <v>45887</v>
      </c>
      <c r="G288" s="116" t="s">
        <v>703</v>
      </c>
      <c r="H288" s="42">
        <v>1</v>
      </c>
      <c r="I288" s="61">
        <v>356250</v>
      </c>
      <c r="J288" s="42">
        <v>3</v>
      </c>
      <c r="K288" s="321">
        <f t="shared" si="5"/>
        <v>118750</v>
      </c>
      <c r="L288" s="62">
        <v>45958</v>
      </c>
      <c r="M288" s="62">
        <v>46322</v>
      </c>
      <c r="N288" s="63" t="s">
        <v>520</v>
      </c>
      <c r="O288" s="42" t="s">
        <v>13</v>
      </c>
      <c r="P288" s="42"/>
      <c r="Q288" s="64" t="s">
        <v>1212</v>
      </c>
      <c r="R288" s="63" t="s">
        <v>653</v>
      </c>
      <c r="S288" s="64" t="s">
        <v>1213</v>
      </c>
      <c r="T288" s="63" t="s">
        <v>1722</v>
      </c>
      <c r="U288" s="63" t="s">
        <v>1214</v>
      </c>
      <c r="V288" s="63"/>
      <c r="W288" s="63"/>
      <c r="X288" s="63"/>
      <c r="Y288" s="63"/>
      <c r="Z288" s="63"/>
      <c r="AA288" s="63"/>
      <c r="AB288" s="63"/>
      <c r="AC288" s="63" t="s">
        <v>834</v>
      </c>
      <c r="AD288" s="16" t="s">
        <v>207</v>
      </c>
      <c r="AE288" s="42" t="s">
        <v>494</v>
      </c>
      <c r="AF288" s="63" t="s">
        <v>1215</v>
      </c>
    </row>
    <row r="289" spans="2:32" ht="15" customHeight="1" x14ac:dyDescent="0.3">
      <c r="B289" s="16" t="s">
        <v>14</v>
      </c>
      <c r="C289" s="143" t="s">
        <v>1216</v>
      </c>
      <c r="D289" s="263" t="s">
        <v>176</v>
      </c>
      <c r="E289" s="164">
        <v>1500003169</v>
      </c>
      <c r="F289" s="40">
        <v>45860</v>
      </c>
      <c r="G289" s="26" t="s">
        <v>55</v>
      </c>
      <c r="H289" s="26">
        <v>1</v>
      </c>
      <c r="I289" s="56">
        <v>98900</v>
      </c>
      <c r="J289" s="26">
        <v>3</v>
      </c>
      <c r="K289" s="321"/>
      <c r="L289" s="57">
        <v>45853</v>
      </c>
      <c r="M289" s="57">
        <v>46217</v>
      </c>
      <c r="N289" s="58" t="s">
        <v>19</v>
      </c>
      <c r="O289" s="26" t="s">
        <v>11</v>
      </c>
      <c r="P289" s="26" t="s">
        <v>1</v>
      </c>
      <c r="Q289" s="59" t="s">
        <v>1176</v>
      </c>
      <c r="R289" s="58" t="s">
        <v>1217</v>
      </c>
      <c r="S289" s="59" t="s">
        <v>1178</v>
      </c>
      <c r="T289" s="58" t="s">
        <v>1100</v>
      </c>
      <c r="U289" s="59" t="s">
        <v>1180</v>
      </c>
      <c r="V289" s="58" t="s">
        <v>1715</v>
      </c>
      <c r="W289" s="58"/>
      <c r="X289" s="58"/>
      <c r="Y289" s="58"/>
      <c r="Z289" s="58"/>
      <c r="AA289" s="58"/>
      <c r="AB289" s="58"/>
      <c r="AC289" s="58" t="s">
        <v>183</v>
      </c>
      <c r="AD289" s="26" t="s">
        <v>97</v>
      </c>
      <c r="AE289" s="26">
        <v>2</v>
      </c>
      <c r="AF289" s="58" t="s">
        <v>1218</v>
      </c>
    </row>
    <row r="290" spans="2:32" ht="15" customHeight="1" x14ac:dyDescent="0.3">
      <c r="B290" s="16" t="s">
        <v>14</v>
      </c>
      <c r="C290" s="282" t="s">
        <v>779</v>
      </c>
      <c r="D290" s="252" t="s">
        <v>558</v>
      </c>
      <c r="E290" s="149">
        <v>2500252147</v>
      </c>
      <c r="F290" s="43">
        <v>45883</v>
      </c>
      <c r="G290" s="42" t="s">
        <v>55</v>
      </c>
      <c r="H290" s="42">
        <v>1</v>
      </c>
      <c r="I290" s="61">
        <v>148435</v>
      </c>
      <c r="J290" s="42">
        <v>3</v>
      </c>
      <c r="K290" s="321">
        <f t="shared" si="5"/>
        <v>49478.333333333336</v>
      </c>
      <c r="L290" s="62">
        <v>45870</v>
      </c>
      <c r="M290" s="62">
        <v>46234</v>
      </c>
      <c r="N290" s="63" t="s">
        <v>520</v>
      </c>
      <c r="O290" s="42" t="s">
        <v>13</v>
      </c>
      <c r="P290" s="42" t="s">
        <v>1</v>
      </c>
      <c r="Q290" s="64" t="s">
        <v>665</v>
      </c>
      <c r="R290" s="63" t="s">
        <v>1219</v>
      </c>
      <c r="S290" s="64" t="s">
        <v>361</v>
      </c>
      <c r="T290" s="63" t="s">
        <v>597</v>
      </c>
      <c r="U290" s="63" t="s">
        <v>1080</v>
      </c>
      <c r="V290" s="63"/>
      <c r="W290" s="63"/>
      <c r="X290" s="63"/>
      <c r="Y290" s="63"/>
      <c r="Z290" s="63"/>
      <c r="AA290" s="63"/>
      <c r="AB290" s="63"/>
      <c r="AC290" s="63" t="s">
        <v>281</v>
      </c>
      <c r="AD290" s="42" t="s">
        <v>97</v>
      </c>
      <c r="AE290" s="42">
        <v>3</v>
      </c>
      <c r="AF290" s="171">
        <v>1</v>
      </c>
    </row>
    <row r="291" spans="2:32" ht="15" customHeight="1" x14ac:dyDescent="0.3">
      <c r="B291" s="16" t="s">
        <v>14</v>
      </c>
      <c r="C291" s="142" t="s">
        <v>1172</v>
      </c>
      <c r="D291" s="249" t="s">
        <v>1016</v>
      </c>
      <c r="E291" s="84">
        <v>7100081242</v>
      </c>
      <c r="F291" s="136">
        <v>45895</v>
      </c>
      <c r="G291" s="42" t="s">
        <v>55</v>
      </c>
      <c r="H291" s="42">
        <v>1</v>
      </c>
      <c r="I291" s="61">
        <v>81000</v>
      </c>
      <c r="J291" s="42">
        <v>3</v>
      </c>
      <c r="K291" s="325">
        <f t="shared" si="5"/>
        <v>27000</v>
      </c>
      <c r="L291" s="62">
        <v>45809</v>
      </c>
      <c r="M291" s="62">
        <v>46173</v>
      </c>
      <c r="N291" s="63" t="s">
        <v>520</v>
      </c>
      <c r="O291" s="42" t="s">
        <v>13</v>
      </c>
      <c r="P291" s="42"/>
      <c r="Q291" s="64" t="s">
        <v>81</v>
      </c>
      <c r="R291" s="63" t="s">
        <v>82</v>
      </c>
      <c r="S291" s="64" t="s">
        <v>83</v>
      </c>
      <c r="T291" s="63" t="s">
        <v>1056</v>
      </c>
      <c r="U291" s="63" t="s">
        <v>404</v>
      </c>
      <c r="V291" s="63"/>
      <c r="W291" s="63"/>
      <c r="X291" s="63"/>
      <c r="Y291" s="63"/>
      <c r="Z291" s="63"/>
      <c r="AA291" s="63"/>
      <c r="AB291" s="63"/>
      <c r="AC291" s="63" t="s">
        <v>1220</v>
      </c>
      <c r="AD291" s="16" t="s">
        <v>63</v>
      </c>
      <c r="AE291" s="42">
        <v>3</v>
      </c>
      <c r="AF291" s="63" t="s">
        <v>667</v>
      </c>
    </row>
    <row r="292" spans="2:32" ht="15" customHeight="1" x14ac:dyDescent="0.3">
      <c r="B292" s="16" t="s">
        <v>14</v>
      </c>
      <c r="C292" s="68" t="s">
        <v>1221</v>
      </c>
      <c r="D292" s="132" t="s">
        <v>1159</v>
      </c>
      <c r="E292" s="303">
        <v>3300005366</v>
      </c>
      <c r="F292" s="43">
        <v>45881</v>
      </c>
      <c r="G292" s="42" t="s">
        <v>55</v>
      </c>
      <c r="H292" s="42">
        <v>7</v>
      </c>
      <c r="I292" s="61">
        <v>418222</v>
      </c>
      <c r="J292" s="42">
        <v>2</v>
      </c>
      <c r="K292" s="321">
        <f t="shared" si="5"/>
        <v>209111</v>
      </c>
      <c r="L292" s="62">
        <v>45870</v>
      </c>
      <c r="M292" s="62">
        <v>46234</v>
      </c>
      <c r="N292" s="63" t="s">
        <v>520</v>
      </c>
      <c r="O292" s="42" t="s">
        <v>13</v>
      </c>
      <c r="P292" s="42"/>
      <c r="Q292" s="64" t="s">
        <v>424</v>
      </c>
      <c r="R292" s="63" t="s">
        <v>443</v>
      </c>
      <c r="S292" s="63" t="s">
        <v>426</v>
      </c>
      <c r="T292" s="63"/>
      <c r="U292" s="63"/>
      <c r="V292" s="63"/>
      <c r="W292" s="63"/>
      <c r="X292" s="63"/>
      <c r="Y292" s="63"/>
      <c r="Z292" s="63"/>
      <c r="AA292" s="63"/>
      <c r="AB292" s="63"/>
      <c r="AC292" s="63" t="s">
        <v>507</v>
      </c>
      <c r="AD292" s="16" t="s">
        <v>63</v>
      </c>
      <c r="AE292" s="42">
        <v>2</v>
      </c>
      <c r="AF292" s="63" t="s">
        <v>667</v>
      </c>
    </row>
    <row r="293" spans="2:32" ht="15" customHeight="1" x14ac:dyDescent="0.3">
      <c r="B293" s="16" t="s">
        <v>14</v>
      </c>
      <c r="C293" s="68" t="s">
        <v>1222</v>
      </c>
      <c r="D293" s="132" t="s">
        <v>1223</v>
      </c>
      <c r="E293" s="101" t="s">
        <v>1224</v>
      </c>
      <c r="F293" s="136">
        <v>45897</v>
      </c>
      <c r="G293" s="42" t="s">
        <v>55</v>
      </c>
      <c r="H293" s="42">
        <v>1</v>
      </c>
      <c r="I293" s="61">
        <v>85500</v>
      </c>
      <c r="J293" s="42">
        <v>3</v>
      </c>
      <c r="K293" s="321">
        <f t="shared" si="5"/>
        <v>28500</v>
      </c>
      <c r="L293" s="62">
        <v>45748</v>
      </c>
      <c r="M293" s="62">
        <v>46112</v>
      </c>
      <c r="N293" s="63" t="s">
        <v>19</v>
      </c>
      <c r="O293" s="42" t="s">
        <v>5</v>
      </c>
      <c r="P293" s="42"/>
      <c r="Q293" s="64" t="s">
        <v>357</v>
      </c>
      <c r="R293" s="63" t="s">
        <v>753</v>
      </c>
      <c r="S293" s="64" t="s">
        <v>665</v>
      </c>
      <c r="T293" s="63" t="s">
        <v>944</v>
      </c>
      <c r="U293" s="64" t="s">
        <v>361</v>
      </c>
      <c r="V293" s="63" t="s">
        <v>556</v>
      </c>
      <c r="W293" s="63"/>
      <c r="X293" s="63"/>
      <c r="Y293" s="63"/>
      <c r="Z293" s="63"/>
      <c r="AA293" s="63"/>
      <c r="AB293" s="63"/>
      <c r="AC293" s="63" t="s">
        <v>507</v>
      </c>
      <c r="AD293" s="16" t="s">
        <v>63</v>
      </c>
      <c r="AE293" s="42">
        <v>3</v>
      </c>
      <c r="AF293" s="63" t="s">
        <v>667</v>
      </c>
    </row>
    <row r="294" spans="2:32" ht="15" customHeight="1" x14ac:dyDescent="0.3">
      <c r="B294" s="16" t="s">
        <v>14</v>
      </c>
      <c r="C294" s="132" t="s">
        <v>1225</v>
      </c>
      <c r="D294" s="135" t="s">
        <v>1031</v>
      </c>
      <c r="E294" s="84">
        <v>4513032914</v>
      </c>
      <c r="F294" s="43">
        <v>45895</v>
      </c>
      <c r="G294" s="42" t="s">
        <v>55</v>
      </c>
      <c r="H294" s="42">
        <v>11</v>
      </c>
      <c r="I294" s="61">
        <v>506000</v>
      </c>
      <c r="J294" s="42">
        <v>3</v>
      </c>
      <c r="K294" s="321">
        <f t="shared" si="5"/>
        <v>168666.66666666666</v>
      </c>
      <c r="L294" s="62">
        <v>45870</v>
      </c>
      <c r="M294" s="62">
        <v>46234</v>
      </c>
      <c r="N294" s="63" t="s">
        <v>520</v>
      </c>
      <c r="O294" s="42" t="s">
        <v>13</v>
      </c>
      <c r="P294" s="42"/>
      <c r="Q294" s="64" t="s">
        <v>665</v>
      </c>
      <c r="R294" s="63" t="s">
        <v>1217</v>
      </c>
      <c r="S294" s="64" t="s">
        <v>361</v>
      </c>
      <c r="T294" s="63" t="s">
        <v>1226</v>
      </c>
      <c r="U294" s="63" t="s">
        <v>1080</v>
      </c>
      <c r="V294" s="63"/>
      <c r="W294" s="63"/>
      <c r="X294" s="63"/>
      <c r="Y294" s="63"/>
      <c r="Z294" s="63"/>
      <c r="AA294" s="63"/>
      <c r="AB294" s="63"/>
      <c r="AC294" s="63" t="s">
        <v>478</v>
      </c>
      <c r="AD294" s="16" t="s">
        <v>63</v>
      </c>
      <c r="AE294" s="42">
        <v>5</v>
      </c>
      <c r="AF294" s="63" t="s">
        <v>667</v>
      </c>
    </row>
    <row r="295" spans="2:32" ht="15" customHeight="1" x14ac:dyDescent="0.3">
      <c r="B295" s="16" t="s">
        <v>14</v>
      </c>
      <c r="C295" s="132" t="s">
        <v>663</v>
      </c>
      <c r="D295" s="135" t="s">
        <v>1227</v>
      </c>
      <c r="E295" s="84">
        <v>4507666140</v>
      </c>
      <c r="F295" s="43">
        <v>45895</v>
      </c>
      <c r="G295" s="42" t="s">
        <v>55</v>
      </c>
      <c r="H295" s="42">
        <v>6</v>
      </c>
      <c r="I295" s="61">
        <v>540000</v>
      </c>
      <c r="J295" s="42">
        <v>3</v>
      </c>
      <c r="K295" s="321">
        <f t="shared" si="5"/>
        <v>180000</v>
      </c>
      <c r="L295" s="62">
        <v>45839</v>
      </c>
      <c r="M295" s="62">
        <v>46203</v>
      </c>
      <c r="N295" s="63" t="s">
        <v>520</v>
      </c>
      <c r="O295" s="42" t="s">
        <v>13</v>
      </c>
      <c r="P295" s="42"/>
      <c r="Q295" s="64" t="s">
        <v>190</v>
      </c>
      <c r="R295" s="63" t="s">
        <v>707</v>
      </c>
      <c r="S295" s="64" t="s">
        <v>192</v>
      </c>
      <c r="T295" s="63" t="s">
        <v>1228</v>
      </c>
      <c r="U295" s="63" t="s">
        <v>194</v>
      </c>
      <c r="V295" s="63"/>
      <c r="W295" s="63"/>
      <c r="X295" s="63"/>
      <c r="Y295" s="63"/>
      <c r="Z295" s="63"/>
      <c r="AA295" s="63"/>
      <c r="AB295" s="63"/>
      <c r="AC295" s="63" t="s">
        <v>478</v>
      </c>
      <c r="AD295" s="16" t="s">
        <v>63</v>
      </c>
      <c r="AE295" s="42">
        <v>3</v>
      </c>
      <c r="AF295" s="63" t="s">
        <v>667</v>
      </c>
    </row>
    <row r="296" spans="2:32" ht="15" customHeight="1" x14ac:dyDescent="0.3">
      <c r="B296" s="16" t="s">
        <v>14</v>
      </c>
      <c r="C296" s="132" t="s">
        <v>1229</v>
      </c>
      <c r="D296" s="132" t="s">
        <v>1230</v>
      </c>
      <c r="E296" s="168">
        <v>5500011884</v>
      </c>
      <c r="F296" s="43">
        <v>45898</v>
      </c>
      <c r="G296" s="42" t="s">
        <v>55</v>
      </c>
      <c r="H296" s="42">
        <v>1</v>
      </c>
      <c r="I296" s="61">
        <v>84000</v>
      </c>
      <c r="J296" s="42">
        <v>3</v>
      </c>
      <c r="K296" s="321">
        <f t="shared" si="5"/>
        <v>28000</v>
      </c>
      <c r="L296" s="62">
        <v>45901</v>
      </c>
      <c r="M296" s="62">
        <v>46265</v>
      </c>
      <c r="N296" s="63" t="s">
        <v>520</v>
      </c>
      <c r="O296" s="42" t="s">
        <v>1231</v>
      </c>
      <c r="P296" s="42"/>
      <c r="Q296" s="64" t="s">
        <v>345</v>
      </c>
      <c r="R296" s="63" t="s">
        <v>673</v>
      </c>
      <c r="S296" s="64" t="s">
        <v>347</v>
      </c>
      <c r="T296" s="63" t="s">
        <v>1232</v>
      </c>
      <c r="U296" s="63" t="s">
        <v>348</v>
      </c>
      <c r="V296" s="63"/>
      <c r="W296" s="63"/>
      <c r="X296" s="63"/>
      <c r="Y296" s="63"/>
      <c r="Z296" s="63"/>
      <c r="AA296" s="63"/>
      <c r="AB296" s="63"/>
      <c r="AC296" s="63" t="s">
        <v>96</v>
      </c>
      <c r="AD296" s="42" t="s">
        <v>97</v>
      </c>
      <c r="AE296" s="42">
        <v>2</v>
      </c>
      <c r="AF296" s="63" t="s">
        <v>667</v>
      </c>
    </row>
    <row r="297" spans="2:32" ht="15" customHeight="1" x14ac:dyDescent="0.3">
      <c r="B297" s="16" t="s">
        <v>14</v>
      </c>
      <c r="C297" s="103" t="s">
        <v>1233</v>
      </c>
      <c r="D297" s="135" t="s">
        <v>131</v>
      </c>
      <c r="E297" s="84" t="s">
        <v>1234</v>
      </c>
      <c r="F297" s="43">
        <v>45901</v>
      </c>
      <c r="G297" s="42" t="s">
        <v>55</v>
      </c>
      <c r="H297" s="42">
        <v>1</v>
      </c>
      <c r="I297" s="61">
        <v>84000</v>
      </c>
      <c r="J297" s="42">
        <v>2</v>
      </c>
      <c r="K297" s="321">
        <f t="shared" si="5"/>
        <v>42000</v>
      </c>
      <c r="L297" s="62">
        <v>45901</v>
      </c>
      <c r="M297" s="62">
        <v>46265</v>
      </c>
      <c r="N297" s="63" t="s">
        <v>520</v>
      </c>
      <c r="O297" s="42" t="s">
        <v>1231</v>
      </c>
      <c r="P297" s="42"/>
      <c r="Q297" s="64" t="s">
        <v>625</v>
      </c>
      <c r="R297" s="63" t="s">
        <v>854</v>
      </c>
      <c r="S297" s="63" t="s">
        <v>1235</v>
      </c>
      <c r="T297" s="63"/>
      <c r="U297" s="63"/>
      <c r="V297" s="63"/>
      <c r="W297" s="63"/>
      <c r="X297" s="63"/>
      <c r="Y297" s="63"/>
      <c r="Z297" s="63"/>
      <c r="AA297" s="63"/>
      <c r="AB297" s="63"/>
      <c r="AC297" s="63" t="s">
        <v>485</v>
      </c>
      <c r="AD297" s="16" t="s">
        <v>63</v>
      </c>
      <c r="AE297" s="42">
        <v>2</v>
      </c>
      <c r="AF297" s="44" t="s">
        <v>657</v>
      </c>
    </row>
    <row r="298" spans="2:32" ht="15" customHeight="1" x14ac:dyDescent="0.3">
      <c r="B298" s="16" t="s">
        <v>14</v>
      </c>
      <c r="C298" s="142" t="s">
        <v>1236</v>
      </c>
      <c r="D298" s="249" t="s">
        <v>1237</v>
      </c>
      <c r="E298" s="84">
        <v>4503803719</v>
      </c>
      <c r="F298" s="43">
        <v>45890</v>
      </c>
      <c r="G298" s="42" t="s">
        <v>55</v>
      </c>
      <c r="H298" s="42">
        <v>1</v>
      </c>
      <c r="I298" s="61">
        <v>75000</v>
      </c>
      <c r="J298" s="42">
        <v>3</v>
      </c>
      <c r="K298" s="321">
        <f t="shared" si="5"/>
        <v>25000</v>
      </c>
      <c r="L298" s="62">
        <v>45870</v>
      </c>
      <c r="M298" s="62">
        <v>46234</v>
      </c>
      <c r="N298" s="63" t="s">
        <v>998</v>
      </c>
      <c r="O298" s="42" t="s">
        <v>1231</v>
      </c>
      <c r="P298" s="42"/>
      <c r="Q298" s="64" t="s">
        <v>665</v>
      </c>
      <c r="R298" s="63" t="s">
        <v>1238</v>
      </c>
      <c r="S298" s="64" t="s">
        <v>361</v>
      </c>
      <c r="T298" s="63" t="s">
        <v>1239</v>
      </c>
      <c r="U298" s="63" t="s">
        <v>1080</v>
      </c>
      <c r="V298" s="63"/>
      <c r="W298" s="63"/>
      <c r="X298" s="63"/>
      <c r="Y298" s="63"/>
      <c r="Z298" s="63"/>
      <c r="AA298" s="63"/>
      <c r="AB298" s="63"/>
      <c r="AC298" s="63" t="s">
        <v>478</v>
      </c>
      <c r="AD298" s="16" t="s">
        <v>63</v>
      </c>
      <c r="AE298" s="42">
        <v>2</v>
      </c>
      <c r="AF298" s="44" t="s">
        <v>657</v>
      </c>
    </row>
    <row r="299" spans="2:32" ht="15" customHeight="1" x14ac:dyDescent="0.3">
      <c r="B299" s="16" t="s">
        <v>14</v>
      </c>
      <c r="C299" s="117" t="s">
        <v>1240</v>
      </c>
      <c r="D299" s="248" t="s">
        <v>1241</v>
      </c>
      <c r="E299" s="50" t="s">
        <v>1242</v>
      </c>
      <c r="F299" s="55">
        <v>45905</v>
      </c>
      <c r="G299" s="26" t="s">
        <v>55</v>
      </c>
      <c r="H299" s="26">
        <v>1</v>
      </c>
      <c r="I299" s="56">
        <v>60400</v>
      </c>
      <c r="J299" s="26">
        <v>2</v>
      </c>
      <c r="K299" s="321">
        <f t="shared" si="5"/>
        <v>30200</v>
      </c>
      <c r="L299" s="57">
        <v>45901</v>
      </c>
      <c r="M299" s="57">
        <v>46265</v>
      </c>
      <c r="N299" s="58" t="s">
        <v>520</v>
      </c>
      <c r="O299" s="26" t="s">
        <v>1231</v>
      </c>
      <c r="P299" s="26"/>
      <c r="Q299" s="59" t="s">
        <v>625</v>
      </c>
      <c r="R299" s="58" t="s">
        <v>171</v>
      </c>
      <c r="S299" s="58" t="s">
        <v>1235</v>
      </c>
      <c r="T299" s="58"/>
      <c r="U299" s="58"/>
      <c r="V299" s="58"/>
      <c r="W299" s="58"/>
      <c r="X299" s="58"/>
      <c r="Y299" s="58"/>
      <c r="Z299" s="58"/>
      <c r="AA299" s="58"/>
      <c r="AB299" s="58"/>
      <c r="AC299" s="58" t="s">
        <v>485</v>
      </c>
      <c r="AD299" s="16" t="s">
        <v>63</v>
      </c>
      <c r="AE299" s="26">
        <v>2</v>
      </c>
      <c r="AF299" s="54" t="s">
        <v>657</v>
      </c>
    </row>
    <row r="300" spans="2:32" ht="15" customHeight="1" x14ac:dyDescent="0.3">
      <c r="B300" s="16" t="s">
        <v>14</v>
      </c>
      <c r="C300" s="117" t="s">
        <v>195</v>
      </c>
      <c r="D300" s="248" t="s">
        <v>558</v>
      </c>
      <c r="E300" s="14" t="s">
        <v>1243</v>
      </c>
      <c r="F300" s="55">
        <v>45901</v>
      </c>
      <c r="G300" s="26" t="s">
        <v>55</v>
      </c>
      <c r="H300" s="26">
        <v>9</v>
      </c>
      <c r="I300" s="56">
        <f>1459883.52/2</f>
        <v>729941.76</v>
      </c>
      <c r="J300" s="26">
        <v>4</v>
      </c>
      <c r="K300" s="321">
        <f t="shared" si="5"/>
        <v>182485.44</v>
      </c>
      <c r="L300" s="57">
        <v>45901</v>
      </c>
      <c r="M300" s="57">
        <v>46265</v>
      </c>
      <c r="N300" s="58" t="s">
        <v>520</v>
      </c>
      <c r="O300" s="26" t="s">
        <v>1231</v>
      </c>
      <c r="P300" s="26"/>
      <c r="Q300" s="59" t="s">
        <v>1131</v>
      </c>
      <c r="R300" s="58" t="s">
        <v>1091</v>
      </c>
      <c r="S300" s="59" t="s">
        <v>1133</v>
      </c>
      <c r="T300" s="58" t="s">
        <v>291</v>
      </c>
      <c r="U300" s="59" t="s">
        <v>1134</v>
      </c>
      <c r="V300" s="58" t="s">
        <v>1711</v>
      </c>
      <c r="W300" s="58" t="s">
        <v>1244</v>
      </c>
      <c r="X300" s="58"/>
      <c r="Y300" s="58"/>
      <c r="Z300" s="58"/>
      <c r="AA300" s="58"/>
      <c r="AB300" s="58"/>
      <c r="AC300" s="58" t="s">
        <v>281</v>
      </c>
      <c r="AD300" s="26" t="s">
        <v>97</v>
      </c>
      <c r="AE300" s="26" t="s">
        <v>494</v>
      </c>
      <c r="AF300" s="54" t="s">
        <v>657</v>
      </c>
    </row>
    <row r="301" spans="2:32" ht="15" hidden="1" customHeight="1" x14ac:dyDescent="0.3">
      <c r="B301" s="16" t="s">
        <v>14</v>
      </c>
      <c r="C301" s="142" t="s">
        <v>195</v>
      </c>
      <c r="D301" s="249" t="s">
        <v>558</v>
      </c>
      <c r="E301" s="334" t="s">
        <v>1243</v>
      </c>
      <c r="F301" s="43">
        <v>45901</v>
      </c>
      <c r="G301" s="42" t="s">
        <v>55</v>
      </c>
      <c r="H301" s="42"/>
      <c r="I301" s="61">
        <f>1459883.52/2</f>
        <v>729941.76</v>
      </c>
      <c r="J301" s="42">
        <v>4</v>
      </c>
      <c r="K301" s="321">
        <f t="shared" si="5"/>
        <v>182485.44</v>
      </c>
      <c r="L301" s="57">
        <v>46266</v>
      </c>
      <c r="M301" s="62">
        <v>46630</v>
      </c>
      <c r="N301" s="63" t="s">
        <v>520</v>
      </c>
      <c r="O301" s="42" t="s">
        <v>1231</v>
      </c>
      <c r="P301" s="42"/>
      <c r="Q301" s="63" t="s">
        <v>1245</v>
      </c>
      <c r="R301" s="63"/>
      <c r="S301" s="63" t="s">
        <v>1246</v>
      </c>
      <c r="T301" s="63"/>
      <c r="U301" s="63" t="s">
        <v>1247</v>
      </c>
      <c r="V301" s="63"/>
      <c r="W301" s="63" t="s">
        <v>1248</v>
      </c>
      <c r="X301" s="63"/>
      <c r="Y301" s="63"/>
      <c r="Z301" s="63"/>
      <c r="AA301" s="63"/>
      <c r="AB301" s="63"/>
      <c r="AC301" s="63" t="s">
        <v>281</v>
      </c>
      <c r="AD301" s="42" t="s">
        <v>97</v>
      </c>
      <c r="AE301" s="42" t="s">
        <v>494</v>
      </c>
      <c r="AF301" s="44" t="s">
        <v>657</v>
      </c>
    </row>
    <row r="302" spans="2:32" ht="15" customHeight="1" x14ac:dyDescent="0.3">
      <c r="B302" s="16" t="s">
        <v>14</v>
      </c>
      <c r="C302" s="117" t="s">
        <v>1249</v>
      </c>
      <c r="D302" s="248" t="s">
        <v>151</v>
      </c>
      <c r="E302" s="50">
        <v>4509091008</v>
      </c>
      <c r="F302" s="55">
        <v>45909</v>
      </c>
      <c r="G302" s="26" t="s">
        <v>55</v>
      </c>
      <c r="H302" s="26">
        <v>1</v>
      </c>
      <c r="I302" s="56">
        <f>172000/2</f>
        <v>86000</v>
      </c>
      <c r="J302" s="26">
        <v>2</v>
      </c>
      <c r="K302" s="321">
        <f t="shared" si="5"/>
        <v>43000</v>
      </c>
      <c r="L302" s="57">
        <v>45870</v>
      </c>
      <c r="M302" s="57">
        <v>46234</v>
      </c>
      <c r="N302" s="58" t="s">
        <v>998</v>
      </c>
      <c r="O302" s="26" t="s">
        <v>1231</v>
      </c>
      <c r="P302" s="26" t="s">
        <v>1</v>
      </c>
      <c r="Q302" s="59" t="s">
        <v>424</v>
      </c>
      <c r="R302" s="58" t="s">
        <v>432</v>
      </c>
      <c r="S302" s="58" t="s">
        <v>426</v>
      </c>
      <c r="T302" s="58"/>
      <c r="U302" s="58"/>
      <c r="V302" s="58"/>
      <c r="W302" s="58"/>
      <c r="X302" s="58"/>
      <c r="Y302" s="58"/>
      <c r="Z302" s="58"/>
      <c r="AA302" s="58"/>
      <c r="AB302" s="58"/>
      <c r="AC302" s="58" t="s">
        <v>478</v>
      </c>
      <c r="AD302" s="16" t="s">
        <v>63</v>
      </c>
      <c r="AE302" s="26">
        <v>3</v>
      </c>
      <c r="AF302" s="58" t="s">
        <v>1250</v>
      </c>
    </row>
    <row r="303" spans="2:32" ht="15" hidden="1" customHeight="1" x14ac:dyDescent="0.3">
      <c r="B303" s="16" t="s">
        <v>14</v>
      </c>
      <c r="C303" s="142" t="s">
        <v>1249</v>
      </c>
      <c r="D303" s="249" t="s">
        <v>151</v>
      </c>
      <c r="E303" s="84">
        <v>4509091008</v>
      </c>
      <c r="F303" s="43">
        <v>45909</v>
      </c>
      <c r="G303" s="42" t="s">
        <v>55</v>
      </c>
      <c r="H303" s="42"/>
      <c r="I303" s="61">
        <f>172000/2</f>
        <v>86000</v>
      </c>
      <c r="J303" s="42">
        <v>2</v>
      </c>
      <c r="K303" s="321">
        <f t="shared" si="5"/>
        <v>43000</v>
      </c>
      <c r="L303" s="62">
        <v>46235</v>
      </c>
      <c r="M303" s="62">
        <v>46599</v>
      </c>
      <c r="N303" s="63" t="s">
        <v>998</v>
      </c>
      <c r="O303" s="42" t="s">
        <v>1231</v>
      </c>
      <c r="P303" s="42" t="s">
        <v>1</v>
      </c>
      <c r="Q303" s="63" t="s">
        <v>427</v>
      </c>
      <c r="R303" s="63"/>
      <c r="S303" s="63" t="s">
        <v>428</v>
      </c>
      <c r="T303" s="63"/>
      <c r="U303" s="63"/>
      <c r="V303" s="63"/>
      <c r="W303" s="63"/>
      <c r="X303" s="63"/>
      <c r="Y303" s="63"/>
      <c r="Z303" s="63"/>
      <c r="AA303" s="63"/>
      <c r="AB303" s="63"/>
      <c r="AC303" s="63" t="s">
        <v>478</v>
      </c>
      <c r="AD303" s="16" t="s">
        <v>63</v>
      </c>
      <c r="AE303" s="42">
        <v>3</v>
      </c>
      <c r="AF303" s="63" t="s">
        <v>1250</v>
      </c>
    </row>
    <row r="304" spans="2:32" ht="15" customHeight="1" x14ac:dyDescent="0.3">
      <c r="B304" s="16" t="s">
        <v>14</v>
      </c>
      <c r="C304" s="142" t="s">
        <v>1002</v>
      </c>
      <c r="D304" s="249" t="s">
        <v>151</v>
      </c>
      <c r="E304" s="168">
        <v>4501010798</v>
      </c>
      <c r="F304" s="43">
        <v>45868</v>
      </c>
      <c r="G304" s="42" t="s">
        <v>55</v>
      </c>
      <c r="H304" s="42">
        <v>1</v>
      </c>
      <c r="I304" s="61">
        <v>90000</v>
      </c>
      <c r="J304" s="42">
        <v>3</v>
      </c>
      <c r="K304" s="321">
        <f t="shared" si="5"/>
        <v>30000</v>
      </c>
      <c r="L304" s="62">
        <v>45748</v>
      </c>
      <c r="M304" s="62">
        <v>46112</v>
      </c>
      <c r="N304" s="63" t="s">
        <v>19</v>
      </c>
      <c r="O304" s="42" t="s">
        <v>3</v>
      </c>
      <c r="P304" s="42"/>
      <c r="Q304" s="64" t="s">
        <v>357</v>
      </c>
      <c r="R304" s="63" t="s">
        <v>898</v>
      </c>
      <c r="S304" s="64" t="s">
        <v>665</v>
      </c>
      <c r="T304" s="63" t="s">
        <v>1251</v>
      </c>
      <c r="U304" s="64" t="s">
        <v>361</v>
      </c>
      <c r="V304" s="63" t="s">
        <v>1252</v>
      </c>
      <c r="W304" s="63"/>
      <c r="X304" s="63"/>
      <c r="Y304" s="63"/>
      <c r="Z304" s="63"/>
      <c r="AA304" s="63"/>
      <c r="AB304" s="63"/>
      <c r="AC304" s="63" t="s">
        <v>478</v>
      </c>
      <c r="AD304" s="16" t="s">
        <v>63</v>
      </c>
      <c r="AE304" s="42">
        <v>3</v>
      </c>
      <c r="AF304" s="63" t="s">
        <v>1253</v>
      </c>
    </row>
    <row r="305" spans="2:32" ht="15" customHeight="1" x14ac:dyDescent="0.3">
      <c r="B305" s="16" t="s">
        <v>14</v>
      </c>
      <c r="C305" s="68" t="s">
        <v>527</v>
      </c>
      <c r="D305" s="132" t="s">
        <v>151</v>
      </c>
      <c r="E305" s="84" t="s">
        <v>1254</v>
      </c>
      <c r="F305" s="43">
        <v>45916</v>
      </c>
      <c r="G305" s="42" t="s">
        <v>55</v>
      </c>
      <c r="H305" s="42">
        <v>3</v>
      </c>
      <c r="I305" s="61">
        <v>266976</v>
      </c>
      <c r="J305" s="42">
        <v>3</v>
      </c>
      <c r="K305" s="321">
        <f t="shared" si="5"/>
        <v>88992</v>
      </c>
      <c r="L305" s="62">
        <v>45901</v>
      </c>
      <c r="M305" s="62">
        <v>46265</v>
      </c>
      <c r="N305" s="63" t="s">
        <v>520</v>
      </c>
      <c r="O305" s="42" t="s">
        <v>1231</v>
      </c>
      <c r="P305" s="42"/>
      <c r="Q305" s="64" t="s">
        <v>345</v>
      </c>
      <c r="R305" s="63" t="s">
        <v>985</v>
      </c>
      <c r="S305" s="63" t="s">
        <v>347</v>
      </c>
      <c r="T305" s="63"/>
      <c r="U305" s="63" t="s">
        <v>348</v>
      </c>
      <c r="V305" s="63"/>
      <c r="W305" s="63"/>
      <c r="X305" s="63"/>
      <c r="Y305" s="63"/>
      <c r="Z305" s="63"/>
      <c r="AA305" s="63"/>
      <c r="AB305" s="63"/>
      <c r="AC305" s="63" t="s">
        <v>507</v>
      </c>
      <c r="AD305" s="16" t="s">
        <v>63</v>
      </c>
      <c r="AE305" s="42">
        <v>3</v>
      </c>
      <c r="AF305" s="142" t="s">
        <v>1255</v>
      </c>
    </row>
    <row r="306" spans="2:32" ht="15" customHeight="1" x14ac:dyDescent="0.3">
      <c r="B306" s="16" t="s">
        <v>14</v>
      </c>
      <c r="C306" s="117" t="s">
        <v>685</v>
      </c>
      <c r="D306" s="248" t="s">
        <v>151</v>
      </c>
      <c r="E306" s="50">
        <v>4513115639</v>
      </c>
      <c r="F306" s="43">
        <v>45915</v>
      </c>
      <c r="G306" s="42" t="s">
        <v>55</v>
      </c>
      <c r="H306" s="42">
        <v>1</v>
      </c>
      <c r="I306" s="61">
        <v>46000</v>
      </c>
      <c r="J306" s="42">
        <v>3</v>
      </c>
      <c r="K306" s="321">
        <f t="shared" si="5"/>
        <v>15333.333333333334</v>
      </c>
      <c r="L306" s="62">
        <v>45870</v>
      </c>
      <c r="M306" s="62">
        <v>46234</v>
      </c>
      <c r="N306" s="63" t="s">
        <v>520</v>
      </c>
      <c r="O306" s="42" t="s">
        <v>1231</v>
      </c>
      <c r="P306" s="42"/>
      <c r="Q306" s="64" t="s">
        <v>901</v>
      </c>
      <c r="R306" s="63" t="s">
        <v>1256</v>
      </c>
      <c r="S306" s="64" t="s">
        <v>361</v>
      </c>
      <c r="T306" s="63" t="s">
        <v>688</v>
      </c>
      <c r="U306" s="63" t="s">
        <v>1257</v>
      </c>
      <c r="V306" s="63"/>
      <c r="W306" s="63"/>
      <c r="X306" s="63"/>
      <c r="Y306" s="63"/>
      <c r="Z306" s="63"/>
      <c r="AA306" s="63"/>
      <c r="AB306" s="63"/>
      <c r="AC306" s="63" t="s">
        <v>478</v>
      </c>
      <c r="AD306" s="16" t="s">
        <v>63</v>
      </c>
      <c r="AE306" s="42">
        <v>5</v>
      </c>
      <c r="AF306" s="63" t="s">
        <v>667</v>
      </c>
    </row>
    <row r="307" spans="2:32" ht="15" customHeight="1" x14ac:dyDescent="0.3">
      <c r="B307" s="16" t="s">
        <v>14</v>
      </c>
      <c r="C307" s="37" t="s">
        <v>1095</v>
      </c>
      <c r="D307" s="236" t="s">
        <v>1258</v>
      </c>
      <c r="E307" s="182">
        <v>9709372716</v>
      </c>
      <c r="F307" s="55">
        <v>45916</v>
      </c>
      <c r="G307" s="26" t="s">
        <v>55</v>
      </c>
      <c r="H307" s="26">
        <v>2</v>
      </c>
      <c r="I307" s="56">
        <f>480000/3</f>
        <v>160000</v>
      </c>
      <c r="J307" s="26">
        <v>4</v>
      </c>
      <c r="K307" s="321">
        <f t="shared" si="5"/>
        <v>40000</v>
      </c>
      <c r="L307" s="57">
        <v>45870</v>
      </c>
      <c r="M307" s="57">
        <v>46234</v>
      </c>
      <c r="N307" s="58" t="s">
        <v>520</v>
      </c>
      <c r="O307" s="26" t="s">
        <v>1231</v>
      </c>
      <c r="P307" s="26"/>
      <c r="Q307" s="59" t="s">
        <v>267</v>
      </c>
      <c r="R307" s="58" t="s">
        <v>1003</v>
      </c>
      <c r="S307" s="59" t="s">
        <v>269</v>
      </c>
      <c r="T307" s="58" t="s">
        <v>930</v>
      </c>
      <c r="U307" s="59" t="s">
        <v>442</v>
      </c>
      <c r="V307" s="58" t="s">
        <v>1710</v>
      </c>
      <c r="W307" s="58" t="s">
        <v>444</v>
      </c>
      <c r="X307" s="58"/>
      <c r="Y307" s="58"/>
      <c r="Z307" s="58"/>
      <c r="AA307" s="58"/>
      <c r="AB307" s="58"/>
      <c r="AC307" s="58" t="s">
        <v>619</v>
      </c>
      <c r="AD307" s="16" t="s">
        <v>63</v>
      </c>
      <c r="AE307" s="26">
        <v>4</v>
      </c>
      <c r="AF307" s="63" t="s">
        <v>667</v>
      </c>
    </row>
    <row r="308" spans="2:32" ht="15" hidden="1" customHeight="1" x14ac:dyDescent="0.3">
      <c r="B308" s="16" t="s">
        <v>14</v>
      </c>
      <c r="C308" s="37" t="s">
        <v>1095</v>
      </c>
      <c r="D308" s="236" t="s">
        <v>1258</v>
      </c>
      <c r="E308" s="182">
        <v>9709372716</v>
      </c>
      <c r="F308" s="55">
        <v>45916</v>
      </c>
      <c r="G308" s="26" t="s">
        <v>55</v>
      </c>
      <c r="H308" s="26"/>
      <c r="I308" s="56">
        <f>480000/3</f>
        <v>160000</v>
      </c>
      <c r="J308" s="26">
        <v>4</v>
      </c>
      <c r="K308" s="321">
        <f t="shared" si="5"/>
        <v>40000</v>
      </c>
      <c r="L308" s="57">
        <v>46235</v>
      </c>
      <c r="M308" s="57">
        <v>46599</v>
      </c>
      <c r="N308" s="58" t="s">
        <v>520</v>
      </c>
      <c r="O308" s="26" t="s">
        <v>1231</v>
      </c>
      <c r="P308" s="26"/>
      <c r="Q308" s="58" t="s">
        <v>445</v>
      </c>
      <c r="R308" s="58"/>
      <c r="S308" s="58" t="s">
        <v>456</v>
      </c>
      <c r="T308" s="58"/>
      <c r="U308" s="58" t="s">
        <v>457</v>
      </c>
      <c r="V308" s="58"/>
      <c r="W308" s="58" t="s">
        <v>458</v>
      </c>
      <c r="X308" s="58"/>
      <c r="Y308" s="58"/>
      <c r="Z308" s="58"/>
      <c r="AA308" s="58"/>
      <c r="AB308" s="58"/>
      <c r="AC308" s="58" t="s">
        <v>619</v>
      </c>
      <c r="AD308" s="16" t="s">
        <v>63</v>
      </c>
      <c r="AE308" s="26">
        <v>4</v>
      </c>
      <c r="AF308" s="63" t="s">
        <v>667</v>
      </c>
    </row>
    <row r="309" spans="2:32" ht="15" hidden="1" customHeight="1" x14ac:dyDescent="0.3">
      <c r="B309" s="16" t="s">
        <v>14</v>
      </c>
      <c r="C309" s="86" t="s">
        <v>1095</v>
      </c>
      <c r="D309" s="264" t="s">
        <v>1258</v>
      </c>
      <c r="E309" s="87">
        <v>9709372716</v>
      </c>
      <c r="F309" s="43">
        <v>45916</v>
      </c>
      <c r="G309" s="42" t="s">
        <v>55</v>
      </c>
      <c r="H309" s="42"/>
      <c r="I309" s="61">
        <f>480000/3</f>
        <v>160000</v>
      </c>
      <c r="J309" s="42">
        <v>4</v>
      </c>
      <c r="K309" s="321">
        <f t="shared" si="5"/>
        <v>40000</v>
      </c>
      <c r="L309" s="62">
        <v>46600</v>
      </c>
      <c r="M309" s="62">
        <v>46965</v>
      </c>
      <c r="N309" s="63" t="s">
        <v>520</v>
      </c>
      <c r="O309" s="42" t="s">
        <v>1231</v>
      </c>
      <c r="P309" s="42"/>
      <c r="Q309" s="63" t="s">
        <v>459</v>
      </c>
      <c r="R309" s="63"/>
      <c r="S309" s="63" t="s">
        <v>893</v>
      </c>
      <c r="T309" s="63"/>
      <c r="U309" s="63" t="s">
        <v>894</v>
      </c>
      <c r="V309" s="63"/>
      <c r="W309" s="63" t="s">
        <v>1259</v>
      </c>
      <c r="X309" s="63"/>
      <c r="Y309" s="63"/>
      <c r="Z309" s="63"/>
      <c r="AA309" s="63"/>
      <c r="AB309" s="63"/>
      <c r="AC309" s="63" t="s">
        <v>619</v>
      </c>
      <c r="AD309" s="16" t="s">
        <v>63</v>
      </c>
      <c r="AE309" s="42">
        <v>4</v>
      </c>
      <c r="AF309" s="63" t="s">
        <v>667</v>
      </c>
    </row>
    <row r="310" spans="2:32" ht="15" customHeight="1" x14ac:dyDescent="0.3">
      <c r="B310" s="16" t="s">
        <v>14</v>
      </c>
      <c r="C310" s="39" t="s">
        <v>775</v>
      </c>
      <c r="D310" s="232" t="s">
        <v>1260</v>
      </c>
      <c r="E310" s="183">
        <v>2710001257</v>
      </c>
      <c r="F310" s="55">
        <v>45926</v>
      </c>
      <c r="G310" s="26" t="s">
        <v>55</v>
      </c>
      <c r="H310" s="26">
        <v>2</v>
      </c>
      <c r="I310" s="56">
        <v>170000</v>
      </c>
      <c r="J310" s="26">
        <v>2</v>
      </c>
      <c r="K310" s="321">
        <f t="shared" si="5"/>
        <v>85000</v>
      </c>
      <c r="L310" s="57">
        <v>45915</v>
      </c>
      <c r="M310" s="57">
        <v>46279</v>
      </c>
      <c r="N310" s="58" t="s">
        <v>520</v>
      </c>
      <c r="O310" s="26" t="s">
        <v>1231</v>
      </c>
      <c r="P310" s="26"/>
      <c r="Q310" s="59" t="s">
        <v>1261</v>
      </c>
      <c r="R310" s="58" t="s">
        <v>1262</v>
      </c>
      <c r="S310" s="58" t="s">
        <v>1263</v>
      </c>
      <c r="T310" s="58"/>
      <c r="U310" s="58"/>
      <c r="V310" s="58"/>
      <c r="W310" s="58"/>
      <c r="X310" s="58"/>
      <c r="Y310" s="58"/>
      <c r="Z310" s="58"/>
      <c r="AA310" s="58"/>
      <c r="AB310" s="58"/>
      <c r="AC310" s="58" t="s">
        <v>485</v>
      </c>
      <c r="AD310" s="16" t="s">
        <v>63</v>
      </c>
      <c r="AE310" s="26">
        <v>2</v>
      </c>
      <c r="AF310" s="117" t="s">
        <v>1264</v>
      </c>
    </row>
    <row r="311" spans="2:32" ht="15" customHeight="1" x14ac:dyDescent="0.3">
      <c r="B311" s="16" t="s">
        <v>14</v>
      </c>
      <c r="C311" s="68" t="s">
        <v>1172</v>
      </c>
      <c r="D311" s="132" t="s">
        <v>1016</v>
      </c>
      <c r="E311" s="84">
        <v>7100107808</v>
      </c>
      <c r="F311" s="43">
        <v>45904</v>
      </c>
      <c r="G311" s="42" t="s">
        <v>55</v>
      </c>
      <c r="H311" s="42">
        <v>1</v>
      </c>
      <c r="I311" s="61">
        <v>81000</v>
      </c>
      <c r="J311" s="42">
        <v>3</v>
      </c>
      <c r="K311" s="321">
        <f t="shared" si="5"/>
        <v>27000</v>
      </c>
      <c r="L311" s="62">
        <v>45901</v>
      </c>
      <c r="M311" s="62">
        <v>46265</v>
      </c>
      <c r="N311" s="63" t="s">
        <v>520</v>
      </c>
      <c r="O311" s="42" t="s">
        <v>1231</v>
      </c>
      <c r="P311" s="42"/>
      <c r="Q311" s="64" t="s">
        <v>345</v>
      </c>
      <c r="R311" s="63" t="s">
        <v>582</v>
      </c>
      <c r="S311" s="64" t="s">
        <v>347</v>
      </c>
      <c r="T311" s="63" t="s">
        <v>1009</v>
      </c>
      <c r="U311" s="63" t="s">
        <v>348</v>
      </c>
      <c r="V311" s="63"/>
      <c r="W311" s="63"/>
      <c r="X311" s="63"/>
      <c r="Y311" s="63"/>
      <c r="Z311" s="63"/>
      <c r="AA311" s="63"/>
      <c r="AB311" s="63"/>
      <c r="AC311" s="63" t="s">
        <v>619</v>
      </c>
      <c r="AD311" s="16" t="s">
        <v>63</v>
      </c>
      <c r="AE311" s="42">
        <v>3</v>
      </c>
      <c r="AF311" s="63" t="s">
        <v>667</v>
      </c>
    </row>
    <row r="312" spans="2:32" ht="15" customHeight="1" x14ac:dyDescent="0.3">
      <c r="B312" s="16" t="s">
        <v>14</v>
      </c>
      <c r="C312" s="94" t="s">
        <v>1265</v>
      </c>
      <c r="D312" s="247" t="s">
        <v>388</v>
      </c>
      <c r="E312" s="149">
        <v>3800035834</v>
      </c>
      <c r="F312" s="43">
        <v>45926</v>
      </c>
      <c r="G312" s="42" t="s">
        <v>55</v>
      </c>
      <c r="H312" s="42">
        <v>1</v>
      </c>
      <c r="I312" s="61">
        <v>58000</v>
      </c>
      <c r="J312" s="42">
        <v>2</v>
      </c>
      <c r="K312" s="321">
        <f t="shared" si="5"/>
        <v>29000</v>
      </c>
      <c r="L312" s="62">
        <v>45901</v>
      </c>
      <c r="M312" s="62">
        <v>46265</v>
      </c>
      <c r="N312" s="63" t="s">
        <v>520</v>
      </c>
      <c r="O312" s="42" t="s">
        <v>1231</v>
      </c>
      <c r="P312" s="184"/>
      <c r="Q312" s="64" t="s">
        <v>625</v>
      </c>
      <c r="R312" s="63" t="s">
        <v>1085</v>
      </c>
      <c r="S312" s="63" t="s">
        <v>1235</v>
      </c>
      <c r="T312" s="63"/>
      <c r="U312" s="63"/>
      <c r="V312" s="63"/>
      <c r="W312" s="63"/>
      <c r="X312" s="63"/>
      <c r="Y312" s="63"/>
      <c r="Z312" s="63"/>
      <c r="AA312" s="63"/>
      <c r="AB312" s="63"/>
      <c r="AC312" s="63" t="s">
        <v>478</v>
      </c>
      <c r="AD312" s="16" t="s">
        <v>63</v>
      </c>
      <c r="AE312" s="42">
        <v>2</v>
      </c>
      <c r="AF312" s="63" t="s">
        <v>1266</v>
      </c>
    </row>
    <row r="313" spans="2:32" ht="15" customHeight="1" x14ac:dyDescent="0.3">
      <c r="B313" s="16" t="s">
        <v>14</v>
      </c>
      <c r="C313" s="39" t="s">
        <v>195</v>
      </c>
      <c r="D313" s="232" t="s">
        <v>858</v>
      </c>
      <c r="E313" s="50" t="s">
        <v>1267</v>
      </c>
      <c r="F313" s="55">
        <v>45925</v>
      </c>
      <c r="G313" s="26" t="s">
        <v>55</v>
      </c>
      <c r="H313" s="26">
        <v>9</v>
      </c>
      <c r="I313" s="56">
        <v>506340</v>
      </c>
      <c r="J313" s="26">
        <v>4</v>
      </c>
      <c r="K313" s="321">
        <f t="shared" si="5"/>
        <v>126585</v>
      </c>
      <c r="L313" s="57">
        <v>45940</v>
      </c>
      <c r="M313" s="57">
        <v>46304</v>
      </c>
      <c r="N313" s="58" t="s">
        <v>520</v>
      </c>
      <c r="O313" s="26" t="s">
        <v>1231</v>
      </c>
      <c r="P313" s="185"/>
      <c r="Q313" s="59" t="s">
        <v>1268</v>
      </c>
      <c r="R313" s="58" t="s">
        <v>917</v>
      </c>
      <c r="S313" s="59" t="s">
        <v>1269</v>
      </c>
      <c r="T313" s="58" t="s">
        <v>930</v>
      </c>
      <c r="U313" s="58" t="s">
        <v>1270</v>
      </c>
      <c r="V313" s="58"/>
      <c r="W313" s="58" t="s">
        <v>1271</v>
      </c>
      <c r="X313" s="58"/>
      <c r="Y313" s="58"/>
      <c r="Z313" s="58"/>
      <c r="AA313" s="58"/>
      <c r="AB313" s="58"/>
      <c r="AC313" s="58" t="s">
        <v>551</v>
      </c>
      <c r="AD313" s="16" t="s">
        <v>207</v>
      </c>
      <c r="AE313" s="26">
        <v>3</v>
      </c>
      <c r="AF313" s="58" t="s">
        <v>1272</v>
      </c>
    </row>
    <row r="314" spans="2:32" ht="15" hidden="1" customHeight="1" x14ac:dyDescent="0.3">
      <c r="B314" s="16" t="s">
        <v>14</v>
      </c>
      <c r="C314" s="39" t="s">
        <v>195</v>
      </c>
      <c r="D314" s="232" t="s">
        <v>858</v>
      </c>
      <c r="E314" s="50" t="s">
        <v>1267</v>
      </c>
      <c r="F314" s="55">
        <v>45925</v>
      </c>
      <c r="G314" s="26" t="s">
        <v>55</v>
      </c>
      <c r="H314" s="26"/>
      <c r="I314" s="56">
        <v>506340</v>
      </c>
      <c r="J314" s="26">
        <v>4</v>
      </c>
      <c r="K314" s="321">
        <f t="shared" si="5"/>
        <v>126585</v>
      </c>
      <c r="L314" s="57">
        <v>46305</v>
      </c>
      <c r="M314" s="57">
        <v>46669</v>
      </c>
      <c r="N314" s="58" t="s">
        <v>520</v>
      </c>
      <c r="O314" s="26" t="s">
        <v>1231</v>
      </c>
      <c r="P314" s="186"/>
      <c r="Q314" s="58" t="s">
        <v>1273</v>
      </c>
      <c r="R314" s="58"/>
      <c r="S314" s="58" t="s">
        <v>1274</v>
      </c>
      <c r="T314" s="58"/>
      <c r="U314" s="58" t="s">
        <v>1275</v>
      </c>
      <c r="V314" s="58"/>
      <c r="W314" s="58" t="s">
        <v>1276</v>
      </c>
      <c r="X314" s="58"/>
      <c r="Y314" s="58"/>
      <c r="Z314" s="58"/>
      <c r="AA314" s="58"/>
      <c r="AB314" s="58"/>
      <c r="AC314" s="58" t="s">
        <v>551</v>
      </c>
      <c r="AD314" s="16" t="s">
        <v>207</v>
      </c>
      <c r="AE314" s="26">
        <v>3</v>
      </c>
      <c r="AF314" s="58" t="s">
        <v>1272</v>
      </c>
    </row>
    <row r="315" spans="2:32" ht="15" customHeight="1" x14ac:dyDescent="0.3">
      <c r="B315" s="16" t="s">
        <v>14</v>
      </c>
      <c r="C315" s="39" t="s">
        <v>1277</v>
      </c>
      <c r="D315" s="232" t="s">
        <v>858</v>
      </c>
      <c r="E315" s="125" t="s">
        <v>1278</v>
      </c>
      <c r="F315" s="55">
        <v>45924</v>
      </c>
      <c r="G315" s="26" t="s">
        <v>55</v>
      </c>
      <c r="H315" s="26">
        <v>5</v>
      </c>
      <c r="I315" s="56">
        <v>310400</v>
      </c>
      <c r="J315" s="26">
        <v>4</v>
      </c>
      <c r="K315" s="321">
        <f t="shared" si="5"/>
        <v>77600</v>
      </c>
      <c r="L315" s="57">
        <v>45931</v>
      </c>
      <c r="M315" s="57">
        <v>46295</v>
      </c>
      <c r="N315" s="58" t="s">
        <v>520</v>
      </c>
      <c r="O315" s="26" t="s">
        <v>1231</v>
      </c>
      <c r="P315" s="26"/>
      <c r="Q315" s="59" t="s">
        <v>228</v>
      </c>
      <c r="R315" s="58" t="s">
        <v>718</v>
      </c>
      <c r="S315" s="59" t="s">
        <v>396</v>
      </c>
      <c r="T315" s="58" t="s">
        <v>1252</v>
      </c>
      <c r="U315" s="58" t="s">
        <v>397</v>
      </c>
      <c r="V315" s="58"/>
      <c r="W315" s="58" t="s">
        <v>496</v>
      </c>
      <c r="X315" s="58"/>
      <c r="Y315" s="58"/>
      <c r="Z315" s="58"/>
      <c r="AA315" s="58"/>
      <c r="AB315" s="58"/>
      <c r="AC315" s="58" t="s">
        <v>551</v>
      </c>
      <c r="AD315" s="16" t="s">
        <v>207</v>
      </c>
      <c r="AE315" s="26">
        <v>3</v>
      </c>
      <c r="AF315" s="58" t="s">
        <v>1272</v>
      </c>
    </row>
    <row r="316" spans="2:32" ht="15" hidden="1" customHeight="1" x14ac:dyDescent="0.3">
      <c r="B316" s="16" t="s">
        <v>14</v>
      </c>
      <c r="C316" s="39" t="s">
        <v>1277</v>
      </c>
      <c r="D316" s="232" t="s">
        <v>858</v>
      </c>
      <c r="E316" s="125" t="s">
        <v>1278</v>
      </c>
      <c r="F316" s="55">
        <v>45924</v>
      </c>
      <c r="G316" s="26" t="s">
        <v>55</v>
      </c>
      <c r="H316" s="26"/>
      <c r="I316" s="56">
        <v>310400</v>
      </c>
      <c r="J316" s="26">
        <v>4</v>
      </c>
      <c r="K316" s="321">
        <f t="shared" si="5"/>
        <v>77600</v>
      </c>
      <c r="L316" s="57">
        <v>46296</v>
      </c>
      <c r="M316" s="57">
        <v>46660</v>
      </c>
      <c r="N316" s="58" t="s">
        <v>520</v>
      </c>
      <c r="O316" s="26" t="s">
        <v>1231</v>
      </c>
      <c r="P316" s="26"/>
      <c r="Q316" s="58" t="s">
        <v>497</v>
      </c>
      <c r="R316" s="58"/>
      <c r="S316" s="58" t="s">
        <v>498</v>
      </c>
      <c r="T316" s="58"/>
      <c r="U316" s="58" t="s">
        <v>499</v>
      </c>
      <c r="V316" s="58"/>
      <c r="W316" s="58" t="s">
        <v>500</v>
      </c>
      <c r="X316" s="58"/>
      <c r="Y316" s="58"/>
      <c r="Z316" s="58"/>
      <c r="AA316" s="58"/>
      <c r="AB316" s="58"/>
      <c r="AC316" s="58" t="s">
        <v>551</v>
      </c>
      <c r="AD316" s="16" t="s">
        <v>207</v>
      </c>
      <c r="AE316" s="26">
        <v>3</v>
      </c>
      <c r="AF316" s="58" t="s">
        <v>1272</v>
      </c>
    </row>
    <row r="317" spans="2:32" ht="15" hidden="1" customHeight="1" x14ac:dyDescent="0.3">
      <c r="B317" s="16" t="s">
        <v>14</v>
      </c>
      <c r="C317" s="68" t="s">
        <v>1277</v>
      </c>
      <c r="D317" s="132" t="s">
        <v>858</v>
      </c>
      <c r="E317" s="121" t="s">
        <v>1278</v>
      </c>
      <c r="F317" s="43">
        <v>45924</v>
      </c>
      <c r="G317" s="42" t="s">
        <v>55</v>
      </c>
      <c r="H317" s="42"/>
      <c r="I317" s="61">
        <v>310400</v>
      </c>
      <c r="J317" s="42">
        <v>4</v>
      </c>
      <c r="K317" s="321">
        <f t="shared" si="5"/>
        <v>77600</v>
      </c>
      <c r="L317" s="62">
        <v>46661</v>
      </c>
      <c r="M317" s="62">
        <v>47026</v>
      </c>
      <c r="N317" s="63" t="s">
        <v>520</v>
      </c>
      <c r="O317" s="42" t="s">
        <v>1231</v>
      </c>
      <c r="P317" s="42"/>
      <c r="Q317" s="62" t="s">
        <v>501</v>
      </c>
      <c r="R317" s="63"/>
      <c r="S317" s="63" t="s">
        <v>674</v>
      </c>
      <c r="T317" s="63"/>
      <c r="U317" s="63" t="s">
        <v>1279</v>
      </c>
      <c r="V317" s="63"/>
      <c r="W317" s="63" t="s">
        <v>1280</v>
      </c>
      <c r="X317" s="63"/>
      <c r="Y317" s="63"/>
      <c r="Z317" s="63"/>
      <c r="AA317" s="63"/>
      <c r="AB317" s="63"/>
      <c r="AC317" s="63" t="s">
        <v>551</v>
      </c>
      <c r="AD317" s="16" t="s">
        <v>207</v>
      </c>
      <c r="AE317" s="42">
        <v>3</v>
      </c>
      <c r="AF317" s="63" t="s">
        <v>1272</v>
      </c>
    </row>
    <row r="318" spans="2:32" ht="15" customHeight="1" x14ac:dyDescent="0.3">
      <c r="B318" s="16" t="s">
        <v>14</v>
      </c>
      <c r="C318" s="65" t="s">
        <v>1281</v>
      </c>
      <c r="D318" s="132" t="s">
        <v>1282</v>
      </c>
      <c r="E318" s="42">
        <v>9200015089</v>
      </c>
      <c r="F318" s="43">
        <v>45912</v>
      </c>
      <c r="G318" s="42"/>
      <c r="H318" s="42">
        <v>1</v>
      </c>
      <c r="I318" s="61">
        <v>145000</v>
      </c>
      <c r="J318" s="42"/>
      <c r="K318" s="321" t="e">
        <f t="shared" si="5"/>
        <v>#DIV/0!</v>
      </c>
      <c r="L318" s="62"/>
      <c r="M318" s="62"/>
      <c r="N318" s="63" t="s">
        <v>998</v>
      </c>
      <c r="O318" s="42" t="s">
        <v>1231</v>
      </c>
      <c r="P318" s="42" t="s">
        <v>1283</v>
      </c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 t="s">
        <v>1188</v>
      </c>
      <c r="AD318" s="42" t="s">
        <v>968</v>
      </c>
      <c r="AE318" s="42"/>
      <c r="AF318" s="63"/>
    </row>
    <row r="319" spans="2:32" ht="15" customHeight="1" x14ac:dyDescent="0.3">
      <c r="B319" s="16" t="s">
        <v>14</v>
      </c>
      <c r="C319" s="39" t="s">
        <v>1103</v>
      </c>
      <c r="D319" s="232" t="s">
        <v>176</v>
      </c>
      <c r="E319" s="331" t="s">
        <v>1284</v>
      </c>
      <c r="F319" s="55">
        <v>45924</v>
      </c>
      <c r="G319" s="26" t="s">
        <v>55</v>
      </c>
      <c r="H319" s="26">
        <v>1</v>
      </c>
      <c r="I319" s="56">
        <v>90000</v>
      </c>
      <c r="J319" s="26">
        <v>3</v>
      </c>
      <c r="K319" s="321">
        <f t="shared" si="5"/>
        <v>30000</v>
      </c>
      <c r="L319" s="57">
        <v>45901</v>
      </c>
      <c r="M319" s="57">
        <v>46265</v>
      </c>
      <c r="N319" s="58" t="s">
        <v>520</v>
      </c>
      <c r="O319" s="26" t="s">
        <v>1285</v>
      </c>
      <c r="P319" s="26"/>
      <c r="Q319" s="59" t="s">
        <v>345</v>
      </c>
      <c r="R319" s="58" t="s">
        <v>1286</v>
      </c>
      <c r="S319" s="59" t="s">
        <v>347</v>
      </c>
      <c r="T319" s="58" t="s">
        <v>1287</v>
      </c>
      <c r="U319" s="58" t="s">
        <v>348</v>
      </c>
      <c r="V319" s="58"/>
      <c r="W319" s="58"/>
      <c r="X319" s="58"/>
      <c r="Y319" s="58"/>
      <c r="Z319" s="58"/>
      <c r="AA319" s="58"/>
      <c r="AB319" s="58"/>
      <c r="AC319" s="58" t="s">
        <v>183</v>
      </c>
      <c r="AD319" s="26" t="s">
        <v>97</v>
      </c>
      <c r="AE319" s="26">
        <v>2</v>
      </c>
      <c r="AF319" s="58" t="s">
        <v>1272</v>
      </c>
    </row>
    <row r="320" spans="2:32" ht="15" customHeight="1" x14ac:dyDescent="0.3">
      <c r="B320" s="16" t="s">
        <v>14</v>
      </c>
      <c r="C320" s="39" t="s">
        <v>1288</v>
      </c>
      <c r="D320" s="232" t="s">
        <v>1114</v>
      </c>
      <c r="E320" s="42">
        <v>4504881247</v>
      </c>
      <c r="F320" s="55">
        <v>45917</v>
      </c>
      <c r="G320" s="26" t="s">
        <v>55</v>
      </c>
      <c r="H320" s="26">
        <v>10</v>
      </c>
      <c r="I320" s="56">
        <v>850000</v>
      </c>
      <c r="J320" s="26">
        <v>4</v>
      </c>
      <c r="K320" s="321">
        <f t="shared" si="5"/>
        <v>212500</v>
      </c>
      <c r="L320" s="57">
        <v>45901</v>
      </c>
      <c r="M320" s="57">
        <v>46265</v>
      </c>
      <c r="N320" s="58" t="s">
        <v>520</v>
      </c>
      <c r="O320" s="26" t="s">
        <v>1285</v>
      </c>
      <c r="P320" s="26"/>
      <c r="Q320" s="59" t="s">
        <v>1131</v>
      </c>
      <c r="R320" s="58" t="s">
        <v>247</v>
      </c>
      <c r="S320" s="59" t="s">
        <v>1133</v>
      </c>
      <c r="T320" s="58" t="s">
        <v>747</v>
      </c>
      <c r="U320" s="59" t="s">
        <v>1134</v>
      </c>
      <c r="V320" s="58" t="s">
        <v>1289</v>
      </c>
      <c r="W320" s="58" t="s">
        <v>1244</v>
      </c>
      <c r="X320" s="58"/>
      <c r="Y320" s="58"/>
      <c r="Z320" s="58"/>
      <c r="AA320" s="58"/>
      <c r="AB320" s="58"/>
      <c r="AC320" s="58" t="s">
        <v>183</v>
      </c>
      <c r="AD320" s="26" t="s">
        <v>97</v>
      </c>
      <c r="AE320" s="26">
        <v>4</v>
      </c>
      <c r="AF320" s="58" t="s">
        <v>1290</v>
      </c>
    </row>
    <row r="321" spans="1:32" ht="15" customHeight="1" x14ac:dyDescent="0.3">
      <c r="B321" s="16" t="s">
        <v>14</v>
      </c>
      <c r="C321" s="39" t="s">
        <v>1291</v>
      </c>
      <c r="D321" s="232" t="s">
        <v>176</v>
      </c>
      <c r="E321" s="42">
        <v>5600003069</v>
      </c>
      <c r="F321" s="55">
        <v>45890</v>
      </c>
      <c r="G321" s="26" t="s">
        <v>55</v>
      </c>
      <c r="H321" s="26">
        <v>1</v>
      </c>
      <c r="I321" s="56">
        <v>94500</v>
      </c>
      <c r="J321" s="26">
        <v>2</v>
      </c>
      <c r="K321" s="321">
        <f t="shared" si="5"/>
        <v>47250</v>
      </c>
      <c r="L321" s="57">
        <v>45901</v>
      </c>
      <c r="M321" s="57">
        <v>46265</v>
      </c>
      <c r="N321" s="58" t="s">
        <v>998</v>
      </c>
      <c r="O321" s="26" t="s">
        <v>1285</v>
      </c>
      <c r="P321" s="26" t="s">
        <v>1</v>
      </c>
      <c r="Q321" s="59" t="s">
        <v>625</v>
      </c>
      <c r="R321" s="58" t="s">
        <v>1091</v>
      </c>
      <c r="S321" s="58" t="s">
        <v>1235</v>
      </c>
      <c r="T321" s="58"/>
      <c r="U321" s="58"/>
      <c r="V321" s="58"/>
      <c r="W321" s="58"/>
      <c r="X321" s="58"/>
      <c r="Y321" s="58"/>
      <c r="Z321" s="58"/>
      <c r="AA321" s="58"/>
      <c r="AB321" s="58"/>
      <c r="AC321" s="58" t="s">
        <v>183</v>
      </c>
      <c r="AD321" s="26" t="s">
        <v>97</v>
      </c>
      <c r="AE321" s="26">
        <v>2</v>
      </c>
      <c r="AF321" s="58" t="s">
        <v>1292</v>
      </c>
    </row>
    <row r="322" spans="1:32" ht="15" customHeight="1" x14ac:dyDescent="0.3">
      <c r="B322" s="16" t="s">
        <v>14</v>
      </c>
      <c r="C322" s="576" t="s">
        <v>508</v>
      </c>
      <c r="D322" s="259" t="s">
        <v>866</v>
      </c>
      <c r="E322" s="104" t="s">
        <v>1293</v>
      </c>
      <c r="F322" s="180">
        <v>45926</v>
      </c>
      <c r="G322" s="42" t="s">
        <v>55</v>
      </c>
      <c r="H322" s="42">
        <v>1</v>
      </c>
      <c r="I322" s="61">
        <v>89000</v>
      </c>
      <c r="J322" s="42">
        <v>3</v>
      </c>
      <c r="K322" s="321">
        <f t="shared" si="5"/>
        <v>29666.666666666668</v>
      </c>
      <c r="L322" s="62">
        <v>45931</v>
      </c>
      <c r="M322" s="62">
        <v>46295</v>
      </c>
      <c r="N322" s="63" t="s">
        <v>520</v>
      </c>
      <c r="O322" s="42" t="s">
        <v>1285</v>
      </c>
      <c r="P322" s="42"/>
      <c r="Q322" s="64" t="s">
        <v>83</v>
      </c>
      <c r="R322" s="63" t="s">
        <v>1294</v>
      </c>
      <c r="S322" s="64" t="s">
        <v>404</v>
      </c>
      <c r="T322" s="63" t="s">
        <v>1295</v>
      </c>
      <c r="U322" s="63" t="s">
        <v>406</v>
      </c>
      <c r="V322" s="63" t="s">
        <v>1045</v>
      </c>
      <c r="W322" s="63"/>
      <c r="X322" s="63"/>
      <c r="Y322" s="63"/>
      <c r="Z322" s="63"/>
      <c r="AA322" s="63"/>
      <c r="AB322" s="63"/>
      <c r="AC322" s="63" t="s">
        <v>96</v>
      </c>
      <c r="AD322" s="42" t="s">
        <v>97</v>
      </c>
      <c r="AE322" s="42" t="s">
        <v>494</v>
      </c>
      <c r="AF322" s="573" t="s">
        <v>1296</v>
      </c>
    </row>
    <row r="323" spans="1:32" ht="15" customHeight="1" x14ac:dyDescent="0.3">
      <c r="B323" s="16" t="s">
        <v>14</v>
      </c>
      <c r="C323" s="74" t="s">
        <v>1297</v>
      </c>
      <c r="D323" s="130" t="s">
        <v>1298</v>
      </c>
      <c r="E323" s="607" t="s">
        <v>1299</v>
      </c>
      <c r="F323" s="40">
        <v>45934</v>
      </c>
      <c r="G323" s="26" t="s">
        <v>55</v>
      </c>
      <c r="H323" s="26">
        <v>3</v>
      </c>
      <c r="I323" s="56">
        <v>303600</v>
      </c>
      <c r="J323" s="26">
        <v>3</v>
      </c>
      <c r="K323" s="321">
        <f t="shared" si="5"/>
        <v>101200</v>
      </c>
      <c r="L323" s="57">
        <v>45931</v>
      </c>
      <c r="M323" s="57">
        <v>46295</v>
      </c>
      <c r="N323" s="58" t="s">
        <v>520</v>
      </c>
      <c r="O323" s="26" t="s">
        <v>1285</v>
      </c>
      <c r="P323" s="26"/>
      <c r="Q323" s="59" t="s">
        <v>83</v>
      </c>
      <c r="R323" s="58" t="s">
        <v>417</v>
      </c>
      <c r="S323" s="59" t="s">
        <v>404</v>
      </c>
      <c r="T323" s="58" t="s">
        <v>1723</v>
      </c>
      <c r="U323" s="58" t="s">
        <v>406</v>
      </c>
      <c r="V323" s="58"/>
      <c r="W323" s="58"/>
      <c r="X323" s="58"/>
      <c r="Y323" s="58"/>
      <c r="Z323" s="58"/>
      <c r="AA323" s="58"/>
      <c r="AB323" s="58"/>
      <c r="AC323" s="58" t="s">
        <v>834</v>
      </c>
      <c r="AD323" s="16" t="s">
        <v>207</v>
      </c>
      <c r="AE323" s="26">
        <v>3</v>
      </c>
      <c r="AF323" s="54" t="s">
        <v>667</v>
      </c>
    </row>
    <row r="324" spans="1:32" ht="15" customHeight="1" x14ac:dyDescent="0.3">
      <c r="B324" s="16" t="s">
        <v>14</v>
      </c>
      <c r="C324" s="576" t="s">
        <v>1300</v>
      </c>
      <c r="D324" s="577" t="s">
        <v>841</v>
      </c>
      <c r="E324" s="267" t="s">
        <v>1301</v>
      </c>
      <c r="F324" s="60">
        <v>45937</v>
      </c>
      <c r="G324" s="42" t="s">
        <v>55</v>
      </c>
      <c r="H324" s="42">
        <v>1</v>
      </c>
      <c r="I324" s="61">
        <v>52800</v>
      </c>
      <c r="J324" s="42">
        <v>1</v>
      </c>
      <c r="K324" s="321">
        <f t="shared" si="5"/>
        <v>52800</v>
      </c>
      <c r="L324" s="62">
        <v>45931</v>
      </c>
      <c r="M324" s="62">
        <v>46295</v>
      </c>
      <c r="N324" s="63" t="s">
        <v>520</v>
      </c>
      <c r="O324" s="42" t="s">
        <v>1285</v>
      </c>
      <c r="P324" s="42"/>
      <c r="Q324" s="63" t="s">
        <v>1302</v>
      </c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 t="s">
        <v>485</v>
      </c>
      <c r="AD324" s="16" t="s">
        <v>63</v>
      </c>
      <c r="AE324" s="42">
        <v>2</v>
      </c>
      <c r="AF324" s="44" t="s">
        <v>1303</v>
      </c>
    </row>
    <row r="325" spans="1:32" ht="15" customHeight="1" x14ac:dyDescent="0.3">
      <c r="A325" s="58"/>
      <c r="B325" s="16" t="s">
        <v>14</v>
      </c>
      <c r="C325" s="575" t="s">
        <v>1304</v>
      </c>
      <c r="D325" s="571" t="s">
        <v>906</v>
      </c>
      <c r="E325" s="572">
        <v>2400019724</v>
      </c>
      <c r="F325" s="43">
        <v>45938</v>
      </c>
      <c r="G325" s="116" t="s">
        <v>703</v>
      </c>
      <c r="H325" s="42">
        <v>1</v>
      </c>
      <c r="I325" s="61">
        <v>350000</v>
      </c>
      <c r="J325" s="42">
        <v>3</v>
      </c>
      <c r="K325" s="321">
        <f>I325/2</f>
        <v>175000</v>
      </c>
      <c r="L325" s="62">
        <v>45938</v>
      </c>
      <c r="M325" s="62">
        <v>46302</v>
      </c>
      <c r="N325" s="63" t="s">
        <v>520</v>
      </c>
      <c r="O325" s="42" t="s">
        <v>1285</v>
      </c>
      <c r="P325" s="42"/>
      <c r="Q325" s="64" t="s">
        <v>1305</v>
      </c>
      <c r="R325" s="63" t="s">
        <v>1306</v>
      </c>
      <c r="S325" s="64" t="s">
        <v>1307</v>
      </c>
      <c r="T325" s="63" t="s">
        <v>1308</v>
      </c>
      <c r="U325" s="63" t="s">
        <v>1309</v>
      </c>
      <c r="V325" s="63" t="s">
        <v>1724</v>
      </c>
      <c r="W325" s="63"/>
      <c r="X325" s="63"/>
      <c r="Y325" s="63"/>
      <c r="Z325" s="63"/>
      <c r="AA325" s="63"/>
      <c r="AB325" s="63"/>
      <c r="AC325" s="63" t="s">
        <v>834</v>
      </c>
      <c r="AD325" s="16" t="s">
        <v>207</v>
      </c>
      <c r="AE325" s="42" t="s">
        <v>1310</v>
      </c>
      <c r="AF325" s="63" t="s">
        <v>1311</v>
      </c>
    </row>
    <row r="326" spans="1:32" ht="15" customHeight="1" x14ac:dyDescent="0.3">
      <c r="B326" s="16" t="s">
        <v>14</v>
      </c>
      <c r="C326" s="68" t="s">
        <v>1312</v>
      </c>
      <c r="D326" s="265" t="s">
        <v>1313</v>
      </c>
      <c r="E326" s="177">
        <v>2800095345</v>
      </c>
      <c r="F326" s="43">
        <v>45947</v>
      </c>
      <c r="G326" s="42" t="s">
        <v>643</v>
      </c>
      <c r="H326" s="42">
        <v>2</v>
      </c>
      <c r="I326" s="61">
        <v>172872</v>
      </c>
      <c r="J326" s="42">
        <v>2</v>
      </c>
      <c r="K326" s="321">
        <f t="shared" si="5"/>
        <v>86436</v>
      </c>
      <c r="L326" s="62">
        <v>45931</v>
      </c>
      <c r="M326" s="62">
        <v>46295</v>
      </c>
      <c r="N326" s="63" t="s">
        <v>520</v>
      </c>
      <c r="O326" s="42" t="s">
        <v>1285</v>
      </c>
      <c r="P326" s="42"/>
      <c r="Q326" s="64" t="s">
        <v>465</v>
      </c>
      <c r="R326" s="63" t="s">
        <v>1314</v>
      </c>
      <c r="S326" s="63" t="s">
        <v>467</v>
      </c>
      <c r="T326" s="63"/>
      <c r="U326" s="63"/>
      <c r="V326" s="63"/>
      <c r="W326" s="63"/>
      <c r="X326" s="63"/>
      <c r="Y326" s="63"/>
      <c r="Z326" s="63"/>
      <c r="AA326" s="63"/>
      <c r="AB326" s="63"/>
      <c r="AC326" s="63" t="s">
        <v>96</v>
      </c>
      <c r="AD326" s="42" t="s">
        <v>97</v>
      </c>
      <c r="AE326" s="42">
        <v>6</v>
      </c>
      <c r="AF326" s="63" t="s">
        <v>667</v>
      </c>
    </row>
    <row r="327" spans="1:32" ht="15" customHeight="1" x14ac:dyDescent="0.3">
      <c r="B327" s="16" t="s">
        <v>14</v>
      </c>
      <c r="C327" s="575" t="s">
        <v>905</v>
      </c>
      <c r="D327" s="571" t="s">
        <v>545</v>
      </c>
      <c r="E327" s="572">
        <v>1100035324</v>
      </c>
      <c r="F327" s="43">
        <v>45938</v>
      </c>
      <c r="G327" s="42" t="s">
        <v>643</v>
      </c>
      <c r="H327" s="42">
        <v>2</v>
      </c>
      <c r="I327" s="61">
        <v>142500</v>
      </c>
      <c r="J327" s="42">
        <v>2</v>
      </c>
      <c r="K327" s="321">
        <f t="shared" si="5"/>
        <v>71250</v>
      </c>
      <c r="L327" s="62">
        <v>45962</v>
      </c>
      <c r="M327" s="62">
        <v>46326</v>
      </c>
      <c r="N327" s="63" t="s">
        <v>520</v>
      </c>
      <c r="O327" s="42" t="s">
        <v>1285</v>
      </c>
      <c r="P327" s="42"/>
      <c r="Q327" s="64" t="s">
        <v>330</v>
      </c>
      <c r="R327" s="63" t="s">
        <v>441</v>
      </c>
      <c r="S327" s="63" t="s">
        <v>1315</v>
      </c>
      <c r="T327" s="63"/>
      <c r="U327" s="63"/>
      <c r="V327" s="63"/>
      <c r="W327" s="63"/>
      <c r="X327" s="63"/>
      <c r="Y327" s="63"/>
      <c r="Z327" s="63"/>
      <c r="AA327" s="63"/>
      <c r="AB327" s="63"/>
      <c r="AC327" s="63" t="s">
        <v>551</v>
      </c>
      <c r="AD327" s="16" t="s">
        <v>207</v>
      </c>
      <c r="AE327" s="42">
        <v>3</v>
      </c>
      <c r="AF327" s="63" t="s">
        <v>667</v>
      </c>
    </row>
    <row r="328" spans="1:32" ht="15" customHeight="1" x14ac:dyDescent="0.3">
      <c r="B328" s="16" t="s">
        <v>14</v>
      </c>
      <c r="C328" s="575" t="s">
        <v>1316</v>
      </c>
      <c r="D328" s="571" t="s">
        <v>1317</v>
      </c>
      <c r="E328" s="269" t="s">
        <v>1318</v>
      </c>
      <c r="F328" s="43">
        <v>45918</v>
      </c>
      <c r="G328" s="42" t="s">
        <v>643</v>
      </c>
      <c r="H328" s="42">
        <v>2</v>
      </c>
      <c r="I328" s="61">
        <v>160000</v>
      </c>
      <c r="J328" s="42">
        <v>2</v>
      </c>
      <c r="K328" s="321">
        <f t="shared" si="5"/>
        <v>80000</v>
      </c>
      <c r="L328" s="62">
        <v>45901</v>
      </c>
      <c r="M328" s="62">
        <v>46265</v>
      </c>
      <c r="N328" s="63" t="s">
        <v>520</v>
      </c>
      <c r="O328" s="42" t="s">
        <v>1285</v>
      </c>
      <c r="P328" s="42"/>
      <c r="Q328" s="64" t="s">
        <v>625</v>
      </c>
      <c r="R328" s="63" t="s">
        <v>765</v>
      </c>
      <c r="S328" s="63" t="s">
        <v>1235</v>
      </c>
      <c r="T328" s="63"/>
      <c r="U328" s="63"/>
      <c r="V328" s="63"/>
      <c r="W328" s="63"/>
      <c r="X328" s="63"/>
      <c r="Y328" s="63"/>
      <c r="Z328" s="63"/>
      <c r="AA328" s="63"/>
      <c r="AB328" s="63"/>
      <c r="AC328" s="63" t="s">
        <v>478</v>
      </c>
      <c r="AD328" s="16" t="s">
        <v>63</v>
      </c>
      <c r="AE328" s="42">
        <v>3</v>
      </c>
      <c r="AF328" s="63" t="s">
        <v>1319</v>
      </c>
    </row>
    <row r="329" spans="1:32" ht="15" customHeight="1" x14ac:dyDescent="0.3">
      <c r="B329" s="16" t="s">
        <v>14</v>
      </c>
      <c r="C329" s="575" t="s">
        <v>658</v>
      </c>
      <c r="D329" s="571" t="s">
        <v>1320</v>
      </c>
      <c r="E329" s="269" t="s">
        <v>1321</v>
      </c>
      <c r="F329" s="43">
        <v>45953</v>
      </c>
      <c r="G329" s="187" t="s">
        <v>703</v>
      </c>
      <c r="H329" s="42">
        <v>1</v>
      </c>
      <c r="I329" s="61">
        <v>460000</v>
      </c>
      <c r="J329" s="42">
        <v>4</v>
      </c>
      <c r="K329" s="321">
        <f t="shared" ref="K329:K392" si="6">I329/J329</f>
        <v>115000</v>
      </c>
      <c r="L329" s="62">
        <v>45962</v>
      </c>
      <c r="M329" s="62">
        <v>46326</v>
      </c>
      <c r="N329" s="63" t="s">
        <v>520</v>
      </c>
      <c r="O329" s="42" t="s">
        <v>1285</v>
      </c>
      <c r="P329" s="42"/>
      <c r="Q329" s="64" t="s">
        <v>269</v>
      </c>
      <c r="R329" s="63" t="s">
        <v>653</v>
      </c>
      <c r="S329" s="64" t="s">
        <v>442</v>
      </c>
      <c r="T329" s="63" t="s">
        <v>1322</v>
      </c>
      <c r="U329" s="63" t="s">
        <v>444</v>
      </c>
      <c r="V329" s="63"/>
      <c r="W329" s="63" t="s">
        <v>445</v>
      </c>
      <c r="X329" s="63"/>
      <c r="Y329" s="63"/>
      <c r="Z329" s="63"/>
      <c r="AA329" s="63"/>
      <c r="AB329" s="63"/>
      <c r="AC329" s="63" t="s">
        <v>183</v>
      </c>
      <c r="AD329" s="42" t="s">
        <v>968</v>
      </c>
      <c r="AE329" s="42" t="s">
        <v>494</v>
      </c>
      <c r="AF329" s="63" t="s">
        <v>1323</v>
      </c>
    </row>
    <row r="330" spans="1:32" ht="15" customHeight="1" x14ac:dyDescent="0.3">
      <c r="B330" s="16" t="s">
        <v>14</v>
      </c>
      <c r="C330" s="575" t="s">
        <v>905</v>
      </c>
      <c r="D330" s="571" t="s">
        <v>151</v>
      </c>
      <c r="E330" s="572">
        <v>1100035470</v>
      </c>
      <c r="F330" s="43">
        <v>45959</v>
      </c>
      <c r="G330" s="42" t="s">
        <v>643</v>
      </c>
      <c r="H330" s="42">
        <v>2</v>
      </c>
      <c r="I330" s="61">
        <v>134000</v>
      </c>
      <c r="J330" s="42">
        <v>2</v>
      </c>
      <c r="K330" s="321">
        <f t="shared" si="6"/>
        <v>67000</v>
      </c>
      <c r="L330" s="62">
        <v>45870</v>
      </c>
      <c r="M330" s="62">
        <v>46234</v>
      </c>
      <c r="N330" s="63" t="s">
        <v>520</v>
      </c>
      <c r="O330" s="42" t="s">
        <v>1285</v>
      </c>
      <c r="P330" s="42"/>
      <c r="Q330" s="64" t="s">
        <v>424</v>
      </c>
      <c r="R330" s="63" t="s">
        <v>1324</v>
      </c>
      <c r="S330" s="63" t="s">
        <v>426</v>
      </c>
      <c r="T330" s="63"/>
      <c r="U330" s="63"/>
      <c r="V330" s="63"/>
      <c r="W330" s="63"/>
      <c r="X330" s="63"/>
      <c r="Y330" s="63"/>
      <c r="Z330" s="63"/>
      <c r="AA330" s="63"/>
      <c r="AB330" s="63"/>
      <c r="AC330" s="63" t="s">
        <v>1325</v>
      </c>
      <c r="AD330" s="16" t="s">
        <v>63</v>
      </c>
      <c r="AE330" s="42">
        <v>3</v>
      </c>
      <c r="AF330" s="63" t="s">
        <v>667</v>
      </c>
    </row>
    <row r="331" spans="1:32" ht="15" customHeight="1" x14ac:dyDescent="0.3">
      <c r="B331" s="16" t="s">
        <v>14</v>
      </c>
      <c r="C331" s="68" t="s">
        <v>1326</v>
      </c>
      <c r="D331" s="132" t="s">
        <v>151</v>
      </c>
      <c r="E331" s="42">
        <v>700672062</v>
      </c>
      <c r="F331" s="43">
        <v>45957</v>
      </c>
      <c r="G331" s="42" t="s">
        <v>643</v>
      </c>
      <c r="H331" s="42">
        <v>3</v>
      </c>
      <c r="I331" s="61">
        <f>96000*3</f>
        <v>288000</v>
      </c>
      <c r="J331" s="42">
        <v>3</v>
      </c>
      <c r="K331" s="321">
        <f t="shared" si="6"/>
        <v>96000</v>
      </c>
      <c r="L331" s="62">
        <v>45870</v>
      </c>
      <c r="M331" s="62">
        <v>46234</v>
      </c>
      <c r="N331" s="63" t="s">
        <v>520</v>
      </c>
      <c r="O331" s="42" t="s">
        <v>1285</v>
      </c>
      <c r="P331" s="42"/>
      <c r="Q331" s="64" t="s">
        <v>665</v>
      </c>
      <c r="R331" s="63" t="s">
        <v>73</v>
      </c>
      <c r="S331" s="64" t="s">
        <v>361</v>
      </c>
      <c r="T331" s="63" t="s">
        <v>1239</v>
      </c>
      <c r="U331" s="63" t="s">
        <v>1080</v>
      </c>
      <c r="V331" s="63"/>
      <c r="W331" s="63"/>
      <c r="X331" s="63"/>
      <c r="Y331" s="63"/>
      <c r="Z331" s="63"/>
      <c r="AA331" s="63"/>
      <c r="AB331" s="63"/>
      <c r="AC331" s="63" t="s">
        <v>507</v>
      </c>
      <c r="AD331" s="16" t="s">
        <v>63</v>
      </c>
      <c r="AE331" s="42">
        <v>3</v>
      </c>
      <c r="AF331" s="63" t="s">
        <v>1327</v>
      </c>
    </row>
    <row r="332" spans="1:32" ht="15" customHeight="1" x14ac:dyDescent="0.3">
      <c r="B332" s="16" t="s">
        <v>14</v>
      </c>
      <c r="C332" s="576" t="s">
        <v>1328</v>
      </c>
      <c r="D332" s="577" t="s">
        <v>841</v>
      </c>
      <c r="E332" s="578">
        <v>470075997</v>
      </c>
      <c r="F332" s="60">
        <v>45936</v>
      </c>
      <c r="G332" s="42" t="s">
        <v>643</v>
      </c>
      <c r="H332" s="42">
        <v>2</v>
      </c>
      <c r="I332" s="61">
        <v>176000</v>
      </c>
      <c r="J332" s="42">
        <v>1</v>
      </c>
      <c r="K332" s="321">
        <f t="shared" si="6"/>
        <v>176000</v>
      </c>
      <c r="L332" s="62">
        <v>45955</v>
      </c>
      <c r="M332" s="62">
        <v>46319</v>
      </c>
      <c r="N332" s="63" t="s">
        <v>520</v>
      </c>
      <c r="O332" s="42" t="s">
        <v>1285</v>
      </c>
      <c r="P332" s="42"/>
      <c r="Q332" s="63" t="s">
        <v>1329</v>
      </c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 t="s">
        <v>485</v>
      </c>
      <c r="AD332" s="16" t="s">
        <v>63</v>
      </c>
      <c r="AE332" s="42">
        <v>2</v>
      </c>
      <c r="AF332" s="63" t="s">
        <v>1127</v>
      </c>
    </row>
    <row r="333" spans="1:32" ht="15" customHeight="1" x14ac:dyDescent="0.3">
      <c r="B333" s="16" t="s">
        <v>14</v>
      </c>
      <c r="C333" s="68" t="s">
        <v>1330</v>
      </c>
      <c r="D333" s="132" t="s">
        <v>1230</v>
      </c>
      <c r="E333" s="125" t="s">
        <v>1331</v>
      </c>
      <c r="F333" s="43">
        <v>45955</v>
      </c>
      <c r="G333" s="42" t="s">
        <v>643</v>
      </c>
      <c r="H333" s="42">
        <v>1</v>
      </c>
      <c r="I333" s="61">
        <v>109200</v>
      </c>
      <c r="J333" s="42">
        <v>3</v>
      </c>
      <c r="K333" s="321">
        <f t="shared" si="6"/>
        <v>36400</v>
      </c>
      <c r="L333" s="62">
        <v>45950</v>
      </c>
      <c r="M333" s="62">
        <v>46314</v>
      </c>
      <c r="N333" s="63" t="s">
        <v>520</v>
      </c>
      <c r="O333" s="42" t="s">
        <v>1285</v>
      </c>
      <c r="P333" s="42"/>
      <c r="Q333" s="64" t="s">
        <v>1332</v>
      </c>
      <c r="R333" s="63" t="s">
        <v>1009</v>
      </c>
      <c r="S333" s="63" t="s">
        <v>1333</v>
      </c>
      <c r="T333" s="63"/>
      <c r="U333" s="63" t="s">
        <v>1334</v>
      </c>
      <c r="V333" s="63"/>
      <c r="W333" s="63"/>
      <c r="X333" s="63"/>
      <c r="Y333" s="63"/>
      <c r="Z333" s="63"/>
      <c r="AA333" s="63"/>
      <c r="AB333" s="63"/>
      <c r="AC333" s="63" t="s">
        <v>96</v>
      </c>
      <c r="AD333" s="42" t="s">
        <v>968</v>
      </c>
      <c r="AE333" s="42">
        <v>3</v>
      </c>
      <c r="AF333" s="63" t="s">
        <v>1335</v>
      </c>
    </row>
    <row r="334" spans="1:32" ht="15" customHeight="1" x14ac:dyDescent="0.3">
      <c r="B334" s="16" t="s">
        <v>14</v>
      </c>
      <c r="C334" s="94" t="s">
        <v>1336</v>
      </c>
      <c r="D334" s="247" t="s">
        <v>388</v>
      </c>
      <c r="E334" s="104">
        <v>3800044370</v>
      </c>
      <c r="F334" s="60">
        <v>45964</v>
      </c>
      <c r="G334" s="42" t="s">
        <v>643</v>
      </c>
      <c r="H334" s="42">
        <v>2</v>
      </c>
      <c r="I334" s="61">
        <v>148500</v>
      </c>
      <c r="J334" s="42">
        <v>2</v>
      </c>
      <c r="K334" s="321">
        <f t="shared" si="6"/>
        <v>74250</v>
      </c>
      <c r="L334" s="62">
        <v>45870</v>
      </c>
      <c r="M334" s="62">
        <v>46234</v>
      </c>
      <c r="N334" s="63" t="s">
        <v>520</v>
      </c>
      <c r="O334" s="42" t="s">
        <v>1337</v>
      </c>
      <c r="P334" s="42"/>
      <c r="Q334" s="64" t="s">
        <v>424</v>
      </c>
      <c r="R334" s="63" t="s">
        <v>626</v>
      </c>
      <c r="S334" s="63" t="s">
        <v>426</v>
      </c>
      <c r="T334" s="63"/>
      <c r="U334" s="63"/>
      <c r="V334" s="63"/>
      <c r="W334" s="63"/>
      <c r="X334" s="63"/>
      <c r="Y334" s="63"/>
      <c r="Z334" s="63"/>
      <c r="AA334" s="63"/>
      <c r="AB334" s="63"/>
      <c r="AC334" s="63" t="s">
        <v>478</v>
      </c>
      <c r="AD334" s="16" t="s">
        <v>63</v>
      </c>
      <c r="AE334" s="42">
        <v>2</v>
      </c>
      <c r="AF334" s="63" t="s">
        <v>799</v>
      </c>
    </row>
    <row r="335" spans="1:32" ht="15" customHeight="1" x14ac:dyDescent="0.3">
      <c r="B335" s="16" t="s">
        <v>14</v>
      </c>
      <c r="C335" s="573" t="s">
        <v>527</v>
      </c>
      <c r="D335" s="574" t="s">
        <v>131</v>
      </c>
      <c r="E335" s="579">
        <v>7001113889</v>
      </c>
      <c r="F335" s="43">
        <v>45964</v>
      </c>
      <c r="G335" s="42" t="s">
        <v>643</v>
      </c>
      <c r="H335" s="42">
        <v>1</v>
      </c>
      <c r="I335" s="61">
        <v>78750</v>
      </c>
      <c r="J335" s="42">
        <v>2</v>
      </c>
      <c r="K335" s="321">
        <f t="shared" si="6"/>
        <v>39375</v>
      </c>
      <c r="L335" s="62">
        <v>45962</v>
      </c>
      <c r="M335" s="62">
        <v>46326</v>
      </c>
      <c r="N335" s="63" t="s">
        <v>520</v>
      </c>
      <c r="O335" s="42" t="s">
        <v>1337</v>
      </c>
      <c r="P335" s="42"/>
      <c r="Q335" s="64" t="s">
        <v>330</v>
      </c>
      <c r="R335" s="63" t="s">
        <v>1338</v>
      </c>
      <c r="S335" s="63" t="s">
        <v>1339</v>
      </c>
      <c r="T335" s="63"/>
      <c r="U335" s="63"/>
      <c r="V335" s="63"/>
      <c r="W335" s="63"/>
      <c r="X335" s="63"/>
      <c r="Y335" s="63"/>
      <c r="Z335" s="63"/>
      <c r="AA335" s="63"/>
      <c r="AB335" s="63"/>
      <c r="AC335" s="63" t="s">
        <v>485</v>
      </c>
      <c r="AD335" s="16" t="s">
        <v>63</v>
      </c>
      <c r="AE335" s="42">
        <v>2</v>
      </c>
      <c r="AF335" s="63" t="s">
        <v>799</v>
      </c>
    </row>
    <row r="336" spans="1:32" ht="15" customHeight="1" x14ac:dyDescent="0.3">
      <c r="B336" s="16" t="s">
        <v>14</v>
      </c>
      <c r="C336" s="68" t="s">
        <v>1340</v>
      </c>
      <c r="D336" s="135" t="s">
        <v>1341</v>
      </c>
      <c r="E336" s="42">
        <v>1443021479</v>
      </c>
      <c r="F336" s="43">
        <v>45961</v>
      </c>
      <c r="G336" s="42" t="s">
        <v>643</v>
      </c>
      <c r="H336" s="42">
        <v>1</v>
      </c>
      <c r="I336" s="61">
        <v>70000</v>
      </c>
      <c r="J336" s="42">
        <v>2</v>
      </c>
      <c r="K336" s="321">
        <f t="shared" si="6"/>
        <v>35000</v>
      </c>
      <c r="L336" s="62">
        <v>45962</v>
      </c>
      <c r="M336" s="62">
        <v>46326</v>
      </c>
      <c r="N336" s="63" t="s">
        <v>520</v>
      </c>
      <c r="O336" s="42" t="s">
        <v>1337</v>
      </c>
      <c r="P336" s="42"/>
      <c r="Q336" s="63" t="s">
        <v>330</v>
      </c>
      <c r="R336" s="63"/>
      <c r="S336" s="63" t="s">
        <v>1339</v>
      </c>
      <c r="T336" s="63"/>
      <c r="U336" s="63"/>
      <c r="V336" s="63"/>
      <c r="W336" s="63"/>
      <c r="X336" s="63"/>
      <c r="Y336" s="63"/>
      <c r="Z336" s="63"/>
      <c r="AA336" s="63"/>
      <c r="AB336" s="63"/>
      <c r="AC336" s="63" t="s">
        <v>478</v>
      </c>
      <c r="AD336" s="16" t="s">
        <v>63</v>
      </c>
      <c r="AE336" s="42">
        <v>2</v>
      </c>
      <c r="AF336" s="63" t="s">
        <v>667</v>
      </c>
    </row>
    <row r="337" spans="2:32" ht="15" customHeight="1" x14ac:dyDescent="0.3">
      <c r="B337" s="16" t="s">
        <v>14</v>
      </c>
      <c r="C337" s="68" t="s">
        <v>1340</v>
      </c>
      <c r="D337" s="135" t="s">
        <v>1341</v>
      </c>
      <c r="E337" s="42">
        <v>1443021480</v>
      </c>
      <c r="F337" s="43">
        <v>45961</v>
      </c>
      <c r="G337" s="42" t="s">
        <v>643</v>
      </c>
      <c r="H337" s="42">
        <v>1</v>
      </c>
      <c r="I337" s="61">
        <v>70000</v>
      </c>
      <c r="J337" s="42">
        <v>2</v>
      </c>
      <c r="K337" s="321">
        <f t="shared" si="6"/>
        <v>35000</v>
      </c>
      <c r="L337" s="62">
        <v>45962</v>
      </c>
      <c r="M337" s="62">
        <v>46326</v>
      </c>
      <c r="N337" s="63" t="s">
        <v>520</v>
      </c>
      <c r="O337" s="42" t="s">
        <v>1337</v>
      </c>
      <c r="P337" s="42"/>
      <c r="Q337" s="63" t="s">
        <v>330</v>
      </c>
      <c r="R337" s="63"/>
      <c r="S337" s="63" t="s">
        <v>1339</v>
      </c>
      <c r="T337" s="63"/>
      <c r="U337" s="63"/>
      <c r="V337" s="63"/>
      <c r="W337" s="63"/>
      <c r="X337" s="63"/>
      <c r="Y337" s="63"/>
      <c r="Z337" s="63"/>
      <c r="AA337" s="63"/>
      <c r="AB337" s="63"/>
      <c r="AC337" s="63" t="s">
        <v>478</v>
      </c>
      <c r="AD337" s="16" t="s">
        <v>63</v>
      </c>
      <c r="AE337" s="42">
        <v>2</v>
      </c>
      <c r="AF337" s="63" t="s">
        <v>667</v>
      </c>
    </row>
    <row r="338" spans="2:32" ht="15" customHeight="1" x14ac:dyDescent="0.3">
      <c r="B338" s="16" t="s">
        <v>14</v>
      </c>
      <c r="C338" s="575" t="s">
        <v>1342</v>
      </c>
      <c r="D338" s="571" t="s">
        <v>447</v>
      </c>
      <c r="E338" s="572">
        <v>1000105113</v>
      </c>
      <c r="F338" s="43">
        <v>45961</v>
      </c>
      <c r="G338" s="42" t="s">
        <v>643</v>
      </c>
      <c r="H338" s="42">
        <v>2</v>
      </c>
      <c r="I338" s="61">
        <v>171712</v>
      </c>
      <c r="J338" s="42">
        <v>3</v>
      </c>
      <c r="K338" s="321">
        <f t="shared" si="6"/>
        <v>57237.333333333336</v>
      </c>
      <c r="L338" s="62">
        <v>45962</v>
      </c>
      <c r="M338" s="62">
        <v>46326</v>
      </c>
      <c r="N338" s="63" t="s">
        <v>520</v>
      </c>
      <c r="O338" s="42" t="s">
        <v>1337</v>
      </c>
      <c r="P338" s="42"/>
      <c r="Q338" s="64" t="s">
        <v>192</v>
      </c>
      <c r="R338" s="63" t="s">
        <v>1343</v>
      </c>
      <c r="S338" s="64" t="s">
        <v>194</v>
      </c>
      <c r="T338" s="63" t="s">
        <v>1725</v>
      </c>
      <c r="U338" s="63" t="s">
        <v>1344</v>
      </c>
      <c r="V338" s="63"/>
      <c r="W338" s="63"/>
      <c r="X338" s="63"/>
      <c r="Y338" s="63"/>
      <c r="Z338" s="63"/>
      <c r="AA338" s="63"/>
      <c r="AB338" s="63"/>
      <c r="AC338" s="63" t="s">
        <v>281</v>
      </c>
      <c r="AD338" s="42" t="s">
        <v>97</v>
      </c>
      <c r="AE338" s="42">
        <v>3</v>
      </c>
      <c r="AF338" s="63" t="s">
        <v>1345</v>
      </c>
    </row>
    <row r="339" spans="2:32" ht="15" customHeight="1" x14ac:dyDescent="0.3">
      <c r="B339" s="16" t="s">
        <v>14</v>
      </c>
      <c r="C339" s="68" t="s">
        <v>1346</v>
      </c>
      <c r="D339" s="571" t="s">
        <v>447</v>
      </c>
      <c r="E339" s="330" t="s">
        <v>1347</v>
      </c>
      <c r="F339" s="43">
        <v>45960</v>
      </c>
      <c r="G339" s="42" t="s">
        <v>643</v>
      </c>
      <c r="H339" s="42">
        <v>13</v>
      </c>
      <c r="I339" s="61">
        <v>1150488</v>
      </c>
      <c r="J339" s="42">
        <v>6</v>
      </c>
      <c r="K339" s="321">
        <f>I339/3</f>
        <v>383496</v>
      </c>
      <c r="L339" s="62">
        <v>45901</v>
      </c>
      <c r="M339" s="62">
        <v>46446</v>
      </c>
      <c r="N339" s="63" t="s">
        <v>520</v>
      </c>
      <c r="O339" s="42" t="s">
        <v>1337</v>
      </c>
      <c r="P339" s="42"/>
      <c r="Q339" s="64" t="s">
        <v>1348</v>
      </c>
      <c r="R339" s="63" t="s">
        <v>1349</v>
      </c>
      <c r="S339" s="64" t="s">
        <v>1133</v>
      </c>
      <c r="T339" s="63" t="s">
        <v>386</v>
      </c>
      <c r="U339" s="64" t="s">
        <v>1134</v>
      </c>
      <c r="V339" s="63" t="s">
        <v>1726</v>
      </c>
      <c r="W339" s="63" t="s">
        <v>1244</v>
      </c>
      <c r="X339" s="63" t="s">
        <v>1350</v>
      </c>
      <c r="Y339" s="63" t="s">
        <v>1245</v>
      </c>
      <c r="Z339" s="63" t="s">
        <v>1351</v>
      </c>
      <c r="AA339" s="63" t="s">
        <v>1246</v>
      </c>
      <c r="AB339" s="63"/>
      <c r="AC339" s="63" t="s">
        <v>281</v>
      </c>
      <c r="AD339" s="42" t="s">
        <v>97</v>
      </c>
      <c r="AE339" s="42">
        <v>3</v>
      </c>
      <c r="AF339" s="63" t="s">
        <v>1352</v>
      </c>
    </row>
    <row r="340" spans="2:32" ht="15" customHeight="1" x14ac:dyDescent="0.3">
      <c r="B340" s="16" t="s">
        <v>14</v>
      </c>
      <c r="C340" s="68" t="s">
        <v>1353</v>
      </c>
      <c r="D340" s="135" t="s">
        <v>1354</v>
      </c>
      <c r="E340" s="174">
        <v>4900003846</v>
      </c>
      <c r="F340" s="43">
        <v>45966</v>
      </c>
      <c r="G340" s="42" t="s">
        <v>643</v>
      </c>
      <c r="H340" s="42">
        <v>1</v>
      </c>
      <c r="I340" s="61">
        <v>85560</v>
      </c>
      <c r="J340" s="42">
        <v>3</v>
      </c>
      <c r="K340" s="321">
        <f t="shared" si="6"/>
        <v>28520</v>
      </c>
      <c r="L340" s="62">
        <v>45932</v>
      </c>
      <c r="M340" s="62">
        <v>46296</v>
      </c>
      <c r="N340" s="63" t="s">
        <v>520</v>
      </c>
      <c r="O340" s="42" t="s">
        <v>1337</v>
      </c>
      <c r="P340" s="42"/>
      <c r="Q340" s="64" t="s">
        <v>1355</v>
      </c>
      <c r="R340" s="63" t="s">
        <v>1105</v>
      </c>
      <c r="S340" s="63" t="s">
        <v>1356</v>
      </c>
      <c r="T340" s="63"/>
      <c r="U340" s="63" t="s">
        <v>1357</v>
      </c>
      <c r="V340" s="63"/>
      <c r="W340" s="63"/>
      <c r="X340" s="63"/>
      <c r="Y340" s="63"/>
      <c r="Z340" s="63"/>
      <c r="AA340" s="63"/>
      <c r="AB340" s="63"/>
      <c r="AC340" s="63" t="s">
        <v>485</v>
      </c>
      <c r="AD340" s="16" t="s">
        <v>63</v>
      </c>
      <c r="AE340" s="42">
        <v>4</v>
      </c>
      <c r="AF340" s="63" t="s">
        <v>1358</v>
      </c>
    </row>
    <row r="341" spans="2:32" ht="15" customHeight="1" x14ac:dyDescent="0.3">
      <c r="B341" s="16" t="s">
        <v>14</v>
      </c>
      <c r="C341" s="575" t="s">
        <v>1359</v>
      </c>
      <c r="D341" s="571" t="s">
        <v>1360</v>
      </c>
      <c r="E341" s="572">
        <v>4500035457</v>
      </c>
      <c r="F341" s="43">
        <v>45942</v>
      </c>
      <c r="G341" s="42" t="s">
        <v>643</v>
      </c>
      <c r="H341" s="42">
        <v>1</v>
      </c>
      <c r="I341" s="61">
        <v>175000</v>
      </c>
      <c r="J341" s="42">
        <v>2</v>
      </c>
      <c r="K341" s="321">
        <f t="shared" si="6"/>
        <v>87500</v>
      </c>
      <c r="L341" s="62">
        <v>45942</v>
      </c>
      <c r="M341" s="62">
        <v>46306</v>
      </c>
      <c r="N341" s="63" t="s">
        <v>520</v>
      </c>
      <c r="O341" s="42" t="s">
        <v>1337</v>
      </c>
      <c r="P341" s="42"/>
      <c r="Q341" s="64" t="s">
        <v>1361</v>
      </c>
      <c r="R341" s="62" t="s">
        <v>84</v>
      </c>
      <c r="S341" s="63" t="s">
        <v>1362</v>
      </c>
      <c r="T341" s="63"/>
      <c r="U341" s="63"/>
      <c r="V341" s="63"/>
      <c r="W341" s="63"/>
      <c r="X341" s="63"/>
      <c r="Y341" s="63"/>
      <c r="Z341" s="63"/>
      <c r="AA341" s="63"/>
      <c r="AB341" s="63"/>
      <c r="AC341" s="63" t="s">
        <v>128</v>
      </c>
      <c r="AD341" s="42" t="s">
        <v>129</v>
      </c>
      <c r="AE341" s="42">
        <v>2</v>
      </c>
      <c r="AF341" s="63" t="s">
        <v>1363</v>
      </c>
    </row>
    <row r="342" spans="2:32" ht="15" customHeight="1" x14ac:dyDescent="0.3">
      <c r="B342" s="16" t="s">
        <v>14</v>
      </c>
      <c r="C342" s="68" t="s">
        <v>1364</v>
      </c>
      <c r="D342" s="132" t="s">
        <v>997</v>
      </c>
      <c r="E342" s="335">
        <v>4400000465</v>
      </c>
      <c r="F342" s="43">
        <v>45974</v>
      </c>
      <c r="G342" s="42" t="s">
        <v>643</v>
      </c>
      <c r="H342" s="42">
        <v>3</v>
      </c>
      <c r="I342" s="61">
        <v>300000</v>
      </c>
      <c r="J342" s="42">
        <v>2</v>
      </c>
      <c r="K342" s="321">
        <f t="shared" si="6"/>
        <v>150000</v>
      </c>
      <c r="L342" s="62">
        <v>45962</v>
      </c>
      <c r="M342" s="62">
        <v>46326</v>
      </c>
      <c r="N342" s="63" t="s">
        <v>520</v>
      </c>
      <c r="O342" s="42" t="s">
        <v>1337</v>
      </c>
      <c r="P342" s="42"/>
      <c r="Q342" s="64" t="s">
        <v>330</v>
      </c>
      <c r="R342" s="63" t="s">
        <v>1044</v>
      </c>
      <c r="S342" s="63" t="s">
        <v>1339</v>
      </c>
      <c r="T342" s="63"/>
      <c r="U342" s="63"/>
      <c r="V342" s="63"/>
      <c r="W342" s="63"/>
      <c r="X342" s="63"/>
      <c r="Y342" s="63"/>
      <c r="Z342" s="63"/>
      <c r="AA342" s="63"/>
      <c r="AB342" s="63"/>
      <c r="AC342" s="63" t="s">
        <v>96</v>
      </c>
      <c r="AD342" s="42" t="s">
        <v>97</v>
      </c>
      <c r="AE342" s="42">
        <v>3</v>
      </c>
      <c r="AF342" s="63" t="s">
        <v>1365</v>
      </c>
    </row>
    <row r="343" spans="2:32" ht="15" customHeight="1" x14ac:dyDescent="0.3">
      <c r="B343" s="16" t="s">
        <v>14</v>
      </c>
      <c r="C343" s="68" t="s">
        <v>1011</v>
      </c>
      <c r="D343" s="81" t="s">
        <v>1012</v>
      </c>
      <c r="E343" s="50" t="s">
        <v>1366</v>
      </c>
      <c r="F343" s="43">
        <v>45974</v>
      </c>
      <c r="G343" s="42" t="s">
        <v>643</v>
      </c>
      <c r="H343" s="42">
        <v>1</v>
      </c>
      <c r="I343" s="61">
        <v>55200</v>
      </c>
      <c r="J343" s="42">
        <v>2</v>
      </c>
      <c r="K343" s="321">
        <f t="shared" si="6"/>
        <v>27600</v>
      </c>
      <c r="L343" s="62">
        <v>46023</v>
      </c>
      <c r="M343" s="62">
        <v>46387</v>
      </c>
      <c r="N343" s="63" t="s">
        <v>520</v>
      </c>
      <c r="O343" s="42" t="s">
        <v>1337</v>
      </c>
      <c r="P343" s="42"/>
      <c r="Q343" s="63" t="s">
        <v>607</v>
      </c>
      <c r="R343" s="63"/>
      <c r="S343" s="63" t="s">
        <v>608</v>
      </c>
      <c r="T343" s="63"/>
      <c r="U343" s="63"/>
      <c r="V343" s="63"/>
      <c r="W343" s="63"/>
      <c r="X343" s="63"/>
      <c r="Y343" s="63"/>
      <c r="Z343" s="63"/>
      <c r="AA343" s="63"/>
      <c r="AB343" s="63"/>
      <c r="AC343" s="63" t="s">
        <v>619</v>
      </c>
      <c r="AD343" s="16" t="s">
        <v>63</v>
      </c>
      <c r="AE343" s="42" t="s">
        <v>1367</v>
      </c>
      <c r="AF343" s="63" t="s">
        <v>835</v>
      </c>
    </row>
    <row r="344" spans="2:32" ht="15" customHeight="1" x14ac:dyDescent="0.3">
      <c r="B344" s="16" t="s">
        <v>14</v>
      </c>
      <c r="C344" s="68" t="s">
        <v>195</v>
      </c>
      <c r="D344" s="571" t="s">
        <v>447</v>
      </c>
      <c r="E344" s="269" t="s">
        <v>1368</v>
      </c>
      <c r="F344" s="43">
        <v>45978</v>
      </c>
      <c r="G344" s="42" t="s">
        <v>643</v>
      </c>
      <c r="H344" s="42">
        <v>23</v>
      </c>
      <c r="I344" s="61">
        <v>1413120</v>
      </c>
      <c r="J344" s="42">
        <v>4</v>
      </c>
      <c r="K344" s="325">
        <f t="shared" si="6"/>
        <v>353280</v>
      </c>
      <c r="L344" s="62">
        <v>45979</v>
      </c>
      <c r="M344" s="62">
        <v>46343</v>
      </c>
      <c r="N344" s="63" t="s">
        <v>520</v>
      </c>
      <c r="O344" s="42" t="s">
        <v>1337</v>
      </c>
      <c r="P344" s="42"/>
      <c r="Q344" s="64" t="s">
        <v>1369</v>
      </c>
      <c r="R344" s="63" t="s">
        <v>441</v>
      </c>
      <c r="S344" s="64" t="s">
        <v>1370</v>
      </c>
      <c r="T344" s="63" t="s">
        <v>1723</v>
      </c>
      <c r="U344" s="63" t="s">
        <v>1371</v>
      </c>
      <c r="V344" s="63"/>
      <c r="W344" s="63" t="s">
        <v>1372</v>
      </c>
      <c r="X344" s="63"/>
      <c r="Y344" s="63"/>
      <c r="Z344" s="63"/>
      <c r="AA344" s="63"/>
      <c r="AB344" s="63"/>
      <c r="AC344" s="63" t="s">
        <v>96</v>
      </c>
      <c r="AD344" s="42" t="s">
        <v>97</v>
      </c>
      <c r="AE344" s="42" t="s">
        <v>494</v>
      </c>
      <c r="AF344" s="63" t="s">
        <v>667</v>
      </c>
    </row>
    <row r="345" spans="2:32" ht="15" customHeight="1" x14ac:dyDescent="0.3">
      <c r="B345" s="16" t="s">
        <v>14</v>
      </c>
      <c r="C345" s="565" t="s">
        <v>1359</v>
      </c>
      <c r="D345" s="566" t="s">
        <v>1360</v>
      </c>
      <c r="E345" s="570">
        <v>4500035464</v>
      </c>
      <c r="F345" s="55">
        <v>45943</v>
      </c>
      <c r="G345" s="26" t="s">
        <v>643</v>
      </c>
      <c r="H345" s="26">
        <v>2</v>
      </c>
      <c r="I345" s="56">
        <v>175000</v>
      </c>
      <c r="J345" s="26">
        <v>1</v>
      </c>
      <c r="K345" s="321">
        <f t="shared" si="6"/>
        <v>175000</v>
      </c>
      <c r="L345" s="57">
        <v>45943</v>
      </c>
      <c r="M345" s="57">
        <v>46124</v>
      </c>
      <c r="N345" s="58" t="s">
        <v>520</v>
      </c>
      <c r="O345" s="42" t="s">
        <v>1337</v>
      </c>
      <c r="P345" s="26"/>
      <c r="Q345" s="59" t="s">
        <v>1373</v>
      </c>
      <c r="R345" s="58" t="s">
        <v>1374</v>
      </c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 t="s">
        <v>128</v>
      </c>
      <c r="AD345" s="26" t="s">
        <v>129</v>
      </c>
      <c r="AE345" s="26">
        <v>2</v>
      </c>
      <c r="AF345" s="58" t="s">
        <v>1272</v>
      </c>
    </row>
    <row r="346" spans="2:32" ht="15" customHeight="1" x14ac:dyDescent="0.3">
      <c r="B346" s="16" t="s">
        <v>14</v>
      </c>
      <c r="C346" s="575" t="s">
        <v>1359</v>
      </c>
      <c r="D346" s="571" t="s">
        <v>1360</v>
      </c>
      <c r="E346" s="572">
        <v>4500035465</v>
      </c>
      <c r="F346" s="43">
        <v>45943</v>
      </c>
      <c r="G346" s="42" t="s">
        <v>643</v>
      </c>
      <c r="H346" s="42">
        <v>2</v>
      </c>
      <c r="I346" s="61">
        <v>175000</v>
      </c>
      <c r="J346" s="42">
        <v>1</v>
      </c>
      <c r="K346" s="321">
        <f t="shared" si="6"/>
        <v>175000</v>
      </c>
      <c r="L346" s="62">
        <v>46125</v>
      </c>
      <c r="M346" s="62">
        <v>46307</v>
      </c>
      <c r="N346" s="63" t="s">
        <v>520</v>
      </c>
      <c r="O346" s="42" t="s">
        <v>1337</v>
      </c>
      <c r="P346" s="42"/>
      <c r="Q346" s="63" t="s">
        <v>1375</v>
      </c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 t="s">
        <v>128</v>
      </c>
      <c r="AD346" s="42" t="s">
        <v>129</v>
      </c>
      <c r="AE346" s="42">
        <v>2</v>
      </c>
      <c r="AF346" s="63" t="s">
        <v>1272</v>
      </c>
    </row>
    <row r="347" spans="2:32" ht="15" customHeight="1" x14ac:dyDescent="0.3">
      <c r="B347" s="16" t="s">
        <v>14</v>
      </c>
      <c r="C347" s="608" t="s">
        <v>948</v>
      </c>
      <c r="D347" s="609" t="s">
        <v>987</v>
      </c>
      <c r="E347" s="217">
        <v>948530</v>
      </c>
      <c r="F347" s="43">
        <v>45971</v>
      </c>
      <c r="G347" s="42" t="s">
        <v>643</v>
      </c>
      <c r="H347" s="42">
        <v>1</v>
      </c>
      <c r="I347" s="61">
        <v>18620</v>
      </c>
      <c r="J347" s="42">
        <v>1</v>
      </c>
      <c r="K347" s="321">
        <f t="shared" si="6"/>
        <v>18620</v>
      </c>
      <c r="L347" s="62">
        <v>45931</v>
      </c>
      <c r="M347" s="62">
        <v>46022</v>
      </c>
      <c r="N347" s="63" t="s">
        <v>19</v>
      </c>
      <c r="O347" s="42" t="s">
        <v>1376</v>
      </c>
      <c r="P347" s="42"/>
      <c r="Q347" s="64" t="s">
        <v>228</v>
      </c>
      <c r="R347" s="63" t="s">
        <v>967</v>
      </c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 t="s">
        <v>551</v>
      </c>
      <c r="AD347" s="16" t="s">
        <v>207</v>
      </c>
      <c r="AE347" s="42"/>
      <c r="AF347" s="63" t="s">
        <v>1272</v>
      </c>
    </row>
    <row r="348" spans="2:32" ht="15" customHeight="1" x14ac:dyDescent="0.3">
      <c r="B348" s="16" t="s">
        <v>14</v>
      </c>
      <c r="C348" s="68" t="s">
        <v>1377</v>
      </c>
      <c r="D348" s="132" t="s">
        <v>151</v>
      </c>
      <c r="E348" s="579">
        <v>4500089503</v>
      </c>
      <c r="F348" s="43">
        <v>45980</v>
      </c>
      <c r="G348" s="42" t="s">
        <v>643</v>
      </c>
      <c r="H348" s="42">
        <v>1</v>
      </c>
      <c r="I348" s="61">
        <v>100008</v>
      </c>
      <c r="J348" s="42">
        <v>3</v>
      </c>
      <c r="K348" s="321">
        <f t="shared" si="6"/>
        <v>33336</v>
      </c>
      <c r="L348" s="62">
        <v>45981</v>
      </c>
      <c r="M348" s="62">
        <v>46345</v>
      </c>
      <c r="N348" s="63" t="s">
        <v>520</v>
      </c>
      <c r="O348" s="42" t="s">
        <v>1337</v>
      </c>
      <c r="P348" s="42"/>
      <c r="Q348" s="64" t="s">
        <v>1378</v>
      </c>
      <c r="R348" s="63" t="s">
        <v>1162</v>
      </c>
      <c r="S348" s="63" t="s">
        <v>1379</v>
      </c>
      <c r="T348" s="63"/>
      <c r="U348" s="63" t="s">
        <v>1380</v>
      </c>
      <c r="V348" s="63"/>
      <c r="W348" s="63"/>
      <c r="X348" s="63"/>
      <c r="Y348" s="63"/>
      <c r="Z348" s="63"/>
      <c r="AA348" s="63"/>
      <c r="AB348" s="63"/>
      <c r="AC348" s="63" t="s">
        <v>507</v>
      </c>
      <c r="AD348" s="16" t="s">
        <v>63</v>
      </c>
      <c r="AE348" s="42">
        <v>3</v>
      </c>
      <c r="AF348" s="63" t="s">
        <v>1272</v>
      </c>
    </row>
    <row r="349" spans="2:32" ht="15" customHeight="1" x14ac:dyDescent="0.3">
      <c r="B349" s="16" t="s">
        <v>14</v>
      </c>
      <c r="C349" s="575" t="s">
        <v>658</v>
      </c>
      <c r="D349" s="571" t="s">
        <v>388</v>
      </c>
      <c r="E349" s="269" t="s">
        <v>1381</v>
      </c>
      <c r="F349" s="43">
        <v>45981</v>
      </c>
      <c r="G349" s="42" t="s">
        <v>643</v>
      </c>
      <c r="H349" s="42">
        <v>3</v>
      </c>
      <c r="I349" s="61">
        <v>204000</v>
      </c>
      <c r="J349" s="42">
        <v>2</v>
      </c>
      <c r="K349" s="325">
        <f t="shared" si="6"/>
        <v>102000</v>
      </c>
      <c r="L349" s="62">
        <v>45809</v>
      </c>
      <c r="M349" s="62">
        <v>46173</v>
      </c>
      <c r="N349" s="63" t="s">
        <v>520</v>
      </c>
      <c r="O349" s="42" t="s">
        <v>1337</v>
      </c>
      <c r="P349" s="42"/>
      <c r="Q349" s="64" t="s">
        <v>125</v>
      </c>
      <c r="R349" s="63" t="s">
        <v>346</v>
      </c>
      <c r="S349" s="63" t="s">
        <v>127</v>
      </c>
      <c r="T349" s="63"/>
      <c r="U349" s="63"/>
      <c r="V349" s="63"/>
      <c r="W349" s="63"/>
      <c r="X349" s="63"/>
      <c r="Y349" s="63"/>
      <c r="Z349" s="63"/>
      <c r="AA349" s="63"/>
      <c r="AB349" s="63"/>
      <c r="AC349" s="63" t="s">
        <v>478</v>
      </c>
      <c r="AD349" s="16" t="s">
        <v>63</v>
      </c>
      <c r="AE349" s="42">
        <v>3</v>
      </c>
      <c r="AF349" s="63" t="s">
        <v>1272</v>
      </c>
    </row>
    <row r="350" spans="2:32" ht="15" customHeight="1" x14ac:dyDescent="0.3">
      <c r="B350" s="16" t="s">
        <v>14</v>
      </c>
      <c r="C350" s="580" t="s">
        <v>1382</v>
      </c>
      <c r="D350" s="581" t="s">
        <v>1383</v>
      </c>
      <c r="E350" s="149">
        <v>3100343411</v>
      </c>
      <c r="F350" s="43">
        <v>45981</v>
      </c>
      <c r="G350" s="42" t="s">
        <v>643</v>
      </c>
      <c r="H350" s="42">
        <v>1</v>
      </c>
      <c r="I350" s="61">
        <v>55000</v>
      </c>
      <c r="J350" s="42">
        <v>1</v>
      </c>
      <c r="K350" s="321">
        <f t="shared" si="6"/>
        <v>55000</v>
      </c>
      <c r="L350" s="62">
        <v>45870</v>
      </c>
      <c r="M350" s="218">
        <v>46234</v>
      </c>
      <c r="N350" s="63"/>
      <c r="O350" s="43"/>
      <c r="P350" s="42"/>
      <c r="Q350" s="63" t="s">
        <v>1384</v>
      </c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 t="s">
        <v>507</v>
      </c>
      <c r="AD350" s="16" t="s">
        <v>63</v>
      </c>
      <c r="AE350" s="42" t="s">
        <v>1367</v>
      </c>
      <c r="AF350" s="63" t="s">
        <v>667</v>
      </c>
    </row>
    <row r="351" spans="2:32" ht="15" customHeight="1" x14ac:dyDescent="0.3">
      <c r="B351" s="16" t="s">
        <v>14</v>
      </c>
      <c r="C351" s="575" t="s">
        <v>1385</v>
      </c>
      <c r="D351" s="571" t="s">
        <v>151</v>
      </c>
      <c r="E351" s="175">
        <v>4500088897</v>
      </c>
      <c r="F351" s="345">
        <v>45958</v>
      </c>
      <c r="G351" s="42" t="s">
        <v>643</v>
      </c>
      <c r="H351" s="42">
        <v>2</v>
      </c>
      <c r="I351" s="61">
        <v>90000</v>
      </c>
      <c r="J351" s="42">
        <v>1</v>
      </c>
      <c r="K351" s="321">
        <f t="shared" si="6"/>
        <v>90000</v>
      </c>
      <c r="L351" s="62">
        <v>45962</v>
      </c>
      <c r="M351" s="62">
        <v>46326</v>
      </c>
      <c r="N351" s="63" t="s">
        <v>520</v>
      </c>
      <c r="O351" s="42" t="s">
        <v>1337</v>
      </c>
      <c r="P351" s="42"/>
      <c r="Q351" s="63" t="s">
        <v>1386</v>
      </c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 t="s">
        <v>478</v>
      </c>
      <c r="AD351" s="16" t="s">
        <v>63</v>
      </c>
      <c r="AE351" s="42">
        <v>1</v>
      </c>
      <c r="AF351" s="63" t="s">
        <v>667</v>
      </c>
    </row>
    <row r="352" spans="2:32" ht="15" customHeight="1" x14ac:dyDescent="0.3">
      <c r="B352" s="16" t="s">
        <v>14</v>
      </c>
      <c r="C352" s="576" t="s">
        <v>948</v>
      </c>
      <c r="D352" s="577" t="s">
        <v>987</v>
      </c>
      <c r="E352" s="104">
        <v>946532</v>
      </c>
      <c r="F352" s="60">
        <v>45955</v>
      </c>
      <c r="G352" s="42" t="s">
        <v>643</v>
      </c>
      <c r="H352" s="42">
        <v>2</v>
      </c>
      <c r="I352" s="61">
        <v>148960</v>
      </c>
      <c r="J352" s="42">
        <v>4</v>
      </c>
      <c r="K352" s="321">
        <f t="shared" si="6"/>
        <v>37240</v>
      </c>
      <c r="L352" s="62">
        <v>45962</v>
      </c>
      <c r="M352" s="62">
        <v>46326</v>
      </c>
      <c r="N352" s="63" t="s">
        <v>520</v>
      </c>
      <c r="O352" s="42"/>
      <c r="P352" s="42"/>
      <c r="Q352" s="64" t="s">
        <v>269</v>
      </c>
      <c r="R352" s="63" t="s">
        <v>1387</v>
      </c>
      <c r="S352" s="64" t="s">
        <v>442</v>
      </c>
      <c r="T352" s="63" t="s">
        <v>443</v>
      </c>
      <c r="U352" s="63" t="s">
        <v>444</v>
      </c>
      <c r="V352" s="63"/>
      <c r="W352" s="63" t="s">
        <v>445</v>
      </c>
      <c r="X352" s="63"/>
      <c r="Y352" s="63"/>
      <c r="Z352" s="63"/>
      <c r="AA352" s="63"/>
      <c r="AB352" s="63"/>
      <c r="AC352" s="63" t="s">
        <v>551</v>
      </c>
      <c r="AD352" s="16" t="s">
        <v>207</v>
      </c>
      <c r="AE352" s="42">
        <v>4</v>
      </c>
      <c r="AF352" s="171">
        <v>1</v>
      </c>
    </row>
    <row r="353" spans="2:32" ht="15" customHeight="1" x14ac:dyDescent="0.3">
      <c r="B353" s="16" t="s">
        <v>14</v>
      </c>
      <c r="C353" s="39" t="s">
        <v>1095</v>
      </c>
      <c r="D353" s="562" t="s">
        <v>1258</v>
      </c>
      <c r="E353" s="26">
        <v>4513730038</v>
      </c>
      <c r="F353" s="343">
        <v>45973</v>
      </c>
      <c r="G353" s="26" t="s">
        <v>643</v>
      </c>
      <c r="H353" s="26">
        <v>1</v>
      </c>
      <c r="I353" s="56">
        <v>82000</v>
      </c>
      <c r="J353" s="26">
        <v>4</v>
      </c>
      <c r="K353" s="321">
        <f t="shared" si="6"/>
        <v>20500</v>
      </c>
      <c r="L353" s="57">
        <v>45870</v>
      </c>
      <c r="M353" s="57">
        <v>46234</v>
      </c>
      <c r="N353" s="63" t="s">
        <v>520</v>
      </c>
      <c r="O353" s="26"/>
      <c r="P353" s="26"/>
      <c r="Q353" s="59" t="s">
        <v>267</v>
      </c>
      <c r="R353" s="58" t="s">
        <v>1388</v>
      </c>
      <c r="S353" s="59" t="s">
        <v>269</v>
      </c>
      <c r="T353" s="58" t="s">
        <v>270</v>
      </c>
      <c r="U353" s="59" t="s">
        <v>442</v>
      </c>
      <c r="V353" s="58" t="s">
        <v>1727</v>
      </c>
      <c r="W353" s="58" t="s">
        <v>444</v>
      </c>
      <c r="X353" s="58"/>
      <c r="Y353" s="58"/>
      <c r="Z353" s="58"/>
      <c r="AA353" s="58"/>
      <c r="AB353" s="58"/>
      <c r="AC353" s="58" t="s">
        <v>619</v>
      </c>
      <c r="AD353" s="16" t="s">
        <v>63</v>
      </c>
      <c r="AE353" s="26">
        <v>4</v>
      </c>
      <c r="AF353" s="58" t="s">
        <v>667</v>
      </c>
    </row>
    <row r="354" spans="2:32" ht="15" hidden="1" customHeight="1" x14ac:dyDescent="0.3">
      <c r="B354" s="16" t="s">
        <v>14</v>
      </c>
      <c r="C354" s="39" t="s">
        <v>1095</v>
      </c>
      <c r="D354" s="562" t="s">
        <v>1258</v>
      </c>
      <c r="E354" s="26">
        <v>4513730038</v>
      </c>
      <c r="F354" s="343">
        <v>45973</v>
      </c>
      <c r="G354" s="26" t="s">
        <v>643</v>
      </c>
      <c r="H354" s="26"/>
      <c r="I354" s="56">
        <v>82000</v>
      </c>
      <c r="J354" s="26">
        <v>4</v>
      </c>
      <c r="K354" s="321">
        <f t="shared" si="6"/>
        <v>20500</v>
      </c>
      <c r="L354" s="57">
        <v>46235</v>
      </c>
      <c r="M354" s="57">
        <v>46599</v>
      </c>
      <c r="N354" s="63" t="s">
        <v>520</v>
      </c>
      <c r="O354" s="26"/>
      <c r="P354" s="26"/>
      <c r="Q354" s="58" t="s">
        <v>445</v>
      </c>
      <c r="R354" s="58"/>
      <c r="S354" s="58" t="s">
        <v>456</v>
      </c>
      <c r="T354" s="58"/>
      <c r="U354" s="58" t="s">
        <v>457</v>
      </c>
      <c r="V354" s="58"/>
      <c r="W354" s="58" t="s">
        <v>458</v>
      </c>
      <c r="X354" s="58"/>
      <c r="Y354" s="58"/>
      <c r="Z354" s="58"/>
      <c r="AA354" s="58"/>
      <c r="AB354" s="58"/>
      <c r="AC354" s="58" t="s">
        <v>619</v>
      </c>
      <c r="AD354" s="16" t="s">
        <v>63</v>
      </c>
      <c r="AE354" s="26">
        <v>4</v>
      </c>
      <c r="AF354" s="58" t="s">
        <v>667</v>
      </c>
    </row>
    <row r="355" spans="2:32" ht="15" hidden="1" customHeight="1" x14ac:dyDescent="0.3">
      <c r="B355" s="16" t="s">
        <v>14</v>
      </c>
      <c r="C355" s="68" t="s">
        <v>1095</v>
      </c>
      <c r="D355" s="582" t="s">
        <v>1258</v>
      </c>
      <c r="E355" s="42">
        <v>4513730038</v>
      </c>
      <c r="F355" s="345">
        <v>45973</v>
      </c>
      <c r="G355" s="42" t="s">
        <v>643</v>
      </c>
      <c r="H355" s="42"/>
      <c r="I355" s="61">
        <v>90200</v>
      </c>
      <c r="J355" s="42">
        <v>4</v>
      </c>
      <c r="K355" s="321">
        <f t="shared" si="6"/>
        <v>22550</v>
      </c>
      <c r="L355" s="62">
        <v>46600</v>
      </c>
      <c r="M355" s="62">
        <v>46965</v>
      </c>
      <c r="N355" s="63" t="s">
        <v>520</v>
      </c>
      <c r="O355" s="42"/>
      <c r="P355" s="42"/>
      <c r="Q355" s="63" t="s">
        <v>459</v>
      </c>
      <c r="R355" s="63"/>
      <c r="S355" s="63" t="s">
        <v>893</v>
      </c>
      <c r="T355" s="63"/>
      <c r="U355" s="63" t="s">
        <v>894</v>
      </c>
      <c r="V355" s="63"/>
      <c r="W355" s="63" t="s">
        <v>1259</v>
      </c>
      <c r="X355" s="63"/>
      <c r="Y355" s="63"/>
      <c r="Z355" s="63"/>
      <c r="AA355" s="63"/>
      <c r="AB355" s="63"/>
      <c r="AC355" s="63" t="s">
        <v>619</v>
      </c>
      <c r="AD355" s="16" t="s">
        <v>63</v>
      </c>
      <c r="AE355" s="42">
        <v>4</v>
      </c>
      <c r="AF355" s="63" t="s">
        <v>667</v>
      </c>
    </row>
    <row r="356" spans="2:32" ht="15" customHeight="1" x14ac:dyDescent="0.3">
      <c r="B356" s="16" t="s">
        <v>14</v>
      </c>
      <c r="C356" s="575" t="s">
        <v>1389</v>
      </c>
      <c r="D356" s="571" t="s">
        <v>1088</v>
      </c>
      <c r="E356" s="188">
        <v>132964</v>
      </c>
      <c r="F356" s="345">
        <v>45981</v>
      </c>
      <c r="G356" s="42" t="s">
        <v>643</v>
      </c>
      <c r="H356" s="42">
        <v>4</v>
      </c>
      <c r="I356" s="61">
        <v>300000</v>
      </c>
      <c r="J356" s="42">
        <v>4</v>
      </c>
      <c r="K356" s="321">
        <f t="shared" si="6"/>
        <v>75000</v>
      </c>
      <c r="L356" s="62">
        <v>45931</v>
      </c>
      <c r="M356" s="62">
        <v>46295</v>
      </c>
      <c r="N356" s="63" t="s">
        <v>520</v>
      </c>
      <c r="O356" s="42"/>
      <c r="P356" s="42"/>
      <c r="Q356" s="64" t="s">
        <v>228</v>
      </c>
      <c r="R356" s="63" t="s">
        <v>873</v>
      </c>
      <c r="S356" s="64" t="s">
        <v>396</v>
      </c>
      <c r="T356" s="63" t="s">
        <v>1093</v>
      </c>
      <c r="U356" s="63" t="s">
        <v>397</v>
      </c>
      <c r="V356" s="63"/>
      <c r="W356" s="63" t="s">
        <v>496</v>
      </c>
      <c r="X356" s="63"/>
      <c r="Y356" s="63"/>
      <c r="Z356" s="63"/>
      <c r="AA356" s="63"/>
      <c r="AB356" s="63"/>
      <c r="AC356" s="63" t="s">
        <v>96</v>
      </c>
      <c r="AD356" s="42" t="s">
        <v>97</v>
      </c>
      <c r="AE356" s="42">
        <v>4</v>
      </c>
      <c r="AF356" s="63" t="s">
        <v>667</v>
      </c>
    </row>
    <row r="357" spans="2:32" ht="15" customHeight="1" x14ac:dyDescent="0.3">
      <c r="B357" s="16" t="s">
        <v>14</v>
      </c>
      <c r="C357" s="575" t="s">
        <v>1158</v>
      </c>
      <c r="D357" s="571" t="s">
        <v>801</v>
      </c>
      <c r="E357" s="175">
        <v>1600036220</v>
      </c>
      <c r="F357" s="345">
        <v>46000</v>
      </c>
      <c r="G357" s="42" t="s">
        <v>643</v>
      </c>
      <c r="H357" s="42">
        <v>1</v>
      </c>
      <c r="I357" s="61">
        <v>71250</v>
      </c>
      <c r="J357" s="42">
        <v>3</v>
      </c>
      <c r="K357" s="321">
        <f t="shared" si="6"/>
        <v>23750</v>
      </c>
      <c r="L357" s="62">
        <v>45658</v>
      </c>
      <c r="M357" s="62">
        <v>46387</v>
      </c>
      <c r="N357" s="63" t="s">
        <v>520</v>
      </c>
      <c r="O357" s="42"/>
      <c r="P357" s="42"/>
      <c r="Q357" s="64" t="s">
        <v>347</v>
      </c>
      <c r="R357" s="63" t="s">
        <v>626</v>
      </c>
      <c r="S357" s="63" t="s">
        <v>348</v>
      </c>
      <c r="T357" s="63"/>
      <c r="U357" s="63" t="s">
        <v>349</v>
      </c>
      <c r="V357" s="63"/>
      <c r="W357" s="63"/>
      <c r="X357" s="63"/>
      <c r="Y357" s="63"/>
      <c r="Z357" s="63"/>
      <c r="AA357" s="63"/>
      <c r="AB357" s="63"/>
      <c r="AC357" s="63" t="s">
        <v>485</v>
      </c>
      <c r="AD357" s="16" t="s">
        <v>63</v>
      </c>
      <c r="AE357" s="42">
        <v>3</v>
      </c>
      <c r="AF357" s="63" t="s">
        <v>804</v>
      </c>
    </row>
    <row r="358" spans="2:32" ht="15" customHeight="1" x14ac:dyDescent="0.3">
      <c r="B358" s="16" t="s">
        <v>14</v>
      </c>
      <c r="C358" s="575" t="s">
        <v>1390</v>
      </c>
      <c r="D358" s="571" t="s">
        <v>1391</v>
      </c>
      <c r="E358" s="175" t="s">
        <v>1392</v>
      </c>
      <c r="F358" s="345">
        <v>46003</v>
      </c>
      <c r="G358" s="42" t="s">
        <v>643</v>
      </c>
      <c r="H358" s="42">
        <v>1</v>
      </c>
      <c r="I358" s="61">
        <v>86000</v>
      </c>
      <c r="J358" s="42">
        <v>2</v>
      </c>
      <c r="K358" s="321">
        <f t="shared" si="6"/>
        <v>43000</v>
      </c>
      <c r="L358" s="62">
        <v>46003</v>
      </c>
      <c r="M358" s="62">
        <v>46367</v>
      </c>
      <c r="N358" s="63" t="s">
        <v>520</v>
      </c>
      <c r="O358" s="42"/>
      <c r="P358" s="42"/>
      <c r="Q358" s="64" t="s">
        <v>1393</v>
      </c>
      <c r="R358" s="63" t="s">
        <v>930</v>
      </c>
      <c r="S358" s="63" t="s">
        <v>1394</v>
      </c>
      <c r="T358" s="63"/>
      <c r="U358" s="63"/>
      <c r="V358" s="63"/>
      <c r="W358" s="63"/>
      <c r="X358" s="63"/>
      <c r="Y358" s="63"/>
      <c r="Z358" s="63"/>
      <c r="AA358" s="63"/>
      <c r="AB358" s="63"/>
      <c r="AC358" s="63" t="s">
        <v>485</v>
      </c>
      <c r="AD358" s="16" t="s">
        <v>63</v>
      </c>
      <c r="AE358" s="42">
        <v>2</v>
      </c>
      <c r="AF358" s="63" t="s">
        <v>804</v>
      </c>
    </row>
    <row r="359" spans="2:32" ht="15" customHeight="1" x14ac:dyDescent="0.3">
      <c r="B359" s="16" t="s">
        <v>14</v>
      </c>
      <c r="C359" s="58" t="s">
        <v>1395</v>
      </c>
      <c r="D359" s="54" t="s">
        <v>86</v>
      </c>
      <c r="E359" s="26" t="s">
        <v>1396</v>
      </c>
      <c r="F359" s="55">
        <v>46000</v>
      </c>
      <c r="G359" s="116" t="s">
        <v>703</v>
      </c>
      <c r="H359" s="26">
        <v>1</v>
      </c>
      <c r="I359" s="56">
        <v>220000</v>
      </c>
      <c r="J359" s="26">
        <v>4</v>
      </c>
      <c r="K359" s="321">
        <f t="shared" si="6"/>
        <v>55000</v>
      </c>
      <c r="L359" s="57">
        <v>46023</v>
      </c>
      <c r="M359" s="57">
        <v>46387</v>
      </c>
      <c r="N359" s="63" t="s">
        <v>520</v>
      </c>
      <c r="O359" s="26"/>
      <c r="P359" s="26"/>
      <c r="Q359" s="59" t="s">
        <v>396</v>
      </c>
      <c r="R359" s="58" t="s">
        <v>1397</v>
      </c>
      <c r="S359" s="58" t="s">
        <v>397</v>
      </c>
      <c r="T359" s="58"/>
      <c r="U359" s="58" t="s">
        <v>496</v>
      </c>
      <c r="V359" s="58"/>
      <c r="W359" s="58" t="s">
        <v>497</v>
      </c>
      <c r="X359" s="58"/>
      <c r="Y359" s="58"/>
      <c r="Z359" s="58"/>
      <c r="AA359" s="58"/>
      <c r="AB359" s="58"/>
      <c r="AC359" s="58" t="s">
        <v>96</v>
      </c>
      <c r="AD359" s="26" t="s">
        <v>97</v>
      </c>
      <c r="AE359" s="26" t="s">
        <v>494</v>
      </c>
      <c r="AF359" s="58" t="s">
        <v>667</v>
      </c>
    </row>
    <row r="360" spans="2:32" ht="15" hidden="1" customHeight="1" x14ac:dyDescent="0.3">
      <c r="B360" s="16" t="s">
        <v>14</v>
      </c>
      <c r="C360" s="58" t="s">
        <v>1395</v>
      </c>
      <c r="D360" s="54" t="s">
        <v>86</v>
      </c>
      <c r="E360" s="26" t="s">
        <v>1396</v>
      </c>
      <c r="F360" s="55">
        <v>46000</v>
      </c>
      <c r="G360" s="26"/>
      <c r="H360" s="26"/>
      <c r="I360" s="56">
        <v>220000</v>
      </c>
      <c r="J360" s="26">
        <v>4</v>
      </c>
      <c r="K360" s="321">
        <f t="shared" si="6"/>
        <v>55000</v>
      </c>
      <c r="L360" s="57">
        <v>46388</v>
      </c>
      <c r="M360" s="57">
        <v>46752</v>
      </c>
      <c r="N360" s="63" t="s">
        <v>520</v>
      </c>
      <c r="O360" s="26"/>
      <c r="P360" s="26"/>
      <c r="Q360" s="58" t="s">
        <v>498</v>
      </c>
      <c r="R360" s="58"/>
      <c r="S360" s="58" t="s">
        <v>499</v>
      </c>
      <c r="T360" s="58"/>
      <c r="U360" s="58" t="s">
        <v>500</v>
      </c>
      <c r="V360" s="58"/>
      <c r="W360" s="58" t="s">
        <v>501</v>
      </c>
      <c r="X360" s="58"/>
      <c r="Y360" s="58"/>
      <c r="Z360" s="58"/>
      <c r="AA360" s="58"/>
      <c r="AB360" s="58"/>
      <c r="AC360" s="58" t="s">
        <v>96</v>
      </c>
      <c r="AD360" s="26" t="s">
        <v>97</v>
      </c>
      <c r="AE360" s="26" t="s">
        <v>494</v>
      </c>
      <c r="AF360" s="58" t="s">
        <v>667</v>
      </c>
    </row>
    <row r="361" spans="2:32" ht="15" hidden="1" customHeight="1" x14ac:dyDescent="0.3">
      <c r="B361" s="16" t="s">
        <v>14</v>
      </c>
      <c r="C361" s="63" t="s">
        <v>1395</v>
      </c>
      <c r="D361" s="44" t="s">
        <v>86</v>
      </c>
      <c r="E361" s="42" t="s">
        <v>1396</v>
      </c>
      <c r="F361" s="43">
        <v>46000</v>
      </c>
      <c r="G361" s="42"/>
      <c r="H361" s="42"/>
      <c r="I361" s="61">
        <v>220000</v>
      </c>
      <c r="J361" s="42">
        <v>4</v>
      </c>
      <c r="K361" s="321">
        <f t="shared" si="6"/>
        <v>55000</v>
      </c>
      <c r="L361" s="62">
        <v>46753</v>
      </c>
      <c r="M361" s="62">
        <v>47118</v>
      </c>
      <c r="N361" s="63" t="s">
        <v>520</v>
      </c>
      <c r="O361" s="42"/>
      <c r="P361" s="42"/>
      <c r="Q361" s="63" t="s">
        <v>674</v>
      </c>
      <c r="R361" s="63"/>
      <c r="S361" s="63" t="s">
        <v>1279</v>
      </c>
      <c r="T361" s="63"/>
      <c r="U361" s="63" t="s">
        <v>1280</v>
      </c>
      <c r="V361" s="63"/>
      <c r="W361" s="63" t="s">
        <v>1398</v>
      </c>
      <c r="X361" s="63"/>
      <c r="Y361" s="63"/>
      <c r="Z361" s="63"/>
      <c r="AA361" s="63"/>
      <c r="AB361" s="63"/>
      <c r="AC361" s="63" t="s">
        <v>96</v>
      </c>
      <c r="AD361" s="42" t="s">
        <v>97</v>
      </c>
      <c r="AE361" s="42" t="s">
        <v>494</v>
      </c>
      <c r="AF361" s="63" t="s">
        <v>667</v>
      </c>
    </row>
    <row r="362" spans="2:32" ht="15" customHeight="1" x14ac:dyDescent="0.3">
      <c r="B362" s="16" t="s">
        <v>14</v>
      </c>
      <c r="C362" s="576" t="s">
        <v>508</v>
      </c>
      <c r="D362" s="577" t="s">
        <v>866</v>
      </c>
      <c r="E362" s="189" t="s">
        <v>1399</v>
      </c>
      <c r="F362" s="345">
        <v>46002</v>
      </c>
      <c r="G362" s="42" t="s">
        <v>643</v>
      </c>
      <c r="H362" s="42">
        <v>2</v>
      </c>
      <c r="I362" s="61">
        <v>178000</v>
      </c>
      <c r="J362" s="42">
        <v>3</v>
      </c>
      <c r="K362" s="321">
        <f t="shared" si="6"/>
        <v>59333.333333333336</v>
      </c>
      <c r="L362" s="62">
        <v>46011</v>
      </c>
      <c r="M362" s="62">
        <v>46375</v>
      </c>
      <c r="N362" s="63" t="s">
        <v>520</v>
      </c>
      <c r="O362" s="42"/>
      <c r="P362" s="42"/>
      <c r="Q362" s="64" t="s">
        <v>1400</v>
      </c>
      <c r="R362" s="63" t="s">
        <v>1401</v>
      </c>
      <c r="S362" s="63" t="s">
        <v>1402</v>
      </c>
      <c r="T362" s="63" t="s">
        <v>1403</v>
      </c>
      <c r="U362" s="63" t="s">
        <v>1404</v>
      </c>
      <c r="V362" s="63"/>
      <c r="W362" s="63"/>
      <c r="X362" s="63"/>
      <c r="Y362" s="63"/>
      <c r="Z362" s="63"/>
      <c r="AA362" s="63"/>
      <c r="AB362" s="63"/>
      <c r="AC362" s="63" t="s">
        <v>96</v>
      </c>
      <c r="AD362" s="42" t="s">
        <v>97</v>
      </c>
      <c r="AE362" s="42" t="s">
        <v>494</v>
      </c>
      <c r="AF362" s="190" t="s">
        <v>1405</v>
      </c>
    </row>
    <row r="363" spans="2:32" ht="15" customHeight="1" x14ac:dyDescent="0.3">
      <c r="B363" s="16" t="s">
        <v>14</v>
      </c>
      <c r="C363" s="573" t="s">
        <v>527</v>
      </c>
      <c r="D363" s="574" t="s">
        <v>131</v>
      </c>
      <c r="E363" s="84">
        <v>7001094920</v>
      </c>
      <c r="F363" s="345">
        <v>45947</v>
      </c>
      <c r="G363" s="42" t="s">
        <v>643</v>
      </c>
      <c r="H363" s="42">
        <v>1</v>
      </c>
      <c r="I363" s="61">
        <v>78750</v>
      </c>
      <c r="J363" s="42">
        <v>2</v>
      </c>
      <c r="K363" s="321">
        <f t="shared" si="6"/>
        <v>39375</v>
      </c>
      <c r="L363" s="62">
        <v>45931</v>
      </c>
      <c r="M363" s="62">
        <v>46295</v>
      </c>
      <c r="N363" s="63" t="s">
        <v>520</v>
      </c>
      <c r="O363" s="63"/>
      <c r="P363" s="63"/>
      <c r="Q363" s="64" t="s">
        <v>465</v>
      </c>
      <c r="R363" s="63" t="s">
        <v>1314</v>
      </c>
      <c r="S363" s="63" t="s">
        <v>467</v>
      </c>
      <c r="T363" s="63"/>
      <c r="U363" s="63"/>
      <c r="V363" s="63"/>
      <c r="W363" s="63"/>
      <c r="X363" s="63"/>
      <c r="Y363" s="63"/>
      <c r="Z363" s="63"/>
      <c r="AA363" s="63"/>
      <c r="AB363" s="63"/>
      <c r="AC363" s="63" t="s">
        <v>485</v>
      </c>
      <c r="AD363" s="16" t="s">
        <v>63</v>
      </c>
      <c r="AE363" s="42">
        <v>2</v>
      </c>
      <c r="AF363" s="63" t="s">
        <v>799</v>
      </c>
    </row>
    <row r="364" spans="2:32" ht="15" customHeight="1" x14ac:dyDescent="0.3">
      <c r="B364" s="16" t="s">
        <v>14</v>
      </c>
      <c r="C364" s="573" t="s">
        <v>527</v>
      </c>
      <c r="D364" s="574" t="s">
        <v>131</v>
      </c>
      <c r="E364" s="84">
        <v>7001175723</v>
      </c>
      <c r="F364" s="345">
        <v>46019</v>
      </c>
      <c r="G364" s="42" t="s">
        <v>643</v>
      </c>
      <c r="H364" s="42">
        <v>1</v>
      </c>
      <c r="I364" s="61">
        <v>78750</v>
      </c>
      <c r="J364" s="42">
        <v>2</v>
      </c>
      <c r="K364" s="321">
        <f t="shared" si="6"/>
        <v>39375</v>
      </c>
      <c r="L364" s="62">
        <v>45658</v>
      </c>
      <c r="M364" s="62">
        <v>46387</v>
      </c>
      <c r="N364" s="63" t="s">
        <v>520</v>
      </c>
      <c r="O364" s="63"/>
      <c r="P364" s="63"/>
      <c r="Q364" s="64" t="s">
        <v>607</v>
      </c>
      <c r="R364" s="63" t="s">
        <v>1338</v>
      </c>
      <c r="S364" s="63" t="s">
        <v>608</v>
      </c>
      <c r="T364" s="63"/>
      <c r="U364" s="63"/>
      <c r="V364" s="63"/>
      <c r="W364" s="63"/>
      <c r="X364" s="63"/>
      <c r="Y364" s="63"/>
      <c r="Z364" s="63"/>
      <c r="AA364" s="63"/>
      <c r="AB364" s="63"/>
      <c r="AC364" s="63" t="s">
        <v>485</v>
      </c>
      <c r="AD364" s="16" t="s">
        <v>63</v>
      </c>
      <c r="AE364" s="42">
        <v>2</v>
      </c>
      <c r="AF364" s="63" t="s">
        <v>799</v>
      </c>
    </row>
    <row r="365" spans="2:32" ht="15" customHeight="1" x14ac:dyDescent="0.3">
      <c r="B365" s="16" t="s">
        <v>14</v>
      </c>
      <c r="C365" s="575" t="s">
        <v>609</v>
      </c>
      <c r="D365" s="571" t="s">
        <v>131</v>
      </c>
      <c r="E365" s="297">
        <v>2100055536</v>
      </c>
      <c r="F365" s="345">
        <v>46017</v>
      </c>
      <c r="G365" s="42" t="s">
        <v>643</v>
      </c>
      <c r="H365" s="42">
        <v>2</v>
      </c>
      <c r="I365" s="61">
        <v>180000</v>
      </c>
      <c r="J365" s="42">
        <v>2</v>
      </c>
      <c r="K365" s="321">
        <f t="shared" si="6"/>
        <v>90000</v>
      </c>
      <c r="L365" s="62">
        <v>46014</v>
      </c>
      <c r="M365" s="62">
        <v>46378</v>
      </c>
      <c r="N365" s="63" t="s">
        <v>520</v>
      </c>
      <c r="O365" s="63"/>
      <c r="P365" s="63"/>
      <c r="Q365" s="64" t="s">
        <v>1406</v>
      </c>
      <c r="R365" s="63" t="s">
        <v>1169</v>
      </c>
      <c r="S365" s="63" t="s">
        <v>1407</v>
      </c>
      <c r="T365" s="63"/>
      <c r="U365" s="63"/>
      <c r="V365" s="63"/>
      <c r="W365" s="63"/>
      <c r="X365" s="63"/>
      <c r="Y365" s="63"/>
      <c r="Z365" s="63"/>
      <c r="AA365" s="63"/>
      <c r="AB365" s="63"/>
      <c r="AC365" s="63" t="s">
        <v>485</v>
      </c>
      <c r="AD365" s="16" t="s">
        <v>63</v>
      </c>
      <c r="AE365" s="42">
        <v>2</v>
      </c>
      <c r="AF365" s="63" t="s">
        <v>667</v>
      </c>
    </row>
    <row r="366" spans="2:32" ht="15" customHeight="1" x14ac:dyDescent="0.3">
      <c r="B366" s="16" t="s">
        <v>14</v>
      </c>
      <c r="C366" s="575" t="s">
        <v>130</v>
      </c>
      <c r="D366" s="571" t="s">
        <v>131</v>
      </c>
      <c r="E366" s="175">
        <v>6800050248</v>
      </c>
      <c r="F366" s="345">
        <v>46015</v>
      </c>
      <c r="G366" s="42" t="s">
        <v>643</v>
      </c>
      <c r="H366" s="42">
        <v>1</v>
      </c>
      <c r="I366" s="61">
        <v>90000</v>
      </c>
      <c r="J366" s="42">
        <v>3</v>
      </c>
      <c r="K366" s="321">
        <f t="shared" si="6"/>
        <v>30000</v>
      </c>
      <c r="L366" s="62">
        <v>46023</v>
      </c>
      <c r="M366" s="62">
        <v>46387</v>
      </c>
      <c r="N366" s="63" t="s">
        <v>520</v>
      </c>
      <c r="O366" s="63"/>
      <c r="P366" s="63"/>
      <c r="Q366" s="64" t="s">
        <v>347</v>
      </c>
      <c r="R366" s="63" t="s">
        <v>828</v>
      </c>
      <c r="S366" s="63" t="s">
        <v>348</v>
      </c>
      <c r="T366" s="63"/>
      <c r="U366" s="63" t="s">
        <v>349</v>
      </c>
      <c r="V366" s="63"/>
      <c r="W366" s="63"/>
      <c r="X366" s="63"/>
      <c r="Y366" s="63"/>
      <c r="Z366" s="63"/>
      <c r="AA366" s="63"/>
      <c r="AB366" s="63"/>
      <c r="AC366" s="63" t="s">
        <v>485</v>
      </c>
      <c r="AD366" s="16" t="s">
        <v>63</v>
      </c>
      <c r="AE366" s="42">
        <v>2</v>
      </c>
      <c r="AF366" s="63" t="s">
        <v>1408</v>
      </c>
    </row>
    <row r="367" spans="2:32" ht="15" customHeight="1" x14ac:dyDescent="0.3">
      <c r="B367" s="16" t="s">
        <v>14</v>
      </c>
      <c r="C367" s="575" t="s">
        <v>1385</v>
      </c>
      <c r="D367" s="571" t="s">
        <v>151</v>
      </c>
      <c r="E367" s="175">
        <v>4500089764</v>
      </c>
      <c r="F367" s="345">
        <v>46006</v>
      </c>
      <c r="G367" s="42" t="s">
        <v>643</v>
      </c>
      <c r="H367" s="42">
        <v>1</v>
      </c>
      <c r="I367" s="61">
        <v>45000</v>
      </c>
      <c r="J367" s="42">
        <v>1</v>
      </c>
      <c r="K367" s="321">
        <f t="shared" si="6"/>
        <v>45000</v>
      </c>
      <c r="L367" s="62">
        <v>45992</v>
      </c>
      <c r="M367" s="62">
        <v>46356</v>
      </c>
      <c r="N367" s="63" t="s">
        <v>520</v>
      </c>
      <c r="O367" s="63"/>
      <c r="P367" s="63"/>
      <c r="Q367" s="64" t="s">
        <v>1409</v>
      </c>
      <c r="R367" s="63" t="s">
        <v>1093</v>
      </c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 t="s">
        <v>478</v>
      </c>
      <c r="AD367" s="16" t="s">
        <v>63</v>
      </c>
      <c r="AE367" s="42">
        <v>1</v>
      </c>
      <c r="AF367" s="63" t="s">
        <v>667</v>
      </c>
    </row>
    <row r="368" spans="2:32" ht="15" customHeight="1" x14ac:dyDescent="0.3">
      <c r="B368" s="25" t="s">
        <v>14</v>
      </c>
      <c r="C368" s="68" t="s">
        <v>1410</v>
      </c>
      <c r="D368" s="582" t="s">
        <v>447</v>
      </c>
      <c r="E368" s="219" t="s">
        <v>1411</v>
      </c>
      <c r="F368" s="345">
        <v>46020</v>
      </c>
      <c r="G368" s="42" t="s">
        <v>643</v>
      </c>
      <c r="H368" s="42">
        <v>3</v>
      </c>
      <c r="I368" s="61">
        <v>333000</v>
      </c>
      <c r="J368" s="42">
        <v>4</v>
      </c>
      <c r="K368" s="321">
        <f t="shared" si="6"/>
        <v>83250</v>
      </c>
      <c r="L368" s="62">
        <v>46023</v>
      </c>
      <c r="M368" s="62">
        <v>46387</v>
      </c>
      <c r="N368" s="63" t="s">
        <v>520</v>
      </c>
      <c r="O368" s="63"/>
      <c r="P368" s="63"/>
      <c r="Q368" s="64" t="s">
        <v>396</v>
      </c>
      <c r="R368" s="63" t="s">
        <v>1412</v>
      </c>
      <c r="S368" s="63" t="s">
        <v>397</v>
      </c>
      <c r="T368" s="63"/>
      <c r="U368" s="63" t="s">
        <v>496</v>
      </c>
      <c r="V368" s="63"/>
      <c r="W368" s="63" t="s">
        <v>497</v>
      </c>
      <c r="X368" s="63"/>
      <c r="Y368" s="63"/>
      <c r="Z368" s="63"/>
      <c r="AA368" s="63"/>
      <c r="AB368" s="63"/>
      <c r="AC368" s="63" t="s">
        <v>96</v>
      </c>
      <c r="AD368" s="42" t="s">
        <v>97</v>
      </c>
      <c r="AE368" s="42" t="s">
        <v>494</v>
      </c>
      <c r="AF368" s="63" t="s">
        <v>799</v>
      </c>
    </row>
    <row r="369" spans="2:32" ht="15" customHeight="1" x14ac:dyDescent="0.3">
      <c r="B369" s="42" t="s">
        <v>0</v>
      </c>
      <c r="C369" s="575" t="s">
        <v>565</v>
      </c>
      <c r="D369" s="571" t="s">
        <v>566</v>
      </c>
      <c r="E369" s="175">
        <v>1011707106</v>
      </c>
      <c r="F369" s="345">
        <v>46025</v>
      </c>
      <c r="G369" s="42" t="s">
        <v>643</v>
      </c>
      <c r="H369" s="42">
        <v>1</v>
      </c>
      <c r="I369" s="61">
        <v>82450</v>
      </c>
      <c r="J369" s="42">
        <v>2</v>
      </c>
      <c r="K369" s="325">
        <f t="shared" si="6"/>
        <v>41225</v>
      </c>
      <c r="L369" s="62">
        <v>45992</v>
      </c>
      <c r="M369" s="62">
        <v>46356</v>
      </c>
      <c r="N369" s="63" t="s">
        <v>520</v>
      </c>
      <c r="O369" s="42"/>
      <c r="P369" s="42"/>
      <c r="Q369" s="64" t="s">
        <v>127</v>
      </c>
      <c r="R369" s="63" t="s">
        <v>1413</v>
      </c>
      <c r="S369" s="63" t="s">
        <v>1414</v>
      </c>
      <c r="T369" s="63"/>
      <c r="U369" s="63"/>
      <c r="V369" s="63"/>
      <c r="W369" s="63"/>
      <c r="X369" s="63"/>
      <c r="Y369" s="63"/>
      <c r="Z369" s="63"/>
      <c r="AA369" s="63"/>
      <c r="AB369" s="63"/>
      <c r="AC369" s="63" t="s">
        <v>551</v>
      </c>
      <c r="AD369" s="16" t="s">
        <v>207</v>
      </c>
      <c r="AE369" s="42">
        <v>1</v>
      </c>
      <c r="AF369" s="63"/>
    </row>
    <row r="370" spans="2:32" ht="15" customHeight="1" x14ac:dyDescent="0.3">
      <c r="B370" s="42" t="s">
        <v>0</v>
      </c>
      <c r="C370" s="68" t="s">
        <v>1415</v>
      </c>
      <c r="D370" s="132" t="s">
        <v>1416</v>
      </c>
      <c r="E370" s="300">
        <v>2125011222</v>
      </c>
      <c r="F370" s="345">
        <v>46000</v>
      </c>
      <c r="G370" s="42" t="s">
        <v>643</v>
      </c>
      <c r="H370" s="42">
        <v>2</v>
      </c>
      <c r="I370" s="61">
        <v>311948</v>
      </c>
      <c r="J370" s="42">
        <v>2</v>
      </c>
      <c r="K370" s="321">
        <f t="shared" si="6"/>
        <v>155974</v>
      </c>
      <c r="L370" s="62">
        <v>46023</v>
      </c>
      <c r="M370" s="62">
        <v>46387</v>
      </c>
      <c r="N370" s="63" t="s">
        <v>520</v>
      </c>
      <c r="O370" s="42"/>
      <c r="P370" s="42"/>
      <c r="Q370" s="64" t="s">
        <v>607</v>
      </c>
      <c r="R370" s="63" t="s">
        <v>1728</v>
      </c>
      <c r="S370" s="63" t="s">
        <v>608</v>
      </c>
      <c r="T370" s="63"/>
      <c r="U370" s="63"/>
      <c r="V370" s="63"/>
      <c r="W370" s="63"/>
      <c r="X370" s="63"/>
      <c r="Y370" s="63"/>
      <c r="Z370" s="63"/>
      <c r="AA370" s="63"/>
      <c r="AB370" s="63"/>
      <c r="AC370" s="63" t="s">
        <v>281</v>
      </c>
      <c r="AD370" s="42" t="s">
        <v>97</v>
      </c>
      <c r="AE370" s="42">
        <v>2</v>
      </c>
      <c r="AF370" s="63" t="s">
        <v>667</v>
      </c>
    </row>
    <row r="371" spans="2:32" ht="15" customHeight="1" x14ac:dyDescent="0.3">
      <c r="B371" s="42" t="s">
        <v>0</v>
      </c>
      <c r="C371" s="68" t="s">
        <v>1417</v>
      </c>
      <c r="D371" s="132" t="s">
        <v>86</v>
      </c>
      <c r="E371" s="297">
        <v>4200321224</v>
      </c>
      <c r="F371" s="345">
        <v>46014</v>
      </c>
      <c r="G371" s="42" t="s">
        <v>643</v>
      </c>
      <c r="H371" s="42">
        <v>5</v>
      </c>
      <c r="I371" s="61">
        <v>544860</v>
      </c>
      <c r="J371" s="42">
        <v>4</v>
      </c>
      <c r="K371" s="321">
        <f t="shared" si="6"/>
        <v>136215</v>
      </c>
      <c r="L371" s="62">
        <v>46023</v>
      </c>
      <c r="M371" s="62">
        <v>46387</v>
      </c>
      <c r="N371" s="63" t="s">
        <v>520</v>
      </c>
      <c r="O371" s="42"/>
      <c r="P371" s="42"/>
      <c r="Q371" s="64" t="s">
        <v>396</v>
      </c>
      <c r="R371" s="63" t="s">
        <v>1418</v>
      </c>
      <c r="S371" s="63" t="s">
        <v>397</v>
      </c>
      <c r="T371" s="63"/>
      <c r="U371" s="63" t="s">
        <v>496</v>
      </c>
      <c r="V371" s="63"/>
      <c r="W371" s="63" t="s">
        <v>497</v>
      </c>
      <c r="X371" s="63"/>
      <c r="Y371" s="63"/>
      <c r="Z371" s="63"/>
      <c r="AA371" s="63"/>
      <c r="AB371" s="63"/>
      <c r="AC371" s="63" t="s">
        <v>281</v>
      </c>
      <c r="AD371" s="42" t="s">
        <v>97</v>
      </c>
      <c r="AE371" s="42">
        <v>4</v>
      </c>
      <c r="AF371" s="63" t="s">
        <v>1345</v>
      </c>
    </row>
    <row r="372" spans="2:32" ht="15" customHeight="1" x14ac:dyDescent="0.3">
      <c r="B372" s="42" t="s">
        <v>0</v>
      </c>
      <c r="C372" s="610" t="s">
        <v>604</v>
      </c>
      <c r="D372" s="132" t="s">
        <v>1419</v>
      </c>
      <c r="E372" s="121">
        <v>5700203580</v>
      </c>
      <c r="F372" s="345">
        <v>45996</v>
      </c>
      <c r="G372" s="42" t="s">
        <v>643</v>
      </c>
      <c r="H372" s="42">
        <v>1</v>
      </c>
      <c r="I372" s="61">
        <v>118335</v>
      </c>
      <c r="J372" s="42">
        <v>2</v>
      </c>
      <c r="K372" s="321">
        <f t="shared" si="6"/>
        <v>59167.5</v>
      </c>
      <c r="L372" s="62">
        <v>46023</v>
      </c>
      <c r="M372" s="62">
        <v>46387</v>
      </c>
      <c r="N372" s="63" t="s">
        <v>520</v>
      </c>
      <c r="O372" s="42"/>
      <c r="P372" s="42"/>
      <c r="Q372" s="64" t="s">
        <v>607</v>
      </c>
      <c r="R372" s="63" t="s">
        <v>1710</v>
      </c>
      <c r="S372" s="63" t="s">
        <v>608</v>
      </c>
      <c r="T372" s="63"/>
      <c r="U372" s="63"/>
      <c r="V372" s="63"/>
      <c r="W372" s="63"/>
      <c r="X372" s="63"/>
      <c r="Y372" s="63"/>
      <c r="Z372" s="63"/>
      <c r="AA372" s="63"/>
      <c r="AB372" s="63"/>
      <c r="AC372" s="63" t="s">
        <v>281</v>
      </c>
      <c r="AD372" s="42" t="s">
        <v>97</v>
      </c>
      <c r="AE372" s="42">
        <v>2</v>
      </c>
      <c r="AF372" s="63" t="s">
        <v>1345</v>
      </c>
    </row>
    <row r="373" spans="2:32" ht="15" customHeight="1" x14ac:dyDescent="0.3">
      <c r="B373" s="42" t="s">
        <v>0</v>
      </c>
      <c r="C373" s="575" t="s">
        <v>614</v>
      </c>
      <c r="D373" s="571" t="s">
        <v>447</v>
      </c>
      <c r="E373" s="221" t="s">
        <v>1420</v>
      </c>
      <c r="F373" s="345">
        <v>46009</v>
      </c>
      <c r="G373" s="42" t="s">
        <v>643</v>
      </c>
      <c r="H373" s="42">
        <v>1</v>
      </c>
      <c r="I373" s="61">
        <v>76440</v>
      </c>
      <c r="J373" s="42">
        <v>3</v>
      </c>
      <c r="K373" s="321">
        <f t="shared" si="6"/>
        <v>25480</v>
      </c>
      <c r="L373" s="62">
        <v>46023</v>
      </c>
      <c r="M373" s="62">
        <v>46387</v>
      </c>
      <c r="N373" s="63" t="s">
        <v>520</v>
      </c>
      <c r="O373" s="42"/>
      <c r="P373" s="42"/>
      <c r="Q373" s="64" t="s">
        <v>347</v>
      </c>
      <c r="R373" s="63" t="s">
        <v>331</v>
      </c>
      <c r="S373" s="63" t="s">
        <v>348</v>
      </c>
      <c r="T373" s="63"/>
      <c r="U373" s="63" t="s">
        <v>349</v>
      </c>
      <c r="V373" s="63"/>
      <c r="W373" s="63"/>
      <c r="X373" s="63"/>
      <c r="Y373" s="63"/>
      <c r="Z373" s="63"/>
      <c r="AA373" s="63"/>
      <c r="AB373" s="63"/>
      <c r="AC373" s="63" t="s">
        <v>281</v>
      </c>
      <c r="AD373" s="42" t="s">
        <v>97</v>
      </c>
      <c r="AE373" s="42">
        <v>3</v>
      </c>
      <c r="AF373" s="63" t="s">
        <v>1060</v>
      </c>
    </row>
    <row r="374" spans="2:32" ht="15" customHeight="1" x14ac:dyDescent="0.3">
      <c r="B374" s="26" t="s">
        <v>0</v>
      </c>
      <c r="C374" s="39" t="s">
        <v>640</v>
      </c>
      <c r="D374" s="562" t="s">
        <v>1421</v>
      </c>
      <c r="E374" s="358" t="s">
        <v>1422</v>
      </c>
      <c r="F374" s="343">
        <v>45996</v>
      </c>
      <c r="G374" s="26" t="s">
        <v>643</v>
      </c>
      <c r="H374" s="26">
        <v>34</v>
      </c>
      <c r="I374" s="56">
        <v>2068693.74</v>
      </c>
      <c r="J374" s="26">
        <v>3</v>
      </c>
      <c r="K374" s="321">
        <f t="shared" si="6"/>
        <v>689564.58</v>
      </c>
      <c r="L374" s="57">
        <v>46003</v>
      </c>
      <c r="M374" s="57">
        <v>46367</v>
      </c>
      <c r="N374" s="58" t="s">
        <v>520</v>
      </c>
      <c r="O374" s="26"/>
      <c r="P374" s="26"/>
      <c r="Q374" s="59" t="s">
        <v>1423</v>
      </c>
      <c r="R374" s="58" t="s">
        <v>1252</v>
      </c>
      <c r="S374" s="58" t="s">
        <v>1424</v>
      </c>
      <c r="T374" s="58"/>
      <c r="U374" s="58" t="s">
        <v>1425</v>
      </c>
      <c r="V374" s="58"/>
      <c r="W374" s="58"/>
      <c r="X374" s="58"/>
      <c r="Y374" s="58"/>
      <c r="Z374" s="58"/>
      <c r="AA374" s="58"/>
      <c r="AB374" s="58"/>
      <c r="AC374" s="58" t="s">
        <v>281</v>
      </c>
      <c r="AD374" s="26" t="s">
        <v>97</v>
      </c>
      <c r="AE374" s="26">
        <v>3</v>
      </c>
      <c r="AF374" s="58" t="s">
        <v>1345</v>
      </c>
    </row>
    <row r="375" spans="2:32" ht="15" hidden="1" customHeight="1" x14ac:dyDescent="0.3">
      <c r="B375" s="42" t="s">
        <v>0</v>
      </c>
      <c r="C375" s="68" t="s">
        <v>640</v>
      </c>
      <c r="D375" s="582" t="s">
        <v>1421</v>
      </c>
      <c r="E375" s="222" t="s">
        <v>1422</v>
      </c>
      <c r="F375" s="345">
        <v>45996</v>
      </c>
      <c r="G375" s="42" t="s">
        <v>643</v>
      </c>
      <c r="H375" s="42"/>
      <c r="I375" s="56">
        <v>2068693.74</v>
      </c>
      <c r="J375" s="42">
        <v>3</v>
      </c>
      <c r="K375" s="321">
        <f t="shared" si="6"/>
        <v>689564.58</v>
      </c>
      <c r="L375" s="62">
        <v>46368</v>
      </c>
      <c r="M375" s="62">
        <v>46732</v>
      </c>
      <c r="N375" s="63" t="s">
        <v>520</v>
      </c>
      <c r="O375" s="42"/>
      <c r="P375" s="42"/>
      <c r="Q375" s="63" t="s">
        <v>1426</v>
      </c>
      <c r="R375" s="63"/>
      <c r="S375" s="63" t="s">
        <v>1427</v>
      </c>
      <c r="T375" s="63"/>
      <c r="U375" s="63" t="s">
        <v>1428</v>
      </c>
      <c r="V375" s="63"/>
      <c r="W375" s="63"/>
      <c r="X375" s="63"/>
      <c r="Y375" s="63"/>
      <c r="Z375" s="63"/>
      <c r="AA375" s="63"/>
      <c r="AB375" s="63"/>
      <c r="AC375" s="63" t="s">
        <v>281</v>
      </c>
      <c r="AD375" s="42" t="s">
        <v>97</v>
      </c>
      <c r="AE375" s="42">
        <v>3</v>
      </c>
      <c r="AF375" s="63" t="s">
        <v>1345</v>
      </c>
    </row>
    <row r="376" spans="2:32" ht="15" customHeight="1" x14ac:dyDescent="0.3">
      <c r="B376" s="42" t="s">
        <v>0</v>
      </c>
      <c r="C376" s="575" t="s">
        <v>1429</v>
      </c>
      <c r="D376" s="571" t="s">
        <v>388</v>
      </c>
      <c r="E376" s="297" t="s">
        <v>1430</v>
      </c>
      <c r="F376" s="345">
        <v>46010</v>
      </c>
      <c r="G376" s="42" t="s">
        <v>643</v>
      </c>
      <c r="H376" s="42">
        <v>6</v>
      </c>
      <c r="I376" s="61">
        <v>493800</v>
      </c>
      <c r="J376" s="42">
        <v>2</v>
      </c>
      <c r="K376" s="321">
        <f t="shared" si="6"/>
        <v>246900</v>
      </c>
      <c r="L376" s="62">
        <v>46023</v>
      </c>
      <c r="M376" s="62">
        <v>46387</v>
      </c>
      <c r="N376" s="63" t="s">
        <v>520</v>
      </c>
      <c r="O376" s="42"/>
      <c r="P376" s="42"/>
      <c r="Q376" s="63" t="s">
        <v>607</v>
      </c>
      <c r="R376" s="63"/>
      <c r="S376" s="63" t="s">
        <v>608</v>
      </c>
      <c r="T376" s="63"/>
      <c r="U376" s="63"/>
      <c r="V376" s="63"/>
      <c r="W376" s="63"/>
      <c r="X376" s="63"/>
      <c r="Y376" s="63"/>
      <c r="Z376" s="63"/>
      <c r="AA376" s="63"/>
      <c r="AB376" s="63"/>
      <c r="AC376" s="63" t="s">
        <v>619</v>
      </c>
      <c r="AD376" s="16" t="s">
        <v>63</v>
      </c>
      <c r="AE376" s="42">
        <v>3</v>
      </c>
      <c r="AF376" s="63" t="s">
        <v>667</v>
      </c>
    </row>
    <row r="377" spans="2:32" ht="15" customHeight="1" x14ac:dyDescent="0.3">
      <c r="B377" s="42" t="s">
        <v>0</v>
      </c>
      <c r="C377" s="575" t="s">
        <v>518</v>
      </c>
      <c r="D377" s="571" t="s">
        <v>176</v>
      </c>
      <c r="E377" s="175">
        <v>4518267425</v>
      </c>
      <c r="F377" s="345">
        <v>46027</v>
      </c>
      <c r="G377" s="42" t="s">
        <v>643</v>
      </c>
      <c r="H377" s="42">
        <v>1</v>
      </c>
      <c r="I377" s="61">
        <v>77200</v>
      </c>
      <c r="J377" s="42">
        <v>4</v>
      </c>
      <c r="K377" s="321">
        <f t="shared" si="6"/>
        <v>19300</v>
      </c>
      <c r="L377" s="62">
        <v>46023</v>
      </c>
      <c r="M377" s="62">
        <v>46387</v>
      </c>
      <c r="N377" s="63" t="s">
        <v>520</v>
      </c>
      <c r="O377" s="42"/>
      <c r="P377" s="42"/>
      <c r="Q377" s="64" t="s">
        <v>396</v>
      </c>
      <c r="R377" s="63" t="s">
        <v>909</v>
      </c>
      <c r="S377" s="64" t="s">
        <v>397</v>
      </c>
      <c r="T377" s="63" t="s">
        <v>1729</v>
      </c>
      <c r="U377" s="63" t="s">
        <v>496</v>
      </c>
      <c r="V377" s="63"/>
      <c r="W377" s="63" t="s">
        <v>497</v>
      </c>
      <c r="X377" s="63"/>
      <c r="Y377" s="63"/>
      <c r="Z377" s="63"/>
      <c r="AA377" s="63"/>
      <c r="AB377" s="63"/>
      <c r="AC377" s="63" t="s">
        <v>183</v>
      </c>
      <c r="AD377" s="42" t="s">
        <v>97</v>
      </c>
      <c r="AE377" s="42">
        <v>3</v>
      </c>
      <c r="AF377" s="63" t="s">
        <v>1431</v>
      </c>
    </row>
    <row r="378" spans="2:32" ht="15" customHeight="1" x14ac:dyDescent="0.3">
      <c r="B378" s="42" t="s">
        <v>0</v>
      </c>
      <c r="C378" s="575" t="s">
        <v>518</v>
      </c>
      <c r="D378" s="571" t="s">
        <v>176</v>
      </c>
      <c r="E378" s="175">
        <v>4518267076</v>
      </c>
      <c r="F378" s="345">
        <v>46027</v>
      </c>
      <c r="G378" s="42" t="s">
        <v>643</v>
      </c>
      <c r="H378" s="42">
        <v>2</v>
      </c>
      <c r="I378" s="61">
        <v>179600</v>
      </c>
      <c r="J378" s="42">
        <v>4</v>
      </c>
      <c r="K378" s="321">
        <f t="shared" si="6"/>
        <v>44900</v>
      </c>
      <c r="L378" s="62">
        <v>46023</v>
      </c>
      <c r="M378" s="62">
        <v>46387</v>
      </c>
      <c r="N378" s="63" t="s">
        <v>520</v>
      </c>
      <c r="O378" s="42"/>
      <c r="P378" s="42"/>
      <c r="Q378" s="64" t="s">
        <v>396</v>
      </c>
      <c r="R378" s="63" t="s">
        <v>909</v>
      </c>
      <c r="S378" s="64" t="s">
        <v>397</v>
      </c>
      <c r="T378" s="63" t="s">
        <v>1729</v>
      </c>
      <c r="U378" s="63" t="s">
        <v>496</v>
      </c>
      <c r="V378" s="63"/>
      <c r="W378" s="63" t="s">
        <v>497</v>
      </c>
      <c r="X378" s="63"/>
      <c r="Y378" s="63"/>
      <c r="Z378" s="63"/>
      <c r="AA378" s="63"/>
      <c r="AB378" s="63"/>
      <c r="AC378" s="63" t="s">
        <v>183</v>
      </c>
      <c r="AD378" s="42" t="s">
        <v>97</v>
      </c>
      <c r="AE378" s="42">
        <v>3</v>
      </c>
      <c r="AF378" s="63" t="s">
        <v>1431</v>
      </c>
    </row>
    <row r="379" spans="2:32" ht="15" customHeight="1" x14ac:dyDescent="0.3">
      <c r="B379" s="42" t="s">
        <v>0</v>
      </c>
      <c r="C379" s="575" t="s">
        <v>604</v>
      </c>
      <c r="D379" s="571" t="s">
        <v>1012</v>
      </c>
      <c r="E379" s="297">
        <v>5700206412</v>
      </c>
      <c r="F379" s="345">
        <v>46027</v>
      </c>
      <c r="G379" s="42" t="s">
        <v>643</v>
      </c>
      <c r="H379" s="42">
        <v>12</v>
      </c>
      <c r="I379" s="61">
        <v>1373715</v>
      </c>
      <c r="J379" s="42">
        <v>2</v>
      </c>
      <c r="K379" s="321">
        <f t="shared" si="6"/>
        <v>686857.5</v>
      </c>
      <c r="L379" s="62">
        <v>46023</v>
      </c>
      <c r="M379" s="62">
        <v>46387</v>
      </c>
      <c r="N379" s="63" t="s">
        <v>520</v>
      </c>
      <c r="O379" s="42"/>
      <c r="P379" s="42"/>
      <c r="Q379" s="63" t="s">
        <v>607</v>
      </c>
      <c r="R379" s="63"/>
      <c r="S379" s="63" t="s">
        <v>608</v>
      </c>
      <c r="T379" s="63"/>
      <c r="U379" s="63"/>
      <c r="V379" s="63"/>
      <c r="W379" s="63"/>
      <c r="X379" s="63"/>
      <c r="Y379" s="63"/>
      <c r="Z379" s="63"/>
      <c r="AA379" s="63"/>
      <c r="AB379" s="63"/>
      <c r="AC379" s="63" t="s">
        <v>619</v>
      </c>
      <c r="AD379" s="16" t="s">
        <v>63</v>
      </c>
      <c r="AE379" s="42">
        <v>3</v>
      </c>
      <c r="AF379" s="63" t="s">
        <v>799</v>
      </c>
    </row>
    <row r="380" spans="2:32" ht="15" customHeight="1" x14ac:dyDescent="0.3">
      <c r="B380" s="26" t="s">
        <v>0</v>
      </c>
      <c r="C380" s="583" t="s">
        <v>598</v>
      </c>
      <c r="D380" s="584" t="s">
        <v>1354</v>
      </c>
      <c r="E380" s="267">
        <v>3800059115</v>
      </c>
      <c r="F380" s="343">
        <v>46028</v>
      </c>
      <c r="G380" s="26" t="s">
        <v>643</v>
      </c>
      <c r="H380" s="26">
        <v>3</v>
      </c>
      <c r="I380" s="56">
        <v>174000</v>
      </c>
      <c r="J380" s="26">
        <v>2</v>
      </c>
      <c r="K380" s="321">
        <f t="shared" si="6"/>
        <v>87000</v>
      </c>
      <c r="L380" s="57">
        <v>46023</v>
      </c>
      <c r="M380" s="57">
        <v>46387</v>
      </c>
      <c r="N380" s="58" t="s">
        <v>520</v>
      </c>
      <c r="O380" s="26"/>
      <c r="P380" s="26"/>
      <c r="Q380" s="59" t="s">
        <v>607</v>
      </c>
      <c r="R380" s="58" t="s">
        <v>1432</v>
      </c>
      <c r="S380" s="58" t="s">
        <v>608</v>
      </c>
      <c r="T380" s="58"/>
      <c r="U380" s="58"/>
      <c r="V380" s="58"/>
      <c r="W380" s="58"/>
      <c r="X380" s="58"/>
      <c r="Y380" s="58"/>
      <c r="Z380" s="58"/>
      <c r="AA380" s="58"/>
      <c r="AB380" s="58"/>
      <c r="AC380" s="58" t="s">
        <v>485</v>
      </c>
      <c r="AD380" s="16" t="s">
        <v>63</v>
      </c>
      <c r="AE380" s="26">
        <v>2</v>
      </c>
      <c r="AF380" s="58" t="s">
        <v>799</v>
      </c>
    </row>
    <row r="381" spans="2:32" ht="15" customHeight="1" x14ac:dyDescent="0.3">
      <c r="B381" s="42" t="s">
        <v>0</v>
      </c>
      <c r="C381" s="575" t="s">
        <v>1433</v>
      </c>
      <c r="D381" s="571" t="s">
        <v>434</v>
      </c>
      <c r="E381" s="297" t="s">
        <v>1434</v>
      </c>
      <c r="F381" s="345">
        <v>45666</v>
      </c>
      <c r="G381" s="116" t="s">
        <v>703</v>
      </c>
      <c r="H381" s="42">
        <v>19</v>
      </c>
      <c r="I381" s="61">
        <v>3915197</v>
      </c>
      <c r="J381" s="42">
        <v>4</v>
      </c>
      <c r="K381" s="321">
        <f t="shared" si="6"/>
        <v>978799.25</v>
      </c>
      <c r="L381" s="62">
        <v>46034</v>
      </c>
      <c r="M381" s="62">
        <v>46398</v>
      </c>
      <c r="N381" s="63" t="s">
        <v>520</v>
      </c>
      <c r="O381" s="42"/>
      <c r="P381" s="42"/>
      <c r="Q381" s="64" t="s">
        <v>1435</v>
      </c>
      <c r="R381" s="63" t="s">
        <v>1436</v>
      </c>
      <c r="S381" s="63" t="s">
        <v>1437</v>
      </c>
      <c r="T381" s="63"/>
      <c r="U381" s="63" t="s">
        <v>1438</v>
      </c>
      <c r="V381" s="63"/>
      <c r="W381" s="63" t="s">
        <v>1439</v>
      </c>
      <c r="X381" s="63"/>
      <c r="Y381" s="63"/>
      <c r="Z381" s="63"/>
      <c r="AA381" s="63"/>
      <c r="AB381" s="63"/>
      <c r="AC381" s="63" t="s">
        <v>281</v>
      </c>
      <c r="AD381" s="42" t="s">
        <v>97</v>
      </c>
      <c r="AE381" s="42" t="s">
        <v>494</v>
      </c>
      <c r="AF381" s="44" t="s">
        <v>1345</v>
      </c>
    </row>
    <row r="382" spans="2:32" ht="15" customHeight="1" x14ac:dyDescent="0.3">
      <c r="B382" s="42" t="s">
        <v>0</v>
      </c>
      <c r="C382" s="576" t="s">
        <v>614</v>
      </c>
      <c r="D382" s="577" t="s">
        <v>447</v>
      </c>
      <c r="E382" s="290" t="s">
        <v>1440</v>
      </c>
      <c r="F382" s="611">
        <v>46000</v>
      </c>
      <c r="G382" s="42" t="s">
        <v>643</v>
      </c>
      <c r="H382" s="42">
        <v>1</v>
      </c>
      <c r="I382" s="61">
        <v>76440</v>
      </c>
      <c r="J382" s="42">
        <v>3</v>
      </c>
      <c r="K382" s="321">
        <f t="shared" si="6"/>
        <v>25480</v>
      </c>
      <c r="L382" s="62">
        <v>45992</v>
      </c>
      <c r="M382" s="62">
        <v>46356</v>
      </c>
      <c r="N382" s="63" t="s">
        <v>520</v>
      </c>
      <c r="O382" s="42"/>
      <c r="P382" s="42"/>
      <c r="Q382" s="64" t="s">
        <v>361</v>
      </c>
      <c r="R382" s="63" t="s">
        <v>1412</v>
      </c>
      <c r="S382" s="63" t="s">
        <v>1080</v>
      </c>
      <c r="T382" s="63"/>
      <c r="U382" s="63" t="s">
        <v>1108</v>
      </c>
      <c r="V382" s="63"/>
      <c r="W382" s="63"/>
      <c r="X382" s="63"/>
      <c r="Y382" s="63"/>
      <c r="Z382" s="63"/>
      <c r="AA382" s="63"/>
      <c r="AB382" s="63"/>
      <c r="AC382" s="63" t="s">
        <v>281</v>
      </c>
      <c r="AD382" s="42" t="s">
        <v>97</v>
      </c>
      <c r="AE382" s="42">
        <v>3</v>
      </c>
      <c r="AF382" s="63" t="s">
        <v>1441</v>
      </c>
    </row>
    <row r="383" spans="2:32" ht="15" customHeight="1" x14ac:dyDescent="0.3">
      <c r="B383" s="42" t="s">
        <v>0</v>
      </c>
      <c r="C383" s="575" t="s">
        <v>195</v>
      </c>
      <c r="D383" s="571" t="s">
        <v>447</v>
      </c>
      <c r="E383" s="175" t="s">
        <v>255</v>
      </c>
      <c r="F383" s="345" t="s">
        <v>1442</v>
      </c>
      <c r="G383" s="42" t="s">
        <v>643</v>
      </c>
      <c r="H383" s="42">
        <v>3</v>
      </c>
      <c r="I383" s="61">
        <v>177000</v>
      </c>
      <c r="J383" s="42">
        <v>4</v>
      </c>
      <c r="K383" s="321">
        <f t="shared" si="6"/>
        <v>44250</v>
      </c>
      <c r="L383" s="62">
        <v>46054</v>
      </c>
      <c r="M383" s="62">
        <v>46418</v>
      </c>
      <c r="N383" s="63" t="s">
        <v>520</v>
      </c>
      <c r="O383" s="42"/>
      <c r="P383" s="42"/>
      <c r="Q383" s="64" t="s">
        <v>442</v>
      </c>
      <c r="R383" s="63" t="s">
        <v>1226</v>
      </c>
      <c r="S383" s="63" t="s">
        <v>444</v>
      </c>
      <c r="T383" s="63"/>
      <c r="U383" s="63" t="s">
        <v>1443</v>
      </c>
      <c r="V383" s="63"/>
      <c r="W383" s="63" t="s">
        <v>456</v>
      </c>
      <c r="X383" s="63"/>
      <c r="Y383" s="63"/>
      <c r="Z383" s="63"/>
      <c r="AA383" s="63"/>
      <c r="AB383" s="63"/>
      <c r="AC383" s="63" t="s">
        <v>96</v>
      </c>
      <c r="AD383" s="42" t="s">
        <v>97</v>
      </c>
      <c r="AE383" s="42" t="s">
        <v>494</v>
      </c>
      <c r="AF383" s="63"/>
    </row>
    <row r="384" spans="2:32" ht="15" customHeight="1" x14ac:dyDescent="0.3">
      <c r="B384" s="42" t="s">
        <v>0</v>
      </c>
      <c r="C384" s="68" t="s">
        <v>1444</v>
      </c>
      <c r="D384" s="81" t="s">
        <v>841</v>
      </c>
      <c r="E384" s="300" t="s">
        <v>1445</v>
      </c>
      <c r="F384" s="345">
        <v>46021</v>
      </c>
      <c r="G384" s="42" t="s">
        <v>643</v>
      </c>
      <c r="H384" s="42">
        <v>7</v>
      </c>
      <c r="I384" s="61">
        <v>371000</v>
      </c>
      <c r="J384" s="42">
        <v>2</v>
      </c>
      <c r="K384" s="321">
        <f t="shared" si="6"/>
        <v>185500</v>
      </c>
      <c r="L384" s="62">
        <v>46023</v>
      </c>
      <c r="M384" s="62">
        <v>46387</v>
      </c>
      <c r="N384" s="63" t="s">
        <v>520</v>
      </c>
      <c r="O384" s="42"/>
      <c r="P384" s="42"/>
      <c r="Q384" s="64" t="s">
        <v>486</v>
      </c>
      <c r="R384" s="63" t="s">
        <v>1730</v>
      </c>
      <c r="S384" s="63" t="s">
        <v>608</v>
      </c>
      <c r="T384" s="63" t="s">
        <v>1731</v>
      </c>
      <c r="U384" s="63"/>
      <c r="V384" s="63"/>
      <c r="W384" s="63"/>
      <c r="X384" s="63"/>
      <c r="Y384" s="63"/>
      <c r="Z384" s="63"/>
      <c r="AA384" s="63"/>
      <c r="AB384" s="63"/>
      <c r="AC384" s="63" t="s">
        <v>485</v>
      </c>
      <c r="AD384" s="16" t="s">
        <v>63</v>
      </c>
      <c r="AE384" s="42">
        <v>2</v>
      </c>
      <c r="AF384" s="63" t="s">
        <v>1446</v>
      </c>
    </row>
    <row r="385" spans="2:32" ht="15" customHeight="1" x14ac:dyDescent="0.3">
      <c r="B385" s="42" t="s">
        <v>0</v>
      </c>
      <c r="C385" s="68" t="s">
        <v>1447</v>
      </c>
      <c r="D385" s="132" t="s">
        <v>388</v>
      </c>
      <c r="E385" s="84">
        <v>3800061135</v>
      </c>
      <c r="F385" s="345">
        <v>46035</v>
      </c>
      <c r="G385" s="42" t="s">
        <v>643</v>
      </c>
      <c r="H385" s="42">
        <v>3</v>
      </c>
      <c r="I385" s="61">
        <v>174000</v>
      </c>
      <c r="J385" s="42">
        <v>2</v>
      </c>
      <c r="K385" s="321">
        <f t="shared" si="6"/>
        <v>87000</v>
      </c>
      <c r="L385" s="62">
        <v>46023</v>
      </c>
      <c r="M385" s="62">
        <v>46387</v>
      </c>
      <c r="N385" s="63" t="s">
        <v>520</v>
      </c>
      <c r="O385" s="42"/>
      <c r="P385" s="42"/>
      <c r="Q385" s="63" t="s">
        <v>607</v>
      </c>
      <c r="R385" s="63"/>
      <c r="S385" s="63" t="s">
        <v>608</v>
      </c>
      <c r="T385" s="63"/>
      <c r="U385" s="63"/>
      <c r="V385" s="63"/>
      <c r="W385" s="63"/>
      <c r="X385" s="63"/>
      <c r="Y385" s="63"/>
      <c r="Z385" s="63"/>
      <c r="AA385" s="63"/>
      <c r="AB385" s="63"/>
      <c r="AC385" s="63" t="s">
        <v>478</v>
      </c>
      <c r="AD385" s="16" t="s">
        <v>63</v>
      </c>
      <c r="AE385" s="42">
        <v>2</v>
      </c>
      <c r="AF385" s="63" t="s">
        <v>667</v>
      </c>
    </row>
    <row r="386" spans="2:32" ht="15" customHeight="1" x14ac:dyDescent="0.3">
      <c r="B386" s="42" t="s">
        <v>0</v>
      </c>
      <c r="C386" s="68" t="s">
        <v>1448</v>
      </c>
      <c r="D386" s="81" t="s">
        <v>151</v>
      </c>
      <c r="E386" s="266" t="s">
        <v>1449</v>
      </c>
      <c r="F386" s="345">
        <v>46031</v>
      </c>
      <c r="G386" s="42" t="s">
        <v>643</v>
      </c>
      <c r="H386" s="42">
        <v>1</v>
      </c>
      <c r="I386" s="61">
        <v>160000</v>
      </c>
      <c r="J386" s="42">
        <v>3</v>
      </c>
      <c r="K386" s="321">
        <f t="shared" si="6"/>
        <v>53333.333333333336</v>
      </c>
      <c r="L386" s="62">
        <v>46023</v>
      </c>
      <c r="M386" s="62">
        <v>46387</v>
      </c>
      <c r="N386" s="63" t="s">
        <v>520</v>
      </c>
      <c r="O386" s="42"/>
      <c r="P386" s="42"/>
      <c r="Q386" s="64" t="s">
        <v>347</v>
      </c>
      <c r="R386" s="63" t="s">
        <v>1450</v>
      </c>
      <c r="S386" s="63" t="s">
        <v>348</v>
      </c>
      <c r="T386" s="63"/>
      <c r="U386" s="63" t="s">
        <v>349</v>
      </c>
      <c r="V386" s="63"/>
      <c r="W386" s="63"/>
      <c r="X386" s="63"/>
      <c r="Y386" s="63"/>
      <c r="Z386" s="63"/>
      <c r="AA386" s="63"/>
      <c r="AB386" s="63"/>
      <c r="AC386" s="63" t="s">
        <v>507</v>
      </c>
      <c r="AD386" s="16" t="s">
        <v>63</v>
      </c>
      <c r="AE386" s="42">
        <v>3</v>
      </c>
      <c r="AF386" s="63" t="s">
        <v>667</v>
      </c>
    </row>
    <row r="387" spans="2:32" ht="15" customHeight="1" x14ac:dyDescent="0.3">
      <c r="B387" s="42" t="s">
        <v>0</v>
      </c>
      <c r="C387" s="575" t="s">
        <v>1451</v>
      </c>
      <c r="D387" s="571" t="s">
        <v>151</v>
      </c>
      <c r="E387" s="84">
        <v>8182414</v>
      </c>
      <c r="F387" s="345">
        <v>46034</v>
      </c>
      <c r="G387" s="42" t="s">
        <v>643</v>
      </c>
      <c r="H387" s="42">
        <v>3</v>
      </c>
      <c r="I387" s="61">
        <v>232497</v>
      </c>
      <c r="J387" s="42">
        <v>3</v>
      </c>
      <c r="K387" s="321">
        <f t="shared" si="6"/>
        <v>77499</v>
      </c>
      <c r="L387" s="62">
        <v>46023</v>
      </c>
      <c r="M387" s="62">
        <v>46387</v>
      </c>
      <c r="N387" s="63" t="s">
        <v>520</v>
      </c>
      <c r="O387" s="42"/>
      <c r="P387" s="42"/>
      <c r="Q387" s="64" t="s">
        <v>347</v>
      </c>
      <c r="R387" s="63" t="s">
        <v>331</v>
      </c>
      <c r="S387" s="63" t="s">
        <v>348</v>
      </c>
      <c r="T387" s="63"/>
      <c r="U387" s="63" t="s">
        <v>349</v>
      </c>
      <c r="V387" s="63"/>
      <c r="W387" s="63"/>
      <c r="X387" s="63"/>
      <c r="Y387" s="63"/>
      <c r="Z387" s="63"/>
      <c r="AA387" s="63"/>
      <c r="AB387" s="63"/>
      <c r="AC387" s="63" t="s">
        <v>478</v>
      </c>
      <c r="AD387" s="16" t="s">
        <v>63</v>
      </c>
      <c r="AE387" s="42">
        <v>3</v>
      </c>
      <c r="AF387" s="63" t="s">
        <v>667</v>
      </c>
    </row>
    <row r="388" spans="2:32" ht="15" customHeight="1" x14ac:dyDescent="0.3">
      <c r="B388" s="42" t="s">
        <v>0</v>
      </c>
      <c r="C388" s="576" t="s">
        <v>1452</v>
      </c>
      <c r="D388" s="577" t="s">
        <v>1453</v>
      </c>
      <c r="E388" s="189" t="s">
        <v>1454</v>
      </c>
      <c r="F388" s="345">
        <v>45960</v>
      </c>
      <c r="G388" s="42" t="s">
        <v>643</v>
      </c>
      <c r="H388" s="42">
        <v>1</v>
      </c>
      <c r="I388" s="61">
        <v>93800</v>
      </c>
      <c r="J388" s="42">
        <v>3</v>
      </c>
      <c r="K388" s="321">
        <f t="shared" si="6"/>
        <v>31266.666666666668</v>
      </c>
      <c r="L388" s="62">
        <v>45931</v>
      </c>
      <c r="M388" s="62">
        <v>46295</v>
      </c>
      <c r="N388" s="63" t="s">
        <v>520</v>
      </c>
      <c r="O388" s="42"/>
      <c r="P388" s="42"/>
      <c r="Q388" s="64" t="s">
        <v>83</v>
      </c>
      <c r="R388" s="63" t="s">
        <v>454</v>
      </c>
      <c r="S388" s="64" t="s">
        <v>1455</v>
      </c>
      <c r="T388" s="63" t="s">
        <v>695</v>
      </c>
      <c r="U388" s="63" t="s">
        <v>406</v>
      </c>
      <c r="V388" s="63"/>
      <c r="W388" s="63"/>
      <c r="X388" s="63"/>
      <c r="Y388" s="63"/>
      <c r="Z388" s="63"/>
      <c r="AA388" s="63"/>
      <c r="AB388" s="63"/>
      <c r="AC388" s="63" t="s">
        <v>183</v>
      </c>
      <c r="AD388" s="42" t="s">
        <v>968</v>
      </c>
      <c r="AE388" s="42">
        <v>1</v>
      </c>
      <c r="AF388" s="63" t="s">
        <v>799</v>
      </c>
    </row>
    <row r="389" spans="2:32" ht="15" customHeight="1" x14ac:dyDescent="0.3">
      <c r="B389" s="42" t="s">
        <v>0</v>
      </c>
      <c r="C389" s="575" t="s">
        <v>544</v>
      </c>
      <c r="D389" s="571" t="s">
        <v>545</v>
      </c>
      <c r="E389" s="175">
        <v>1250053807</v>
      </c>
      <c r="F389" s="345">
        <v>46027</v>
      </c>
      <c r="G389" s="42" t="s">
        <v>643</v>
      </c>
      <c r="H389" s="42">
        <v>2</v>
      </c>
      <c r="I389" s="61">
        <v>156000</v>
      </c>
      <c r="J389" s="42">
        <v>3</v>
      </c>
      <c r="K389" s="321">
        <f t="shared" si="6"/>
        <v>52000</v>
      </c>
      <c r="L389" s="62">
        <v>46035</v>
      </c>
      <c r="M389" s="62">
        <v>46399</v>
      </c>
      <c r="N389" s="63" t="s">
        <v>520</v>
      </c>
      <c r="O389" s="42"/>
      <c r="P389" s="42"/>
      <c r="Q389" s="64" t="s">
        <v>1456</v>
      </c>
      <c r="R389" s="63" t="s">
        <v>1162</v>
      </c>
      <c r="S389" s="63" t="s">
        <v>1457</v>
      </c>
      <c r="T389" s="63"/>
      <c r="U389" s="63" t="s">
        <v>1458</v>
      </c>
      <c r="V389" s="63"/>
      <c r="W389" s="63"/>
      <c r="X389" s="63"/>
      <c r="Y389" s="63"/>
      <c r="Z389" s="63"/>
      <c r="AA389" s="63"/>
      <c r="AB389" s="63"/>
      <c r="AC389" s="63" t="s">
        <v>551</v>
      </c>
      <c r="AD389" s="16" t="s">
        <v>207</v>
      </c>
      <c r="AE389" s="42">
        <v>3</v>
      </c>
      <c r="AF389" s="63" t="s">
        <v>799</v>
      </c>
    </row>
    <row r="390" spans="2:32" ht="15" customHeight="1" x14ac:dyDescent="0.3">
      <c r="B390" s="42" t="s">
        <v>0</v>
      </c>
      <c r="C390" s="68" t="s">
        <v>595</v>
      </c>
      <c r="D390" s="81" t="s">
        <v>596</v>
      </c>
      <c r="E390" s="298">
        <v>7710030270</v>
      </c>
      <c r="F390" s="345">
        <v>46034</v>
      </c>
      <c r="G390" s="42" t="s">
        <v>643</v>
      </c>
      <c r="H390" s="42">
        <v>10</v>
      </c>
      <c r="I390" s="61">
        <v>500000</v>
      </c>
      <c r="J390" s="42">
        <v>2</v>
      </c>
      <c r="K390" s="321">
        <f t="shared" si="6"/>
        <v>250000</v>
      </c>
      <c r="L390" s="62">
        <v>46023</v>
      </c>
      <c r="M390" s="62">
        <v>46387</v>
      </c>
      <c r="N390" s="63" t="s">
        <v>520</v>
      </c>
      <c r="O390" s="42"/>
      <c r="P390" s="42"/>
      <c r="Q390" s="63" t="s">
        <v>607</v>
      </c>
      <c r="R390" s="63"/>
      <c r="S390" s="63" t="s">
        <v>608</v>
      </c>
      <c r="T390" s="63"/>
      <c r="U390" s="63"/>
      <c r="V390" s="63"/>
      <c r="W390" s="63"/>
      <c r="X390" s="63"/>
      <c r="Y390" s="63"/>
      <c r="Z390" s="63"/>
      <c r="AA390" s="63"/>
      <c r="AB390" s="63"/>
      <c r="AC390" s="63" t="s">
        <v>478</v>
      </c>
      <c r="AD390" s="16" t="s">
        <v>63</v>
      </c>
      <c r="AE390" s="42">
        <v>2</v>
      </c>
      <c r="AF390" s="63" t="s">
        <v>667</v>
      </c>
    </row>
    <row r="391" spans="2:32" ht="15" customHeight="1" x14ac:dyDescent="0.3">
      <c r="B391" s="26" t="s">
        <v>0</v>
      </c>
      <c r="C391" s="39" t="s">
        <v>1330</v>
      </c>
      <c r="D391" s="232" t="s">
        <v>323</v>
      </c>
      <c r="E391" s="50" t="s">
        <v>1459</v>
      </c>
      <c r="F391" s="343">
        <v>46032</v>
      </c>
      <c r="G391" s="26" t="s">
        <v>643</v>
      </c>
      <c r="H391" s="26">
        <v>1</v>
      </c>
      <c r="I391" s="56">
        <v>109200</v>
      </c>
      <c r="J391" s="26">
        <v>3</v>
      </c>
      <c r="K391" s="321">
        <f t="shared" si="6"/>
        <v>36400</v>
      </c>
      <c r="L391" s="57">
        <v>46023</v>
      </c>
      <c r="M391" s="57">
        <v>46387</v>
      </c>
      <c r="N391" s="58" t="s">
        <v>520</v>
      </c>
      <c r="O391" s="26"/>
      <c r="P391" s="26"/>
      <c r="Q391" s="59" t="s">
        <v>347</v>
      </c>
      <c r="R391" s="58" t="s">
        <v>1314</v>
      </c>
      <c r="S391" s="58" t="s">
        <v>348</v>
      </c>
      <c r="T391" s="58"/>
      <c r="U391" s="58" t="s">
        <v>349</v>
      </c>
      <c r="V391" s="58"/>
      <c r="W391" s="58"/>
      <c r="X391" s="58"/>
      <c r="Y391" s="58"/>
      <c r="Z391" s="58"/>
      <c r="AA391" s="58"/>
      <c r="AB391" s="58"/>
      <c r="AC391" s="58" t="s">
        <v>96</v>
      </c>
      <c r="AD391" s="26" t="s">
        <v>97</v>
      </c>
      <c r="AE391" s="26" t="s">
        <v>494</v>
      </c>
      <c r="AF391" s="58" t="s">
        <v>667</v>
      </c>
    </row>
    <row r="392" spans="2:32" ht="15" customHeight="1" x14ac:dyDescent="0.3">
      <c r="B392" s="26" t="s">
        <v>0</v>
      </c>
      <c r="C392" s="39" t="s">
        <v>195</v>
      </c>
      <c r="D392" s="566" t="s">
        <v>447</v>
      </c>
      <c r="E392" s="299" t="s">
        <v>1460</v>
      </c>
      <c r="F392" s="343">
        <v>46043</v>
      </c>
      <c r="G392" s="26" t="s">
        <v>643</v>
      </c>
      <c r="H392" s="26">
        <v>11</v>
      </c>
      <c r="I392" s="56">
        <v>706090</v>
      </c>
      <c r="J392" s="26">
        <v>4</v>
      </c>
      <c r="K392" s="321">
        <f t="shared" si="6"/>
        <v>176522.5</v>
      </c>
      <c r="L392" s="57">
        <v>46043</v>
      </c>
      <c r="M392" s="57">
        <v>46407</v>
      </c>
      <c r="N392" s="58" t="s">
        <v>520</v>
      </c>
      <c r="O392" s="26"/>
      <c r="P392" s="26"/>
      <c r="Q392" s="59" t="s">
        <v>1461</v>
      </c>
      <c r="R392" s="58" t="s">
        <v>1050</v>
      </c>
      <c r="S392" s="58" t="s">
        <v>1462</v>
      </c>
      <c r="T392" s="58"/>
      <c r="U392" s="58" t="s">
        <v>1463</v>
      </c>
      <c r="V392" s="58"/>
      <c r="W392" s="58" t="s">
        <v>1464</v>
      </c>
      <c r="X392" s="58"/>
      <c r="Y392" s="58"/>
      <c r="Z392" s="58"/>
      <c r="AA392" s="58"/>
      <c r="AB392" s="58"/>
      <c r="AC392" s="58" t="s">
        <v>96</v>
      </c>
      <c r="AD392" s="26" t="s">
        <v>97</v>
      </c>
      <c r="AE392" s="26" t="s">
        <v>494</v>
      </c>
      <c r="AF392" s="58" t="s">
        <v>667</v>
      </c>
    </row>
    <row r="393" spans="2:32" ht="15" hidden="1" customHeight="1" x14ac:dyDescent="0.3">
      <c r="B393" s="26" t="s">
        <v>0</v>
      </c>
      <c r="C393" s="39" t="s">
        <v>195</v>
      </c>
      <c r="D393" s="566" t="s">
        <v>447</v>
      </c>
      <c r="E393" s="269" t="s">
        <v>1460</v>
      </c>
      <c r="F393" s="343">
        <v>46043</v>
      </c>
      <c r="G393" s="26" t="s">
        <v>643</v>
      </c>
      <c r="H393" s="26"/>
      <c r="I393" s="56">
        <v>706090</v>
      </c>
      <c r="J393" s="26">
        <v>4</v>
      </c>
      <c r="K393" s="321">
        <f t="shared" ref="K393:K456" si="7">I393/J393</f>
        <v>176522.5</v>
      </c>
      <c r="L393" s="57">
        <v>46408</v>
      </c>
      <c r="M393" s="57">
        <v>46772</v>
      </c>
      <c r="N393" s="58" t="s">
        <v>520</v>
      </c>
      <c r="O393" s="26"/>
      <c r="P393" s="26"/>
      <c r="Q393" s="58" t="s">
        <v>1465</v>
      </c>
      <c r="R393" s="58"/>
      <c r="S393" s="58" t="s">
        <v>1466</v>
      </c>
      <c r="T393" s="58"/>
      <c r="U393" s="58" t="s">
        <v>1467</v>
      </c>
      <c r="V393" s="58"/>
      <c r="W393" s="58" t="s">
        <v>1468</v>
      </c>
      <c r="X393" s="58"/>
      <c r="Y393" s="58"/>
      <c r="Z393" s="58"/>
      <c r="AA393" s="58"/>
      <c r="AB393" s="58"/>
      <c r="AC393" s="58" t="s">
        <v>96</v>
      </c>
      <c r="AD393" s="26" t="s">
        <v>97</v>
      </c>
      <c r="AE393" s="26" t="s">
        <v>494</v>
      </c>
      <c r="AF393" s="58" t="s">
        <v>667</v>
      </c>
    </row>
    <row r="394" spans="2:32" ht="15" hidden="1" customHeight="1" x14ac:dyDescent="0.3">
      <c r="B394" s="42" t="s">
        <v>0</v>
      </c>
      <c r="C394" s="68" t="s">
        <v>195</v>
      </c>
      <c r="D394" s="571" t="s">
        <v>447</v>
      </c>
      <c r="E394" s="175" t="s">
        <v>1460</v>
      </c>
      <c r="F394" s="345">
        <v>46043</v>
      </c>
      <c r="G394" s="42" t="s">
        <v>643</v>
      </c>
      <c r="H394" s="42"/>
      <c r="I394" s="61">
        <v>706090</v>
      </c>
      <c r="J394" s="42">
        <v>4</v>
      </c>
      <c r="K394" s="321">
        <f t="shared" si="7"/>
        <v>176522.5</v>
      </c>
      <c r="L394" s="62">
        <v>46773</v>
      </c>
      <c r="M394" s="62">
        <v>47138</v>
      </c>
      <c r="N394" s="63" t="s">
        <v>520</v>
      </c>
      <c r="O394" s="42"/>
      <c r="P394" s="42"/>
      <c r="Q394" s="63" t="s">
        <v>1469</v>
      </c>
      <c r="R394" s="63"/>
      <c r="S394" s="63" t="s">
        <v>1470</v>
      </c>
      <c r="T394" s="63"/>
      <c r="U394" s="63" t="s">
        <v>1471</v>
      </c>
      <c r="V394" s="63"/>
      <c r="W394" s="63" t="s">
        <v>1472</v>
      </c>
      <c r="X394" s="63"/>
      <c r="Y394" s="63"/>
      <c r="Z394" s="63"/>
      <c r="AA394" s="63"/>
      <c r="AB394" s="63"/>
      <c r="AC394" s="63" t="s">
        <v>96</v>
      </c>
      <c r="AD394" s="42" t="s">
        <v>97</v>
      </c>
      <c r="AE394" s="42" t="s">
        <v>494</v>
      </c>
      <c r="AF394" s="63" t="s">
        <v>667</v>
      </c>
    </row>
    <row r="395" spans="2:32" ht="15" customHeight="1" x14ac:dyDescent="0.3">
      <c r="B395" s="42" t="s">
        <v>0</v>
      </c>
      <c r="C395" s="575" t="s">
        <v>1473</v>
      </c>
      <c r="D395" s="571" t="s">
        <v>1474</v>
      </c>
      <c r="E395" s="297">
        <v>4340105757</v>
      </c>
      <c r="F395" s="345">
        <v>46020</v>
      </c>
      <c r="G395" s="42" t="s">
        <v>643</v>
      </c>
      <c r="H395" s="42">
        <v>8</v>
      </c>
      <c r="I395" s="61">
        <v>736117.2</v>
      </c>
      <c r="J395" s="42">
        <v>3</v>
      </c>
      <c r="K395" s="321">
        <f t="shared" si="7"/>
        <v>245372.4</v>
      </c>
      <c r="L395" s="62">
        <v>46023</v>
      </c>
      <c r="M395" s="62">
        <v>46387</v>
      </c>
      <c r="N395" s="63" t="s">
        <v>520</v>
      </c>
      <c r="O395" s="42"/>
      <c r="P395" s="42"/>
      <c r="Q395" s="64" t="s">
        <v>347</v>
      </c>
      <c r="R395" s="63" t="s">
        <v>1475</v>
      </c>
      <c r="S395" s="63" t="s">
        <v>348</v>
      </c>
      <c r="T395" s="63"/>
      <c r="U395" s="63" t="s">
        <v>349</v>
      </c>
      <c r="V395" s="63"/>
      <c r="W395" s="63"/>
      <c r="X395" s="63"/>
      <c r="Y395" s="63"/>
      <c r="Z395" s="63"/>
      <c r="AA395" s="63"/>
      <c r="AB395" s="63"/>
      <c r="AC395" s="63" t="s">
        <v>551</v>
      </c>
      <c r="AD395" s="16" t="s">
        <v>207</v>
      </c>
      <c r="AE395" s="42">
        <v>3</v>
      </c>
      <c r="AF395" s="63" t="s">
        <v>667</v>
      </c>
    </row>
    <row r="396" spans="2:32" ht="15" customHeight="1" x14ac:dyDescent="0.3">
      <c r="B396" s="42" t="s">
        <v>0</v>
      </c>
      <c r="C396" s="94" t="s">
        <v>614</v>
      </c>
      <c r="D396" s="247" t="s">
        <v>984</v>
      </c>
      <c r="E396" s="95" t="s">
        <v>1476</v>
      </c>
      <c r="F396" s="612">
        <v>46028</v>
      </c>
      <c r="G396" s="42" t="s">
        <v>643</v>
      </c>
      <c r="H396" s="42">
        <v>1</v>
      </c>
      <c r="I396" s="61">
        <v>76440</v>
      </c>
      <c r="J396" s="42">
        <v>3</v>
      </c>
      <c r="K396" s="321">
        <f t="shared" si="7"/>
        <v>25480</v>
      </c>
      <c r="L396" s="62">
        <v>46023</v>
      </c>
      <c r="M396" s="62">
        <v>46387</v>
      </c>
      <c r="N396" s="63" t="s">
        <v>520</v>
      </c>
      <c r="O396" s="42"/>
      <c r="P396" s="42"/>
      <c r="Q396" s="64" t="s">
        <v>347</v>
      </c>
      <c r="R396" s="63" t="s">
        <v>1169</v>
      </c>
      <c r="S396" s="63" t="s">
        <v>348</v>
      </c>
      <c r="T396" s="63"/>
      <c r="U396" s="63" t="s">
        <v>349</v>
      </c>
      <c r="V396" s="63"/>
      <c r="W396" s="63"/>
      <c r="X396" s="63"/>
      <c r="Y396" s="63"/>
      <c r="Z396" s="63"/>
      <c r="AA396" s="63"/>
      <c r="AB396" s="63"/>
      <c r="AC396" s="63" t="s">
        <v>281</v>
      </c>
      <c r="AD396" s="42" t="s">
        <v>97</v>
      </c>
      <c r="AE396" s="42">
        <v>3</v>
      </c>
      <c r="AF396" s="63" t="s">
        <v>1060</v>
      </c>
    </row>
    <row r="397" spans="2:32" ht="15" customHeight="1" x14ac:dyDescent="0.3">
      <c r="B397" s="42" t="s">
        <v>0</v>
      </c>
      <c r="C397" s="94" t="s">
        <v>614</v>
      </c>
      <c r="D397" s="162" t="s">
        <v>1016</v>
      </c>
      <c r="E397" s="163" t="s">
        <v>1477</v>
      </c>
      <c r="F397" s="613">
        <v>46041</v>
      </c>
      <c r="G397" s="42" t="s">
        <v>643</v>
      </c>
      <c r="H397" s="42">
        <v>2</v>
      </c>
      <c r="I397" s="61">
        <v>152880</v>
      </c>
      <c r="J397" s="42">
        <v>3</v>
      </c>
      <c r="K397" s="321">
        <f t="shared" si="7"/>
        <v>50960</v>
      </c>
      <c r="L397" s="62">
        <v>46023</v>
      </c>
      <c r="M397" s="62">
        <v>46387</v>
      </c>
      <c r="N397" s="63" t="s">
        <v>520</v>
      </c>
      <c r="O397" s="42"/>
      <c r="P397" s="42"/>
      <c r="Q397" s="64" t="s">
        <v>347</v>
      </c>
      <c r="R397" s="63" t="s">
        <v>1450</v>
      </c>
      <c r="S397" s="63" t="s">
        <v>348</v>
      </c>
      <c r="T397" s="63"/>
      <c r="U397" s="63" t="s">
        <v>349</v>
      </c>
      <c r="V397" s="63"/>
      <c r="W397" s="63"/>
      <c r="X397" s="63"/>
      <c r="Y397" s="63"/>
      <c r="Z397" s="63"/>
      <c r="AA397" s="63"/>
      <c r="AB397" s="63"/>
      <c r="AC397" s="63" t="s">
        <v>619</v>
      </c>
      <c r="AD397" s="16" t="s">
        <v>63</v>
      </c>
      <c r="AE397" s="42">
        <v>3</v>
      </c>
      <c r="AF397" s="63" t="s">
        <v>1060</v>
      </c>
    </row>
    <row r="398" spans="2:32" ht="15" customHeight="1" x14ac:dyDescent="0.3">
      <c r="B398" s="42" t="s">
        <v>0</v>
      </c>
      <c r="C398" s="68" t="s">
        <v>614</v>
      </c>
      <c r="D398" s="81" t="s">
        <v>1016</v>
      </c>
      <c r="E398" s="158" t="s">
        <v>1478</v>
      </c>
      <c r="F398" s="345">
        <v>46029</v>
      </c>
      <c r="G398" s="42" t="s">
        <v>643</v>
      </c>
      <c r="H398" s="42">
        <v>2</v>
      </c>
      <c r="I398" s="61">
        <v>152880</v>
      </c>
      <c r="J398" s="42">
        <v>3</v>
      </c>
      <c r="K398" s="321">
        <f t="shared" si="7"/>
        <v>50960</v>
      </c>
      <c r="L398" s="62">
        <v>46023</v>
      </c>
      <c r="M398" s="62">
        <v>46387</v>
      </c>
      <c r="N398" s="63" t="s">
        <v>520</v>
      </c>
      <c r="O398" s="42"/>
      <c r="P398" s="42"/>
      <c r="Q398" s="64" t="s">
        <v>347</v>
      </c>
      <c r="R398" s="63" t="s">
        <v>909</v>
      </c>
      <c r="S398" s="63" t="s">
        <v>348</v>
      </c>
      <c r="T398" s="63"/>
      <c r="U398" s="63" t="s">
        <v>349</v>
      </c>
      <c r="V398" s="63"/>
      <c r="W398" s="63"/>
      <c r="X398" s="63"/>
      <c r="Y398" s="63"/>
      <c r="Z398" s="63"/>
      <c r="AA398" s="63"/>
      <c r="AB398" s="63"/>
      <c r="AC398" s="63" t="s">
        <v>619</v>
      </c>
      <c r="AD398" s="16" t="s">
        <v>63</v>
      </c>
      <c r="AE398" s="42">
        <v>3</v>
      </c>
      <c r="AF398" s="63" t="s">
        <v>1060</v>
      </c>
    </row>
    <row r="399" spans="2:32" ht="15" customHeight="1" x14ac:dyDescent="0.3">
      <c r="B399" s="42" t="s">
        <v>0</v>
      </c>
      <c r="C399" s="575" t="s">
        <v>1429</v>
      </c>
      <c r="D399" s="571" t="s">
        <v>388</v>
      </c>
      <c r="E399" s="297" t="s">
        <v>1479</v>
      </c>
      <c r="F399" s="614">
        <v>46035</v>
      </c>
      <c r="G399" s="42" t="s">
        <v>643</v>
      </c>
      <c r="H399" s="42">
        <v>4</v>
      </c>
      <c r="I399" s="61">
        <v>329200</v>
      </c>
      <c r="J399" s="42">
        <v>2</v>
      </c>
      <c r="K399" s="321">
        <f t="shared" si="7"/>
        <v>164600</v>
      </c>
      <c r="L399" s="62">
        <v>46023</v>
      </c>
      <c r="M399" s="62">
        <v>46387</v>
      </c>
      <c r="N399" s="63" t="s">
        <v>520</v>
      </c>
      <c r="O399" s="42"/>
      <c r="P399" s="42"/>
      <c r="Q399" s="63" t="s">
        <v>607</v>
      </c>
      <c r="R399" s="63"/>
      <c r="S399" s="63" t="s">
        <v>608</v>
      </c>
      <c r="T399" s="63"/>
      <c r="U399" s="63"/>
      <c r="V399" s="63"/>
      <c r="W399" s="63"/>
      <c r="X399" s="63"/>
      <c r="Y399" s="63"/>
      <c r="Z399" s="63"/>
      <c r="AA399" s="63"/>
      <c r="AB399" s="63"/>
      <c r="AC399" s="63" t="s">
        <v>619</v>
      </c>
      <c r="AD399" s="16" t="s">
        <v>63</v>
      </c>
      <c r="AE399" s="42">
        <v>3</v>
      </c>
      <c r="AF399" s="63" t="s">
        <v>667</v>
      </c>
    </row>
    <row r="400" spans="2:32" ht="15" customHeight="1" x14ac:dyDescent="0.3">
      <c r="B400" s="42" t="s">
        <v>0</v>
      </c>
      <c r="C400" s="575" t="s">
        <v>1480</v>
      </c>
      <c r="D400" s="571" t="s">
        <v>1481</v>
      </c>
      <c r="E400" s="175">
        <v>6025000320</v>
      </c>
      <c r="F400" s="345">
        <v>45986</v>
      </c>
      <c r="G400" s="42" t="s">
        <v>643</v>
      </c>
      <c r="H400" s="42">
        <v>1</v>
      </c>
      <c r="I400" s="61">
        <v>115500</v>
      </c>
      <c r="J400" s="42">
        <v>3</v>
      </c>
      <c r="K400" s="325">
        <f t="shared" si="7"/>
        <v>38500</v>
      </c>
      <c r="L400" s="62">
        <v>45931</v>
      </c>
      <c r="M400" s="62">
        <v>46295</v>
      </c>
      <c r="N400" s="63" t="s">
        <v>520</v>
      </c>
      <c r="O400" s="42"/>
      <c r="P400" s="42"/>
      <c r="Q400" s="64" t="s">
        <v>83</v>
      </c>
      <c r="R400" s="63" t="s">
        <v>573</v>
      </c>
      <c r="S400" s="64" t="s">
        <v>404</v>
      </c>
      <c r="T400" s="63" t="s">
        <v>1713</v>
      </c>
      <c r="U400" s="63" t="s">
        <v>406</v>
      </c>
      <c r="V400" s="63"/>
      <c r="W400" s="63"/>
      <c r="X400" s="63"/>
      <c r="Y400" s="63"/>
      <c r="Z400" s="63"/>
      <c r="AA400" s="63"/>
      <c r="AB400" s="63"/>
      <c r="AC400" s="63" t="s">
        <v>183</v>
      </c>
      <c r="AD400" s="42" t="s">
        <v>97</v>
      </c>
      <c r="AE400" s="42">
        <v>3</v>
      </c>
      <c r="AF400" s="63" t="s">
        <v>667</v>
      </c>
    </row>
    <row r="401" spans="2:32" ht="15" customHeight="1" x14ac:dyDescent="0.3">
      <c r="B401" s="26" t="s">
        <v>0</v>
      </c>
      <c r="C401" s="565" t="s">
        <v>604</v>
      </c>
      <c r="D401" s="566" t="s">
        <v>620</v>
      </c>
      <c r="E401" s="304">
        <v>5700204128</v>
      </c>
      <c r="F401" s="343">
        <v>46030</v>
      </c>
      <c r="G401" s="26" t="s">
        <v>643</v>
      </c>
      <c r="H401" s="26">
        <v>8</v>
      </c>
      <c r="I401" s="56">
        <f>1893360/2</f>
        <v>946680</v>
      </c>
      <c r="J401" s="26">
        <v>2</v>
      </c>
      <c r="K401" s="321">
        <f t="shared" si="7"/>
        <v>473340</v>
      </c>
      <c r="L401" s="57">
        <v>46023</v>
      </c>
      <c r="M401" s="57">
        <v>46387</v>
      </c>
      <c r="N401" s="58" t="s">
        <v>520</v>
      </c>
      <c r="O401" s="26"/>
      <c r="P401" s="26"/>
      <c r="Q401" s="59" t="s">
        <v>486</v>
      </c>
      <c r="R401" s="58" t="s">
        <v>798</v>
      </c>
      <c r="S401" s="58" t="s">
        <v>608</v>
      </c>
      <c r="T401" s="58"/>
      <c r="U401" s="58"/>
      <c r="V401" s="58"/>
      <c r="W401" s="58"/>
      <c r="X401" s="58"/>
      <c r="Y401" s="58"/>
      <c r="Z401" s="58"/>
      <c r="AA401" s="58"/>
      <c r="AB401" s="58"/>
      <c r="AC401" s="58" t="s">
        <v>619</v>
      </c>
      <c r="AD401" s="16" t="s">
        <v>63</v>
      </c>
      <c r="AE401" s="26">
        <v>3</v>
      </c>
      <c r="AF401" s="58" t="s">
        <v>799</v>
      </c>
    </row>
    <row r="402" spans="2:32" ht="15" hidden="1" customHeight="1" x14ac:dyDescent="0.3">
      <c r="B402" s="42" t="s">
        <v>0</v>
      </c>
      <c r="C402" s="575" t="s">
        <v>604</v>
      </c>
      <c r="D402" s="571" t="s">
        <v>620</v>
      </c>
      <c r="E402" s="175">
        <v>5700204128</v>
      </c>
      <c r="F402" s="345">
        <v>46030</v>
      </c>
      <c r="G402" s="42" t="s">
        <v>643</v>
      </c>
      <c r="H402" s="42"/>
      <c r="I402" s="61">
        <f>1893360/2</f>
        <v>946680</v>
      </c>
      <c r="J402" s="42">
        <v>2</v>
      </c>
      <c r="K402" s="321">
        <f t="shared" si="7"/>
        <v>473340</v>
      </c>
      <c r="L402" s="62">
        <v>46388</v>
      </c>
      <c r="M402" s="62">
        <v>46752</v>
      </c>
      <c r="N402" s="63" t="s">
        <v>520</v>
      </c>
      <c r="O402" s="42"/>
      <c r="P402" s="42"/>
      <c r="Q402" s="63" t="s">
        <v>1119</v>
      </c>
      <c r="R402" s="63"/>
      <c r="S402" s="63" t="s">
        <v>1482</v>
      </c>
      <c r="T402" s="63"/>
      <c r="U402" s="63"/>
      <c r="V402" s="63"/>
      <c r="W402" s="63"/>
      <c r="X402" s="63"/>
      <c r="Y402" s="63"/>
      <c r="Z402" s="63"/>
      <c r="AA402" s="63"/>
      <c r="AB402" s="63"/>
      <c r="AC402" s="63" t="s">
        <v>619</v>
      </c>
      <c r="AD402" s="16" t="s">
        <v>63</v>
      </c>
      <c r="AE402" s="42">
        <v>3</v>
      </c>
      <c r="AF402" s="63" t="s">
        <v>799</v>
      </c>
    </row>
    <row r="403" spans="2:32" ht="15" customHeight="1" x14ac:dyDescent="0.3">
      <c r="B403" s="42" t="s">
        <v>0</v>
      </c>
      <c r="C403" s="68" t="s">
        <v>614</v>
      </c>
      <c r="D403" s="132" t="s">
        <v>1483</v>
      </c>
      <c r="E403" s="274" t="s">
        <v>1484</v>
      </c>
      <c r="F403" s="345">
        <v>45677</v>
      </c>
      <c r="G403" s="42" t="s">
        <v>643</v>
      </c>
      <c r="H403" s="42">
        <v>2</v>
      </c>
      <c r="I403" s="61">
        <v>158000</v>
      </c>
      <c r="J403" s="42">
        <v>3</v>
      </c>
      <c r="K403" s="321">
        <f t="shared" si="7"/>
        <v>52666.666666666664</v>
      </c>
      <c r="L403" s="62">
        <v>46054</v>
      </c>
      <c r="M403" s="62">
        <v>46418</v>
      </c>
      <c r="N403" s="63" t="s">
        <v>520</v>
      </c>
      <c r="O403" s="42"/>
      <c r="P403" s="42"/>
      <c r="Q403" s="64" t="s">
        <v>1455</v>
      </c>
      <c r="R403" s="63" t="s">
        <v>1485</v>
      </c>
      <c r="S403" s="63" t="s">
        <v>406</v>
      </c>
      <c r="T403" s="63"/>
      <c r="U403" s="63" t="s">
        <v>407</v>
      </c>
      <c r="V403" s="63"/>
      <c r="W403" s="63"/>
      <c r="X403" s="63"/>
      <c r="Y403" s="63"/>
      <c r="Z403" s="63"/>
      <c r="AA403" s="63"/>
      <c r="AB403" s="63"/>
      <c r="AC403" s="63" t="s">
        <v>834</v>
      </c>
      <c r="AD403" s="16" t="s">
        <v>207</v>
      </c>
      <c r="AE403" s="42">
        <v>3</v>
      </c>
      <c r="AF403" s="63" t="s">
        <v>829</v>
      </c>
    </row>
    <row r="404" spans="2:32" ht="15" customHeight="1" x14ac:dyDescent="0.3">
      <c r="B404" s="42" t="s">
        <v>0</v>
      </c>
      <c r="C404" s="68" t="s">
        <v>614</v>
      </c>
      <c r="D404" s="132" t="s">
        <v>1483</v>
      </c>
      <c r="E404" s="276" t="s">
        <v>1486</v>
      </c>
      <c r="F404" s="345">
        <v>46006</v>
      </c>
      <c r="G404" s="42" t="s">
        <v>643</v>
      </c>
      <c r="H404" s="42">
        <v>3</v>
      </c>
      <c r="I404" s="61">
        <v>237000</v>
      </c>
      <c r="J404" s="42">
        <v>3</v>
      </c>
      <c r="K404" s="321">
        <f t="shared" si="7"/>
        <v>79000</v>
      </c>
      <c r="L404" s="62">
        <v>46023</v>
      </c>
      <c r="M404" s="62">
        <v>46387</v>
      </c>
      <c r="N404" s="63" t="s">
        <v>520</v>
      </c>
      <c r="O404" s="42"/>
      <c r="P404" s="42"/>
      <c r="Q404" s="64" t="s">
        <v>347</v>
      </c>
      <c r="R404" s="63" t="s">
        <v>1262</v>
      </c>
      <c r="S404" s="64" t="s">
        <v>348</v>
      </c>
      <c r="T404" s="63" t="s">
        <v>1727</v>
      </c>
      <c r="U404" s="63" t="s">
        <v>349</v>
      </c>
      <c r="V404" s="63"/>
      <c r="W404" s="63"/>
      <c r="X404" s="63"/>
      <c r="Y404" s="63"/>
      <c r="Z404" s="63"/>
      <c r="AA404" s="63"/>
      <c r="AB404" s="63"/>
      <c r="AC404" s="63" t="s">
        <v>834</v>
      </c>
      <c r="AD404" s="16" t="s">
        <v>207</v>
      </c>
      <c r="AE404" s="42">
        <v>3</v>
      </c>
      <c r="AF404" s="63" t="s">
        <v>799</v>
      </c>
    </row>
    <row r="405" spans="2:32" ht="15" customHeight="1" x14ac:dyDescent="0.3">
      <c r="B405" s="26" t="s">
        <v>0</v>
      </c>
      <c r="C405" s="39" t="s">
        <v>1487</v>
      </c>
      <c r="D405" s="350" t="s">
        <v>841</v>
      </c>
      <c r="E405" s="301">
        <v>91049299</v>
      </c>
      <c r="F405" s="343">
        <v>46035</v>
      </c>
      <c r="G405" s="26" t="s">
        <v>643</v>
      </c>
      <c r="H405" s="26">
        <v>5</v>
      </c>
      <c r="I405" s="56">
        <v>275625</v>
      </c>
      <c r="J405" s="26">
        <v>2</v>
      </c>
      <c r="K405" s="321">
        <f t="shared" si="7"/>
        <v>137812.5</v>
      </c>
      <c r="L405" s="57">
        <v>46023</v>
      </c>
      <c r="M405" s="57">
        <v>46387</v>
      </c>
      <c r="N405" s="58" t="s">
        <v>520</v>
      </c>
      <c r="O405" s="26"/>
      <c r="P405" s="26"/>
      <c r="Q405" s="58" t="s">
        <v>607</v>
      </c>
      <c r="R405" s="58"/>
      <c r="S405" s="58" t="s">
        <v>608</v>
      </c>
      <c r="T405" s="58"/>
      <c r="U405" s="58"/>
      <c r="V405" s="58"/>
      <c r="W405" s="58"/>
      <c r="X405" s="58"/>
      <c r="Y405" s="58"/>
      <c r="Z405" s="58"/>
      <c r="AA405" s="58"/>
      <c r="AB405" s="58"/>
      <c r="AC405" s="58" t="s">
        <v>485</v>
      </c>
      <c r="AD405" s="16" t="s">
        <v>63</v>
      </c>
      <c r="AE405" s="26">
        <v>3</v>
      </c>
      <c r="AF405" s="58" t="s">
        <v>1488</v>
      </c>
    </row>
    <row r="406" spans="2:32" ht="15" hidden="1" customHeight="1" x14ac:dyDescent="0.3">
      <c r="B406" s="26" t="s">
        <v>0</v>
      </c>
      <c r="C406" s="39" t="s">
        <v>1487</v>
      </c>
      <c r="D406" s="350" t="s">
        <v>841</v>
      </c>
      <c r="E406" s="275">
        <v>91049299</v>
      </c>
      <c r="F406" s="343">
        <v>46035</v>
      </c>
      <c r="G406" s="26" t="s">
        <v>643</v>
      </c>
      <c r="H406" s="26"/>
      <c r="I406" s="56">
        <v>275625</v>
      </c>
      <c r="J406" s="26">
        <v>2</v>
      </c>
      <c r="K406" s="321">
        <f t="shared" si="7"/>
        <v>137812.5</v>
      </c>
      <c r="L406" s="57">
        <v>46388</v>
      </c>
      <c r="M406" s="57">
        <v>46752</v>
      </c>
      <c r="N406" s="58" t="s">
        <v>520</v>
      </c>
      <c r="O406" s="26"/>
      <c r="P406" s="26"/>
      <c r="Q406" s="58" t="s">
        <v>1119</v>
      </c>
      <c r="R406" s="58"/>
      <c r="S406" s="58" t="s">
        <v>1482</v>
      </c>
      <c r="T406" s="58"/>
      <c r="U406" s="58"/>
      <c r="V406" s="58"/>
      <c r="W406" s="58"/>
      <c r="X406" s="58"/>
      <c r="Y406" s="58"/>
      <c r="Z406" s="58"/>
      <c r="AA406" s="58"/>
      <c r="AB406" s="58"/>
      <c r="AC406" s="58" t="s">
        <v>485</v>
      </c>
      <c r="AD406" s="16" t="s">
        <v>63</v>
      </c>
      <c r="AE406" s="26">
        <v>3</v>
      </c>
      <c r="AF406" s="58" t="s">
        <v>1488</v>
      </c>
    </row>
    <row r="407" spans="2:32" ht="15" hidden="1" customHeight="1" x14ac:dyDescent="0.3">
      <c r="B407" s="42" t="s">
        <v>0</v>
      </c>
      <c r="C407" s="68" t="s">
        <v>1487</v>
      </c>
      <c r="D407" s="135" t="s">
        <v>841</v>
      </c>
      <c r="E407" s="174">
        <v>91049299</v>
      </c>
      <c r="F407" s="345">
        <v>46035</v>
      </c>
      <c r="G407" s="42" t="s">
        <v>643</v>
      </c>
      <c r="H407" s="42"/>
      <c r="I407" s="61">
        <v>275625</v>
      </c>
      <c r="J407" s="42">
        <v>2</v>
      </c>
      <c r="K407" s="321">
        <f t="shared" si="7"/>
        <v>137812.5</v>
      </c>
      <c r="L407" s="62">
        <v>46753</v>
      </c>
      <c r="M407" s="62">
        <v>47118</v>
      </c>
      <c r="N407" s="63" t="s">
        <v>520</v>
      </c>
      <c r="O407" s="42"/>
      <c r="P407" s="42"/>
      <c r="Q407" s="63" t="s">
        <v>1489</v>
      </c>
      <c r="R407" s="63"/>
      <c r="S407" s="63" t="s">
        <v>1490</v>
      </c>
      <c r="T407" s="63"/>
      <c r="U407" s="63"/>
      <c r="V407" s="63"/>
      <c r="W407" s="63"/>
      <c r="X407" s="63"/>
      <c r="Y407" s="63"/>
      <c r="Z407" s="63"/>
      <c r="AA407" s="63"/>
      <c r="AB407" s="63"/>
      <c r="AC407" s="63" t="s">
        <v>485</v>
      </c>
      <c r="AD407" s="16" t="s">
        <v>63</v>
      </c>
      <c r="AE407" s="42">
        <v>3</v>
      </c>
      <c r="AF407" s="63" t="s">
        <v>1488</v>
      </c>
    </row>
    <row r="408" spans="2:32" ht="15" customHeight="1" x14ac:dyDescent="0.3">
      <c r="B408" s="207" t="s">
        <v>2</v>
      </c>
      <c r="C408" s="575" t="s">
        <v>195</v>
      </c>
      <c r="D408" s="571" t="s">
        <v>1491</v>
      </c>
      <c r="E408" s="175" t="s">
        <v>1492</v>
      </c>
      <c r="F408" s="345">
        <v>45982</v>
      </c>
      <c r="G408" s="42" t="s">
        <v>643</v>
      </c>
      <c r="H408" s="42">
        <v>5</v>
      </c>
      <c r="I408" s="61">
        <v>287100</v>
      </c>
      <c r="J408" s="42">
        <v>4</v>
      </c>
      <c r="K408" s="325">
        <f t="shared" si="7"/>
        <v>71775</v>
      </c>
      <c r="L408" s="62">
        <v>45992</v>
      </c>
      <c r="M408" s="62">
        <v>46356</v>
      </c>
      <c r="N408" s="63" t="s">
        <v>520</v>
      </c>
      <c r="O408" s="42"/>
      <c r="P408" s="42"/>
      <c r="Q408" s="64" t="s">
        <v>1133</v>
      </c>
      <c r="R408" s="63" t="s">
        <v>1173</v>
      </c>
      <c r="S408" s="64" t="s">
        <v>1134</v>
      </c>
      <c r="T408" s="63" t="s">
        <v>1723</v>
      </c>
      <c r="U408" s="63" t="s">
        <v>1244</v>
      </c>
      <c r="V408" s="63"/>
      <c r="W408" s="63" t="s">
        <v>1245</v>
      </c>
      <c r="X408" s="63"/>
      <c r="Y408" s="63"/>
      <c r="Z408" s="63"/>
      <c r="AA408" s="63"/>
      <c r="AB408" s="63"/>
      <c r="AC408" s="63" t="s">
        <v>551</v>
      </c>
      <c r="AD408" s="16" t="s">
        <v>207</v>
      </c>
      <c r="AE408" s="42">
        <v>4</v>
      </c>
      <c r="AF408" s="63"/>
    </row>
    <row r="409" spans="2:32" ht="15" customHeight="1" x14ac:dyDescent="0.3">
      <c r="B409" s="42" t="s">
        <v>2</v>
      </c>
      <c r="C409" s="68" t="s">
        <v>1493</v>
      </c>
      <c r="D409" s="132" t="s">
        <v>1114</v>
      </c>
      <c r="E409" s="121" t="s">
        <v>1494</v>
      </c>
      <c r="F409" s="345">
        <v>45995</v>
      </c>
      <c r="G409" s="42" t="s">
        <v>643</v>
      </c>
      <c r="H409" s="42">
        <v>1</v>
      </c>
      <c r="I409" s="61">
        <v>90000</v>
      </c>
      <c r="J409" s="42">
        <v>3</v>
      </c>
      <c r="K409" s="321">
        <f t="shared" si="7"/>
        <v>30000</v>
      </c>
      <c r="L409" s="62">
        <v>45992</v>
      </c>
      <c r="M409" s="62">
        <v>46356</v>
      </c>
      <c r="N409" s="63" t="s">
        <v>520</v>
      </c>
      <c r="O409" s="42"/>
      <c r="P409" s="42"/>
      <c r="Q409" s="64" t="s">
        <v>361</v>
      </c>
      <c r="R409" s="63" t="s">
        <v>386</v>
      </c>
      <c r="S409" s="64" t="s">
        <v>1080</v>
      </c>
      <c r="T409" s="63" t="s">
        <v>1732</v>
      </c>
      <c r="U409" s="63" t="s">
        <v>1108</v>
      </c>
      <c r="V409" s="63"/>
      <c r="W409" s="63"/>
      <c r="X409" s="63"/>
      <c r="Y409" s="63"/>
      <c r="Z409" s="63"/>
      <c r="AA409" s="63"/>
      <c r="AB409" s="63"/>
      <c r="AC409" s="63" t="s">
        <v>183</v>
      </c>
      <c r="AD409" s="42" t="s">
        <v>97</v>
      </c>
      <c r="AE409" s="42">
        <v>3</v>
      </c>
      <c r="AF409" s="63" t="s">
        <v>667</v>
      </c>
    </row>
    <row r="410" spans="2:32" ht="15" customHeight="1" x14ac:dyDescent="0.3">
      <c r="B410" s="42" t="s">
        <v>2</v>
      </c>
      <c r="C410" s="575" t="s">
        <v>587</v>
      </c>
      <c r="D410" s="571" t="s">
        <v>176</v>
      </c>
      <c r="E410" s="175">
        <v>4800014029</v>
      </c>
      <c r="F410" s="614">
        <v>46043</v>
      </c>
      <c r="G410" s="42" t="s">
        <v>643</v>
      </c>
      <c r="H410" s="42">
        <v>1</v>
      </c>
      <c r="I410" s="61">
        <v>90667</v>
      </c>
      <c r="J410" s="42">
        <v>2</v>
      </c>
      <c r="K410" s="321">
        <f t="shared" si="7"/>
        <v>45333.5</v>
      </c>
      <c r="L410" s="62">
        <v>46054</v>
      </c>
      <c r="M410" s="62">
        <v>46418</v>
      </c>
      <c r="N410" s="63" t="s">
        <v>520</v>
      </c>
      <c r="O410" s="42"/>
      <c r="P410" s="42"/>
      <c r="Q410" s="64" t="s">
        <v>426</v>
      </c>
      <c r="R410" s="63" t="s">
        <v>1733</v>
      </c>
      <c r="S410" s="63" t="s">
        <v>427</v>
      </c>
      <c r="T410" s="63"/>
      <c r="U410" s="63"/>
      <c r="V410" s="63"/>
      <c r="W410" s="63"/>
      <c r="X410" s="63"/>
      <c r="Y410" s="63"/>
      <c r="Z410" s="63"/>
      <c r="AA410" s="63"/>
      <c r="AB410" s="63"/>
      <c r="AC410" s="63" t="s">
        <v>183</v>
      </c>
      <c r="AD410" s="42" t="s">
        <v>97</v>
      </c>
      <c r="AE410" s="42">
        <v>3</v>
      </c>
      <c r="AF410" s="63" t="s">
        <v>1495</v>
      </c>
    </row>
    <row r="411" spans="2:32" ht="15" customHeight="1" x14ac:dyDescent="0.3">
      <c r="B411" s="42" t="s">
        <v>2</v>
      </c>
      <c r="C411" s="575" t="s">
        <v>1497</v>
      </c>
      <c r="D411" s="571" t="s">
        <v>447</v>
      </c>
      <c r="E411" s="42" t="s">
        <v>1498</v>
      </c>
      <c r="F411" s="345">
        <v>46046</v>
      </c>
      <c r="G411" s="42" t="s">
        <v>643</v>
      </c>
      <c r="H411" s="42">
        <v>2</v>
      </c>
      <c r="I411" s="61">
        <v>156090</v>
      </c>
      <c r="J411" s="42">
        <v>3</v>
      </c>
      <c r="K411" s="321">
        <f t="shared" si="7"/>
        <v>52030</v>
      </c>
      <c r="L411" s="62">
        <v>46023</v>
      </c>
      <c r="M411" s="62">
        <v>46387</v>
      </c>
      <c r="N411" s="63" t="s">
        <v>520</v>
      </c>
      <c r="O411" s="42"/>
      <c r="P411" s="42"/>
      <c r="Q411" s="64" t="s">
        <v>347</v>
      </c>
      <c r="R411" s="63" t="s">
        <v>495</v>
      </c>
      <c r="S411" s="63" t="s">
        <v>348</v>
      </c>
      <c r="T411" s="63"/>
      <c r="U411" s="63" t="s">
        <v>349</v>
      </c>
      <c r="V411" s="63"/>
      <c r="W411" s="63"/>
      <c r="X411" s="63"/>
      <c r="Y411" s="63"/>
      <c r="Z411" s="63"/>
      <c r="AA411" s="63"/>
      <c r="AB411" s="63"/>
      <c r="AC411" s="63" t="s">
        <v>281</v>
      </c>
      <c r="AD411" s="42" t="s">
        <v>97</v>
      </c>
      <c r="AE411" s="42">
        <v>3</v>
      </c>
      <c r="AF411" s="63"/>
    </row>
    <row r="412" spans="2:32" ht="15" customHeight="1" x14ac:dyDescent="0.3">
      <c r="B412" s="42" t="s">
        <v>2</v>
      </c>
      <c r="C412" s="575" t="s">
        <v>1501</v>
      </c>
      <c r="D412" s="571" t="s">
        <v>151</v>
      </c>
      <c r="E412" s="175">
        <v>10105567</v>
      </c>
      <c r="F412" s="345">
        <v>46055</v>
      </c>
      <c r="G412" s="42" t="s">
        <v>643</v>
      </c>
      <c r="H412" s="42">
        <v>1</v>
      </c>
      <c r="I412" s="61">
        <v>60000</v>
      </c>
      <c r="J412" s="42">
        <v>3</v>
      </c>
      <c r="K412" s="321">
        <f t="shared" si="7"/>
        <v>20000</v>
      </c>
      <c r="L412" s="62">
        <v>46023</v>
      </c>
      <c r="M412" s="62">
        <v>46387</v>
      </c>
      <c r="N412" s="63" t="s">
        <v>520</v>
      </c>
      <c r="O412" s="42"/>
      <c r="P412" s="42"/>
      <c r="Q412" s="64" t="s">
        <v>347</v>
      </c>
      <c r="R412" s="63" t="s">
        <v>1044</v>
      </c>
      <c r="S412" s="63" t="s">
        <v>348</v>
      </c>
      <c r="T412" s="63"/>
      <c r="U412" s="63" t="s">
        <v>349</v>
      </c>
      <c r="V412" s="63"/>
      <c r="W412" s="63"/>
      <c r="X412" s="63"/>
      <c r="Y412" s="63"/>
      <c r="Z412" s="63"/>
      <c r="AA412" s="63"/>
      <c r="AB412" s="63"/>
      <c r="AC412" s="63" t="s">
        <v>478</v>
      </c>
      <c r="AD412" s="16" t="s">
        <v>63</v>
      </c>
      <c r="AE412" s="42">
        <v>5</v>
      </c>
      <c r="AF412" s="63" t="s">
        <v>667</v>
      </c>
    </row>
    <row r="413" spans="2:32" ht="15" customHeight="1" x14ac:dyDescent="0.3">
      <c r="B413" s="42" t="s">
        <v>2</v>
      </c>
      <c r="C413" s="575" t="s">
        <v>1502</v>
      </c>
      <c r="D413" s="571" t="s">
        <v>151</v>
      </c>
      <c r="E413" s="42">
        <v>10105566</v>
      </c>
      <c r="F413" s="345">
        <v>46055</v>
      </c>
      <c r="G413" s="42" t="s">
        <v>643</v>
      </c>
      <c r="H413" s="42">
        <v>1</v>
      </c>
      <c r="I413" s="61">
        <v>60000</v>
      </c>
      <c r="J413" s="42">
        <v>3</v>
      </c>
      <c r="K413" s="321">
        <f t="shared" si="7"/>
        <v>20000</v>
      </c>
      <c r="L413" s="62">
        <v>46023</v>
      </c>
      <c r="M413" s="62">
        <v>46387</v>
      </c>
      <c r="N413" s="63" t="s">
        <v>520</v>
      </c>
      <c r="O413" s="42"/>
      <c r="P413" s="42"/>
      <c r="Q413" s="64" t="s">
        <v>347</v>
      </c>
      <c r="R413" s="63" t="s">
        <v>1710</v>
      </c>
      <c r="S413" s="63" t="s">
        <v>348</v>
      </c>
      <c r="T413" s="63"/>
      <c r="U413" s="63" t="s">
        <v>349</v>
      </c>
      <c r="V413" s="63"/>
      <c r="W413" s="63"/>
      <c r="X413" s="63"/>
      <c r="Y413" s="63"/>
      <c r="Z413" s="63"/>
      <c r="AA413" s="63"/>
      <c r="AB413" s="63"/>
      <c r="AC413" s="63" t="s">
        <v>478</v>
      </c>
      <c r="AD413" s="16" t="s">
        <v>63</v>
      </c>
      <c r="AE413" s="42">
        <v>5</v>
      </c>
      <c r="AF413" s="63" t="s">
        <v>667</v>
      </c>
    </row>
    <row r="414" spans="2:32" ht="15" customHeight="1" x14ac:dyDescent="0.3">
      <c r="B414" s="42" t="s">
        <v>2</v>
      </c>
      <c r="C414" s="575" t="s">
        <v>1503</v>
      </c>
      <c r="D414" s="571" t="s">
        <v>151</v>
      </c>
      <c r="E414" s="175">
        <v>10105569</v>
      </c>
      <c r="F414" s="345">
        <v>46055</v>
      </c>
      <c r="G414" s="42" t="s">
        <v>643</v>
      </c>
      <c r="H414" s="42">
        <v>1</v>
      </c>
      <c r="I414" s="61">
        <v>60000</v>
      </c>
      <c r="J414" s="42">
        <v>3</v>
      </c>
      <c r="K414" s="321">
        <f t="shared" si="7"/>
        <v>20000</v>
      </c>
      <c r="L414" s="62">
        <v>46023</v>
      </c>
      <c r="M414" s="62">
        <v>46387</v>
      </c>
      <c r="N414" s="63" t="s">
        <v>520</v>
      </c>
      <c r="O414" s="42"/>
      <c r="P414" s="42"/>
      <c r="Q414" s="64" t="s">
        <v>347</v>
      </c>
      <c r="R414" s="63" t="s">
        <v>1044</v>
      </c>
      <c r="S414" s="63" t="s">
        <v>348</v>
      </c>
      <c r="T414" s="63"/>
      <c r="U414" s="63" t="s">
        <v>349</v>
      </c>
      <c r="V414" s="63"/>
      <c r="W414" s="63"/>
      <c r="X414" s="63"/>
      <c r="Y414" s="63"/>
      <c r="Z414" s="63"/>
      <c r="AA414" s="63"/>
      <c r="AB414" s="63"/>
      <c r="AC414" s="63" t="s">
        <v>478</v>
      </c>
      <c r="AD414" s="16" t="s">
        <v>63</v>
      </c>
      <c r="AE414" s="42">
        <v>5</v>
      </c>
      <c r="AF414" s="63" t="s">
        <v>667</v>
      </c>
    </row>
    <row r="415" spans="2:32" ht="15" customHeight="1" x14ac:dyDescent="0.3">
      <c r="B415" s="42" t="s">
        <v>2</v>
      </c>
      <c r="C415" s="575" t="s">
        <v>1504</v>
      </c>
      <c r="D415" s="571" t="s">
        <v>151</v>
      </c>
      <c r="E415" s="175">
        <v>10105568</v>
      </c>
      <c r="F415" s="345">
        <v>46055</v>
      </c>
      <c r="G415" s="42" t="s">
        <v>643</v>
      </c>
      <c r="H415" s="42">
        <v>1</v>
      </c>
      <c r="I415" s="61">
        <v>60000</v>
      </c>
      <c r="J415" s="42">
        <v>3</v>
      </c>
      <c r="K415" s="321">
        <f t="shared" si="7"/>
        <v>20000</v>
      </c>
      <c r="L415" s="62">
        <v>46023</v>
      </c>
      <c r="M415" s="62">
        <v>46387</v>
      </c>
      <c r="N415" s="63" t="s">
        <v>520</v>
      </c>
      <c r="O415" s="42"/>
      <c r="P415" s="42"/>
      <c r="Q415" s="64" t="s">
        <v>347</v>
      </c>
      <c r="R415" s="63" t="s">
        <v>1044</v>
      </c>
      <c r="S415" s="63" t="s">
        <v>348</v>
      </c>
      <c r="T415" s="63"/>
      <c r="U415" s="63" t="s">
        <v>349</v>
      </c>
      <c r="V415" s="63"/>
      <c r="W415" s="63"/>
      <c r="X415" s="63"/>
      <c r="Y415" s="63"/>
      <c r="Z415" s="63"/>
      <c r="AA415" s="63"/>
      <c r="AB415" s="63"/>
      <c r="AC415" s="63" t="s">
        <v>478</v>
      </c>
      <c r="AD415" s="16" t="s">
        <v>63</v>
      </c>
      <c r="AE415" s="42">
        <v>5</v>
      </c>
      <c r="AF415" s="63" t="s">
        <v>667</v>
      </c>
    </row>
    <row r="416" spans="2:32" ht="15" customHeight="1" x14ac:dyDescent="0.3">
      <c r="B416" s="42" t="s">
        <v>2</v>
      </c>
      <c r="C416" s="575" t="s">
        <v>1505</v>
      </c>
      <c r="D416" s="571" t="s">
        <v>151</v>
      </c>
      <c r="E416" s="42">
        <v>10105571</v>
      </c>
      <c r="F416" s="345">
        <v>46055</v>
      </c>
      <c r="G416" s="42" t="s">
        <v>643</v>
      </c>
      <c r="H416" s="42">
        <v>1</v>
      </c>
      <c r="I416" s="61">
        <v>60000</v>
      </c>
      <c r="J416" s="42">
        <v>3</v>
      </c>
      <c r="K416" s="321">
        <f t="shared" si="7"/>
        <v>20000</v>
      </c>
      <c r="L416" s="62">
        <v>46023</v>
      </c>
      <c r="M416" s="62">
        <v>46387</v>
      </c>
      <c r="N416" s="63" t="s">
        <v>520</v>
      </c>
      <c r="O416" s="42"/>
      <c r="P416" s="42"/>
      <c r="Q416" s="64" t="s">
        <v>347</v>
      </c>
      <c r="R416" s="63" t="s">
        <v>1169</v>
      </c>
      <c r="S416" s="63" t="s">
        <v>348</v>
      </c>
      <c r="T416" s="63"/>
      <c r="U416" s="63" t="s">
        <v>349</v>
      </c>
      <c r="V416" s="63"/>
      <c r="W416" s="63"/>
      <c r="X416" s="63"/>
      <c r="Y416" s="63"/>
      <c r="Z416" s="63"/>
      <c r="AA416" s="63"/>
      <c r="AB416" s="63"/>
      <c r="AC416" s="63" t="s">
        <v>478</v>
      </c>
      <c r="AD416" s="16" t="s">
        <v>63</v>
      </c>
      <c r="AE416" s="42">
        <v>5</v>
      </c>
      <c r="AF416" s="63" t="s">
        <v>667</v>
      </c>
    </row>
    <row r="417" spans="1:32" ht="15" customHeight="1" x14ac:dyDescent="0.3">
      <c r="B417" s="42" t="s">
        <v>2</v>
      </c>
      <c r="C417" s="575" t="s">
        <v>1506</v>
      </c>
      <c r="D417" s="571" t="s">
        <v>151</v>
      </c>
      <c r="E417" s="42">
        <v>10105572</v>
      </c>
      <c r="F417" s="345">
        <v>46055</v>
      </c>
      <c r="G417" s="42" t="s">
        <v>643</v>
      </c>
      <c r="H417" s="42">
        <v>2</v>
      </c>
      <c r="I417" s="61">
        <v>120000</v>
      </c>
      <c r="J417" s="42">
        <v>3</v>
      </c>
      <c r="K417" s="321">
        <f t="shared" si="7"/>
        <v>40000</v>
      </c>
      <c r="L417" s="62">
        <v>46023</v>
      </c>
      <c r="M417" s="62">
        <v>46387</v>
      </c>
      <c r="N417" s="63" t="s">
        <v>520</v>
      </c>
      <c r="O417" s="42"/>
      <c r="P417" s="42"/>
      <c r="Q417" s="64" t="s">
        <v>347</v>
      </c>
      <c r="R417" s="63" t="s">
        <v>149</v>
      </c>
      <c r="S417" s="63" t="s">
        <v>348</v>
      </c>
      <c r="T417" s="63"/>
      <c r="U417" s="63" t="s">
        <v>349</v>
      </c>
      <c r="V417" s="63"/>
      <c r="W417" s="63"/>
      <c r="X417" s="63"/>
      <c r="Y417" s="63"/>
      <c r="Z417" s="63"/>
      <c r="AA417" s="63"/>
      <c r="AB417" s="63"/>
      <c r="AC417" s="63" t="s">
        <v>478</v>
      </c>
      <c r="AD417" s="16" t="s">
        <v>63</v>
      </c>
      <c r="AE417" s="42">
        <v>5</v>
      </c>
      <c r="AF417" s="63" t="s">
        <v>667</v>
      </c>
    </row>
    <row r="418" spans="1:32" ht="15" customHeight="1" x14ac:dyDescent="0.3">
      <c r="B418" s="42" t="s">
        <v>2</v>
      </c>
      <c r="C418" s="575" t="s">
        <v>1507</v>
      </c>
      <c r="D418" s="571" t="s">
        <v>151</v>
      </c>
      <c r="E418" s="42">
        <v>10105574</v>
      </c>
      <c r="F418" s="345">
        <v>46055</v>
      </c>
      <c r="G418" s="42" t="s">
        <v>643</v>
      </c>
      <c r="H418" s="42">
        <v>1</v>
      </c>
      <c r="I418" s="61">
        <v>60000</v>
      </c>
      <c r="J418" s="42">
        <v>3</v>
      </c>
      <c r="K418" s="321">
        <f t="shared" si="7"/>
        <v>20000</v>
      </c>
      <c r="L418" s="62">
        <v>46023</v>
      </c>
      <c r="M418" s="62">
        <v>46387</v>
      </c>
      <c r="N418" s="63" t="s">
        <v>520</v>
      </c>
      <c r="O418" s="42"/>
      <c r="P418" s="42"/>
      <c r="Q418" s="64" t="s">
        <v>347</v>
      </c>
      <c r="R418" s="63" t="s">
        <v>1169</v>
      </c>
      <c r="S418" s="63" t="s">
        <v>348</v>
      </c>
      <c r="T418" s="63"/>
      <c r="U418" s="63" t="s">
        <v>349</v>
      </c>
      <c r="V418" s="63"/>
      <c r="W418" s="63"/>
      <c r="X418" s="63"/>
      <c r="Y418" s="63"/>
      <c r="Z418" s="63"/>
      <c r="AA418" s="63"/>
      <c r="AB418" s="63"/>
      <c r="AC418" s="63" t="s">
        <v>478</v>
      </c>
      <c r="AD418" s="16" t="s">
        <v>63</v>
      </c>
      <c r="AE418" s="42">
        <v>5</v>
      </c>
      <c r="AF418" s="63" t="s">
        <v>667</v>
      </c>
    </row>
    <row r="419" spans="1:32" ht="15" customHeight="1" x14ac:dyDescent="0.3">
      <c r="B419" s="42" t="s">
        <v>2</v>
      </c>
      <c r="C419" s="575" t="s">
        <v>1508</v>
      </c>
      <c r="D419" s="571" t="s">
        <v>151</v>
      </c>
      <c r="E419" s="42">
        <v>10105573</v>
      </c>
      <c r="F419" s="345">
        <v>46055</v>
      </c>
      <c r="G419" s="42" t="s">
        <v>643</v>
      </c>
      <c r="H419" s="42">
        <v>2</v>
      </c>
      <c r="I419" s="61">
        <v>120000</v>
      </c>
      <c r="J419" s="42">
        <v>3</v>
      </c>
      <c r="K419" s="321">
        <f t="shared" si="7"/>
        <v>40000</v>
      </c>
      <c r="L419" s="62">
        <v>46023</v>
      </c>
      <c r="M419" s="62">
        <v>46387</v>
      </c>
      <c r="N419" s="63" t="s">
        <v>520</v>
      </c>
      <c r="O419" s="42"/>
      <c r="P419" s="42"/>
      <c r="Q419" s="64" t="s">
        <v>347</v>
      </c>
      <c r="R419" s="63" t="s">
        <v>149</v>
      </c>
      <c r="S419" s="63" t="s">
        <v>348</v>
      </c>
      <c r="T419" s="63"/>
      <c r="U419" s="63" t="s">
        <v>349</v>
      </c>
      <c r="V419" s="63"/>
      <c r="W419" s="63"/>
      <c r="X419" s="63"/>
      <c r="Y419" s="63"/>
      <c r="Z419" s="63"/>
      <c r="AA419" s="63"/>
      <c r="AB419" s="63"/>
      <c r="AC419" s="63" t="s">
        <v>478</v>
      </c>
      <c r="AD419" s="16" t="s">
        <v>63</v>
      </c>
      <c r="AE419" s="42">
        <v>3</v>
      </c>
      <c r="AF419" s="63" t="s">
        <v>667</v>
      </c>
    </row>
    <row r="420" spans="1:32" ht="15" customHeight="1" x14ac:dyDescent="0.3">
      <c r="B420" s="42" t="s">
        <v>2</v>
      </c>
      <c r="C420" s="575" t="s">
        <v>1509</v>
      </c>
      <c r="D420" s="571" t="s">
        <v>151</v>
      </c>
      <c r="E420" s="42">
        <v>10105565</v>
      </c>
      <c r="F420" s="345">
        <v>46055</v>
      </c>
      <c r="G420" s="42" t="s">
        <v>643</v>
      </c>
      <c r="H420" s="42">
        <v>1</v>
      </c>
      <c r="I420" s="61">
        <v>60000</v>
      </c>
      <c r="J420" s="42">
        <v>3</v>
      </c>
      <c r="K420" s="321">
        <f t="shared" si="7"/>
        <v>20000</v>
      </c>
      <c r="L420" s="62">
        <v>46023</v>
      </c>
      <c r="M420" s="62">
        <v>46387</v>
      </c>
      <c r="N420" s="63" t="s">
        <v>520</v>
      </c>
      <c r="O420" s="42"/>
      <c r="P420" s="42"/>
      <c r="Q420" s="64" t="s">
        <v>347</v>
      </c>
      <c r="R420" s="63" t="s">
        <v>1044</v>
      </c>
      <c r="S420" s="63" t="s">
        <v>348</v>
      </c>
      <c r="T420" s="63"/>
      <c r="U420" s="63" t="s">
        <v>349</v>
      </c>
      <c r="V420" s="63"/>
      <c r="W420" s="63"/>
      <c r="X420" s="63"/>
      <c r="Y420" s="63"/>
      <c r="Z420" s="63"/>
      <c r="AA420" s="63"/>
      <c r="AB420" s="63"/>
      <c r="AC420" s="63" t="s">
        <v>478</v>
      </c>
      <c r="AD420" s="16" t="s">
        <v>63</v>
      </c>
      <c r="AE420" s="42">
        <v>3</v>
      </c>
      <c r="AF420" s="63" t="s">
        <v>667</v>
      </c>
    </row>
    <row r="421" spans="1:32" ht="15" customHeight="1" x14ac:dyDescent="0.3">
      <c r="B421" s="42" t="s">
        <v>2</v>
      </c>
      <c r="C421" s="575" t="s">
        <v>557</v>
      </c>
      <c r="D421" s="571" t="s">
        <v>558</v>
      </c>
      <c r="E421" s="175" t="s">
        <v>1510</v>
      </c>
      <c r="F421" s="345">
        <v>46050</v>
      </c>
      <c r="G421" s="42" t="s">
        <v>643</v>
      </c>
      <c r="H421" s="42">
        <v>1</v>
      </c>
      <c r="I421" s="61">
        <v>134698</v>
      </c>
      <c r="J421" s="42">
        <v>4</v>
      </c>
      <c r="K421" s="321">
        <f t="shared" si="7"/>
        <v>33674.5</v>
      </c>
      <c r="L421" s="62">
        <v>46053</v>
      </c>
      <c r="M421" s="62">
        <v>46417</v>
      </c>
      <c r="N421" s="63" t="s">
        <v>520</v>
      </c>
      <c r="O421" s="42"/>
      <c r="P421" s="42"/>
      <c r="Q421" s="64" t="s">
        <v>1511</v>
      </c>
      <c r="R421" s="63" t="s">
        <v>712</v>
      </c>
      <c r="S421" s="63" t="s">
        <v>444</v>
      </c>
      <c r="T421" s="63"/>
      <c r="U421" s="63" t="s">
        <v>445</v>
      </c>
      <c r="V421" s="63"/>
      <c r="W421" s="63" t="s">
        <v>1512</v>
      </c>
      <c r="X421" s="63"/>
      <c r="Y421" s="63"/>
      <c r="Z421" s="63"/>
      <c r="AA421" s="63"/>
      <c r="AB421" s="63"/>
      <c r="AC421" s="63" t="s">
        <v>281</v>
      </c>
      <c r="AD421" s="42" t="s">
        <v>97</v>
      </c>
      <c r="AE421" s="42" t="s">
        <v>494</v>
      </c>
      <c r="AF421" s="63" t="s">
        <v>1345</v>
      </c>
    </row>
    <row r="422" spans="1:32" ht="15" customHeight="1" x14ac:dyDescent="0.3">
      <c r="B422" s="42" t="s">
        <v>2</v>
      </c>
      <c r="C422" s="575" t="s">
        <v>1513</v>
      </c>
      <c r="D422" s="571" t="s">
        <v>1129</v>
      </c>
      <c r="E422" s="297">
        <v>4200020634</v>
      </c>
      <c r="F422" s="345">
        <v>46045</v>
      </c>
      <c r="G422" s="42" t="s">
        <v>643</v>
      </c>
      <c r="H422" s="42">
        <v>2</v>
      </c>
      <c r="I422" s="61">
        <v>344709.4</v>
      </c>
      <c r="J422" s="42">
        <v>3</v>
      </c>
      <c r="K422" s="321">
        <f t="shared" si="7"/>
        <v>114903.13333333335</v>
      </c>
      <c r="L422" s="62">
        <v>46045</v>
      </c>
      <c r="M422" s="62">
        <v>46409</v>
      </c>
      <c r="N422" s="63" t="s">
        <v>520</v>
      </c>
      <c r="O422" s="42"/>
      <c r="P422" s="42"/>
      <c r="Q422" s="64" t="s">
        <v>1514</v>
      </c>
      <c r="R422" s="63" t="s">
        <v>1515</v>
      </c>
      <c r="S422" s="63" t="s">
        <v>1516</v>
      </c>
      <c r="T422" s="63"/>
      <c r="U422" s="63" t="s">
        <v>1517</v>
      </c>
      <c r="V422" s="63"/>
      <c r="W422" s="63"/>
      <c r="X422" s="63"/>
      <c r="Y422" s="63"/>
      <c r="Z422" s="63"/>
      <c r="AA422" s="63"/>
      <c r="AB422" s="63"/>
      <c r="AC422" s="63" t="s">
        <v>281</v>
      </c>
      <c r="AD422" s="42" t="s">
        <v>97</v>
      </c>
      <c r="AE422" s="42">
        <v>3</v>
      </c>
      <c r="AF422" s="63" t="s">
        <v>667</v>
      </c>
    </row>
    <row r="423" spans="1:32" ht="15" customHeight="1" x14ac:dyDescent="0.3">
      <c r="B423" s="42" t="s">
        <v>2</v>
      </c>
      <c r="C423" s="580" t="s">
        <v>1518</v>
      </c>
      <c r="D423" s="581" t="s">
        <v>131</v>
      </c>
      <c r="E423" s="149">
        <v>1300004372</v>
      </c>
      <c r="F423" s="611">
        <v>46042</v>
      </c>
      <c r="G423" s="42" t="s">
        <v>643</v>
      </c>
      <c r="H423" s="42">
        <v>1</v>
      </c>
      <c r="I423" s="61">
        <v>78000</v>
      </c>
      <c r="J423" s="42">
        <v>3</v>
      </c>
      <c r="K423" s="321">
        <f t="shared" si="7"/>
        <v>26000</v>
      </c>
      <c r="L423" s="62">
        <v>46054</v>
      </c>
      <c r="M423" s="62">
        <v>46418</v>
      </c>
      <c r="N423" s="63" t="s">
        <v>520</v>
      </c>
      <c r="O423" s="42"/>
      <c r="P423" s="42"/>
      <c r="Q423" s="64" t="s">
        <v>404</v>
      </c>
      <c r="R423" s="63" t="s">
        <v>1239</v>
      </c>
      <c r="S423" s="63" t="s">
        <v>406</v>
      </c>
      <c r="T423" s="63"/>
      <c r="U423" s="63" t="s">
        <v>407</v>
      </c>
      <c r="V423" s="63"/>
      <c r="W423" s="63"/>
      <c r="X423" s="63"/>
      <c r="Y423" s="63"/>
      <c r="Z423" s="63"/>
      <c r="AA423" s="63"/>
      <c r="AB423" s="63"/>
      <c r="AC423" s="63" t="s">
        <v>485</v>
      </c>
      <c r="AD423" s="16" t="s">
        <v>63</v>
      </c>
      <c r="AE423" s="42">
        <v>4</v>
      </c>
      <c r="AF423" s="63" t="s">
        <v>1519</v>
      </c>
    </row>
    <row r="424" spans="1:32" ht="15" customHeight="1" x14ac:dyDescent="0.3">
      <c r="B424" s="42" t="s">
        <v>2</v>
      </c>
      <c r="C424" s="573" t="s">
        <v>1520</v>
      </c>
      <c r="D424" s="574" t="s">
        <v>151</v>
      </c>
      <c r="E424" s="84">
        <v>7100008763</v>
      </c>
      <c r="F424" s="345">
        <v>46006</v>
      </c>
      <c r="G424" s="42" t="s">
        <v>643</v>
      </c>
      <c r="H424" s="42">
        <v>1</v>
      </c>
      <c r="I424" s="61">
        <v>75000</v>
      </c>
      <c r="J424" s="42">
        <v>3</v>
      </c>
      <c r="K424" s="321">
        <f t="shared" si="7"/>
        <v>25000</v>
      </c>
      <c r="L424" s="62">
        <v>46023</v>
      </c>
      <c r="M424" s="62">
        <v>46387</v>
      </c>
      <c r="N424" s="63" t="s">
        <v>520</v>
      </c>
      <c r="O424" s="42"/>
      <c r="P424" s="42"/>
      <c r="Q424" s="64" t="s">
        <v>347</v>
      </c>
      <c r="R424" s="62" t="s">
        <v>726</v>
      </c>
      <c r="S424" s="63" t="s">
        <v>348</v>
      </c>
      <c r="T424" s="63"/>
      <c r="U424" s="63" t="s">
        <v>349</v>
      </c>
      <c r="V424" s="63"/>
      <c r="W424" s="63"/>
      <c r="X424" s="63"/>
      <c r="Y424" s="63"/>
      <c r="Z424" s="63"/>
      <c r="AA424" s="63"/>
      <c r="AB424" s="63"/>
      <c r="AC424" s="63" t="s">
        <v>478</v>
      </c>
      <c r="AD424" s="16" t="s">
        <v>63</v>
      </c>
      <c r="AE424" s="42">
        <v>3</v>
      </c>
      <c r="AF424" s="63" t="s">
        <v>1319</v>
      </c>
    </row>
    <row r="425" spans="1:32" ht="15" customHeight="1" x14ac:dyDescent="0.3">
      <c r="B425" s="42" t="s">
        <v>2</v>
      </c>
      <c r="C425" s="575" t="s">
        <v>1521</v>
      </c>
      <c r="D425" s="571" t="s">
        <v>151</v>
      </c>
      <c r="E425" s="175">
        <v>7100007753</v>
      </c>
      <c r="F425" s="614">
        <v>45975</v>
      </c>
      <c r="G425" s="42" t="s">
        <v>643</v>
      </c>
      <c r="H425" s="42">
        <v>1</v>
      </c>
      <c r="I425" s="61">
        <v>75000</v>
      </c>
      <c r="J425" s="42">
        <v>3</v>
      </c>
      <c r="K425" s="321">
        <f t="shared" si="7"/>
        <v>25000</v>
      </c>
      <c r="L425" s="62">
        <v>45962</v>
      </c>
      <c r="M425" s="62">
        <v>46326</v>
      </c>
      <c r="N425" s="63" t="s">
        <v>520</v>
      </c>
      <c r="O425" s="42"/>
      <c r="P425" s="42"/>
      <c r="Q425" s="64" t="s">
        <v>192</v>
      </c>
      <c r="R425" s="63" t="s">
        <v>291</v>
      </c>
      <c r="S425" s="63" t="s">
        <v>1522</v>
      </c>
      <c r="T425" s="63"/>
      <c r="U425" s="63" t="s">
        <v>1344</v>
      </c>
      <c r="V425" s="63"/>
      <c r="W425" s="63"/>
      <c r="X425" s="63"/>
      <c r="Y425" s="63"/>
      <c r="Z425" s="63"/>
      <c r="AA425" s="63"/>
      <c r="AB425" s="63"/>
      <c r="AC425" s="63" t="s">
        <v>478</v>
      </c>
      <c r="AD425" s="16" t="s">
        <v>63</v>
      </c>
      <c r="AE425" s="42">
        <v>2</v>
      </c>
      <c r="AF425" s="63" t="s">
        <v>667</v>
      </c>
    </row>
    <row r="426" spans="1:32" ht="15" customHeight="1" x14ac:dyDescent="0.3">
      <c r="B426" s="42" t="s">
        <v>2</v>
      </c>
      <c r="C426" s="575" t="s">
        <v>595</v>
      </c>
      <c r="D426" s="571" t="s">
        <v>1012</v>
      </c>
      <c r="E426" s="345" t="s">
        <v>1523</v>
      </c>
      <c r="F426" s="345">
        <v>46029</v>
      </c>
      <c r="G426" s="42" t="s">
        <v>643</v>
      </c>
      <c r="H426" s="42">
        <v>1</v>
      </c>
      <c r="I426" s="61">
        <v>93312</v>
      </c>
      <c r="J426" s="42">
        <v>3</v>
      </c>
      <c r="K426" s="321">
        <f t="shared" si="7"/>
        <v>31104</v>
      </c>
      <c r="L426" s="62">
        <v>46023</v>
      </c>
      <c r="M426" s="62">
        <v>46387</v>
      </c>
      <c r="N426" s="63" t="s">
        <v>520</v>
      </c>
      <c r="O426" s="42"/>
      <c r="P426" s="42"/>
      <c r="Q426" s="64" t="s">
        <v>347</v>
      </c>
      <c r="R426" s="63" t="s">
        <v>1524</v>
      </c>
      <c r="S426" s="63" t="s">
        <v>1525</v>
      </c>
      <c r="T426" s="63"/>
      <c r="U426" s="63" t="s">
        <v>349</v>
      </c>
      <c r="V426" s="63"/>
      <c r="W426" s="63"/>
      <c r="X426" s="63"/>
      <c r="Y426" s="63"/>
      <c r="Z426" s="63"/>
      <c r="AA426" s="63"/>
      <c r="AB426" s="63"/>
      <c r="AC426" s="63" t="s">
        <v>619</v>
      </c>
      <c r="AD426" s="16" t="s">
        <v>63</v>
      </c>
      <c r="AE426" s="42">
        <v>3</v>
      </c>
      <c r="AF426" s="63" t="s">
        <v>799</v>
      </c>
    </row>
    <row r="427" spans="1:32" ht="15" customHeight="1" x14ac:dyDescent="0.3">
      <c r="B427" s="42" t="s">
        <v>2</v>
      </c>
      <c r="C427" s="575" t="s">
        <v>771</v>
      </c>
      <c r="D427" s="571" t="s">
        <v>388</v>
      </c>
      <c r="E427" s="300">
        <v>6000063663</v>
      </c>
      <c r="F427" s="345">
        <v>46045</v>
      </c>
      <c r="G427" s="42" t="s">
        <v>643</v>
      </c>
      <c r="H427" s="42">
        <v>4</v>
      </c>
      <c r="I427" s="61">
        <v>282800</v>
      </c>
      <c r="J427" s="42">
        <v>2</v>
      </c>
      <c r="K427" s="321">
        <f t="shared" si="7"/>
        <v>141400</v>
      </c>
      <c r="L427" s="62">
        <v>46023</v>
      </c>
      <c r="M427" s="62">
        <v>46387</v>
      </c>
      <c r="N427" s="63" t="s">
        <v>520</v>
      </c>
      <c r="O427" s="42"/>
      <c r="P427" s="42"/>
      <c r="Q427" s="63" t="s">
        <v>607</v>
      </c>
      <c r="R427" s="63"/>
      <c r="S427" s="63" t="s">
        <v>608</v>
      </c>
      <c r="T427" s="63"/>
      <c r="U427" s="63"/>
      <c r="V427" s="63"/>
      <c r="W427" s="63"/>
      <c r="X427" s="63"/>
      <c r="Y427" s="63"/>
      <c r="Z427" s="63"/>
      <c r="AA427" s="63"/>
      <c r="AB427" s="63"/>
      <c r="AC427" s="63" t="s">
        <v>619</v>
      </c>
      <c r="AD427" s="16" t="s">
        <v>63</v>
      </c>
      <c r="AE427" s="42">
        <v>2</v>
      </c>
      <c r="AF427" s="63" t="s">
        <v>667</v>
      </c>
    </row>
    <row r="428" spans="1:32" ht="15" customHeight="1" x14ac:dyDescent="0.3">
      <c r="A428" s="279" t="s">
        <v>1526</v>
      </c>
      <c r="B428" s="26" t="s">
        <v>2</v>
      </c>
      <c r="C428" s="277" t="s">
        <v>530</v>
      </c>
      <c r="D428" s="278" t="s">
        <v>176</v>
      </c>
      <c r="E428" s="26">
        <v>16882528</v>
      </c>
      <c r="F428" s="55">
        <v>45670</v>
      </c>
      <c r="G428" s="26" t="s">
        <v>55</v>
      </c>
      <c r="H428" s="26">
        <v>1</v>
      </c>
      <c r="I428" s="56">
        <f>568000/4</f>
        <v>142000</v>
      </c>
      <c r="J428" s="26">
        <v>4</v>
      </c>
      <c r="K428" s="321">
        <f t="shared" si="7"/>
        <v>35500</v>
      </c>
      <c r="L428" s="57">
        <v>45670</v>
      </c>
      <c r="M428" s="57">
        <v>46764</v>
      </c>
      <c r="N428" s="58" t="s">
        <v>520</v>
      </c>
      <c r="O428" s="26"/>
      <c r="P428" s="26"/>
      <c r="Q428" s="354" t="s">
        <v>1527</v>
      </c>
      <c r="R428" s="58" t="s">
        <v>1734</v>
      </c>
      <c r="S428" s="58" t="s">
        <v>1528</v>
      </c>
      <c r="T428" s="58"/>
      <c r="U428" s="58" t="s">
        <v>1529</v>
      </c>
      <c r="V428" s="58"/>
      <c r="W428" s="58" t="s">
        <v>1530</v>
      </c>
      <c r="X428" s="58"/>
      <c r="Y428" s="58"/>
      <c r="Z428" s="58"/>
      <c r="AA428" s="58"/>
      <c r="AB428" s="58"/>
      <c r="AC428" s="58" t="s">
        <v>183</v>
      </c>
      <c r="AD428" s="26" t="s">
        <v>97</v>
      </c>
      <c r="AE428" s="26">
        <v>4</v>
      </c>
      <c r="AF428" s="58"/>
    </row>
    <row r="429" spans="1:32" ht="15" customHeight="1" x14ac:dyDescent="0.3">
      <c r="B429" s="26" t="s">
        <v>2</v>
      </c>
      <c r="C429" s="277" t="s">
        <v>530</v>
      </c>
      <c r="D429" s="278" t="s">
        <v>535</v>
      </c>
      <c r="E429" s="26">
        <v>16882528</v>
      </c>
      <c r="F429" s="55">
        <v>45670</v>
      </c>
      <c r="G429" s="26" t="s">
        <v>55</v>
      </c>
      <c r="H429" s="26">
        <v>1</v>
      </c>
      <c r="I429" s="56">
        <f>568000/4</f>
        <v>142000</v>
      </c>
      <c r="J429" s="26">
        <v>4</v>
      </c>
      <c r="K429" s="321">
        <f t="shared" si="7"/>
        <v>35500</v>
      </c>
      <c r="L429" s="57">
        <v>45670</v>
      </c>
      <c r="M429" s="57">
        <v>46764</v>
      </c>
      <c r="N429" s="58" t="s">
        <v>520</v>
      </c>
      <c r="O429" s="26"/>
      <c r="P429" s="26"/>
      <c r="Q429" s="59" t="s">
        <v>1527</v>
      </c>
      <c r="R429" s="58" t="s">
        <v>798</v>
      </c>
      <c r="S429" s="58" t="s">
        <v>1528</v>
      </c>
      <c r="T429" s="58"/>
      <c r="U429" s="58" t="s">
        <v>1529</v>
      </c>
      <c r="V429" s="58"/>
      <c r="W429" s="58" t="s">
        <v>1530</v>
      </c>
      <c r="X429" s="58"/>
      <c r="Y429" s="58"/>
      <c r="Z429" s="58"/>
      <c r="AA429" s="58"/>
      <c r="AB429" s="58"/>
      <c r="AC429" s="58" t="s">
        <v>183</v>
      </c>
      <c r="AD429" s="26" t="s">
        <v>97</v>
      </c>
      <c r="AE429" s="26">
        <v>4</v>
      </c>
      <c r="AF429" s="58"/>
    </row>
    <row r="430" spans="1:32" ht="15" customHeight="1" x14ac:dyDescent="0.3">
      <c r="B430" s="26" t="s">
        <v>2</v>
      </c>
      <c r="C430" s="277" t="s">
        <v>530</v>
      </c>
      <c r="D430" s="278" t="s">
        <v>538</v>
      </c>
      <c r="E430" s="26">
        <v>16882528</v>
      </c>
      <c r="F430" s="55">
        <v>45670</v>
      </c>
      <c r="G430" s="26" t="s">
        <v>55</v>
      </c>
      <c r="H430" s="26">
        <v>1</v>
      </c>
      <c r="I430" s="56">
        <f>568000/4</f>
        <v>142000</v>
      </c>
      <c r="J430" s="26">
        <v>4</v>
      </c>
      <c r="K430" s="321">
        <f t="shared" si="7"/>
        <v>35500</v>
      </c>
      <c r="L430" s="57">
        <v>45670</v>
      </c>
      <c r="M430" s="57">
        <v>46764</v>
      </c>
      <c r="N430" s="58" t="s">
        <v>520</v>
      </c>
      <c r="O430" s="26"/>
      <c r="P430" s="26"/>
      <c r="Q430" s="59" t="s">
        <v>1527</v>
      </c>
      <c r="R430" s="58" t="s">
        <v>455</v>
      </c>
      <c r="S430" s="58" t="s">
        <v>1528</v>
      </c>
      <c r="T430" s="58"/>
      <c r="U430" s="58" t="s">
        <v>1529</v>
      </c>
      <c r="V430" s="58"/>
      <c r="W430" s="58" t="s">
        <v>1530</v>
      </c>
      <c r="X430" s="58"/>
      <c r="Y430" s="58"/>
      <c r="Z430" s="58"/>
      <c r="AA430" s="58"/>
      <c r="AB430" s="58"/>
      <c r="AC430" s="58" t="s">
        <v>485</v>
      </c>
      <c r="AD430" s="16" t="s">
        <v>63</v>
      </c>
      <c r="AE430" s="26">
        <v>4</v>
      </c>
      <c r="AF430" s="58"/>
    </row>
    <row r="431" spans="1:32" ht="15" customHeight="1" x14ac:dyDescent="0.3">
      <c r="B431" s="42" t="s">
        <v>2</v>
      </c>
      <c r="C431" s="280" t="s">
        <v>530</v>
      </c>
      <c r="D431" s="281" t="s">
        <v>540</v>
      </c>
      <c r="E431" s="42">
        <v>16882528</v>
      </c>
      <c r="F431" s="43">
        <v>45670</v>
      </c>
      <c r="G431" s="42" t="s">
        <v>55</v>
      </c>
      <c r="H431" s="42">
        <v>1</v>
      </c>
      <c r="I431" s="61">
        <f>568000/4</f>
        <v>142000</v>
      </c>
      <c r="J431" s="42">
        <v>4</v>
      </c>
      <c r="K431" s="321">
        <f t="shared" si="7"/>
        <v>35500</v>
      </c>
      <c r="L431" s="62">
        <v>45670</v>
      </c>
      <c r="M431" s="62">
        <v>46764</v>
      </c>
      <c r="N431" s="63" t="s">
        <v>520</v>
      </c>
      <c r="O431" s="42"/>
      <c r="P431" s="42"/>
      <c r="Q431" s="64" t="s">
        <v>1527</v>
      </c>
      <c r="R431" s="63" t="s">
        <v>149</v>
      </c>
      <c r="S431" s="63" t="s">
        <v>1528</v>
      </c>
      <c r="T431" s="63"/>
      <c r="U431" s="63" t="s">
        <v>1529</v>
      </c>
      <c r="V431" s="63"/>
      <c r="W431" s="63" t="s">
        <v>1530</v>
      </c>
      <c r="X431" s="63"/>
      <c r="Y431" s="63"/>
      <c r="Z431" s="63"/>
      <c r="AA431" s="63"/>
      <c r="AB431" s="63"/>
      <c r="AC431" s="63" t="s">
        <v>128</v>
      </c>
      <c r="AD431" s="42" t="s">
        <v>129</v>
      </c>
      <c r="AE431" s="42">
        <v>4</v>
      </c>
      <c r="AF431" s="63"/>
    </row>
    <row r="432" spans="1:32" ht="15" customHeight="1" x14ac:dyDescent="0.3">
      <c r="B432" s="42" t="s">
        <v>2</v>
      </c>
      <c r="C432" s="68" t="s">
        <v>1069</v>
      </c>
      <c r="D432" s="132" t="s">
        <v>1531</v>
      </c>
      <c r="E432" s="297">
        <v>4400018763</v>
      </c>
      <c r="F432" s="345">
        <v>46041</v>
      </c>
      <c r="G432" s="42" t="s">
        <v>55</v>
      </c>
      <c r="H432" s="42">
        <v>5</v>
      </c>
      <c r="I432" s="61">
        <v>698145</v>
      </c>
      <c r="J432" s="42">
        <v>3</v>
      </c>
      <c r="K432" s="321">
        <f t="shared" si="7"/>
        <v>232715</v>
      </c>
      <c r="L432" s="62">
        <v>46023</v>
      </c>
      <c r="M432" s="62">
        <v>46387</v>
      </c>
      <c r="N432" s="63" t="s">
        <v>520</v>
      </c>
      <c r="O432" s="42"/>
      <c r="P432" s="42"/>
      <c r="Q432" s="64" t="s">
        <v>347</v>
      </c>
      <c r="R432" s="63" t="s">
        <v>1532</v>
      </c>
      <c r="S432" s="63" t="s">
        <v>348</v>
      </c>
      <c r="T432" s="63"/>
      <c r="U432" s="63" t="s">
        <v>349</v>
      </c>
      <c r="V432" s="63"/>
      <c r="W432" s="63"/>
      <c r="X432" s="63"/>
      <c r="Y432" s="63"/>
      <c r="Z432" s="63"/>
      <c r="AA432" s="63"/>
      <c r="AB432" s="63"/>
      <c r="AC432" s="63" t="s">
        <v>281</v>
      </c>
      <c r="AD432" s="42" t="s">
        <v>968</v>
      </c>
      <c r="AE432" s="42">
        <v>3</v>
      </c>
      <c r="AF432" s="63" t="s">
        <v>667</v>
      </c>
    </row>
    <row r="433" spans="2:32" ht="15" customHeight="1" x14ac:dyDescent="0.3">
      <c r="B433" s="42" t="s">
        <v>2</v>
      </c>
      <c r="C433" s="68" t="s">
        <v>647</v>
      </c>
      <c r="D433" s="582" t="s">
        <v>648</v>
      </c>
      <c r="E433" s="313">
        <v>450093582</v>
      </c>
      <c r="F433" s="614">
        <v>46053</v>
      </c>
      <c r="G433" s="42" t="s">
        <v>55</v>
      </c>
      <c r="H433" s="42">
        <v>2</v>
      </c>
      <c r="I433" s="61">
        <v>224000</v>
      </c>
      <c r="J433" s="42">
        <v>2</v>
      </c>
      <c r="K433" s="321">
        <f t="shared" si="7"/>
        <v>112000</v>
      </c>
      <c r="L433" s="62">
        <v>46082</v>
      </c>
      <c r="M433" s="62">
        <v>46446</v>
      </c>
      <c r="N433" s="63" t="s">
        <v>520</v>
      </c>
      <c r="O433" s="42"/>
      <c r="P433" s="42"/>
      <c r="Q433" s="63" t="s">
        <v>1533</v>
      </c>
      <c r="R433" s="63"/>
      <c r="S433" s="63" t="s">
        <v>1534</v>
      </c>
      <c r="T433" s="63"/>
      <c r="U433" s="63"/>
      <c r="V433" s="63"/>
      <c r="W433" s="63"/>
      <c r="X433" s="63"/>
      <c r="Y433" s="63"/>
      <c r="Z433" s="63"/>
      <c r="AA433" s="63"/>
      <c r="AB433" s="63"/>
      <c r="AC433" s="63" t="s">
        <v>1535</v>
      </c>
      <c r="AD433" s="42" t="s">
        <v>97</v>
      </c>
      <c r="AE433" s="42">
        <v>2</v>
      </c>
      <c r="AF433" s="63" t="s">
        <v>1536</v>
      </c>
    </row>
    <row r="434" spans="2:32" ht="15" customHeight="1" x14ac:dyDescent="0.3">
      <c r="B434" s="42" t="s">
        <v>2</v>
      </c>
      <c r="C434" s="575" t="s">
        <v>1537</v>
      </c>
      <c r="D434" s="571" t="s">
        <v>1022</v>
      </c>
      <c r="E434" s="175">
        <v>6460008580</v>
      </c>
      <c r="F434" s="345">
        <v>46052</v>
      </c>
      <c r="G434" s="42" t="s">
        <v>55</v>
      </c>
      <c r="H434" s="42">
        <v>1</v>
      </c>
      <c r="I434" s="61">
        <v>60000</v>
      </c>
      <c r="J434" s="42">
        <v>1</v>
      </c>
      <c r="K434" s="321">
        <f t="shared" si="7"/>
        <v>60000</v>
      </c>
      <c r="L434" s="585">
        <v>46054</v>
      </c>
      <c r="M434" s="585">
        <v>46418</v>
      </c>
      <c r="N434" s="63" t="s">
        <v>520</v>
      </c>
      <c r="O434" s="42"/>
      <c r="P434" s="42"/>
      <c r="Q434" s="63" t="s">
        <v>1538</v>
      </c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 t="s">
        <v>485</v>
      </c>
      <c r="AD434" s="16" t="s">
        <v>63</v>
      </c>
      <c r="AE434" s="42">
        <v>2</v>
      </c>
      <c r="AF434" s="63" t="s">
        <v>1539</v>
      </c>
    </row>
    <row r="435" spans="2:32" ht="15" customHeight="1" x14ac:dyDescent="0.3">
      <c r="B435" s="42" t="s">
        <v>2</v>
      </c>
      <c r="C435" s="576" t="s">
        <v>1540</v>
      </c>
      <c r="D435" s="577" t="s">
        <v>176</v>
      </c>
      <c r="E435" s="189" t="s">
        <v>1541</v>
      </c>
      <c r="F435" s="345">
        <v>45985</v>
      </c>
      <c r="G435" s="42" t="s">
        <v>55</v>
      </c>
      <c r="H435" s="42">
        <v>3</v>
      </c>
      <c r="I435" s="61">
        <v>268500</v>
      </c>
      <c r="J435" s="42">
        <v>3</v>
      </c>
      <c r="K435" s="321">
        <f t="shared" si="7"/>
        <v>89500</v>
      </c>
      <c r="L435" s="585">
        <v>45668</v>
      </c>
      <c r="M435" s="585">
        <v>46326</v>
      </c>
      <c r="N435" s="63" t="s">
        <v>520</v>
      </c>
      <c r="O435" s="42"/>
      <c r="P435" s="42"/>
      <c r="Q435" s="64" t="s">
        <v>192</v>
      </c>
      <c r="R435" s="63" t="s">
        <v>639</v>
      </c>
      <c r="S435" s="63" t="s">
        <v>194</v>
      </c>
      <c r="T435" s="63" t="s">
        <v>1542</v>
      </c>
      <c r="U435" s="63" t="s">
        <v>1344</v>
      </c>
      <c r="V435" s="63" t="s">
        <v>1543</v>
      </c>
      <c r="W435" s="63"/>
      <c r="X435" s="63"/>
      <c r="Y435" s="63"/>
      <c r="Z435" s="63"/>
      <c r="AA435" s="63"/>
      <c r="AB435" s="63"/>
      <c r="AC435" s="63" t="s">
        <v>183</v>
      </c>
      <c r="AD435" s="42" t="s">
        <v>97</v>
      </c>
      <c r="AE435" s="42">
        <v>6</v>
      </c>
      <c r="AF435" s="63" t="s">
        <v>1544</v>
      </c>
    </row>
    <row r="436" spans="2:32" ht="15" customHeight="1" x14ac:dyDescent="0.3">
      <c r="B436" s="26" t="s">
        <v>2</v>
      </c>
      <c r="C436" s="565" t="s">
        <v>195</v>
      </c>
      <c r="D436" s="566" t="s">
        <v>447</v>
      </c>
      <c r="E436" s="304" t="s">
        <v>1545</v>
      </c>
      <c r="F436" s="343">
        <v>46058</v>
      </c>
      <c r="G436" s="26" t="s">
        <v>55</v>
      </c>
      <c r="H436" s="26">
        <v>5</v>
      </c>
      <c r="I436" s="56">
        <v>325000</v>
      </c>
      <c r="J436" s="26">
        <v>4</v>
      </c>
      <c r="K436" s="321">
        <f t="shared" si="7"/>
        <v>81250</v>
      </c>
      <c r="L436" s="567">
        <v>46059</v>
      </c>
      <c r="M436" s="567">
        <v>46423</v>
      </c>
      <c r="N436" s="58" t="s">
        <v>520</v>
      </c>
      <c r="O436" s="26"/>
      <c r="P436" s="26"/>
      <c r="Q436" s="59" t="s">
        <v>1546</v>
      </c>
      <c r="R436" s="58" t="s">
        <v>712</v>
      </c>
      <c r="S436" s="58" t="s">
        <v>1547</v>
      </c>
      <c r="T436" s="58"/>
      <c r="U436" s="58" t="s">
        <v>1548</v>
      </c>
      <c r="V436" s="58"/>
      <c r="W436" s="58" t="s">
        <v>1549</v>
      </c>
      <c r="X436" s="58"/>
      <c r="Y436" s="58"/>
      <c r="Z436" s="58"/>
      <c r="AA436" s="58"/>
      <c r="AB436" s="58"/>
      <c r="AC436" s="58" t="s">
        <v>96</v>
      </c>
      <c r="AD436" s="26" t="s">
        <v>97</v>
      </c>
      <c r="AE436" s="26" t="s">
        <v>494</v>
      </c>
      <c r="AF436" s="58" t="s">
        <v>667</v>
      </c>
    </row>
    <row r="437" spans="2:32" ht="15" hidden="1" customHeight="1" x14ac:dyDescent="0.3">
      <c r="B437" s="26" t="s">
        <v>2</v>
      </c>
      <c r="C437" s="565" t="s">
        <v>195</v>
      </c>
      <c r="D437" s="566" t="s">
        <v>447</v>
      </c>
      <c r="E437" s="269" t="s">
        <v>1545</v>
      </c>
      <c r="F437" s="343">
        <v>46058</v>
      </c>
      <c r="G437" s="26" t="s">
        <v>55</v>
      </c>
      <c r="H437" s="26"/>
      <c r="I437" s="56">
        <v>325000</v>
      </c>
      <c r="J437" s="26">
        <v>4</v>
      </c>
      <c r="K437" s="321">
        <f t="shared" si="7"/>
        <v>81250</v>
      </c>
      <c r="L437" s="57">
        <v>46424</v>
      </c>
      <c r="M437" s="57">
        <v>46788</v>
      </c>
      <c r="N437" s="58" t="s">
        <v>520</v>
      </c>
      <c r="O437" s="26"/>
      <c r="P437" s="26"/>
      <c r="Q437" s="58" t="s">
        <v>1550</v>
      </c>
      <c r="R437" s="58"/>
      <c r="S437" s="58" t="s">
        <v>1551</v>
      </c>
      <c r="T437" s="58"/>
      <c r="U437" s="58" t="s">
        <v>1552</v>
      </c>
      <c r="V437" s="58"/>
      <c r="W437" s="58" t="s">
        <v>1553</v>
      </c>
      <c r="X437" s="58"/>
      <c r="Y437" s="58"/>
      <c r="Z437" s="58"/>
      <c r="AA437" s="58"/>
      <c r="AB437" s="58"/>
      <c r="AC437" s="58" t="s">
        <v>96</v>
      </c>
      <c r="AD437" s="26" t="s">
        <v>97</v>
      </c>
      <c r="AE437" s="26" t="s">
        <v>494</v>
      </c>
      <c r="AF437" s="58" t="s">
        <v>667</v>
      </c>
    </row>
    <row r="438" spans="2:32" ht="15" hidden="1" customHeight="1" x14ac:dyDescent="0.3">
      <c r="B438" s="42" t="s">
        <v>2</v>
      </c>
      <c r="C438" s="575" t="s">
        <v>195</v>
      </c>
      <c r="D438" s="571" t="s">
        <v>447</v>
      </c>
      <c r="E438" s="175" t="s">
        <v>1545</v>
      </c>
      <c r="F438" s="345">
        <v>46058</v>
      </c>
      <c r="G438" s="42" t="s">
        <v>55</v>
      </c>
      <c r="H438" s="42"/>
      <c r="I438" s="61">
        <v>325000</v>
      </c>
      <c r="J438" s="42">
        <v>4</v>
      </c>
      <c r="K438" s="321">
        <f t="shared" si="7"/>
        <v>81250</v>
      </c>
      <c r="L438" s="62">
        <v>46789</v>
      </c>
      <c r="M438" s="62">
        <v>47154</v>
      </c>
      <c r="N438" s="63" t="s">
        <v>520</v>
      </c>
      <c r="O438" s="42"/>
      <c r="P438" s="42"/>
      <c r="Q438" s="63" t="s">
        <v>1554</v>
      </c>
      <c r="R438" s="63"/>
      <c r="S438" s="63" t="s">
        <v>1555</v>
      </c>
      <c r="T438" s="63"/>
      <c r="U438" s="63" t="s">
        <v>1556</v>
      </c>
      <c r="V438" s="63"/>
      <c r="W438" s="63" t="s">
        <v>1557</v>
      </c>
      <c r="X438" s="63"/>
      <c r="Y438" s="63"/>
      <c r="Z438" s="63"/>
      <c r="AA438" s="63"/>
      <c r="AB438" s="63"/>
      <c r="AC438" s="63" t="s">
        <v>96</v>
      </c>
      <c r="AD438" s="42" t="s">
        <v>97</v>
      </c>
      <c r="AE438" s="42" t="s">
        <v>494</v>
      </c>
      <c r="AF438" s="63" t="s">
        <v>667</v>
      </c>
    </row>
    <row r="439" spans="2:32" ht="15" customHeight="1" x14ac:dyDescent="0.3">
      <c r="B439" s="42" t="s">
        <v>2</v>
      </c>
      <c r="C439" s="575" t="s">
        <v>1558</v>
      </c>
      <c r="D439" s="571" t="s">
        <v>151</v>
      </c>
      <c r="E439" s="175">
        <v>10106079</v>
      </c>
      <c r="F439" s="345">
        <v>46062</v>
      </c>
      <c r="G439" s="42" t="s">
        <v>55</v>
      </c>
      <c r="H439" s="42">
        <v>1</v>
      </c>
      <c r="I439" s="61">
        <v>130000</v>
      </c>
      <c r="J439" s="42">
        <v>3</v>
      </c>
      <c r="K439" s="321">
        <f t="shared" si="7"/>
        <v>43333.333333333336</v>
      </c>
      <c r="L439" s="62">
        <v>46023</v>
      </c>
      <c r="M439" s="62">
        <v>46387</v>
      </c>
      <c r="N439" s="63" t="s">
        <v>520</v>
      </c>
      <c r="O439" s="42"/>
      <c r="P439" s="42"/>
      <c r="Q439" s="64" t="s">
        <v>1559</v>
      </c>
      <c r="R439" s="63" t="s">
        <v>1710</v>
      </c>
      <c r="S439" s="63" t="s">
        <v>348</v>
      </c>
      <c r="T439" s="63"/>
      <c r="U439" s="63" t="s">
        <v>349</v>
      </c>
      <c r="V439" s="63"/>
      <c r="W439" s="63"/>
      <c r="X439" s="63"/>
      <c r="Y439" s="63"/>
      <c r="Z439" s="63"/>
      <c r="AA439" s="63"/>
      <c r="AB439" s="63"/>
      <c r="AC439" s="63" t="s">
        <v>478</v>
      </c>
      <c r="AD439" s="16" t="s">
        <v>63</v>
      </c>
      <c r="AE439" s="42">
        <v>3</v>
      </c>
      <c r="AF439" s="63" t="s">
        <v>667</v>
      </c>
    </row>
    <row r="440" spans="2:32" ht="15" customHeight="1" x14ac:dyDescent="0.3">
      <c r="B440" s="42" t="s">
        <v>2</v>
      </c>
      <c r="C440" s="68" t="s">
        <v>1560</v>
      </c>
      <c r="D440" s="81" t="s">
        <v>388</v>
      </c>
      <c r="E440" s="300">
        <v>4511430093</v>
      </c>
      <c r="F440" s="345">
        <v>46059</v>
      </c>
      <c r="G440" s="42" t="s">
        <v>55</v>
      </c>
      <c r="H440" s="42">
        <v>3</v>
      </c>
      <c r="I440" s="61">
        <v>755305</v>
      </c>
      <c r="J440" s="42">
        <v>4</v>
      </c>
      <c r="K440" s="321">
        <f t="shared" si="7"/>
        <v>188826.25</v>
      </c>
      <c r="L440" s="62">
        <v>46007</v>
      </c>
      <c r="M440" s="62">
        <v>46371</v>
      </c>
      <c r="N440" s="63" t="s">
        <v>520</v>
      </c>
      <c r="O440" s="42"/>
      <c r="P440" s="42"/>
      <c r="Q440" s="64" t="s">
        <v>1561</v>
      </c>
      <c r="R440" s="63" t="s">
        <v>1019</v>
      </c>
      <c r="S440" s="63" t="s">
        <v>1562</v>
      </c>
      <c r="T440" s="63"/>
      <c r="U440" s="63" t="s">
        <v>1563</v>
      </c>
      <c r="V440" s="63"/>
      <c r="W440" s="63" t="s">
        <v>1564</v>
      </c>
      <c r="X440" s="63"/>
      <c r="Y440" s="63"/>
      <c r="Z440" s="63"/>
      <c r="AA440" s="63"/>
      <c r="AB440" s="63"/>
      <c r="AC440" s="63" t="s">
        <v>478</v>
      </c>
      <c r="AD440" s="16" t="s">
        <v>63</v>
      </c>
      <c r="AE440" s="42">
        <v>3</v>
      </c>
      <c r="AF440" s="63" t="s">
        <v>667</v>
      </c>
    </row>
    <row r="441" spans="2:32" ht="15" customHeight="1" x14ac:dyDescent="0.3">
      <c r="B441" s="42" t="s">
        <v>2</v>
      </c>
      <c r="C441" s="575" t="s">
        <v>1385</v>
      </c>
      <c r="D441" s="571" t="s">
        <v>1565</v>
      </c>
      <c r="E441" s="175">
        <v>4500090444</v>
      </c>
      <c r="F441" s="345">
        <v>46060</v>
      </c>
      <c r="G441" s="42" t="s">
        <v>55</v>
      </c>
      <c r="H441" s="42">
        <v>1</v>
      </c>
      <c r="I441" s="61">
        <v>80000</v>
      </c>
      <c r="J441" s="42">
        <v>2</v>
      </c>
      <c r="K441" s="321">
        <f t="shared" si="7"/>
        <v>40000</v>
      </c>
      <c r="L441" s="62">
        <v>46064</v>
      </c>
      <c r="M441" s="62">
        <v>46428</v>
      </c>
      <c r="N441" s="63" t="s">
        <v>520</v>
      </c>
      <c r="O441" s="42"/>
      <c r="P441" s="42"/>
      <c r="Q441" s="63" t="s">
        <v>1566</v>
      </c>
      <c r="R441" s="63"/>
      <c r="S441" s="63" t="s">
        <v>1567</v>
      </c>
      <c r="T441" s="63"/>
      <c r="U441" s="63"/>
      <c r="V441" s="63"/>
      <c r="W441" s="63"/>
      <c r="X441" s="63"/>
      <c r="Y441" s="63"/>
      <c r="Z441" s="63"/>
      <c r="AA441" s="63"/>
      <c r="AB441" s="63"/>
      <c r="AC441" s="63" t="s">
        <v>619</v>
      </c>
      <c r="AD441" s="16" t="s">
        <v>63</v>
      </c>
      <c r="AE441" s="42">
        <v>3</v>
      </c>
      <c r="AF441" s="63" t="s">
        <v>667</v>
      </c>
    </row>
    <row r="442" spans="2:32" ht="15" customHeight="1" x14ac:dyDescent="0.3">
      <c r="B442" s="42" t="s">
        <v>2</v>
      </c>
      <c r="C442" s="68" t="s">
        <v>598</v>
      </c>
      <c r="D442" s="132" t="s">
        <v>599</v>
      </c>
      <c r="E442" s="297">
        <v>3800068846</v>
      </c>
      <c r="F442" s="345">
        <v>46062</v>
      </c>
      <c r="G442" s="42" t="s">
        <v>55</v>
      </c>
      <c r="H442" s="42">
        <v>5</v>
      </c>
      <c r="I442" s="61">
        <v>290000</v>
      </c>
      <c r="J442" s="42">
        <v>2</v>
      </c>
      <c r="K442" s="321">
        <f t="shared" si="7"/>
        <v>145000</v>
      </c>
      <c r="L442" s="585">
        <v>46067</v>
      </c>
      <c r="M442" s="585">
        <v>46431</v>
      </c>
      <c r="N442" s="63" t="s">
        <v>520</v>
      </c>
      <c r="O442" s="42"/>
      <c r="P442" s="42"/>
      <c r="Q442" s="63" t="s">
        <v>1568</v>
      </c>
      <c r="R442" s="63" t="s">
        <v>1569</v>
      </c>
      <c r="S442" s="63" t="s">
        <v>1570</v>
      </c>
      <c r="T442" s="63"/>
      <c r="U442" s="63"/>
      <c r="V442" s="63"/>
      <c r="W442" s="63"/>
      <c r="X442" s="63"/>
      <c r="Y442" s="63"/>
      <c r="Z442" s="63"/>
      <c r="AA442" s="63"/>
      <c r="AB442" s="63"/>
      <c r="AC442" s="63" t="s">
        <v>485</v>
      </c>
      <c r="AD442" s="16" t="s">
        <v>63</v>
      </c>
      <c r="AE442" s="42">
        <v>2</v>
      </c>
      <c r="AF442" s="63" t="s">
        <v>1571</v>
      </c>
    </row>
    <row r="443" spans="2:32" ht="15" customHeight="1" x14ac:dyDescent="0.3">
      <c r="B443" s="42" t="s">
        <v>2</v>
      </c>
      <c r="C443" s="68" t="s">
        <v>130</v>
      </c>
      <c r="D443" s="582" t="s">
        <v>1572</v>
      </c>
      <c r="E443" s="177">
        <v>6800048397</v>
      </c>
      <c r="F443" s="345">
        <v>45882</v>
      </c>
      <c r="G443" s="42" t="s">
        <v>55</v>
      </c>
      <c r="H443" s="42">
        <v>1</v>
      </c>
      <c r="I443" s="61">
        <v>88000</v>
      </c>
      <c r="J443" s="42">
        <v>2</v>
      </c>
      <c r="K443" s="321">
        <f t="shared" si="7"/>
        <v>44000</v>
      </c>
      <c r="L443" s="615">
        <v>45901</v>
      </c>
      <c r="M443" s="615">
        <v>46265</v>
      </c>
      <c r="N443" s="63" t="s">
        <v>520</v>
      </c>
      <c r="O443" s="42"/>
      <c r="P443" s="42"/>
      <c r="Q443" s="64" t="s">
        <v>625</v>
      </c>
      <c r="R443" s="63" t="s">
        <v>1009</v>
      </c>
      <c r="S443" s="63" t="s">
        <v>1235</v>
      </c>
      <c r="T443" s="63"/>
      <c r="U443" s="63"/>
      <c r="V443" s="63"/>
      <c r="W443" s="63"/>
      <c r="X443" s="63"/>
      <c r="Y443" s="63"/>
      <c r="Z443" s="63"/>
      <c r="AA443" s="63"/>
      <c r="AB443" s="63"/>
      <c r="AC443" s="63" t="s">
        <v>183</v>
      </c>
      <c r="AD443" s="42" t="s">
        <v>97</v>
      </c>
      <c r="AE443" s="42">
        <v>2</v>
      </c>
      <c r="AF443" s="63" t="s">
        <v>1573</v>
      </c>
    </row>
    <row r="444" spans="2:32" ht="15" customHeight="1" x14ac:dyDescent="0.3">
      <c r="B444" s="42" t="s">
        <v>2</v>
      </c>
      <c r="C444" s="575" t="s">
        <v>1032</v>
      </c>
      <c r="D444" s="571" t="s">
        <v>1227</v>
      </c>
      <c r="E444" s="175">
        <v>2560049212</v>
      </c>
      <c r="F444" s="345">
        <v>46064</v>
      </c>
      <c r="G444" s="42" t="s">
        <v>55</v>
      </c>
      <c r="H444" s="42">
        <v>2</v>
      </c>
      <c r="I444" s="61">
        <v>180000</v>
      </c>
      <c r="J444" s="42">
        <v>2</v>
      </c>
      <c r="K444" s="321">
        <f t="shared" si="7"/>
        <v>90000</v>
      </c>
      <c r="L444" s="585">
        <v>46054</v>
      </c>
      <c r="M444" s="585">
        <v>46418</v>
      </c>
      <c r="N444" s="63" t="s">
        <v>520</v>
      </c>
      <c r="O444" s="42"/>
      <c r="P444" s="42" t="s">
        <v>1</v>
      </c>
      <c r="Q444" s="63" t="s">
        <v>426</v>
      </c>
      <c r="R444" s="63"/>
      <c r="S444" s="63" t="s">
        <v>427</v>
      </c>
      <c r="T444" s="63"/>
      <c r="U444" s="63"/>
      <c r="V444" s="63"/>
      <c r="W444" s="63"/>
      <c r="X444" s="63"/>
      <c r="Y444" s="63"/>
      <c r="Z444" s="63"/>
      <c r="AA444" s="63"/>
      <c r="AB444" s="63"/>
      <c r="AC444" s="63" t="s">
        <v>507</v>
      </c>
      <c r="AD444" s="16" t="s">
        <v>63</v>
      </c>
      <c r="AE444" s="42">
        <v>3</v>
      </c>
      <c r="AF444" s="63" t="s">
        <v>799</v>
      </c>
    </row>
    <row r="445" spans="2:32" ht="15" customHeight="1" x14ac:dyDescent="0.3">
      <c r="B445" s="42" t="s">
        <v>2</v>
      </c>
      <c r="C445" s="575" t="s">
        <v>1326</v>
      </c>
      <c r="D445" s="571" t="s">
        <v>151</v>
      </c>
      <c r="E445" s="175">
        <v>928978356</v>
      </c>
      <c r="F445" s="345">
        <v>46064</v>
      </c>
      <c r="G445" s="42" t="s">
        <v>55</v>
      </c>
      <c r="H445" s="42">
        <v>1</v>
      </c>
      <c r="I445" s="61">
        <v>96000</v>
      </c>
      <c r="J445" s="42">
        <v>3</v>
      </c>
      <c r="K445" s="321">
        <f t="shared" si="7"/>
        <v>32000</v>
      </c>
      <c r="L445" s="585">
        <v>46064</v>
      </c>
      <c r="M445" s="585">
        <v>46428</v>
      </c>
      <c r="N445" s="63" t="s">
        <v>520</v>
      </c>
      <c r="O445" s="42"/>
      <c r="P445" s="42"/>
      <c r="Q445" s="64" t="s">
        <v>1574</v>
      </c>
      <c r="R445" s="63" t="s">
        <v>1162</v>
      </c>
      <c r="S445" s="63" t="s">
        <v>1575</v>
      </c>
      <c r="T445" s="63"/>
      <c r="U445" s="63" t="s">
        <v>1576</v>
      </c>
      <c r="V445" s="63"/>
      <c r="W445" s="63"/>
      <c r="X445" s="63"/>
      <c r="Y445" s="63"/>
      <c r="Z445" s="63"/>
      <c r="AA445" s="63"/>
      <c r="AB445" s="63"/>
      <c r="AC445" s="63" t="s">
        <v>507</v>
      </c>
      <c r="AD445" s="16" t="s">
        <v>63</v>
      </c>
      <c r="AE445" s="42">
        <v>3</v>
      </c>
      <c r="AF445" s="63" t="s">
        <v>1577</v>
      </c>
    </row>
    <row r="446" spans="2:32" ht="15" customHeight="1" x14ac:dyDescent="0.3">
      <c r="B446" s="26" t="s">
        <v>2</v>
      </c>
      <c r="C446" s="39" t="s">
        <v>1095</v>
      </c>
      <c r="D446" s="350" t="s">
        <v>1578</v>
      </c>
      <c r="E446" s="312">
        <v>9709627472</v>
      </c>
      <c r="F446" s="343">
        <v>46069</v>
      </c>
      <c r="G446" s="26" t="s">
        <v>55</v>
      </c>
      <c r="H446" s="26">
        <v>13</v>
      </c>
      <c r="I446" s="56">
        <v>1040000</v>
      </c>
      <c r="J446" s="26">
        <v>4</v>
      </c>
      <c r="K446" s="321">
        <f t="shared" si="7"/>
        <v>260000</v>
      </c>
      <c r="L446" s="348">
        <v>45668</v>
      </c>
      <c r="M446" s="348">
        <v>46326</v>
      </c>
      <c r="N446" s="58" t="s">
        <v>520</v>
      </c>
      <c r="O446" s="26"/>
      <c r="P446" s="26"/>
      <c r="Q446" s="59" t="s">
        <v>269</v>
      </c>
      <c r="R446" s="58" t="s">
        <v>999</v>
      </c>
      <c r="S446" s="58" t="s">
        <v>442</v>
      </c>
      <c r="T446" s="58"/>
      <c r="U446" s="58" t="s">
        <v>444</v>
      </c>
      <c r="V446" s="58"/>
      <c r="W446" s="58" t="s">
        <v>445</v>
      </c>
      <c r="X446" s="58"/>
      <c r="Y446" s="58"/>
      <c r="Z446" s="58"/>
      <c r="AA446" s="58"/>
      <c r="AB446" s="58"/>
      <c r="AC446" s="58" t="s">
        <v>619</v>
      </c>
      <c r="AD446" s="16" t="s">
        <v>63</v>
      </c>
      <c r="AE446" s="26">
        <v>4</v>
      </c>
      <c r="AF446" s="58" t="s">
        <v>667</v>
      </c>
    </row>
    <row r="447" spans="2:32" ht="15" customHeight="1" x14ac:dyDescent="0.3">
      <c r="B447" s="42" t="s">
        <v>2</v>
      </c>
      <c r="C447" s="68" t="s">
        <v>975</v>
      </c>
      <c r="D447" s="132" t="s">
        <v>1136</v>
      </c>
      <c r="E447" s="121">
        <v>6100013233</v>
      </c>
      <c r="F447" s="345">
        <v>46055</v>
      </c>
      <c r="G447" s="42" t="s">
        <v>55</v>
      </c>
      <c r="H447" s="42">
        <v>1</v>
      </c>
      <c r="I447" s="61">
        <v>112000</v>
      </c>
      <c r="J447" s="42">
        <v>3</v>
      </c>
      <c r="K447" s="321">
        <f t="shared" si="7"/>
        <v>37333.333333333336</v>
      </c>
      <c r="L447" s="615">
        <v>45992</v>
      </c>
      <c r="M447" s="615">
        <v>46356</v>
      </c>
      <c r="N447" s="63" t="s">
        <v>520</v>
      </c>
      <c r="O447" s="42"/>
      <c r="P447" s="42"/>
      <c r="Q447" s="64" t="s">
        <v>361</v>
      </c>
      <c r="R447" s="63" t="s">
        <v>1262</v>
      </c>
      <c r="S447" s="63" t="s">
        <v>1579</v>
      </c>
      <c r="T447" s="63" t="s">
        <v>1580</v>
      </c>
      <c r="U447" s="63" t="s">
        <v>1108</v>
      </c>
      <c r="V447" s="63"/>
      <c r="W447" s="63"/>
      <c r="X447" s="63"/>
      <c r="Y447" s="63"/>
      <c r="Z447" s="63"/>
      <c r="AA447" s="63"/>
      <c r="AB447" s="63"/>
      <c r="AC447" s="63" t="s">
        <v>551</v>
      </c>
      <c r="AD447" s="25" t="s">
        <v>207</v>
      </c>
      <c r="AE447" s="42">
        <v>3</v>
      </c>
      <c r="AF447" s="63" t="s">
        <v>1581</v>
      </c>
    </row>
    <row r="448" spans="2:32" ht="15" customHeight="1" x14ac:dyDescent="0.3">
      <c r="B448" s="42" t="s">
        <v>2</v>
      </c>
      <c r="C448" s="94" t="s">
        <v>502</v>
      </c>
      <c r="D448" s="247" t="s">
        <v>151</v>
      </c>
      <c r="E448" s="362" t="s">
        <v>1582</v>
      </c>
      <c r="F448" s="345">
        <v>46049</v>
      </c>
      <c r="G448" s="42" t="s">
        <v>55</v>
      </c>
      <c r="H448" s="42">
        <v>1</v>
      </c>
      <c r="I448" s="61">
        <v>76440</v>
      </c>
      <c r="J448" s="42">
        <v>3</v>
      </c>
      <c r="K448" s="321"/>
      <c r="L448" s="615">
        <v>46023</v>
      </c>
      <c r="M448" s="615">
        <v>46387</v>
      </c>
      <c r="N448" s="63" t="s">
        <v>520</v>
      </c>
      <c r="O448" s="42"/>
      <c r="P448" s="42"/>
      <c r="Q448" s="64" t="s">
        <v>347</v>
      </c>
      <c r="R448" s="63" t="s">
        <v>1727</v>
      </c>
      <c r="S448" s="63" t="s">
        <v>348</v>
      </c>
      <c r="T448" s="63"/>
      <c r="U448" s="63" t="s">
        <v>349</v>
      </c>
      <c r="V448" s="63"/>
      <c r="W448" s="63"/>
      <c r="X448" s="63"/>
      <c r="Y448" s="63"/>
      <c r="Z448" s="63"/>
      <c r="AA448" s="63"/>
      <c r="AB448" s="63"/>
      <c r="AC448" s="63" t="s">
        <v>507</v>
      </c>
      <c r="AD448" s="42" t="s">
        <v>63</v>
      </c>
      <c r="AE448" s="42">
        <v>3</v>
      </c>
      <c r="AF448" s="63" t="s">
        <v>1583</v>
      </c>
    </row>
    <row r="449" spans="2:32" ht="15" customHeight="1" x14ac:dyDescent="0.3">
      <c r="B449" s="42" t="s">
        <v>2</v>
      </c>
      <c r="C449" s="575" t="s">
        <v>1584</v>
      </c>
      <c r="D449" s="571" t="s">
        <v>151</v>
      </c>
      <c r="E449" s="175">
        <v>7408</v>
      </c>
      <c r="F449" s="345">
        <v>46029</v>
      </c>
      <c r="G449" s="42" t="s">
        <v>55</v>
      </c>
      <c r="H449" s="42">
        <v>1</v>
      </c>
      <c r="I449" s="61">
        <v>67500</v>
      </c>
      <c r="J449" s="42">
        <v>3</v>
      </c>
      <c r="K449" s="321">
        <f t="shared" si="7"/>
        <v>22500</v>
      </c>
      <c r="L449" s="585">
        <v>46023</v>
      </c>
      <c r="M449" s="585">
        <v>46387</v>
      </c>
      <c r="N449" s="63" t="s">
        <v>520</v>
      </c>
      <c r="O449" s="42"/>
      <c r="P449" s="42"/>
      <c r="Q449" s="64" t="s">
        <v>347</v>
      </c>
      <c r="R449" s="63" t="s">
        <v>1735</v>
      </c>
      <c r="S449" s="63" t="s">
        <v>348</v>
      </c>
      <c r="T449" s="63"/>
      <c r="U449" s="63" t="s">
        <v>349</v>
      </c>
      <c r="V449" s="63"/>
      <c r="W449" s="63"/>
      <c r="X449" s="63"/>
      <c r="Y449" s="63"/>
      <c r="Z449" s="63"/>
      <c r="AA449" s="63"/>
      <c r="AB449" s="63"/>
      <c r="AC449" s="63" t="s">
        <v>507</v>
      </c>
      <c r="AD449" s="42" t="s">
        <v>63</v>
      </c>
      <c r="AE449" s="42">
        <v>3</v>
      </c>
      <c r="AF449" s="63" t="s">
        <v>1585</v>
      </c>
    </row>
    <row r="450" spans="2:32" ht="15" customHeight="1" x14ac:dyDescent="0.3">
      <c r="B450" s="26" t="s">
        <v>2</v>
      </c>
      <c r="C450" s="616" t="s">
        <v>948</v>
      </c>
      <c r="D450" s="617" t="s">
        <v>987</v>
      </c>
      <c r="E450" s="127">
        <v>9000005172</v>
      </c>
      <c r="F450" s="55">
        <v>46069</v>
      </c>
      <c r="G450" s="26" t="s">
        <v>55</v>
      </c>
      <c r="H450" s="26">
        <v>1</v>
      </c>
      <c r="I450" s="56">
        <v>18620</v>
      </c>
      <c r="J450" s="26">
        <v>1</v>
      </c>
      <c r="K450" s="321">
        <f t="shared" si="7"/>
        <v>18620</v>
      </c>
      <c r="L450" s="283">
        <v>46023</v>
      </c>
      <c r="M450" s="283">
        <v>46112</v>
      </c>
      <c r="N450" s="58" t="s">
        <v>19</v>
      </c>
      <c r="O450" s="26" t="s">
        <v>3</v>
      </c>
      <c r="P450" s="26"/>
      <c r="Q450" s="59" t="s">
        <v>396</v>
      </c>
      <c r="R450" s="58" t="s">
        <v>1162</v>
      </c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 t="s">
        <v>551</v>
      </c>
      <c r="AD450" s="26" t="s">
        <v>207</v>
      </c>
      <c r="AE450" s="26"/>
      <c r="AF450" s="58"/>
    </row>
    <row r="451" spans="2:32" ht="15" customHeight="1" x14ac:dyDescent="0.3">
      <c r="B451" s="26" t="s">
        <v>2</v>
      </c>
      <c r="C451" s="39" t="s">
        <v>1586</v>
      </c>
      <c r="D451" s="232" t="s">
        <v>151</v>
      </c>
      <c r="E451" s="305" t="s">
        <v>1587</v>
      </c>
      <c r="F451" s="606">
        <v>46045</v>
      </c>
      <c r="G451" s="26" t="s">
        <v>55</v>
      </c>
      <c r="H451" s="26">
        <v>2</v>
      </c>
      <c r="I451" s="56">
        <v>240000</v>
      </c>
      <c r="J451" s="26">
        <v>2</v>
      </c>
      <c r="K451" s="321">
        <f t="shared" si="7"/>
        <v>120000</v>
      </c>
      <c r="L451" s="348">
        <v>46023</v>
      </c>
      <c r="M451" s="348">
        <v>46387</v>
      </c>
      <c r="N451" s="58" t="s">
        <v>520</v>
      </c>
      <c r="O451" s="26"/>
      <c r="P451" s="26"/>
      <c r="Q451" s="58" t="s">
        <v>607</v>
      </c>
      <c r="R451" s="58"/>
      <c r="S451" s="58" t="s">
        <v>608</v>
      </c>
      <c r="T451" s="58"/>
      <c r="U451" s="58"/>
      <c r="V451" s="58"/>
      <c r="W451" s="58"/>
      <c r="X451" s="58"/>
      <c r="Y451" s="58"/>
      <c r="Z451" s="58"/>
      <c r="AA451" s="58"/>
      <c r="AB451" s="58"/>
      <c r="AC451" s="58" t="s">
        <v>478</v>
      </c>
      <c r="AD451" s="26" t="s">
        <v>63</v>
      </c>
      <c r="AE451" s="26">
        <v>3</v>
      </c>
      <c r="AF451" s="58" t="s">
        <v>667</v>
      </c>
    </row>
    <row r="452" spans="2:32" ht="15" customHeight="1" x14ac:dyDescent="0.3">
      <c r="B452" s="42" t="s">
        <v>2</v>
      </c>
      <c r="C452" s="68" t="s">
        <v>1586</v>
      </c>
      <c r="D452" s="132" t="s">
        <v>151</v>
      </c>
      <c r="E452" s="121" t="s">
        <v>1587</v>
      </c>
      <c r="F452" s="614">
        <v>46045</v>
      </c>
      <c r="G452" s="42" t="s">
        <v>55</v>
      </c>
      <c r="H452" s="42">
        <v>2</v>
      </c>
      <c r="I452" s="61">
        <v>240000</v>
      </c>
      <c r="J452" s="42">
        <v>2</v>
      </c>
      <c r="K452" s="321">
        <f t="shared" si="7"/>
        <v>120000</v>
      </c>
      <c r="L452" s="284">
        <v>46388</v>
      </c>
      <c r="M452" s="284">
        <v>46752</v>
      </c>
      <c r="N452" s="63" t="s">
        <v>520</v>
      </c>
      <c r="O452" s="42"/>
      <c r="P452" s="42"/>
      <c r="Q452" s="63" t="s">
        <v>1588</v>
      </c>
      <c r="R452" s="63"/>
      <c r="S452" s="63" t="s">
        <v>1482</v>
      </c>
      <c r="T452" s="63"/>
      <c r="U452" s="63"/>
      <c r="V452" s="63"/>
      <c r="W452" s="63"/>
      <c r="X452" s="63"/>
      <c r="Y452" s="63"/>
      <c r="Z452" s="63"/>
      <c r="AA452" s="63"/>
      <c r="AB452" s="63"/>
      <c r="AC452" s="63" t="s">
        <v>478</v>
      </c>
      <c r="AD452" s="42" t="s">
        <v>63</v>
      </c>
      <c r="AE452" s="42">
        <v>3</v>
      </c>
      <c r="AF452" s="63" t="s">
        <v>667</v>
      </c>
    </row>
    <row r="453" spans="2:32" ht="15" customHeight="1" x14ac:dyDescent="0.3">
      <c r="B453" s="42" t="s">
        <v>2</v>
      </c>
      <c r="C453" s="68" t="s">
        <v>1589</v>
      </c>
      <c r="D453" s="132" t="s">
        <v>1317</v>
      </c>
      <c r="E453" s="121" t="s">
        <v>1590</v>
      </c>
      <c r="F453" s="345">
        <v>46064</v>
      </c>
      <c r="G453" s="42" t="s">
        <v>55</v>
      </c>
      <c r="H453" s="42">
        <v>1</v>
      </c>
      <c r="I453" s="61">
        <v>80000</v>
      </c>
      <c r="J453" s="42">
        <v>2</v>
      </c>
      <c r="K453" s="321">
        <f t="shared" si="7"/>
        <v>40000</v>
      </c>
      <c r="L453" s="615">
        <v>46023</v>
      </c>
      <c r="M453" s="618">
        <v>46387</v>
      </c>
      <c r="N453" s="63" t="s">
        <v>520</v>
      </c>
      <c r="O453" s="42"/>
      <c r="P453" s="42"/>
      <c r="Q453" s="62" t="s">
        <v>607</v>
      </c>
      <c r="R453" s="63"/>
      <c r="S453" s="63" t="s">
        <v>608</v>
      </c>
      <c r="T453" s="63"/>
      <c r="U453" s="63"/>
      <c r="V453" s="63"/>
      <c r="W453" s="63"/>
      <c r="X453" s="63"/>
      <c r="Y453" s="63"/>
      <c r="Z453" s="63"/>
      <c r="AA453" s="63"/>
      <c r="AB453" s="63"/>
      <c r="AC453" s="63" t="s">
        <v>478</v>
      </c>
      <c r="AD453" s="42" t="s">
        <v>63</v>
      </c>
      <c r="AE453" s="42">
        <v>3</v>
      </c>
      <c r="AF453" s="63" t="s">
        <v>1319</v>
      </c>
    </row>
    <row r="454" spans="2:32" ht="15" customHeight="1" x14ac:dyDescent="0.3">
      <c r="B454" s="42" t="s">
        <v>2</v>
      </c>
      <c r="C454" s="68" t="s">
        <v>598</v>
      </c>
      <c r="D454" s="132" t="s">
        <v>388</v>
      </c>
      <c r="E454" s="84">
        <v>3800068822</v>
      </c>
      <c r="F454" s="345">
        <v>46069</v>
      </c>
      <c r="G454" s="42" t="s">
        <v>55</v>
      </c>
      <c r="H454" s="42">
        <v>2</v>
      </c>
      <c r="I454" s="61">
        <v>116000</v>
      </c>
      <c r="J454" s="42">
        <v>2</v>
      </c>
      <c r="K454" s="321">
        <f t="shared" si="7"/>
        <v>58000</v>
      </c>
      <c r="L454" s="615">
        <v>46082</v>
      </c>
      <c r="M454" s="615">
        <v>46446</v>
      </c>
      <c r="N454" s="63" t="s">
        <v>520</v>
      </c>
      <c r="O454" s="42"/>
      <c r="P454" s="42"/>
      <c r="Q454" s="63" t="s">
        <v>1235</v>
      </c>
      <c r="R454" s="63"/>
      <c r="S454" s="63" t="s">
        <v>1534</v>
      </c>
      <c r="T454" s="63"/>
      <c r="U454" s="63"/>
      <c r="V454" s="63"/>
      <c r="W454" s="63"/>
      <c r="X454" s="63"/>
      <c r="Y454" s="63"/>
      <c r="Z454" s="63"/>
      <c r="AA454" s="63"/>
      <c r="AB454" s="63"/>
      <c r="AC454" s="63" t="s">
        <v>478</v>
      </c>
      <c r="AD454" s="42" t="s">
        <v>63</v>
      </c>
      <c r="AE454" s="42">
        <v>2</v>
      </c>
      <c r="AF454" s="63" t="s">
        <v>799</v>
      </c>
    </row>
    <row r="455" spans="2:32" ht="15" customHeight="1" x14ac:dyDescent="0.3">
      <c r="B455" s="42" t="s">
        <v>2</v>
      </c>
      <c r="C455" s="575" t="s">
        <v>1591</v>
      </c>
      <c r="D455" s="571" t="s">
        <v>1592</v>
      </c>
      <c r="E455" s="175">
        <v>4601527055</v>
      </c>
      <c r="F455" s="345">
        <v>46073</v>
      </c>
      <c r="G455" s="42" t="s">
        <v>55</v>
      </c>
      <c r="H455" s="42">
        <v>1</v>
      </c>
      <c r="I455" s="61">
        <v>75000</v>
      </c>
      <c r="J455" s="42">
        <v>3</v>
      </c>
      <c r="K455" s="321">
        <f t="shared" si="7"/>
        <v>25000</v>
      </c>
      <c r="L455" s="585">
        <v>46073</v>
      </c>
      <c r="M455" s="585">
        <v>46437</v>
      </c>
      <c r="N455" s="63" t="s">
        <v>520</v>
      </c>
      <c r="O455" s="42"/>
      <c r="P455" s="42"/>
      <c r="Q455" s="63" t="s">
        <v>1333</v>
      </c>
      <c r="R455" s="63"/>
      <c r="S455" s="63" t="s">
        <v>1334</v>
      </c>
      <c r="T455" s="63"/>
      <c r="U455" s="63" t="s">
        <v>1593</v>
      </c>
      <c r="V455" s="63"/>
      <c r="W455" s="63"/>
      <c r="X455" s="63"/>
      <c r="Y455" s="63"/>
      <c r="Z455" s="63"/>
      <c r="AA455" s="63"/>
      <c r="AB455" s="63"/>
      <c r="AC455" s="63" t="s">
        <v>478</v>
      </c>
      <c r="AD455" s="42" t="s">
        <v>63</v>
      </c>
      <c r="AE455" s="42">
        <v>3</v>
      </c>
      <c r="AF455" s="63"/>
    </row>
    <row r="456" spans="2:32" ht="15" customHeight="1" x14ac:dyDescent="0.3">
      <c r="B456" s="42" t="s">
        <v>2</v>
      </c>
      <c r="C456" s="576" t="s">
        <v>1328</v>
      </c>
      <c r="D456" s="577" t="s">
        <v>841</v>
      </c>
      <c r="E456" s="189">
        <v>470079278</v>
      </c>
      <c r="F456" s="611">
        <v>46055</v>
      </c>
      <c r="G456" s="42" t="s">
        <v>55</v>
      </c>
      <c r="H456" s="42">
        <v>10</v>
      </c>
      <c r="I456" s="61">
        <v>633600</v>
      </c>
      <c r="J456" s="42">
        <v>1</v>
      </c>
      <c r="K456" s="321">
        <f t="shared" si="7"/>
        <v>633600</v>
      </c>
      <c r="L456" s="62">
        <v>46023</v>
      </c>
      <c r="M456" s="62">
        <v>46387</v>
      </c>
      <c r="N456" s="63" t="s">
        <v>520</v>
      </c>
      <c r="O456" s="42"/>
      <c r="P456" s="42"/>
      <c r="Q456" s="63" t="s">
        <v>1594</v>
      </c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 t="s">
        <v>485</v>
      </c>
      <c r="AD456" s="42" t="s">
        <v>63</v>
      </c>
      <c r="AE456" s="42">
        <v>2</v>
      </c>
      <c r="AF456" s="63" t="s">
        <v>1488</v>
      </c>
    </row>
    <row r="457" spans="2:32" ht="15" customHeight="1" x14ac:dyDescent="0.3">
      <c r="B457" s="26" t="s">
        <v>2</v>
      </c>
      <c r="C457" s="565" t="s">
        <v>1595</v>
      </c>
      <c r="D457" s="566" t="s">
        <v>818</v>
      </c>
      <c r="E457" s="304" t="s">
        <v>1596</v>
      </c>
      <c r="F457" s="343">
        <v>46056</v>
      </c>
      <c r="G457" s="26" t="s">
        <v>55</v>
      </c>
      <c r="H457" s="26">
        <v>9</v>
      </c>
      <c r="I457" s="56">
        <v>949104</v>
      </c>
      <c r="J457" s="26">
        <v>3</v>
      </c>
      <c r="K457" s="321">
        <f t="shared" ref="K457:K520" si="8">I457/J457</f>
        <v>316368</v>
      </c>
      <c r="L457" s="567">
        <v>46082</v>
      </c>
      <c r="M457" s="567">
        <v>46446</v>
      </c>
      <c r="N457" s="58" t="s">
        <v>520</v>
      </c>
      <c r="O457" s="26"/>
      <c r="P457" s="26"/>
      <c r="Q457" s="59" t="s">
        <v>194</v>
      </c>
      <c r="R457" s="58" t="s">
        <v>1736</v>
      </c>
      <c r="S457" s="58" t="s">
        <v>1344</v>
      </c>
      <c r="T457" s="58"/>
      <c r="U457" s="58" t="s">
        <v>1597</v>
      </c>
      <c r="V457" s="58"/>
      <c r="W457" s="58"/>
      <c r="X457" s="58"/>
      <c r="Y457" s="58"/>
      <c r="Z457" s="58"/>
      <c r="AA457" s="58"/>
      <c r="AB457" s="58"/>
      <c r="AC457" s="58" t="s">
        <v>281</v>
      </c>
      <c r="AD457" s="26" t="s">
        <v>97</v>
      </c>
      <c r="AE457" s="26">
        <v>3</v>
      </c>
      <c r="AF457" s="58" t="s">
        <v>1345</v>
      </c>
    </row>
    <row r="458" spans="2:32" ht="15" hidden="1" customHeight="1" x14ac:dyDescent="0.3">
      <c r="B458" s="42" t="s">
        <v>2</v>
      </c>
      <c r="C458" s="575" t="s">
        <v>1595</v>
      </c>
      <c r="D458" s="571" t="s">
        <v>818</v>
      </c>
      <c r="E458" s="175" t="s">
        <v>1596</v>
      </c>
      <c r="F458" s="345">
        <v>46056</v>
      </c>
      <c r="G458" s="42" t="s">
        <v>55</v>
      </c>
      <c r="H458" s="42"/>
      <c r="I458" s="61">
        <v>949104</v>
      </c>
      <c r="J458" s="42">
        <v>3</v>
      </c>
      <c r="K458" s="321">
        <f t="shared" si="8"/>
        <v>316368</v>
      </c>
      <c r="L458" s="284">
        <v>46447</v>
      </c>
      <c r="M458" s="284">
        <v>46812</v>
      </c>
      <c r="N458" s="63" t="s">
        <v>520</v>
      </c>
      <c r="O458" s="42"/>
      <c r="P458" s="42"/>
      <c r="Q458" s="63" t="s">
        <v>1598</v>
      </c>
      <c r="R458" s="63"/>
      <c r="S458" s="63" t="s">
        <v>1599</v>
      </c>
      <c r="T458" s="63"/>
      <c r="U458" s="63" t="s">
        <v>1600</v>
      </c>
      <c r="V458" s="63"/>
      <c r="W458" s="63"/>
      <c r="X458" s="63"/>
      <c r="Y458" s="63"/>
      <c r="Z458" s="63"/>
      <c r="AA458" s="63"/>
      <c r="AB458" s="63"/>
      <c r="AC458" s="63" t="s">
        <v>281</v>
      </c>
      <c r="AD458" s="42" t="s">
        <v>97</v>
      </c>
      <c r="AE458" s="42">
        <v>3</v>
      </c>
      <c r="AF458" s="63" t="s">
        <v>1345</v>
      </c>
    </row>
    <row r="459" spans="2:32" ht="15" customHeight="1" x14ac:dyDescent="0.3">
      <c r="B459" s="26" t="s">
        <v>2</v>
      </c>
      <c r="C459" s="39" t="s">
        <v>889</v>
      </c>
      <c r="D459" s="562" t="s">
        <v>890</v>
      </c>
      <c r="E459" s="50">
        <v>4500037089</v>
      </c>
      <c r="F459" s="343">
        <v>46077</v>
      </c>
      <c r="G459" s="26" t="s">
        <v>55</v>
      </c>
      <c r="H459" s="26">
        <v>2</v>
      </c>
      <c r="I459" s="56">
        <v>217800</v>
      </c>
      <c r="J459" s="26">
        <v>2</v>
      </c>
      <c r="K459" s="321">
        <f t="shared" si="8"/>
        <v>108900</v>
      </c>
      <c r="L459" s="348">
        <v>46054</v>
      </c>
      <c r="M459" s="619">
        <v>46418</v>
      </c>
      <c r="N459" s="58" t="s">
        <v>520</v>
      </c>
      <c r="O459" s="26"/>
      <c r="P459" s="26"/>
      <c r="Q459" s="59" t="s">
        <v>426</v>
      </c>
      <c r="R459" s="58" t="s">
        <v>1338</v>
      </c>
      <c r="S459" s="58" t="s">
        <v>427</v>
      </c>
      <c r="T459" s="58"/>
      <c r="U459" s="58"/>
      <c r="V459" s="58"/>
      <c r="W459" s="58"/>
      <c r="X459" s="58"/>
      <c r="Y459" s="58"/>
      <c r="Z459" s="58"/>
      <c r="AA459" s="58"/>
      <c r="AB459" s="58"/>
      <c r="AC459" s="58" t="s">
        <v>1535</v>
      </c>
      <c r="AD459" s="26" t="s">
        <v>97</v>
      </c>
      <c r="AE459" s="26">
        <v>2</v>
      </c>
      <c r="AF459" s="58" t="s">
        <v>799</v>
      </c>
    </row>
    <row r="460" spans="2:32" ht="15" customHeight="1" x14ac:dyDescent="0.3">
      <c r="B460" s="42" t="s">
        <v>3</v>
      </c>
      <c r="C460" s="68" t="s">
        <v>739</v>
      </c>
      <c r="D460" s="582" t="s">
        <v>1601</v>
      </c>
      <c r="E460" s="303">
        <v>3400016097</v>
      </c>
      <c r="F460" s="345">
        <v>46070</v>
      </c>
      <c r="G460" s="42" t="s">
        <v>55</v>
      </c>
      <c r="H460" s="42">
        <v>10</v>
      </c>
      <c r="I460" s="61">
        <v>700448</v>
      </c>
      <c r="J460" s="42">
        <v>4</v>
      </c>
      <c r="K460" s="321">
        <f t="shared" si="8"/>
        <v>175112</v>
      </c>
      <c r="L460" s="615">
        <v>46054</v>
      </c>
      <c r="M460" s="615">
        <v>46418</v>
      </c>
      <c r="N460" s="63" t="s">
        <v>520</v>
      </c>
      <c r="O460" s="42"/>
      <c r="P460" s="42"/>
      <c r="Q460" s="64" t="s">
        <v>442</v>
      </c>
      <c r="R460" s="63" t="s">
        <v>1602</v>
      </c>
      <c r="S460" s="63" t="s">
        <v>444</v>
      </c>
      <c r="T460" s="63"/>
      <c r="U460" s="63" t="s">
        <v>445</v>
      </c>
      <c r="V460" s="63"/>
      <c r="W460" s="63" t="s">
        <v>456</v>
      </c>
      <c r="X460" s="63"/>
      <c r="Y460" s="63"/>
      <c r="Z460" s="63"/>
      <c r="AA460" s="63"/>
      <c r="AB460" s="63"/>
      <c r="AC460" s="63" t="s">
        <v>96</v>
      </c>
      <c r="AD460" s="42" t="s">
        <v>97</v>
      </c>
      <c r="AE460" s="42" t="s">
        <v>494</v>
      </c>
      <c r="AF460" s="63" t="s">
        <v>835</v>
      </c>
    </row>
    <row r="461" spans="2:32" ht="15" customHeight="1" x14ac:dyDescent="0.3">
      <c r="B461" s="42" t="s">
        <v>3</v>
      </c>
      <c r="C461" s="575" t="s">
        <v>1603</v>
      </c>
      <c r="D461" s="571" t="s">
        <v>590</v>
      </c>
      <c r="E461" s="175">
        <v>2500000150</v>
      </c>
      <c r="F461" s="345">
        <v>46077</v>
      </c>
      <c r="G461" s="42" t="s">
        <v>55</v>
      </c>
      <c r="H461" s="42">
        <v>1</v>
      </c>
      <c r="I461" s="61">
        <v>137749.98000000001</v>
      </c>
      <c r="J461" s="42">
        <v>3</v>
      </c>
      <c r="K461" s="321">
        <f t="shared" si="8"/>
        <v>45916.66</v>
      </c>
      <c r="L461" s="585">
        <v>46082</v>
      </c>
      <c r="M461" s="585">
        <v>46446</v>
      </c>
      <c r="N461" s="63" t="s">
        <v>520</v>
      </c>
      <c r="O461" s="42"/>
      <c r="P461" s="42"/>
      <c r="Q461" s="64" t="s">
        <v>194</v>
      </c>
      <c r="R461" s="63" t="s">
        <v>1737</v>
      </c>
      <c r="S461" s="63" t="s">
        <v>496</v>
      </c>
      <c r="T461" s="63"/>
      <c r="U461" s="63" t="s">
        <v>1597</v>
      </c>
      <c r="V461" s="63"/>
      <c r="W461" s="63"/>
      <c r="X461" s="63"/>
      <c r="Y461" s="63"/>
      <c r="Z461" s="63"/>
      <c r="AA461" s="63"/>
      <c r="AB461" s="63"/>
      <c r="AC461" s="63" t="s">
        <v>551</v>
      </c>
      <c r="AD461" s="42" t="s">
        <v>207</v>
      </c>
      <c r="AE461" s="42">
        <v>3</v>
      </c>
      <c r="AF461" s="63" t="s">
        <v>667</v>
      </c>
    </row>
    <row r="462" spans="2:32" ht="15" customHeight="1" x14ac:dyDescent="0.3">
      <c r="B462" s="42" t="s">
        <v>3</v>
      </c>
      <c r="C462" s="68" t="s">
        <v>1326</v>
      </c>
      <c r="D462" s="135" t="s">
        <v>151</v>
      </c>
      <c r="E462" s="42">
        <v>929036351</v>
      </c>
      <c r="F462" s="345">
        <v>46078</v>
      </c>
      <c r="G462" s="42" t="s">
        <v>55</v>
      </c>
      <c r="H462" s="42">
        <v>1</v>
      </c>
      <c r="I462" s="61">
        <v>96000</v>
      </c>
      <c r="J462" s="42">
        <v>3</v>
      </c>
      <c r="K462" s="321">
        <f t="shared" si="8"/>
        <v>32000</v>
      </c>
      <c r="L462" s="615">
        <v>46023</v>
      </c>
      <c r="M462" s="615">
        <v>46387</v>
      </c>
      <c r="N462" s="63" t="s">
        <v>520</v>
      </c>
      <c r="O462" s="66"/>
      <c r="P462" s="42"/>
      <c r="Q462" s="64" t="s">
        <v>1559</v>
      </c>
      <c r="R462" s="63" t="s">
        <v>1718</v>
      </c>
      <c r="S462" s="63" t="s">
        <v>348</v>
      </c>
      <c r="T462" s="63"/>
      <c r="U462" s="63" t="s">
        <v>349</v>
      </c>
      <c r="V462" s="63"/>
      <c r="W462" s="63"/>
      <c r="X462" s="63"/>
      <c r="Y462" s="63"/>
      <c r="Z462" s="63"/>
      <c r="AA462" s="63"/>
      <c r="AB462" s="63"/>
      <c r="AC462" s="63" t="s">
        <v>507</v>
      </c>
      <c r="AD462" s="42" t="s">
        <v>63</v>
      </c>
      <c r="AE462" s="42">
        <v>3</v>
      </c>
      <c r="AF462" s="63" t="s">
        <v>1604</v>
      </c>
    </row>
    <row r="463" spans="2:32" ht="15" customHeight="1" x14ac:dyDescent="0.3">
      <c r="B463" s="42" t="s">
        <v>3</v>
      </c>
      <c r="C463" s="94" t="s">
        <v>614</v>
      </c>
      <c r="D463" s="586" t="s">
        <v>447</v>
      </c>
      <c r="E463" s="318" t="s">
        <v>1605</v>
      </c>
      <c r="F463" s="611">
        <v>46064</v>
      </c>
      <c r="G463" s="42" t="s">
        <v>55</v>
      </c>
      <c r="H463" s="42">
        <v>3</v>
      </c>
      <c r="I463" s="61">
        <v>229320</v>
      </c>
      <c r="J463" s="42">
        <v>3</v>
      </c>
      <c r="K463" s="321">
        <f t="shared" si="8"/>
        <v>76440</v>
      </c>
      <c r="L463" s="615">
        <v>46023</v>
      </c>
      <c r="M463" s="615">
        <v>46387</v>
      </c>
      <c r="N463" s="63" t="s">
        <v>520</v>
      </c>
      <c r="O463" s="63"/>
      <c r="P463" s="63"/>
      <c r="Q463" s="64" t="s">
        <v>1559</v>
      </c>
      <c r="R463" s="63" t="s">
        <v>149</v>
      </c>
      <c r="S463" s="63" t="s">
        <v>348</v>
      </c>
      <c r="T463" s="63"/>
      <c r="U463" s="63" t="s">
        <v>349</v>
      </c>
      <c r="V463" s="63"/>
      <c r="W463" s="63"/>
      <c r="X463" s="63"/>
      <c r="Y463" s="63"/>
      <c r="Z463" s="63"/>
      <c r="AA463" s="63"/>
      <c r="AB463" s="63"/>
      <c r="AC463" s="63" t="s">
        <v>281</v>
      </c>
      <c r="AD463" s="42" t="s">
        <v>97</v>
      </c>
      <c r="AE463" s="42">
        <v>3</v>
      </c>
      <c r="AF463" s="63" t="s">
        <v>1606</v>
      </c>
    </row>
    <row r="464" spans="2:32" ht="15" customHeight="1" x14ac:dyDescent="0.3">
      <c r="B464" s="26" t="s">
        <v>3</v>
      </c>
      <c r="C464" s="565" t="s">
        <v>1607</v>
      </c>
      <c r="D464" s="566" t="s">
        <v>1608</v>
      </c>
      <c r="E464" s="269">
        <v>4500042093</v>
      </c>
      <c r="F464" s="343">
        <v>46065</v>
      </c>
      <c r="G464" s="26" t="s">
        <v>55</v>
      </c>
      <c r="H464" s="26">
        <v>2</v>
      </c>
      <c r="I464" s="56">
        <v>160000</v>
      </c>
      <c r="J464" s="26">
        <v>4</v>
      </c>
      <c r="K464" s="321">
        <f t="shared" si="8"/>
        <v>40000</v>
      </c>
      <c r="L464" s="348">
        <v>46023</v>
      </c>
      <c r="M464" s="348">
        <v>46387</v>
      </c>
      <c r="N464" s="58" t="s">
        <v>520</v>
      </c>
      <c r="O464" s="26"/>
      <c r="P464" s="26"/>
      <c r="Q464" s="59" t="s">
        <v>396</v>
      </c>
      <c r="R464" s="58" t="s">
        <v>466</v>
      </c>
      <c r="S464" s="58" t="s">
        <v>397</v>
      </c>
      <c r="T464" s="58"/>
      <c r="U464" s="58" t="s">
        <v>496</v>
      </c>
      <c r="V464" s="58"/>
      <c r="W464" s="58" t="s">
        <v>497</v>
      </c>
      <c r="X464" s="58"/>
      <c r="Y464" s="58"/>
      <c r="Z464" s="58"/>
      <c r="AA464" s="58"/>
      <c r="AB464" s="58"/>
      <c r="AC464" s="58" t="s">
        <v>619</v>
      </c>
      <c r="AD464" s="26" t="s">
        <v>63</v>
      </c>
      <c r="AE464" s="26">
        <v>4</v>
      </c>
      <c r="AF464" s="58" t="s">
        <v>667</v>
      </c>
    </row>
    <row r="465" spans="2:32" ht="15" hidden="1" customHeight="1" x14ac:dyDescent="0.3">
      <c r="B465" s="26" t="s">
        <v>3</v>
      </c>
      <c r="C465" s="565" t="s">
        <v>1607</v>
      </c>
      <c r="D465" s="566" t="s">
        <v>1608</v>
      </c>
      <c r="E465" s="269">
        <v>4500042093</v>
      </c>
      <c r="F465" s="343">
        <v>46065</v>
      </c>
      <c r="G465" s="26" t="s">
        <v>55</v>
      </c>
      <c r="H465" s="26"/>
      <c r="I465" s="56">
        <v>160000</v>
      </c>
      <c r="J465" s="26">
        <v>4</v>
      </c>
      <c r="K465" s="321">
        <f t="shared" si="8"/>
        <v>40000</v>
      </c>
      <c r="L465" s="283">
        <v>46388</v>
      </c>
      <c r="M465" s="283">
        <v>46752</v>
      </c>
      <c r="N465" s="58" t="s">
        <v>520</v>
      </c>
      <c r="O465" s="26"/>
      <c r="P465" s="26"/>
      <c r="Q465" s="58" t="s">
        <v>498</v>
      </c>
      <c r="R465" s="58"/>
      <c r="S465" s="58" t="s">
        <v>499</v>
      </c>
      <c r="T465" s="58"/>
      <c r="U465" s="58" t="s">
        <v>500</v>
      </c>
      <c r="V465" s="58"/>
      <c r="W465" s="58" t="s">
        <v>501</v>
      </c>
      <c r="X465" s="58"/>
      <c r="Y465" s="58"/>
      <c r="Z465" s="58"/>
      <c r="AA465" s="58"/>
      <c r="AB465" s="58"/>
      <c r="AC465" s="58" t="s">
        <v>619</v>
      </c>
      <c r="AD465" s="26" t="s">
        <v>63</v>
      </c>
      <c r="AE465" s="26">
        <v>4</v>
      </c>
      <c r="AF465" s="58" t="s">
        <v>667</v>
      </c>
    </row>
    <row r="466" spans="2:32" ht="15" hidden="1" customHeight="1" x14ac:dyDescent="0.3">
      <c r="B466" s="42" t="s">
        <v>3</v>
      </c>
      <c r="C466" s="575" t="s">
        <v>1607</v>
      </c>
      <c r="D466" s="571" t="s">
        <v>1608</v>
      </c>
      <c r="E466" s="175">
        <v>4500042093</v>
      </c>
      <c r="F466" s="345">
        <v>46065</v>
      </c>
      <c r="G466" s="42" t="s">
        <v>55</v>
      </c>
      <c r="H466" s="42"/>
      <c r="I466" s="61">
        <v>160000</v>
      </c>
      <c r="J466" s="42">
        <v>4</v>
      </c>
      <c r="K466" s="321">
        <f t="shared" si="8"/>
        <v>40000</v>
      </c>
      <c r="L466" s="284">
        <v>46753</v>
      </c>
      <c r="M466" s="284">
        <v>47118</v>
      </c>
      <c r="N466" s="63" t="s">
        <v>520</v>
      </c>
      <c r="O466" s="42"/>
      <c r="P466" s="42"/>
      <c r="Q466" s="63" t="s">
        <v>674</v>
      </c>
      <c r="R466" s="63"/>
      <c r="S466" s="63" t="s">
        <v>1279</v>
      </c>
      <c r="T466" s="63"/>
      <c r="U466" s="63" t="s">
        <v>1280</v>
      </c>
      <c r="V466" s="63"/>
      <c r="W466" s="63" t="s">
        <v>1398</v>
      </c>
      <c r="X466" s="63"/>
      <c r="Y466" s="63"/>
      <c r="Z466" s="63"/>
      <c r="AA466" s="63"/>
      <c r="AB466" s="63"/>
      <c r="AC466" s="58" t="s">
        <v>619</v>
      </c>
      <c r="AD466" s="26" t="s">
        <v>63</v>
      </c>
      <c r="AE466" s="26">
        <v>4</v>
      </c>
      <c r="AF466" s="58" t="s">
        <v>667</v>
      </c>
    </row>
    <row r="467" spans="2:32" ht="15" customHeight="1" x14ac:dyDescent="0.3">
      <c r="B467" s="42" t="s">
        <v>3</v>
      </c>
      <c r="C467" s="68" t="s">
        <v>1609</v>
      </c>
      <c r="D467" s="132" t="s">
        <v>1610</v>
      </c>
      <c r="E467" s="121" t="s">
        <v>1611</v>
      </c>
      <c r="F467" s="345">
        <v>46091</v>
      </c>
      <c r="G467" s="42" t="s">
        <v>55</v>
      </c>
      <c r="H467" s="42">
        <v>1</v>
      </c>
      <c r="I467" s="61">
        <v>135000</v>
      </c>
      <c r="J467" s="42">
        <v>3</v>
      </c>
      <c r="K467" s="321">
        <f t="shared" si="8"/>
        <v>45000</v>
      </c>
      <c r="L467" s="615">
        <v>46091</v>
      </c>
      <c r="M467" s="615">
        <v>46455</v>
      </c>
      <c r="N467" s="63" t="s">
        <v>520</v>
      </c>
      <c r="O467" s="42"/>
      <c r="P467" s="42"/>
      <c r="Q467" s="64" t="s">
        <v>1092</v>
      </c>
      <c r="R467" s="63" t="s">
        <v>1338</v>
      </c>
      <c r="S467" s="63" t="s">
        <v>1612</v>
      </c>
      <c r="T467" s="63"/>
      <c r="U467" s="63" t="s">
        <v>1613</v>
      </c>
      <c r="V467" s="63"/>
      <c r="W467" s="63"/>
      <c r="X467" s="63"/>
      <c r="Y467" s="63"/>
      <c r="Z467" s="63"/>
      <c r="AA467" s="63"/>
      <c r="AB467" s="63"/>
      <c r="AC467" s="63" t="s">
        <v>551</v>
      </c>
      <c r="AD467" s="42" t="s">
        <v>207</v>
      </c>
      <c r="AE467" s="42">
        <v>3</v>
      </c>
      <c r="AF467" s="63" t="s">
        <v>799</v>
      </c>
    </row>
    <row r="468" spans="2:32" ht="15" customHeight="1" x14ac:dyDescent="0.3">
      <c r="B468" s="42" t="s">
        <v>3</v>
      </c>
      <c r="C468" s="587" t="s">
        <v>975</v>
      </c>
      <c r="D468" s="574" t="s">
        <v>1136</v>
      </c>
      <c r="E468" s="303">
        <v>6100013456</v>
      </c>
      <c r="F468" s="345">
        <v>46069</v>
      </c>
      <c r="G468" s="42" t="s">
        <v>55</v>
      </c>
      <c r="H468" s="42">
        <v>7</v>
      </c>
      <c r="I468" s="61">
        <v>784000</v>
      </c>
      <c r="J468" s="42">
        <v>3</v>
      </c>
      <c r="K468" s="321">
        <f>I468/2</f>
        <v>392000</v>
      </c>
      <c r="L468" s="620">
        <v>46082</v>
      </c>
      <c r="M468" s="620">
        <v>46446</v>
      </c>
      <c r="N468" s="63" t="s">
        <v>520</v>
      </c>
      <c r="O468" s="42"/>
      <c r="P468" s="42"/>
      <c r="Q468" s="64" t="s">
        <v>194</v>
      </c>
      <c r="R468" s="63" t="s">
        <v>1614</v>
      </c>
      <c r="S468" s="63" t="s">
        <v>1344</v>
      </c>
      <c r="T468" s="63" t="s">
        <v>1615</v>
      </c>
      <c r="U468" s="63" t="s">
        <v>1597</v>
      </c>
      <c r="V468" s="63"/>
      <c r="W468" s="63"/>
      <c r="X468" s="63"/>
      <c r="Y468" s="63"/>
      <c r="Z468" s="63"/>
      <c r="AA468" s="63"/>
      <c r="AB468" s="63"/>
      <c r="AC468" s="63" t="s">
        <v>551</v>
      </c>
      <c r="AD468" s="42" t="s">
        <v>207</v>
      </c>
      <c r="AE468" s="42">
        <v>3</v>
      </c>
      <c r="AF468" s="332" t="s">
        <v>1616</v>
      </c>
    </row>
    <row r="469" spans="2:32" ht="15" customHeight="1" x14ac:dyDescent="0.3">
      <c r="B469" s="42" t="s">
        <v>3</v>
      </c>
      <c r="C469" s="68" t="s">
        <v>1617</v>
      </c>
      <c r="D469" s="135" t="s">
        <v>1391</v>
      </c>
      <c r="E469" s="42" t="s">
        <v>1618</v>
      </c>
      <c r="F469" s="345">
        <v>46088</v>
      </c>
      <c r="G469" s="42" t="s">
        <v>55</v>
      </c>
      <c r="H469" s="42">
        <v>1</v>
      </c>
      <c r="I469" s="61">
        <v>86000</v>
      </c>
      <c r="J469" s="42">
        <v>2</v>
      </c>
      <c r="K469" s="321">
        <f t="shared" si="8"/>
        <v>43000</v>
      </c>
      <c r="L469" s="615">
        <v>46082</v>
      </c>
      <c r="M469" s="615">
        <v>46446</v>
      </c>
      <c r="N469" s="63" t="s">
        <v>520</v>
      </c>
      <c r="O469" s="42"/>
      <c r="P469" s="42"/>
      <c r="Q469" s="63" t="s">
        <v>1235</v>
      </c>
      <c r="R469" s="63"/>
      <c r="S469" s="63" t="s">
        <v>1534</v>
      </c>
      <c r="T469" s="63"/>
      <c r="U469" s="63"/>
      <c r="V469" s="63"/>
      <c r="W469" s="63"/>
      <c r="X469" s="63"/>
      <c r="Y469" s="63"/>
      <c r="Z469" s="63"/>
      <c r="AA469" s="63"/>
      <c r="AB469" s="63"/>
      <c r="AC469" s="63" t="s">
        <v>485</v>
      </c>
      <c r="AD469" s="42" t="s">
        <v>1619</v>
      </c>
      <c r="AE469" s="42">
        <v>2</v>
      </c>
      <c r="AF469" s="63" t="s">
        <v>1620</v>
      </c>
    </row>
    <row r="470" spans="2:32" ht="15" customHeight="1" x14ac:dyDescent="0.3">
      <c r="B470" s="42" t="s">
        <v>3</v>
      </c>
      <c r="C470" s="575" t="s">
        <v>1385</v>
      </c>
      <c r="D470" s="571" t="s">
        <v>151</v>
      </c>
      <c r="E470" s="175">
        <v>4500090498</v>
      </c>
      <c r="F470" s="345">
        <v>46063</v>
      </c>
      <c r="G470" s="42" t="s">
        <v>55</v>
      </c>
      <c r="H470" s="42">
        <v>1</v>
      </c>
      <c r="I470" s="61">
        <v>90000</v>
      </c>
      <c r="J470" s="42">
        <v>1</v>
      </c>
      <c r="K470" s="321">
        <f t="shared" si="8"/>
        <v>90000</v>
      </c>
      <c r="L470" s="585">
        <v>46023</v>
      </c>
      <c r="M470" s="585">
        <v>46387</v>
      </c>
      <c r="N470" s="63" t="s">
        <v>520</v>
      </c>
      <c r="O470" s="42"/>
      <c r="P470" s="42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 t="s">
        <v>478</v>
      </c>
      <c r="AD470" s="42" t="s">
        <v>63</v>
      </c>
      <c r="AE470" s="42">
        <v>1</v>
      </c>
      <c r="AF470" s="63" t="s">
        <v>667</v>
      </c>
    </row>
    <row r="471" spans="2:32" ht="15" customHeight="1" x14ac:dyDescent="0.3">
      <c r="B471" s="26" t="s">
        <v>3</v>
      </c>
      <c r="C471" s="58" t="s">
        <v>1621</v>
      </c>
      <c r="D471" s="233" t="s">
        <v>693</v>
      </c>
      <c r="E471" s="125">
        <v>6000085013</v>
      </c>
      <c r="F471" s="343">
        <v>46078</v>
      </c>
      <c r="G471" s="26" t="s">
        <v>55</v>
      </c>
      <c r="H471" s="26">
        <v>1</v>
      </c>
      <c r="I471" s="56">
        <v>136905</v>
      </c>
      <c r="J471" s="26">
        <v>3</v>
      </c>
      <c r="K471" s="321">
        <f t="shared" si="8"/>
        <v>45635</v>
      </c>
      <c r="L471" s="348">
        <v>46082</v>
      </c>
      <c r="M471" s="348">
        <v>46446</v>
      </c>
      <c r="N471" s="58" t="s">
        <v>520</v>
      </c>
      <c r="O471" s="26"/>
      <c r="P471" s="26"/>
      <c r="Q471" s="59" t="s">
        <v>194</v>
      </c>
      <c r="R471" s="58" t="s">
        <v>331</v>
      </c>
      <c r="S471" s="58" t="s">
        <v>1344</v>
      </c>
      <c r="T471" s="58"/>
      <c r="U471" s="58" t="s">
        <v>1597</v>
      </c>
      <c r="V471" s="58"/>
      <c r="W471" s="58"/>
      <c r="X471" s="58"/>
      <c r="Y471" s="58"/>
      <c r="Z471" s="58"/>
      <c r="AA471" s="58"/>
      <c r="AB471" s="58"/>
      <c r="AC471" s="58" t="s">
        <v>128</v>
      </c>
      <c r="AD471" s="26" t="s">
        <v>129</v>
      </c>
      <c r="AE471" s="26">
        <v>2</v>
      </c>
      <c r="AF471" s="58" t="s">
        <v>667</v>
      </c>
    </row>
    <row r="472" spans="2:32" ht="15" hidden="1" customHeight="1" x14ac:dyDescent="0.3">
      <c r="B472" s="26" t="s">
        <v>3</v>
      </c>
      <c r="C472" s="58" t="s">
        <v>1621</v>
      </c>
      <c r="D472" s="233" t="s">
        <v>693</v>
      </c>
      <c r="E472" s="125">
        <v>6000085013</v>
      </c>
      <c r="F472" s="343">
        <v>46078</v>
      </c>
      <c r="G472" s="26" t="s">
        <v>55</v>
      </c>
      <c r="H472" s="26"/>
      <c r="I472" s="56">
        <v>136905</v>
      </c>
      <c r="J472" s="26">
        <v>3</v>
      </c>
      <c r="K472" s="321">
        <f t="shared" si="8"/>
        <v>45635</v>
      </c>
      <c r="L472" s="283">
        <v>46447</v>
      </c>
      <c r="M472" s="283">
        <v>46812</v>
      </c>
      <c r="N472" s="58" t="s">
        <v>520</v>
      </c>
      <c r="O472" s="26"/>
      <c r="P472" s="26"/>
      <c r="Q472" s="58" t="s">
        <v>1598</v>
      </c>
      <c r="R472" s="58"/>
      <c r="S472" s="58" t="s">
        <v>1599</v>
      </c>
      <c r="T472" s="58"/>
      <c r="U472" s="58" t="s">
        <v>1600</v>
      </c>
      <c r="V472" s="58"/>
      <c r="W472" s="58"/>
      <c r="X472" s="58"/>
      <c r="Y472" s="58"/>
      <c r="Z472" s="58"/>
      <c r="AA472" s="58"/>
      <c r="AB472" s="58"/>
      <c r="AC472" s="58" t="s">
        <v>128</v>
      </c>
      <c r="AD472" s="26" t="s">
        <v>129</v>
      </c>
      <c r="AE472" s="26">
        <v>2</v>
      </c>
      <c r="AF472" s="58" t="s">
        <v>667</v>
      </c>
    </row>
    <row r="473" spans="2:32" ht="15" hidden="1" customHeight="1" x14ac:dyDescent="0.3">
      <c r="B473" s="42" t="s">
        <v>3</v>
      </c>
      <c r="C473" s="63" t="s">
        <v>1621</v>
      </c>
      <c r="D473" s="81" t="s">
        <v>693</v>
      </c>
      <c r="E473" s="121">
        <v>6000085013</v>
      </c>
      <c r="F473" s="345">
        <v>46078</v>
      </c>
      <c r="G473" s="42" t="s">
        <v>55</v>
      </c>
      <c r="H473" s="42"/>
      <c r="I473" s="61">
        <v>136905</v>
      </c>
      <c r="J473" s="42">
        <v>3</v>
      </c>
      <c r="K473" s="321">
        <f t="shared" si="8"/>
        <v>45635</v>
      </c>
      <c r="L473" s="284">
        <v>46813</v>
      </c>
      <c r="M473" s="284">
        <v>47177</v>
      </c>
      <c r="N473" s="63" t="s">
        <v>520</v>
      </c>
      <c r="O473" s="42"/>
      <c r="P473" s="42"/>
      <c r="Q473" s="63" t="s">
        <v>1622</v>
      </c>
      <c r="R473" s="63"/>
      <c r="S473" s="63" t="s">
        <v>1623</v>
      </c>
      <c r="T473" s="63"/>
      <c r="U473" s="63" t="s">
        <v>1624</v>
      </c>
      <c r="V473" s="63"/>
      <c r="W473" s="63"/>
      <c r="X473" s="63"/>
      <c r="Y473" s="63"/>
      <c r="Z473" s="63"/>
      <c r="AA473" s="63"/>
      <c r="AB473" s="63"/>
      <c r="AC473" s="63" t="s">
        <v>128</v>
      </c>
      <c r="AD473" s="42" t="s">
        <v>129</v>
      </c>
      <c r="AE473" s="42">
        <v>2</v>
      </c>
      <c r="AF473" s="63" t="s">
        <v>667</v>
      </c>
    </row>
    <row r="474" spans="2:32" ht="15" customHeight="1" x14ac:dyDescent="0.3">
      <c r="B474" s="42" t="s">
        <v>3</v>
      </c>
      <c r="C474" s="575" t="s">
        <v>1625</v>
      </c>
      <c r="D474" s="571" t="s">
        <v>176</v>
      </c>
      <c r="E474" s="175">
        <v>6100109555</v>
      </c>
      <c r="F474" s="345">
        <v>46050</v>
      </c>
      <c r="G474" s="42" t="s">
        <v>55</v>
      </c>
      <c r="H474" s="42">
        <v>6</v>
      </c>
      <c r="I474" s="61">
        <v>531066</v>
      </c>
      <c r="J474" s="42">
        <v>3</v>
      </c>
      <c r="K474" s="321">
        <f t="shared" si="8"/>
        <v>177022</v>
      </c>
      <c r="L474" s="585">
        <v>46023</v>
      </c>
      <c r="M474" s="585">
        <v>46387</v>
      </c>
      <c r="N474" s="63" t="s">
        <v>520</v>
      </c>
      <c r="O474" s="42"/>
      <c r="P474" s="42"/>
      <c r="Q474" s="64" t="s">
        <v>347</v>
      </c>
      <c r="R474" s="63" t="s">
        <v>980</v>
      </c>
      <c r="S474" s="63" t="s">
        <v>348</v>
      </c>
      <c r="T474" s="63"/>
      <c r="U474" s="63" t="s">
        <v>349</v>
      </c>
      <c r="V474" s="63"/>
      <c r="W474" s="63"/>
      <c r="X474" s="63"/>
      <c r="Y474" s="63"/>
      <c r="Z474" s="63"/>
      <c r="AA474" s="63"/>
      <c r="AB474" s="63"/>
      <c r="AC474" s="63" t="s">
        <v>183</v>
      </c>
      <c r="AD474" s="42" t="s">
        <v>97</v>
      </c>
      <c r="AE474" s="42"/>
      <c r="AF474" s="63" t="s">
        <v>1626</v>
      </c>
    </row>
    <row r="475" spans="2:32" ht="15" customHeight="1" x14ac:dyDescent="0.3">
      <c r="B475" s="42" t="s">
        <v>3</v>
      </c>
      <c r="C475" s="68" t="s">
        <v>1627</v>
      </c>
      <c r="D475" s="132" t="s">
        <v>151</v>
      </c>
      <c r="E475" s="300">
        <v>8183147</v>
      </c>
      <c r="F475" s="345">
        <v>46058</v>
      </c>
      <c r="G475" s="42" t="s">
        <v>55</v>
      </c>
      <c r="H475" s="42">
        <v>3</v>
      </c>
      <c r="I475" s="61">
        <v>232500</v>
      </c>
      <c r="J475" s="42">
        <v>3</v>
      </c>
      <c r="K475" s="321">
        <f t="shared" si="8"/>
        <v>77500</v>
      </c>
      <c r="L475" s="615">
        <v>46023</v>
      </c>
      <c r="M475" s="615">
        <v>46387</v>
      </c>
      <c r="N475" s="63" t="s">
        <v>520</v>
      </c>
      <c r="O475" s="42"/>
      <c r="P475" s="42"/>
      <c r="Q475" s="64" t="s">
        <v>347</v>
      </c>
      <c r="R475" s="63" t="s">
        <v>1738</v>
      </c>
      <c r="S475" s="63" t="s">
        <v>348</v>
      </c>
      <c r="T475" s="63" t="s">
        <v>1628</v>
      </c>
      <c r="U475" s="63" t="s">
        <v>349</v>
      </c>
      <c r="V475" s="63" t="s">
        <v>1628</v>
      </c>
      <c r="W475" s="63"/>
      <c r="X475" s="63"/>
      <c r="Y475" s="63"/>
      <c r="Z475" s="63"/>
      <c r="AA475" s="63"/>
      <c r="AB475" s="63"/>
      <c r="AC475" s="63" t="s">
        <v>478</v>
      </c>
      <c r="AD475" s="42" t="s">
        <v>63</v>
      </c>
      <c r="AE475" s="42">
        <v>3</v>
      </c>
      <c r="AF475" s="63" t="s">
        <v>667</v>
      </c>
    </row>
    <row r="476" spans="2:32" ht="15" customHeight="1" x14ac:dyDescent="0.3">
      <c r="B476" s="42" t="s">
        <v>3</v>
      </c>
      <c r="C476" s="68" t="s">
        <v>1095</v>
      </c>
      <c r="D476" s="135" t="s">
        <v>1629</v>
      </c>
      <c r="E476" s="302">
        <v>9709673270</v>
      </c>
      <c r="F476" s="345">
        <v>46086</v>
      </c>
      <c r="G476" s="42" t="s">
        <v>55</v>
      </c>
      <c r="H476" s="42">
        <v>4</v>
      </c>
      <c r="I476" s="61">
        <v>320000</v>
      </c>
      <c r="J476" s="42">
        <v>4</v>
      </c>
      <c r="K476" s="321">
        <f t="shared" si="8"/>
        <v>80000</v>
      </c>
      <c r="L476" s="615">
        <v>46023</v>
      </c>
      <c r="M476" s="615">
        <v>46387</v>
      </c>
      <c r="N476" s="63" t="s">
        <v>520</v>
      </c>
      <c r="O476" s="42"/>
      <c r="P476" s="42"/>
      <c r="Q476" s="64" t="s">
        <v>396</v>
      </c>
      <c r="R476" s="63" t="s">
        <v>455</v>
      </c>
      <c r="S476" s="63" t="s">
        <v>397</v>
      </c>
      <c r="T476" s="63"/>
      <c r="U476" s="63" t="s">
        <v>496</v>
      </c>
      <c r="V476" s="63"/>
      <c r="W476" s="63" t="s">
        <v>497</v>
      </c>
      <c r="X476" s="63"/>
      <c r="Y476" s="63"/>
      <c r="Z476" s="63"/>
      <c r="AA476" s="63"/>
      <c r="AB476" s="63"/>
      <c r="AC476" s="63" t="s">
        <v>619</v>
      </c>
      <c r="AD476" s="42" t="s">
        <v>63</v>
      </c>
      <c r="AE476" s="42">
        <v>4</v>
      </c>
      <c r="AF476" s="63" t="s">
        <v>667</v>
      </c>
    </row>
    <row r="477" spans="2:32" ht="15" customHeight="1" x14ac:dyDescent="0.3">
      <c r="B477" s="42" t="s">
        <v>3</v>
      </c>
      <c r="C477" s="575" t="s">
        <v>1630</v>
      </c>
      <c r="D477" s="571" t="s">
        <v>1031</v>
      </c>
      <c r="E477" s="175">
        <v>4513903200</v>
      </c>
      <c r="F477" s="345">
        <v>46100</v>
      </c>
      <c r="G477" s="42" t="s">
        <v>55</v>
      </c>
      <c r="H477" s="42">
        <v>2</v>
      </c>
      <c r="I477" s="61">
        <v>100000</v>
      </c>
      <c r="J477" s="42">
        <v>3</v>
      </c>
      <c r="K477" s="321">
        <f t="shared" si="8"/>
        <v>33333.333333333336</v>
      </c>
      <c r="L477" s="615">
        <v>46023</v>
      </c>
      <c r="M477" s="615">
        <v>46387</v>
      </c>
      <c r="N477" s="63" t="s">
        <v>520</v>
      </c>
      <c r="O477" s="42"/>
      <c r="P477" s="42"/>
      <c r="Q477" s="64" t="s">
        <v>347</v>
      </c>
      <c r="R477" s="63" t="s">
        <v>1719</v>
      </c>
      <c r="S477" s="63" t="s">
        <v>348</v>
      </c>
      <c r="T477" s="63"/>
      <c r="U477" s="63" t="s">
        <v>349</v>
      </c>
      <c r="V477" s="63" t="s">
        <v>1739</v>
      </c>
      <c r="W477" s="63"/>
      <c r="X477" s="63"/>
      <c r="Y477" s="63"/>
      <c r="Z477" s="63"/>
      <c r="AA477" s="63"/>
      <c r="AB477" s="63"/>
      <c r="AC477" s="63" t="s">
        <v>478</v>
      </c>
      <c r="AD477" s="42" t="s">
        <v>63</v>
      </c>
      <c r="AE477" s="42">
        <v>5</v>
      </c>
      <c r="AF477" s="63" t="s">
        <v>667</v>
      </c>
    </row>
    <row r="478" spans="2:32" ht="15" customHeight="1" x14ac:dyDescent="0.3">
      <c r="B478" s="42" t="s">
        <v>3</v>
      </c>
      <c r="C478" s="575" t="s">
        <v>1631</v>
      </c>
      <c r="D478" s="571" t="s">
        <v>1031</v>
      </c>
      <c r="E478" s="175">
        <v>4513906043</v>
      </c>
      <c r="F478" s="345">
        <v>46101</v>
      </c>
      <c r="G478" s="42" t="s">
        <v>55</v>
      </c>
      <c r="H478" s="42">
        <v>2</v>
      </c>
      <c r="I478" s="61">
        <v>100000</v>
      </c>
      <c r="J478" s="42">
        <v>3</v>
      </c>
      <c r="K478" s="321">
        <f t="shared" si="8"/>
        <v>33333.333333333336</v>
      </c>
      <c r="L478" s="615">
        <v>46023</v>
      </c>
      <c r="M478" s="615">
        <v>46387</v>
      </c>
      <c r="N478" s="63" t="s">
        <v>520</v>
      </c>
      <c r="O478" s="42"/>
      <c r="P478" s="42"/>
      <c r="Q478" s="63" t="s">
        <v>347</v>
      </c>
      <c r="R478" s="63"/>
      <c r="S478" s="63" t="s">
        <v>348</v>
      </c>
      <c r="T478" s="63"/>
      <c r="U478" s="63" t="s">
        <v>349</v>
      </c>
      <c r="V478" s="63"/>
      <c r="W478" s="63"/>
      <c r="X478" s="63"/>
      <c r="Y478" s="63"/>
      <c r="Z478" s="63"/>
      <c r="AA478" s="63"/>
      <c r="AB478" s="63"/>
      <c r="AC478" s="63" t="s">
        <v>478</v>
      </c>
      <c r="AD478" s="42" t="s">
        <v>63</v>
      </c>
      <c r="AE478" s="42">
        <v>5</v>
      </c>
      <c r="AF478" s="63" t="s">
        <v>667</v>
      </c>
    </row>
    <row r="479" spans="2:32" ht="15" customHeight="1" x14ac:dyDescent="0.3">
      <c r="B479" s="42" t="s">
        <v>3</v>
      </c>
      <c r="C479" s="575" t="s">
        <v>1632</v>
      </c>
      <c r="D479" s="571" t="s">
        <v>596</v>
      </c>
      <c r="E479" s="175">
        <v>3110016847</v>
      </c>
      <c r="F479" s="345">
        <v>46071</v>
      </c>
      <c r="G479" s="42" t="s">
        <v>55</v>
      </c>
      <c r="H479" s="42">
        <v>1</v>
      </c>
      <c r="I479" s="61">
        <v>50000</v>
      </c>
      <c r="J479" s="42">
        <v>2</v>
      </c>
      <c r="K479" s="321">
        <f t="shared" si="8"/>
        <v>25000</v>
      </c>
      <c r="L479" s="585">
        <v>46113</v>
      </c>
      <c r="M479" s="585">
        <v>46477</v>
      </c>
      <c r="N479" s="63" t="s">
        <v>520</v>
      </c>
      <c r="O479" s="42"/>
      <c r="P479" s="42"/>
      <c r="Q479" s="63" t="s">
        <v>467</v>
      </c>
      <c r="R479" s="63"/>
      <c r="S479" s="63" t="s">
        <v>1633</v>
      </c>
      <c r="T479" s="63"/>
      <c r="U479" s="63"/>
      <c r="V479" s="63"/>
      <c r="W479" s="63"/>
      <c r="X479" s="63"/>
      <c r="Y479" s="63"/>
      <c r="Z479" s="63"/>
      <c r="AA479" s="63"/>
      <c r="AB479" s="63"/>
      <c r="AC479" s="63" t="s">
        <v>507</v>
      </c>
      <c r="AD479" s="42" t="s">
        <v>63</v>
      </c>
      <c r="AE479" s="42">
        <v>2</v>
      </c>
      <c r="AF479" s="63" t="s">
        <v>1634</v>
      </c>
    </row>
    <row r="480" spans="2:32" ht="15" customHeight="1" x14ac:dyDescent="0.3">
      <c r="B480" s="42" t="s">
        <v>3</v>
      </c>
      <c r="C480" s="68" t="s">
        <v>1635</v>
      </c>
      <c r="D480" s="582" t="s">
        <v>1636</v>
      </c>
      <c r="E480" s="222" t="s">
        <v>1637</v>
      </c>
      <c r="F480" s="345">
        <v>46070</v>
      </c>
      <c r="G480" s="42" t="s">
        <v>55</v>
      </c>
      <c r="H480" s="42">
        <v>4</v>
      </c>
      <c r="I480" s="61">
        <v>452192</v>
      </c>
      <c r="J480" s="42">
        <v>1</v>
      </c>
      <c r="K480" s="321">
        <f t="shared" si="8"/>
        <v>452192</v>
      </c>
      <c r="L480" s="615">
        <v>46023</v>
      </c>
      <c r="M480" s="615">
        <v>46387</v>
      </c>
      <c r="N480" s="63" t="s">
        <v>520</v>
      </c>
      <c r="O480" s="42"/>
      <c r="P480" s="42"/>
      <c r="Q480" s="63" t="s">
        <v>1594</v>
      </c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 t="s">
        <v>96</v>
      </c>
      <c r="AD480" s="42" t="s">
        <v>97</v>
      </c>
      <c r="AE480" s="42" t="s">
        <v>1367</v>
      </c>
      <c r="AF480" s="63" t="s">
        <v>667</v>
      </c>
    </row>
    <row r="481" spans="2:32" ht="15" customHeight="1" x14ac:dyDescent="0.3">
      <c r="B481" s="26" t="s">
        <v>3</v>
      </c>
      <c r="C481" s="39" t="s">
        <v>668</v>
      </c>
      <c r="D481" s="350" t="s">
        <v>669</v>
      </c>
      <c r="E481" s="50">
        <v>50060329</v>
      </c>
      <c r="F481" s="343">
        <v>46106</v>
      </c>
      <c r="G481" s="26" t="s">
        <v>55</v>
      </c>
      <c r="H481" s="26">
        <v>2</v>
      </c>
      <c r="I481" s="56">
        <v>160000</v>
      </c>
      <c r="J481" s="26">
        <v>2</v>
      </c>
      <c r="K481" s="321">
        <f t="shared" si="8"/>
        <v>80000</v>
      </c>
      <c r="L481" s="348">
        <v>46113</v>
      </c>
      <c r="M481" s="348">
        <v>46477</v>
      </c>
      <c r="N481" s="58" t="s">
        <v>520</v>
      </c>
      <c r="O481" s="26"/>
      <c r="P481" s="26"/>
      <c r="Q481" s="58" t="s">
        <v>467</v>
      </c>
      <c r="R481" s="58"/>
      <c r="S481" s="58" t="s">
        <v>1633</v>
      </c>
      <c r="T481" s="58"/>
      <c r="U481" s="58"/>
      <c r="V481" s="58"/>
      <c r="W481" s="58"/>
      <c r="X481" s="58"/>
      <c r="Y481" s="58"/>
      <c r="Z481" s="58"/>
      <c r="AA481" s="58"/>
      <c r="AB481" s="58"/>
      <c r="AC481" s="58" t="s">
        <v>478</v>
      </c>
      <c r="AD481" s="26" t="s">
        <v>63</v>
      </c>
      <c r="AE481" s="26">
        <v>2</v>
      </c>
      <c r="AF481" s="58" t="s">
        <v>1638</v>
      </c>
    </row>
    <row r="482" spans="2:32" ht="15" customHeight="1" x14ac:dyDescent="0.3">
      <c r="B482" s="42" t="s">
        <v>3</v>
      </c>
      <c r="C482" s="68" t="s">
        <v>668</v>
      </c>
      <c r="D482" s="135" t="s">
        <v>669</v>
      </c>
      <c r="E482" s="84">
        <v>50060329</v>
      </c>
      <c r="F482" s="345">
        <v>46106</v>
      </c>
      <c r="G482" s="42" t="s">
        <v>55</v>
      </c>
      <c r="H482" s="42">
        <v>13</v>
      </c>
      <c r="I482" s="61">
        <v>585000</v>
      </c>
      <c r="J482" s="42">
        <v>1</v>
      </c>
      <c r="K482" s="321">
        <f t="shared" si="8"/>
        <v>585000</v>
      </c>
      <c r="L482" s="615">
        <v>46113</v>
      </c>
      <c r="M482" s="615">
        <v>46477</v>
      </c>
      <c r="N482" s="63" t="s">
        <v>520</v>
      </c>
      <c r="O482" s="42"/>
      <c r="P482" s="42"/>
      <c r="Q482" s="63" t="s">
        <v>646</v>
      </c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 t="s">
        <v>478</v>
      </c>
      <c r="AD482" s="42" t="s">
        <v>63</v>
      </c>
      <c r="AE482" s="42">
        <v>1</v>
      </c>
      <c r="AF482" s="63" t="s">
        <v>1638</v>
      </c>
    </row>
    <row r="483" spans="2:32" ht="15" customHeight="1" x14ac:dyDescent="0.3">
      <c r="B483" s="42" t="s">
        <v>3</v>
      </c>
      <c r="C483" s="68" t="s">
        <v>1639</v>
      </c>
      <c r="D483" s="582" t="s">
        <v>1088</v>
      </c>
      <c r="E483" s="177">
        <v>3040058268</v>
      </c>
      <c r="F483" s="345">
        <v>46101</v>
      </c>
      <c r="G483" s="42" t="s">
        <v>55</v>
      </c>
      <c r="H483" s="42">
        <v>1</v>
      </c>
      <c r="I483" s="61">
        <v>93000</v>
      </c>
      <c r="J483" s="42">
        <v>3</v>
      </c>
      <c r="K483" s="321">
        <f t="shared" si="8"/>
        <v>31000</v>
      </c>
      <c r="L483" s="615">
        <v>46023</v>
      </c>
      <c r="M483" s="615">
        <v>46387</v>
      </c>
      <c r="N483" s="63" t="s">
        <v>520</v>
      </c>
      <c r="O483" s="42"/>
      <c r="P483" s="42"/>
      <c r="Q483" s="64" t="s">
        <v>347</v>
      </c>
      <c r="R483" s="63" t="s">
        <v>1640</v>
      </c>
      <c r="S483" s="63" t="s">
        <v>348</v>
      </c>
      <c r="T483" s="63"/>
      <c r="U483" s="63" t="s">
        <v>349</v>
      </c>
      <c r="V483" s="63"/>
      <c r="W483" s="63"/>
      <c r="X483" s="63"/>
      <c r="Y483" s="63"/>
      <c r="Z483" s="63"/>
      <c r="AA483" s="63"/>
      <c r="AB483" s="63"/>
      <c r="AC483" s="63" t="s">
        <v>96</v>
      </c>
      <c r="AD483" s="42" t="s">
        <v>97</v>
      </c>
      <c r="AE483" s="42" t="s">
        <v>494</v>
      </c>
      <c r="AF483" s="63" t="s">
        <v>1641</v>
      </c>
    </row>
    <row r="484" spans="2:32" ht="15" customHeight="1" x14ac:dyDescent="0.3">
      <c r="B484" s="42" t="s">
        <v>3</v>
      </c>
      <c r="C484" s="68" t="s">
        <v>783</v>
      </c>
      <c r="D484" s="132" t="s">
        <v>1000</v>
      </c>
      <c r="E484" s="300">
        <v>8000161342</v>
      </c>
      <c r="F484" s="614">
        <v>46107</v>
      </c>
      <c r="G484" s="42" t="s">
        <v>55</v>
      </c>
      <c r="H484" s="42">
        <v>7</v>
      </c>
      <c r="I484" s="61">
        <v>890400</v>
      </c>
      <c r="J484" s="42">
        <v>3</v>
      </c>
      <c r="K484" s="321">
        <f t="shared" si="8"/>
        <v>296800</v>
      </c>
      <c r="L484" s="615">
        <v>46023</v>
      </c>
      <c r="M484" s="615">
        <v>46387</v>
      </c>
      <c r="N484" s="63" t="s">
        <v>520</v>
      </c>
      <c r="O484" s="42"/>
      <c r="P484" s="44" t="s">
        <v>1</v>
      </c>
      <c r="Q484" s="64" t="s">
        <v>347</v>
      </c>
      <c r="R484" s="63" t="s">
        <v>1642</v>
      </c>
      <c r="S484" s="63" t="s">
        <v>348</v>
      </c>
      <c r="T484" s="63"/>
      <c r="U484" s="63" t="s">
        <v>349</v>
      </c>
      <c r="V484" s="63"/>
      <c r="W484" s="63"/>
      <c r="X484" s="63"/>
      <c r="Y484" s="63"/>
      <c r="Z484" s="63"/>
      <c r="AA484" s="63"/>
      <c r="AB484" s="63"/>
      <c r="AC484" s="63" t="s">
        <v>507</v>
      </c>
      <c r="AD484" s="42" t="s">
        <v>63</v>
      </c>
      <c r="AE484" s="42">
        <v>3</v>
      </c>
      <c r="AF484" s="63" t="s">
        <v>667</v>
      </c>
    </row>
    <row r="485" spans="2:32" ht="15" customHeight="1" x14ac:dyDescent="0.3">
      <c r="B485" s="42" t="s">
        <v>3</v>
      </c>
      <c r="C485" s="575" t="s">
        <v>954</v>
      </c>
      <c r="D485" s="571" t="s">
        <v>151</v>
      </c>
      <c r="E485" s="175">
        <v>4601538703</v>
      </c>
      <c r="F485" s="614">
        <v>46110</v>
      </c>
      <c r="G485" s="42" t="s">
        <v>55</v>
      </c>
      <c r="H485" s="42">
        <v>1</v>
      </c>
      <c r="I485" s="61">
        <v>84999</v>
      </c>
      <c r="J485" s="42">
        <v>3</v>
      </c>
      <c r="K485" s="321">
        <f t="shared" si="8"/>
        <v>28333</v>
      </c>
      <c r="L485" s="585">
        <v>46113</v>
      </c>
      <c r="M485" s="585">
        <v>46477</v>
      </c>
      <c r="N485" s="63" t="s">
        <v>520</v>
      </c>
      <c r="O485" s="42"/>
      <c r="P485" s="42"/>
      <c r="Q485" s="63" t="s">
        <v>1080</v>
      </c>
      <c r="R485" s="63"/>
      <c r="S485" s="63" t="s">
        <v>1108</v>
      </c>
      <c r="T485" s="63"/>
      <c r="U485" s="63" t="s">
        <v>1109</v>
      </c>
      <c r="V485" s="63"/>
      <c r="W485" s="63"/>
      <c r="X485" s="63"/>
      <c r="Y485" s="63"/>
      <c r="Z485" s="63"/>
      <c r="AA485" s="63"/>
      <c r="AB485" s="63"/>
      <c r="AC485" s="63" t="s">
        <v>478</v>
      </c>
      <c r="AD485" s="42" t="s">
        <v>63</v>
      </c>
      <c r="AE485" s="42">
        <v>3</v>
      </c>
      <c r="AF485" s="63" t="s">
        <v>667</v>
      </c>
    </row>
    <row r="486" spans="2:32" ht="15" customHeight="1" x14ac:dyDescent="0.3">
      <c r="B486" s="26" t="s">
        <v>3</v>
      </c>
      <c r="C486" s="565" t="s">
        <v>779</v>
      </c>
      <c r="D486" s="566" t="s">
        <v>53</v>
      </c>
      <c r="E486" s="333">
        <v>2500292830</v>
      </c>
      <c r="F486" s="343">
        <v>46111</v>
      </c>
      <c r="G486" s="26" t="s">
        <v>55</v>
      </c>
      <c r="H486" s="26">
        <v>3</v>
      </c>
      <c r="I486" s="56">
        <v>282816</v>
      </c>
      <c r="J486" s="26">
        <v>3</v>
      </c>
      <c r="K486" s="321">
        <f t="shared" si="8"/>
        <v>94272</v>
      </c>
      <c r="L486" s="567">
        <v>46113</v>
      </c>
      <c r="M486" s="567">
        <v>46477</v>
      </c>
      <c r="N486" s="58" t="s">
        <v>520</v>
      </c>
      <c r="O486" s="26"/>
      <c r="P486" s="26"/>
      <c r="Q486" s="58" t="s">
        <v>1080</v>
      </c>
      <c r="R486" s="58"/>
      <c r="S486" s="58" t="s">
        <v>1108</v>
      </c>
      <c r="T486" s="58"/>
      <c r="U486" s="58" t="s">
        <v>1109</v>
      </c>
      <c r="V486" s="58"/>
      <c r="W486" s="58"/>
      <c r="X486" s="58"/>
      <c r="Y486" s="58"/>
      <c r="Z486" s="58"/>
      <c r="AA486" s="58"/>
      <c r="AB486" s="58"/>
      <c r="AC486" s="58" t="s">
        <v>619</v>
      </c>
      <c r="AD486" s="26" t="s">
        <v>63</v>
      </c>
      <c r="AE486" s="26">
        <v>3</v>
      </c>
      <c r="AF486" s="58" t="s">
        <v>667</v>
      </c>
    </row>
    <row r="487" spans="2:32" ht="15" customHeight="1" x14ac:dyDescent="0.3">
      <c r="B487" s="26" t="s">
        <v>3</v>
      </c>
      <c r="C487" s="39" t="s">
        <v>1643</v>
      </c>
      <c r="D487" s="232" t="s">
        <v>151</v>
      </c>
      <c r="E487" s="26">
        <v>8184550</v>
      </c>
      <c r="F487" s="343">
        <v>46108</v>
      </c>
      <c r="G487" s="26" t="s">
        <v>55</v>
      </c>
      <c r="H487" s="26">
        <v>4</v>
      </c>
      <c r="I487" s="56">
        <v>310000</v>
      </c>
      <c r="J487" s="26">
        <v>3</v>
      </c>
      <c r="K487" s="321">
        <f t="shared" si="8"/>
        <v>103333.33333333333</v>
      </c>
      <c r="L487" s="348">
        <v>46023</v>
      </c>
      <c r="M487" s="348">
        <v>46387</v>
      </c>
      <c r="N487" s="58" t="s">
        <v>520</v>
      </c>
      <c r="O487" s="26"/>
      <c r="P487" s="26"/>
      <c r="Q487" s="59" t="s">
        <v>347</v>
      </c>
      <c r="R487" s="58" t="s">
        <v>1740</v>
      </c>
      <c r="S487" s="58" t="s">
        <v>348</v>
      </c>
      <c r="T487" s="58"/>
      <c r="U487" s="58" t="s">
        <v>349</v>
      </c>
      <c r="V487" s="58"/>
      <c r="W487" s="58"/>
      <c r="X487" s="58"/>
      <c r="Y487" s="58"/>
      <c r="Z487" s="58"/>
      <c r="AA487" s="58"/>
      <c r="AB487" s="58"/>
      <c r="AC487" s="58" t="s">
        <v>478</v>
      </c>
      <c r="AD487" s="26" t="s">
        <v>63</v>
      </c>
      <c r="AE487" s="26">
        <v>3</v>
      </c>
      <c r="AF487" s="58" t="s">
        <v>667</v>
      </c>
    </row>
    <row r="488" spans="2:32" ht="15" customHeight="1" x14ac:dyDescent="0.3">
      <c r="B488" s="42" t="s">
        <v>3</v>
      </c>
      <c r="C488" s="68" t="s">
        <v>1643</v>
      </c>
      <c r="D488" s="132" t="s">
        <v>151</v>
      </c>
      <c r="E488" s="42">
        <v>8184550</v>
      </c>
      <c r="F488" s="345">
        <v>46108</v>
      </c>
      <c r="G488" s="42" t="s">
        <v>55</v>
      </c>
      <c r="H488" s="42">
        <v>2</v>
      </c>
      <c r="I488" s="61">
        <v>103334</v>
      </c>
      <c r="J488" s="42">
        <v>2</v>
      </c>
      <c r="K488" s="321">
        <f t="shared" si="8"/>
        <v>51667</v>
      </c>
      <c r="L488" s="615">
        <v>46023</v>
      </c>
      <c r="M488" s="615">
        <v>46387</v>
      </c>
      <c r="N488" s="63" t="s">
        <v>520</v>
      </c>
      <c r="O488" s="42"/>
      <c r="P488" s="42"/>
      <c r="Q488" s="63" t="s">
        <v>607</v>
      </c>
      <c r="R488" s="63"/>
      <c r="S488" s="63" t="s">
        <v>608</v>
      </c>
      <c r="T488" s="63"/>
      <c r="U488" s="63"/>
      <c r="V488" s="63"/>
      <c r="W488" s="63"/>
      <c r="X488" s="63"/>
      <c r="Y488" s="63"/>
      <c r="Z488" s="63"/>
      <c r="AA488" s="63"/>
      <c r="AB488" s="63"/>
      <c r="AC488" s="63" t="s">
        <v>478</v>
      </c>
      <c r="AD488" s="42" t="s">
        <v>63</v>
      </c>
      <c r="AE488" s="42">
        <v>3</v>
      </c>
      <c r="AF488" s="63" t="s">
        <v>667</v>
      </c>
    </row>
    <row r="489" spans="2:32" ht="15" customHeight="1" x14ac:dyDescent="0.3">
      <c r="B489" s="42" t="s">
        <v>3</v>
      </c>
      <c r="C489" s="103" t="s">
        <v>609</v>
      </c>
      <c r="D489" s="132" t="s">
        <v>86</v>
      </c>
      <c r="E489" s="303">
        <v>3791240798</v>
      </c>
      <c r="F489" s="345">
        <v>46106</v>
      </c>
      <c r="G489" s="42" t="s">
        <v>55</v>
      </c>
      <c r="H489" s="42">
        <v>2</v>
      </c>
      <c r="I489" s="61">
        <v>385536</v>
      </c>
      <c r="J489" s="42">
        <v>3</v>
      </c>
      <c r="K489" s="321">
        <f t="shared" si="8"/>
        <v>128512</v>
      </c>
      <c r="L489" s="615">
        <v>46113</v>
      </c>
      <c r="M489" s="615">
        <v>46477</v>
      </c>
      <c r="N489" s="63" t="s">
        <v>520</v>
      </c>
      <c r="O489" s="42"/>
      <c r="P489" s="42"/>
      <c r="Q489" s="63" t="s">
        <v>1080</v>
      </c>
      <c r="R489" s="63"/>
      <c r="S489" s="63" t="s">
        <v>1108</v>
      </c>
      <c r="T489" s="63"/>
      <c r="U489" s="63" t="s">
        <v>1109</v>
      </c>
      <c r="V489" s="63"/>
      <c r="W489" s="63"/>
      <c r="X489" s="63"/>
      <c r="Y489" s="63"/>
      <c r="Z489" s="63"/>
      <c r="AA489" s="63"/>
      <c r="AB489" s="63"/>
      <c r="AC489" s="63" t="s">
        <v>281</v>
      </c>
      <c r="AD489" s="42" t="s">
        <v>97</v>
      </c>
      <c r="AE489" s="42">
        <v>3</v>
      </c>
      <c r="AF489" s="63" t="s">
        <v>667</v>
      </c>
    </row>
    <row r="490" spans="2:32" ht="15" customHeight="1" x14ac:dyDescent="0.3">
      <c r="B490" s="42" t="s">
        <v>3</v>
      </c>
      <c r="C490" s="575" t="s">
        <v>905</v>
      </c>
      <c r="D490" s="571" t="s">
        <v>801</v>
      </c>
      <c r="E490" s="175">
        <v>1100036670</v>
      </c>
      <c r="F490" s="614">
        <v>46102</v>
      </c>
      <c r="G490" s="42" t="s">
        <v>55</v>
      </c>
      <c r="H490" s="42">
        <v>1</v>
      </c>
      <c r="I490" s="61">
        <v>78400</v>
      </c>
      <c r="J490" s="42">
        <v>2</v>
      </c>
      <c r="K490" s="321">
        <f t="shared" si="8"/>
        <v>39200</v>
      </c>
      <c r="L490" s="585">
        <v>46143</v>
      </c>
      <c r="M490" s="585">
        <v>46507</v>
      </c>
      <c r="N490" s="63" t="s">
        <v>520</v>
      </c>
      <c r="O490" s="42"/>
      <c r="P490" s="42"/>
      <c r="Q490" s="63" t="s">
        <v>1339</v>
      </c>
      <c r="R490" s="63"/>
      <c r="S490" s="63" t="s">
        <v>1644</v>
      </c>
      <c r="T490" s="63"/>
      <c r="U490" s="63"/>
      <c r="V490" s="63"/>
      <c r="W490" s="63"/>
      <c r="X490" s="63"/>
      <c r="Y490" s="63"/>
      <c r="Z490" s="63"/>
      <c r="AA490" s="63"/>
      <c r="AB490" s="63"/>
      <c r="AC490" s="63" t="s">
        <v>485</v>
      </c>
      <c r="AD490" s="42" t="s">
        <v>63</v>
      </c>
      <c r="AE490" s="42">
        <v>3</v>
      </c>
      <c r="AF490" s="63" t="s">
        <v>667</v>
      </c>
    </row>
    <row r="491" spans="2:32" ht="15" customHeight="1" x14ac:dyDescent="0.3">
      <c r="B491" s="42" t="s">
        <v>3</v>
      </c>
      <c r="C491" s="575" t="s">
        <v>628</v>
      </c>
      <c r="D491" s="571" t="s">
        <v>801</v>
      </c>
      <c r="E491" s="175" t="s">
        <v>1645</v>
      </c>
      <c r="F491" s="345">
        <v>46107</v>
      </c>
      <c r="G491" s="42" t="s">
        <v>55</v>
      </c>
      <c r="H491" s="42">
        <v>1</v>
      </c>
      <c r="I491" s="61">
        <v>54500</v>
      </c>
      <c r="J491" s="42">
        <v>1</v>
      </c>
      <c r="K491" s="321">
        <f t="shared" si="8"/>
        <v>54500</v>
      </c>
      <c r="L491" s="585">
        <v>46113</v>
      </c>
      <c r="M491" s="585">
        <v>46477</v>
      </c>
      <c r="N491" s="63" t="s">
        <v>520</v>
      </c>
      <c r="O491" s="42"/>
      <c r="P491" s="42"/>
      <c r="Q491" s="63" t="s">
        <v>646</v>
      </c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 t="s">
        <v>485</v>
      </c>
      <c r="AD491" s="42" t="s">
        <v>63</v>
      </c>
      <c r="AE491" s="42">
        <v>2</v>
      </c>
      <c r="AF491" s="63" t="s">
        <v>1488</v>
      </c>
    </row>
    <row r="492" spans="2:32" ht="15" customHeight="1" x14ac:dyDescent="0.3">
      <c r="B492" s="42" t="s">
        <v>3</v>
      </c>
      <c r="C492" s="68" t="s">
        <v>805</v>
      </c>
      <c r="D492" s="132" t="s">
        <v>86</v>
      </c>
      <c r="E492" s="121">
        <v>7500135772</v>
      </c>
      <c r="F492" s="614">
        <v>46108</v>
      </c>
      <c r="G492" s="42" t="s">
        <v>55</v>
      </c>
      <c r="H492" s="42">
        <v>1</v>
      </c>
      <c r="I492" s="61">
        <v>86200</v>
      </c>
      <c r="J492" s="42">
        <v>3</v>
      </c>
      <c r="K492" s="321">
        <f t="shared" si="8"/>
        <v>28733.333333333332</v>
      </c>
      <c r="L492" s="615">
        <v>46113</v>
      </c>
      <c r="M492" s="615">
        <v>46477</v>
      </c>
      <c r="N492" s="63" t="s">
        <v>520</v>
      </c>
      <c r="O492" s="42"/>
      <c r="P492" s="42"/>
      <c r="Q492" s="63" t="s">
        <v>1080</v>
      </c>
      <c r="R492" s="63"/>
      <c r="S492" s="63" t="s">
        <v>1108</v>
      </c>
      <c r="T492" s="63"/>
      <c r="U492" s="63" t="s">
        <v>1109</v>
      </c>
      <c r="V492" s="63"/>
      <c r="W492" s="63"/>
      <c r="X492" s="63"/>
      <c r="Y492" s="63"/>
      <c r="Z492" s="63"/>
      <c r="AA492" s="63"/>
      <c r="AB492" s="63"/>
      <c r="AC492" s="63" t="s">
        <v>96</v>
      </c>
      <c r="AD492" s="42" t="s">
        <v>97</v>
      </c>
      <c r="AE492" s="42" t="s">
        <v>494</v>
      </c>
      <c r="AF492" s="63" t="s">
        <v>667</v>
      </c>
    </row>
    <row r="493" spans="2:32" ht="15" customHeight="1" x14ac:dyDescent="0.3">
      <c r="B493" s="42" t="s">
        <v>5</v>
      </c>
      <c r="C493" s="575" t="s">
        <v>840</v>
      </c>
      <c r="D493" s="571" t="s">
        <v>841</v>
      </c>
      <c r="E493" s="297" t="s">
        <v>1646</v>
      </c>
      <c r="F493" s="345">
        <v>46107</v>
      </c>
      <c r="G493" s="42" t="s">
        <v>55</v>
      </c>
      <c r="H493" s="42">
        <v>3</v>
      </c>
      <c r="I493" s="61">
        <v>211500</v>
      </c>
      <c r="J493" s="42">
        <v>3</v>
      </c>
      <c r="K493" s="321">
        <f t="shared" si="8"/>
        <v>70500</v>
      </c>
      <c r="L493" s="585">
        <v>46113</v>
      </c>
      <c r="M493" s="585">
        <v>46477</v>
      </c>
      <c r="N493" s="63" t="s">
        <v>520</v>
      </c>
      <c r="O493" s="42"/>
      <c r="P493" s="42"/>
      <c r="Q493" s="63" t="s">
        <v>1080</v>
      </c>
      <c r="R493" s="63"/>
      <c r="S493" s="63" t="s">
        <v>1108</v>
      </c>
      <c r="T493" s="63"/>
      <c r="U493" s="63" t="s">
        <v>1109</v>
      </c>
      <c r="V493" s="63"/>
      <c r="W493" s="63"/>
      <c r="X493" s="63"/>
      <c r="Y493" s="63"/>
      <c r="Z493" s="63"/>
      <c r="AA493" s="63"/>
      <c r="AB493" s="63"/>
      <c r="AC493" s="63" t="s">
        <v>485</v>
      </c>
      <c r="AD493" s="42" t="s">
        <v>63</v>
      </c>
      <c r="AE493" s="42">
        <v>3</v>
      </c>
      <c r="AF493" s="63" t="s">
        <v>1647</v>
      </c>
    </row>
    <row r="494" spans="2:32" ht="15" customHeight="1" x14ac:dyDescent="0.3">
      <c r="B494" s="42" t="s">
        <v>5</v>
      </c>
      <c r="C494" s="575" t="s">
        <v>809</v>
      </c>
      <c r="D494" s="571" t="s">
        <v>629</v>
      </c>
      <c r="E494" s="297" t="s">
        <v>1648</v>
      </c>
      <c r="F494" s="345">
        <v>46107</v>
      </c>
      <c r="G494" s="42" t="s">
        <v>55</v>
      </c>
      <c r="H494" s="42">
        <v>5</v>
      </c>
      <c r="I494" s="61">
        <v>341250</v>
      </c>
      <c r="J494" s="42">
        <v>2</v>
      </c>
      <c r="K494" s="321">
        <f t="shared" si="8"/>
        <v>170625</v>
      </c>
      <c r="L494" s="585">
        <v>46113</v>
      </c>
      <c r="M494" s="585">
        <v>46477</v>
      </c>
      <c r="N494" s="63" t="s">
        <v>520</v>
      </c>
      <c r="O494" s="42"/>
      <c r="P494" s="42"/>
      <c r="Q494" s="63" t="s">
        <v>467</v>
      </c>
      <c r="R494" s="63"/>
      <c r="S494" s="63" t="s">
        <v>1633</v>
      </c>
      <c r="T494" s="63"/>
      <c r="U494" s="63"/>
      <c r="V494" s="63"/>
      <c r="W494" s="63"/>
      <c r="X494" s="63"/>
      <c r="Y494" s="63"/>
      <c r="Z494" s="63"/>
      <c r="AA494" s="63"/>
      <c r="AB494" s="63"/>
      <c r="AC494" s="63" t="s">
        <v>485</v>
      </c>
      <c r="AD494" s="42" t="s">
        <v>63</v>
      </c>
      <c r="AE494" s="42">
        <v>3</v>
      </c>
      <c r="AF494" s="63" t="s">
        <v>1647</v>
      </c>
    </row>
    <row r="495" spans="2:32" ht="15" customHeight="1" x14ac:dyDescent="0.3">
      <c r="B495" s="42" t="s">
        <v>5</v>
      </c>
      <c r="C495" s="94" t="s">
        <v>1649</v>
      </c>
      <c r="D495" s="247" t="s">
        <v>176</v>
      </c>
      <c r="E495" s="149" t="s">
        <v>1650</v>
      </c>
      <c r="F495" s="345">
        <v>46025</v>
      </c>
      <c r="G495" s="42" t="s">
        <v>55</v>
      </c>
      <c r="H495" s="42">
        <v>1</v>
      </c>
      <c r="I495" s="61">
        <v>142080</v>
      </c>
      <c r="J495" s="42">
        <v>2</v>
      </c>
      <c r="K495" s="321">
        <f t="shared" si="8"/>
        <v>71040</v>
      </c>
      <c r="L495" s="615">
        <v>46023</v>
      </c>
      <c r="M495" s="615">
        <v>46387</v>
      </c>
      <c r="N495" s="63" t="s">
        <v>520</v>
      </c>
      <c r="O495" s="42"/>
      <c r="P495" s="42"/>
      <c r="Q495" s="63" t="s">
        <v>1651</v>
      </c>
      <c r="R495" s="63"/>
      <c r="S495" s="63" t="s">
        <v>608</v>
      </c>
      <c r="T495" s="63"/>
      <c r="U495" s="63"/>
      <c r="V495" s="63"/>
      <c r="W495" s="63"/>
      <c r="X495" s="63"/>
      <c r="Y495" s="63"/>
      <c r="Z495" s="63"/>
      <c r="AA495" s="63"/>
      <c r="AB495" s="63"/>
      <c r="AC495" s="63" t="s">
        <v>183</v>
      </c>
      <c r="AD495" s="42" t="s">
        <v>97</v>
      </c>
      <c r="AE495" s="42">
        <v>2</v>
      </c>
      <c r="AF495" s="63" t="s">
        <v>1652</v>
      </c>
    </row>
    <row r="496" spans="2:32" ht="15" customHeight="1" x14ac:dyDescent="0.3">
      <c r="B496" s="42" t="s">
        <v>5</v>
      </c>
      <c r="C496" s="68" t="s">
        <v>1653</v>
      </c>
      <c r="D496" s="81" t="s">
        <v>151</v>
      </c>
      <c r="E496" s="303" t="s">
        <v>1654</v>
      </c>
      <c r="F496" s="345">
        <v>46114</v>
      </c>
      <c r="G496" s="42" t="s">
        <v>55</v>
      </c>
      <c r="H496" s="42">
        <v>7</v>
      </c>
      <c r="I496" s="61">
        <v>560000</v>
      </c>
      <c r="J496" s="42">
        <v>2</v>
      </c>
      <c r="K496" s="321">
        <f t="shared" si="8"/>
        <v>280000</v>
      </c>
      <c r="L496" s="615">
        <v>46023</v>
      </c>
      <c r="M496" s="615">
        <v>46387</v>
      </c>
      <c r="N496" s="63" t="s">
        <v>520</v>
      </c>
      <c r="O496" s="42"/>
      <c r="P496" s="42"/>
      <c r="Q496" s="63" t="s">
        <v>1651</v>
      </c>
      <c r="R496" s="63"/>
      <c r="S496" s="63" t="s">
        <v>608</v>
      </c>
      <c r="T496" s="63"/>
      <c r="U496" s="63"/>
      <c r="V496" s="63"/>
      <c r="W496" s="63"/>
      <c r="X496" s="63"/>
      <c r="Y496" s="63"/>
      <c r="Z496" s="63"/>
      <c r="AA496" s="63"/>
      <c r="AB496" s="63"/>
      <c r="AC496" s="63" t="s">
        <v>478</v>
      </c>
      <c r="AD496" s="42" t="s">
        <v>63</v>
      </c>
      <c r="AE496" s="42">
        <v>3</v>
      </c>
      <c r="AF496" s="63" t="s">
        <v>1319</v>
      </c>
    </row>
    <row r="497" spans="2:32" ht="15" customHeight="1" x14ac:dyDescent="0.3">
      <c r="B497" s="42" t="s">
        <v>5</v>
      </c>
      <c r="C497" s="68" t="s">
        <v>1655</v>
      </c>
      <c r="D497" s="135" t="s">
        <v>664</v>
      </c>
      <c r="E497" s="42">
        <v>4507986234</v>
      </c>
      <c r="F497" s="345">
        <v>46119</v>
      </c>
      <c r="G497" s="42" t="s">
        <v>55</v>
      </c>
      <c r="H497" s="42">
        <v>1</v>
      </c>
      <c r="I497" s="61">
        <v>79999.98</v>
      </c>
      <c r="J497" s="42">
        <v>3</v>
      </c>
      <c r="K497" s="321">
        <f t="shared" si="8"/>
        <v>26666.66</v>
      </c>
      <c r="L497" s="615">
        <v>46113</v>
      </c>
      <c r="M497" s="615">
        <v>46477</v>
      </c>
      <c r="N497" s="63" t="s">
        <v>520</v>
      </c>
      <c r="O497" s="42"/>
      <c r="P497" s="42"/>
      <c r="Q497" s="63" t="s">
        <v>1080</v>
      </c>
      <c r="R497" s="63"/>
      <c r="S497" s="63" t="s">
        <v>1108</v>
      </c>
      <c r="T497" s="63"/>
      <c r="U497" s="63" t="s">
        <v>1109</v>
      </c>
      <c r="V497" s="63"/>
      <c r="W497" s="63"/>
      <c r="X497" s="63"/>
      <c r="Y497" s="63"/>
      <c r="Z497" s="63"/>
      <c r="AA497" s="63"/>
      <c r="AB497" s="63"/>
      <c r="AC497" s="63" t="s">
        <v>478</v>
      </c>
      <c r="AD497" s="42" t="s">
        <v>63</v>
      </c>
      <c r="AE497" s="42" t="s">
        <v>494</v>
      </c>
      <c r="AF497" s="63" t="s">
        <v>667</v>
      </c>
    </row>
    <row r="498" spans="2:32" ht="15" customHeight="1" x14ac:dyDescent="0.3">
      <c r="B498" s="42" t="s">
        <v>5</v>
      </c>
      <c r="C498" s="68" t="s">
        <v>1656</v>
      </c>
      <c r="D498" s="582" t="s">
        <v>176</v>
      </c>
      <c r="E498" s="222">
        <v>4500127379</v>
      </c>
      <c r="F498" s="345">
        <v>46078</v>
      </c>
      <c r="G498" s="42" t="s">
        <v>55</v>
      </c>
      <c r="H498" s="42">
        <v>1</v>
      </c>
      <c r="I498" s="61">
        <v>89250</v>
      </c>
      <c r="J498" s="42">
        <v>2</v>
      </c>
      <c r="K498" s="321">
        <f t="shared" si="8"/>
        <v>44625</v>
      </c>
      <c r="L498" s="615">
        <v>46023</v>
      </c>
      <c r="M498" s="615">
        <v>46387</v>
      </c>
      <c r="N498" s="63" t="s">
        <v>520</v>
      </c>
      <c r="O498" s="42"/>
      <c r="P498" s="42"/>
      <c r="Q498" s="64" t="s">
        <v>607</v>
      </c>
      <c r="R498" s="63" t="s">
        <v>1436</v>
      </c>
      <c r="S498" s="63" t="s">
        <v>608</v>
      </c>
      <c r="T498" s="63"/>
      <c r="U498" s="63"/>
      <c r="V498" s="63"/>
      <c r="W498" s="63"/>
      <c r="X498" s="63"/>
      <c r="Y498" s="63"/>
      <c r="Z498" s="63"/>
      <c r="AA498" s="63"/>
      <c r="AB498" s="63"/>
      <c r="AC498" s="63" t="s">
        <v>183</v>
      </c>
      <c r="AD498" s="42" t="s">
        <v>97</v>
      </c>
      <c r="AE498" s="42">
        <v>3</v>
      </c>
      <c r="AF498" s="63" t="s">
        <v>667</v>
      </c>
    </row>
    <row r="499" spans="2:32" ht="15" customHeight="1" x14ac:dyDescent="0.3">
      <c r="B499" s="42" t="s">
        <v>5</v>
      </c>
      <c r="C499" s="68" t="s">
        <v>1656</v>
      </c>
      <c r="D499" s="582" t="s">
        <v>176</v>
      </c>
      <c r="E499" s="222">
        <v>4500127261</v>
      </c>
      <c r="F499" s="345">
        <v>46076</v>
      </c>
      <c r="G499" s="42" t="s">
        <v>55</v>
      </c>
      <c r="H499" s="42">
        <v>3</v>
      </c>
      <c r="I499" s="61">
        <v>267750</v>
      </c>
      <c r="J499" s="42">
        <v>2</v>
      </c>
      <c r="K499" s="321">
        <f t="shared" si="8"/>
        <v>133875</v>
      </c>
      <c r="L499" s="615">
        <v>46023</v>
      </c>
      <c r="M499" s="615">
        <v>46387</v>
      </c>
      <c r="N499" s="63" t="s">
        <v>520</v>
      </c>
      <c r="O499" s="42"/>
      <c r="P499" s="42"/>
      <c r="Q499" s="64" t="s">
        <v>607</v>
      </c>
      <c r="R499" s="63" t="s">
        <v>782</v>
      </c>
      <c r="S499" s="63" t="s">
        <v>608</v>
      </c>
      <c r="T499" s="63"/>
      <c r="U499" s="63"/>
      <c r="V499" s="63"/>
      <c r="W499" s="63"/>
      <c r="X499" s="63"/>
      <c r="Y499" s="63"/>
      <c r="Z499" s="63"/>
      <c r="AA499" s="63"/>
      <c r="AB499" s="63"/>
      <c r="AC499" s="63" t="s">
        <v>183</v>
      </c>
      <c r="AD499" s="42" t="s">
        <v>97</v>
      </c>
      <c r="AE499" s="42">
        <v>3</v>
      </c>
      <c r="AF499" s="63" t="s">
        <v>667</v>
      </c>
    </row>
    <row r="500" spans="2:32" ht="15" customHeight="1" x14ac:dyDescent="0.3">
      <c r="B500" s="26" t="s">
        <v>5</v>
      </c>
      <c r="C500" s="621" t="s">
        <v>1073</v>
      </c>
      <c r="D500" s="232" t="s">
        <v>1657</v>
      </c>
      <c r="E500" s="125">
        <v>440000514</v>
      </c>
      <c r="F500" s="606">
        <v>46109</v>
      </c>
      <c r="G500" s="26" t="s">
        <v>55</v>
      </c>
      <c r="H500" s="26">
        <v>1</v>
      </c>
      <c r="I500" s="56">
        <v>172900</v>
      </c>
      <c r="J500" s="26">
        <v>3</v>
      </c>
      <c r="K500" s="321">
        <f>I500/2</f>
        <v>86450</v>
      </c>
      <c r="L500" s="348">
        <v>46023</v>
      </c>
      <c r="M500" s="348">
        <v>46387</v>
      </c>
      <c r="N500" s="58" t="s">
        <v>520</v>
      </c>
      <c r="O500" s="26"/>
      <c r="P500" s="26"/>
      <c r="Q500" s="59" t="s">
        <v>347</v>
      </c>
      <c r="R500" s="58" t="s">
        <v>1658</v>
      </c>
      <c r="S500" s="58" t="s">
        <v>348</v>
      </c>
      <c r="T500" s="58" t="s">
        <v>1659</v>
      </c>
      <c r="U500" s="58" t="s">
        <v>349</v>
      </c>
      <c r="V500" s="58"/>
      <c r="W500" s="58"/>
      <c r="X500" s="58"/>
      <c r="Y500" s="58"/>
      <c r="Z500" s="58"/>
      <c r="AA500" s="58"/>
      <c r="AB500" s="58"/>
      <c r="AC500" s="58" t="s">
        <v>551</v>
      </c>
      <c r="AD500" s="26" t="s">
        <v>207</v>
      </c>
      <c r="AE500" s="26">
        <v>3</v>
      </c>
      <c r="AF500" s="58" t="s">
        <v>1660</v>
      </c>
    </row>
    <row r="501" spans="2:32" ht="15" hidden="1" customHeight="1" x14ac:dyDescent="0.3">
      <c r="B501" s="42" t="s">
        <v>5</v>
      </c>
      <c r="C501" s="622" t="s">
        <v>1073</v>
      </c>
      <c r="D501" s="132" t="s">
        <v>1657</v>
      </c>
      <c r="E501" s="121">
        <v>440000514</v>
      </c>
      <c r="F501" s="614">
        <v>46109</v>
      </c>
      <c r="G501" s="42" t="s">
        <v>55</v>
      </c>
      <c r="H501" s="42"/>
      <c r="I501" s="61">
        <v>172900</v>
      </c>
      <c r="J501" s="42">
        <v>3</v>
      </c>
      <c r="K501" s="321">
        <f>I501/2</f>
        <v>86450</v>
      </c>
      <c r="L501" s="615">
        <v>46388</v>
      </c>
      <c r="M501" s="615">
        <v>46752</v>
      </c>
      <c r="N501" s="63" t="s">
        <v>520</v>
      </c>
      <c r="O501" s="42"/>
      <c r="P501" s="42"/>
      <c r="Q501" s="63" t="s">
        <v>738</v>
      </c>
      <c r="R501" s="63" t="s">
        <v>1661</v>
      </c>
      <c r="S501" s="63" t="s">
        <v>1077</v>
      </c>
      <c r="T501" s="63" t="s">
        <v>1659</v>
      </c>
      <c r="U501" s="63" t="s">
        <v>1078</v>
      </c>
      <c r="V501" s="63"/>
      <c r="W501" s="63"/>
      <c r="X501" s="63"/>
      <c r="Y501" s="63"/>
      <c r="Z501" s="63"/>
      <c r="AA501" s="63"/>
      <c r="AB501" s="63"/>
      <c r="AC501" s="63" t="s">
        <v>551</v>
      </c>
      <c r="AD501" s="42" t="s">
        <v>207</v>
      </c>
      <c r="AE501" s="42">
        <v>3</v>
      </c>
      <c r="AF501" s="63" t="s">
        <v>1660</v>
      </c>
    </row>
    <row r="502" spans="2:32" ht="15" customHeight="1" x14ac:dyDescent="0.3">
      <c r="B502" s="42" t="s">
        <v>5</v>
      </c>
      <c r="C502" s="575" t="s">
        <v>508</v>
      </c>
      <c r="D502" s="571" t="s">
        <v>866</v>
      </c>
      <c r="E502" s="175" t="s">
        <v>1663</v>
      </c>
      <c r="F502" s="614">
        <v>46015</v>
      </c>
      <c r="G502" s="42" t="s">
        <v>55</v>
      </c>
      <c r="H502" s="42">
        <v>1</v>
      </c>
      <c r="I502" s="61">
        <v>89000</v>
      </c>
      <c r="J502" s="42">
        <v>3</v>
      </c>
      <c r="K502" s="321">
        <f t="shared" si="8"/>
        <v>29666.666666666668</v>
      </c>
      <c r="L502" s="585">
        <v>46032</v>
      </c>
      <c r="M502" s="585">
        <v>46396</v>
      </c>
      <c r="N502" s="63" t="s">
        <v>520</v>
      </c>
      <c r="O502" s="42"/>
      <c r="P502" s="42"/>
      <c r="Q502" s="64" t="s">
        <v>1664</v>
      </c>
      <c r="R502" s="63" t="s">
        <v>1239</v>
      </c>
      <c r="S502" s="63" t="s">
        <v>1665</v>
      </c>
      <c r="T502" s="63"/>
      <c r="U502" s="63" t="s">
        <v>1273</v>
      </c>
      <c r="V502" s="63"/>
      <c r="W502" s="63"/>
      <c r="X502" s="63"/>
      <c r="Y502" s="63"/>
      <c r="Z502" s="63"/>
      <c r="AA502" s="63"/>
      <c r="AB502" s="63"/>
      <c r="AC502" s="63" t="s">
        <v>96</v>
      </c>
      <c r="AD502" s="42" t="s">
        <v>97</v>
      </c>
      <c r="AE502" s="42" t="s">
        <v>494</v>
      </c>
      <c r="AF502" s="63" t="s">
        <v>1666</v>
      </c>
    </row>
    <row r="503" spans="2:32" ht="15" customHeight="1" x14ac:dyDescent="0.3">
      <c r="B503" s="42" t="s">
        <v>5</v>
      </c>
      <c r="C503" s="573" t="s">
        <v>1667</v>
      </c>
      <c r="D503" s="574" t="s">
        <v>1668</v>
      </c>
      <c r="E503" s="84">
        <v>5030129519</v>
      </c>
      <c r="F503" s="345">
        <v>46020</v>
      </c>
      <c r="G503" s="42" t="s">
        <v>55</v>
      </c>
      <c r="H503" s="42">
        <v>1</v>
      </c>
      <c r="I503" s="61">
        <v>67500</v>
      </c>
      <c r="J503" s="42">
        <v>2</v>
      </c>
      <c r="K503" s="321">
        <f t="shared" si="8"/>
        <v>33750</v>
      </c>
      <c r="L503" s="588">
        <v>46113</v>
      </c>
      <c r="M503" s="588">
        <v>46387</v>
      </c>
      <c r="N503" s="63" t="s">
        <v>520</v>
      </c>
      <c r="O503" s="42"/>
      <c r="P503" s="42"/>
      <c r="Q503" s="64" t="s">
        <v>1669</v>
      </c>
      <c r="R503" s="63" t="s">
        <v>1720</v>
      </c>
      <c r="S503" s="63" t="s">
        <v>1670</v>
      </c>
      <c r="T503" s="63"/>
      <c r="U503" s="63"/>
      <c r="V503" s="63"/>
      <c r="W503" s="63"/>
      <c r="X503" s="63"/>
      <c r="Y503" s="63"/>
      <c r="Z503" s="63"/>
      <c r="AA503" s="63"/>
      <c r="AB503" s="63"/>
      <c r="AC503" s="63" t="s">
        <v>507</v>
      </c>
      <c r="AD503" s="42" t="s">
        <v>63</v>
      </c>
      <c r="AE503" s="42">
        <v>3</v>
      </c>
      <c r="AF503" s="63" t="s">
        <v>667</v>
      </c>
    </row>
    <row r="504" spans="2:32" ht="15" customHeight="1" x14ac:dyDescent="0.3">
      <c r="B504" s="42" t="s">
        <v>5</v>
      </c>
      <c r="C504" s="575" t="s">
        <v>1671</v>
      </c>
      <c r="D504" s="571" t="s">
        <v>1031</v>
      </c>
      <c r="E504" s="175">
        <v>4514039171</v>
      </c>
      <c r="F504" s="345">
        <v>46128</v>
      </c>
      <c r="G504" s="42" t="s">
        <v>55</v>
      </c>
      <c r="H504" s="42">
        <v>3</v>
      </c>
      <c r="I504" s="61">
        <v>150000</v>
      </c>
      <c r="J504" s="42">
        <v>3</v>
      </c>
      <c r="K504" s="321">
        <f t="shared" si="8"/>
        <v>50000</v>
      </c>
      <c r="L504" s="585">
        <v>46023</v>
      </c>
      <c r="M504" s="585">
        <v>46387</v>
      </c>
      <c r="N504" s="63" t="s">
        <v>520</v>
      </c>
      <c r="O504" s="42"/>
      <c r="P504" s="42"/>
      <c r="Q504" s="64" t="s">
        <v>347</v>
      </c>
      <c r="R504" s="63" t="s">
        <v>1723</v>
      </c>
      <c r="S504" s="63" t="s">
        <v>348</v>
      </c>
      <c r="T504" s="63"/>
      <c r="U504" s="63" t="s">
        <v>349</v>
      </c>
      <c r="V504" s="63"/>
      <c r="W504" s="63"/>
      <c r="X504" s="63"/>
      <c r="Y504" s="63"/>
      <c r="Z504" s="63"/>
      <c r="AA504" s="63"/>
      <c r="AB504" s="63"/>
      <c r="AC504" s="63" t="s">
        <v>478</v>
      </c>
      <c r="AD504" s="42" t="s">
        <v>63</v>
      </c>
      <c r="AE504" s="42">
        <v>5</v>
      </c>
      <c r="AF504" s="63" t="s">
        <v>667</v>
      </c>
    </row>
    <row r="505" spans="2:32" ht="15" customHeight="1" x14ac:dyDescent="0.3">
      <c r="B505" s="42" t="s">
        <v>5</v>
      </c>
      <c r="C505" s="575" t="s">
        <v>1672</v>
      </c>
      <c r="D505" s="571" t="s">
        <v>1031</v>
      </c>
      <c r="E505" s="175">
        <v>4513957720</v>
      </c>
      <c r="F505" s="614">
        <v>46112</v>
      </c>
      <c r="G505" s="42" t="s">
        <v>55</v>
      </c>
      <c r="H505" s="42">
        <v>1</v>
      </c>
      <c r="I505" s="61">
        <v>50000</v>
      </c>
      <c r="J505" s="42">
        <v>3</v>
      </c>
      <c r="K505" s="321">
        <f t="shared" si="8"/>
        <v>16666.666666666668</v>
      </c>
      <c r="L505" s="585">
        <v>46023</v>
      </c>
      <c r="M505" s="585">
        <v>46387</v>
      </c>
      <c r="N505" s="63" t="s">
        <v>520</v>
      </c>
      <c r="O505" s="42"/>
      <c r="P505" s="42"/>
      <c r="Q505" s="64" t="s">
        <v>347</v>
      </c>
      <c r="R505" s="63" t="s">
        <v>1719</v>
      </c>
      <c r="S505" s="63" t="s">
        <v>348</v>
      </c>
      <c r="T505" s="63" t="s">
        <v>1741</v>
      </c>
      <c r="U505" s="63" t="s">
        <v>349</v>
      </c>
      <c r="V505" s="63"/>
      <c r="W505" s="63"/>
      <c r="X505" s="63"/>
      <c r="Y505" s="63"/>
      <c r="Z505" s="63"/>
      <c r="AA505" s="63"/>
      <c r="AB505" s="63"/>
      <c r="AC505" s="63" t="s">
        <v>478</v>
      </c>
      <c r="AD505" s="42" t="s">
        <v>63</v>
      </c>
      <c r="AE505" s="42">
        <v>5</v>
      </c>
      <c r="AF505" s="63" t="s">
        <v>667</v>
      </c>
    </row>
    <row r="506" spans="2:32" ht="15" customHeight="1" x14ac:dyDescent="0.3">
      <c r="B506" s="42" t="s">
        <v>5</v>
      </c>
      <c r="C506" s="589" t="s">
        <v>775</v>
      </c>
      <c r="D506" s="571" t="s">
        <v>852</v>
      </c>
      <c r="E506" s="175">
        <v>2710001873</v>
      </c>
      <c r="F506" s="345">
        <v>46127</v>
      </c>
      <c r="G506" s="42" t="s">
        <v>55</v>
      </c>
      <c r="H506" s="42">
        <v>2</v>
      </c>
      <c r="I506" s="61">
        <v>170000</v>
      </c>
      <c r="J506" s="42">
        <v>3</v>
      </c>
      <c r="K506" s="321">
        <f>I506/2</f>
        <v>85000</v>
      </c>
      <c r="L506" s="585">
        <v>46113</v>
      </c>
      <c r="M506" s="585">
        <v>46477</v>
      </c>
      <c r="N506" s="63" t="s">
        <v>520</v>
      </c>
      <c r="O506" s="42"/>
      <c r="P506" s="42"/>
      <c r="Q506" s="63" t="s">
        <v>1080</v>
      </c>
      <c r="R506" s="63" t="s">
        <v>1673</v>
      </c>
      <c r="S506" s="63" t="s">
        <v>1108</v>
      </c>
      <c r="T506" s="63" t="s">
        <v>1674</v>
      </c>
      <c r="U506" s="63" t="s">
        <v>1109</v>
      </c>
      <c r="V506" s="63"/>
      <c r="W506" s="63"/>
      <c r="X506" s="63"/>
      <c r="Y506" s="63"/>
      <c r="Z506" s="63"/>
      <c r="AA506" s="63"/>
      <c r="AB506" s="63"/>
      <c r="AC506" s="63" t="s">
        <v>551</v>
      </c>
      <c r="AD506" s="42" t="s">
        <v>207</v>
      </c>
      <c r="AE506" s="42">
        <v>3</v>
      </c>
      <c r="AF506" s="63" t="s">
        <v>1675</v>
      </c>
    </row>
    <row r="507" spans="2:32" ht="15" customHeight="1" x14ac:dyDescent="0.3">
      <c r="B507" s="42" t="s">
        <v>5</v>
      </c>
      <c r="C507" s="68" t="s">
        <v>527</v>
      </c>
      <c r="D507" s="132" t="s">
        <v>131</v>
      </c>
      <c r="E507" s="42">
        <v>7001298017</v>
      </c>
      <c r="F507" s="345">
        <v>46122</v>
      </c>
      <c r="G507" s="42" t="s">
        <v>55</v>
      </c>
      <c r="H507" s="42">
        <v>1</v>
      </c>
      <c r="I507" s="61">
        <v>78750</v>
      </c>
      <c r="J507" s="42">
        <v>2</v>
      </c>
      <c r="K507" s="321">
        <f t="shared" si="8"/>
        <v>39375</v>
      </c>
      <c r="L507" s="615">
        <v>46113</v>
      </c>
      <c r="M507" s="615">
        <v>46477</v>
      </c>
      <c r="N507" s="63" t="s">
        <v>520</v>
      </c>
      <c r="O507" s="42"/>
      <c r="P507" s="42"/>
      <c r="Q507" s="63" t="s">
        <v>467</v>
      </c>
      <c r="R507" s="63"/>
      <c r="S507" s="63" t="s">
        <v>1633</v>
      </c>
      <c r="T507" s="63"/>
      <c r="U507" s="63"/>
      <c r="V507" s="63"/>
      <c r="W507" s="63"/>
      <c r="X507" s="63"/>
      <c r="Y507" s="63"/>
      <c r="Z507" s="63"/>
      <c r="AA507" s="63"/>
      <c r="AB507" s="63"/>
      <c r="AC507" s="63" t="s">
        <v>485</v>
      </c>
      <c r="AD507" s="42" t="s">
        <v>63</v>
      </c>
      <c r="AE507" s="42">
        <v>2</v>
      </c>
      <c r="AF507" s="63" t="s">
        <v>1676</v>
      </c>
    </row>
    <row r="508" spans="2:32" ht="15" customHeight="1" x14ac:dyDescent="0.3">
      <c r="B508" s="42" t="s">
        <v>5</v>
      </c>
      <c r="C508" s="575" t="s">
        <v>800</v>
      </c>
      <c r="D508" s="571" t="s">
        <v>812</v>
      </c>
      <c r="E508" s="297">
        <v>2102600168</v>
      </c>
      <c r="F508" s="345">
        <v>46119</v>
      </c>
      <c r="G508" s="42" t="s">
        <v>55</v>
      </c>
      <c r="H508" s="42">
        <v>4</v>
      </c>
      <c r="I508" s="61">
        <v>332800</v>
      </c>
      <c r="J508" s="42">
        <v>2</v>
      </c>
      <c r="K508" s="321">
        <f t="shared" si="8"/>
        <v>166400</v>
      </c>
      <c r="L508" s="585">
        <v>46113</v>
      </c>
      <c r="M508" s="585">
        <v>46477</v>
      </c>
      <c r="N508" s="63" t="s">
        <v>520</v>
      </c>
      <c r="O508" s="42"/>
      <c r="P508" s="42"/>
      <c r="Q508" s="63" t="s">
        <v>467</v>
      </c>
      <c r="R508" s="63"/>
      <c r="S508" s="63" t="s">
        <v>1633</v>
      </c>
      <c r="T508" s="63"/>
      <c r="U508" s="63"/>
      <c r="V508" s="63"/>
      <c r="W508" s="63"/>
      <c r="X508" s="63"/>
      <c r="Y508" s="63"/>
      <c r="Z508" s="63"/>
      <c r="AA508" s="63"/>
      <c r="AB508" s="63"/>
      <c r="AC508" s="63" t="s">
        <v>485</v>
      </c>
      <c r="AD508" s="42" t="s">
        <v>63</v>
      </c>
      <c r="AE508" s="42">
        <v>2</v>
      </c>
      <c r="AF508" s="63" t="s">
        <v>1677</v>
      </c>
    </row>
    <row r="509" spans="2:32" ht="15" customHeight="1" x14ac:dyDescent="0.3">
      <c r="B509" s="42" t="s">
        <v>5</v>
      </c>
      <c r="C509" s="68" t="s">
        <v>668</v>
      </c>
      <c r="D509" s="582" t="s">
        <v>693</v>
      </c>
      <c r="E509" s="42">
        <v>30082781</v>
      </c>
      <c r="F509" s="345">
        <v>46113</v>
      </c>
      <c r="G509" s="42" t="s">
        <v>55</v>
      </c>
      <c r="H509" s="42">
        <v>7</v>
      </c>
      <c r="I509" s="61">
        <v>220717</v>
      </c>
      <c r="J509" s="42">
        <v>1</v>
      </c>
      <c r="K509" s="321">
        <f t="shared" si="8"/>
        <v>220717</v>
      </c>
      <c r="L509" s="615">
        <v>46113</v>
      </c>
      <c r="M509" s="615">
        <v>46295</v>
      </c>
      <c r="N509" s="63" t="s">
        <v>520</v>
      </c>
      <c r="O509" s="42"/>
      <c r="P509" s="42"/>
      <c r="Q509" s="63" t="s">
        <v>467</v>
      </c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 t="s">
        <v>128</v>
      </c>
      <c r="AD509" s="42" t="s">
        <v>1678</v>
      </c>
      <c r="AE509" s="42">
        <v>2</v>
      </c>
      <c r="AF509" s="63" t="s">
        <v>1679</v>
      </c>
    </row>
    <row r="510" spans="2:32" ht="15" customHeight="1" x14ac:dyDescent="0.3">
      <c r="B510" s="42" t="s">
        <v>5</v>
      </c>
      <c r="C510" s="575" t="s">
        <v>800</v>
      </c>
      <c r="D510" s="571" t="s">
        <v>801</v>
      </c>
      <c r="E510" s="297">
        <v>3102600034</v>
      </c>
      <c r="F510" s="345">
        <v>46120</v>
      </c>
      <c r="G510" s="42" t="s">
        <v>55</v>
      </c>
      <c r="H510" s="42">
        <v>6</v>
      </c>
      <c r="I510" s="61">
        <v>468000</v>
      </c>
      <c r="J510" s="42">
        <v>2</v>
      </c>
      <c r="K510" s="321">
        <f t="shared" si="8"/>
        <v>234000</v>
      </c>
      <c r="L510" s="585">
        <v>46113</v>
      </c>
      <c r="M510" s="585">
        <v>46477</v>
      </c>
      <c r="N510" s="63" t="s">
        <v>520</v>
      </c>
      <c r="O510" s="42"/>
      <c r="P510" s="42"/>
      <c r="Q510" s="63" t="s">
        <v>467</v>
      </c>
      <c r="R510" s="63"/>
      <c r="S510" s="63" t="s">
        <v>1633</v>
      </c>
      <c r="T510" s="63"/>
      <c r="U510" s="63"/>
      <c r="V510" s="63"/>
      <c r="W510" s="63"/>
      <c r="X510" s="63"/>
      <c r="Y510" s="63"/>
      <c r="Z510" s="63"/>
      <c r="AA510" s="63"/>
      <c r="AB510" s="63"/>
      <c r="AC510" s="63" t="s">
        <v>485</v>
      </c>
      <c r="AD510" s="42" t="s">
        <v>63</v>
      </c>
      <c r="AE510" s="42">
        <v>2</v>
      </c>
      <c r="AF510" s="63" t="s">
        <v>1677</v>
      </c>
    </row>
    <row r="511" spans="2:32" ht="15" customHeight="1" x14ac:dyDescent="0.3">
      <c r="B511" s="26" t="s">
        <v>5</v>
      </c>
      <c r="C511" s="575" t="s">
        <v>905</v>
      </c>
      <c r="D511" s="571" t="s">
        <v>906</v>
      </c>
      <c r="E511" s="297">
        <v>1100036794</v>
      </c>
      <c r="F511" s="345">
        <v>46112</v>
      </c>
      <c r="G511" s="42" t="s">
        <v>55</v>
      </c>
      <c r="H511" s="42">
        <v>4</v>
      </c>
      <c r="I511" s="61">
        <v>294000</v>
      </c>
      <c r="J511" s="42">
        <v>2</v>
      </c>
      <c r="K511" s="321">
        <f t="shared" si="8"/>
        <v>147000</v>
      </c>
      <c r="L511" s="585">
        <v>46174</v>
      </c>
      <c r="M511" s="585">
        <v>46538</v>
      </c>
      <c r="N511" s="63" t="s">
        <v>520</v>
      </c>
      <c r="O511" s="42"/>
      <c r="P511" s="42"/>
      <c r="Q511" s="63" t="s">
        <v>1414</v>
      </c>
      <c r="R511" s="63"/>
      <c r="S511" s="63" t="s">
        <v>1680</v>
      </c>
      <c r="T511" s="63"/>
      <c r="U511" s="63"/>
      <c r="V511" s="63"/>
      <c r="W511" s="63"/>
      <c r="X511" s="63"/>
      <c r="Y511" s="63"/>
      <c r="Z511" s="63"/>
      <c r="AA511" s="63"/>
      <c r="AB511" s="63"/>
      <c r="AC511" s="63" t="s">
        <v>551</v>
      </c>
      <c r="AD511" s="42" t="s">
        <v>207</v>
      </c>
      <c r="AE511" s="42">
        <v>2</v>
      </c>
      <c r="AF511" s="63" t="s">
        <v>667</v>
      </c>
    </row>
    <row r="512" spans="2:32" ht="15" customHeight="1" x14ac:dyDescent="0.3">
      <c r="B512" s="319" t="s">
        <v>5</v>
      </c>
      <c r="C512" s="565" t="s">
        <v>716</v>
      </c>
      <c r="D512" s="566" t="s">
        <v>447</v>
      </c>
      <c r="E512" s="269" t="s">
        <v>1681</v>
      </c>
      <c r="F512" s="343">
        <v>46125</v>
      </c>
      <c r="G512" s="26" t="s">
        <v>55</v>
      </c>
      <c r="H512" s="26">
        <v>1</v>
      </c>
      <c r="I512" s="56">
        <v>59794.68</v>
      </c>
      <c r="J512" s="26">
        <v>3</v>
      </c>
      <c r="K512" s="321">
        <f t="shared" si="8"/>
        <v>19931.560000000001</v>
      </c>
      <c r="L512" s="567">
        <v>46113</v>
      </c>
      <c r="M512" s="567">
        <v>46477</v>
      </c>
      <c r="N512" s="58" t="s">
        <v>520</v>
      </c>
      <c r="O512" s="26"/>
      <c r="P512" s="26"/>
      <c r="Q512" s="58" t="s">
        <v>1080</v>
      </c>
      <c r="R512" s="58"/>
      <c r="S512" s="58" t="s">
        <v>1108</v>
      </c>
      <c r="T512" s="58"/>
      <c r="U512" s="58" t="s">
        <v>1109</v>
      </c>
      <c r="V512" s="58"/>
      <c r="W512" s="58"/>
      <c r="X512" s="58"/>
      <c r="Y512" s="58"/>
      <c r="Z512" s="58"/>
      <c r="AA512" s="58"/>
      <c r="AB512" s="58"/>
      <c r="AC512" s="58" t="s">
        <v>281</v>
      </c>
      <c r="AD512" s="26" t="s">
        <v>97</v>
      </c>
      <c r="AE512" s="26" t="s">
        <v>494</v>
      </c>
      <c r="AF512" s="58" t="s">
        <v>667</v>
      </c>
    </row>
    <row r="513" spans="2:32" ht="15" customHeight="1" x14ac:dyDescent="0.3">
      <c r="B513" s="319" t="s">
        <v>5</v>
      </c>
      <c r="C513" s="565" t="s">
        <v>716</v>
      </c>
      <c r="D513" s="566" t="s">
        <v>447</v>
      </c>
      <c r="E513" s="269" t="s">
        <v>1682</v>
      </c>
      <c r="F513" s="343">
        <v>46125</v>
      </c>
      <c r="G513" s="26" t="s">
        <v>55</v>
      </c>
      <c r="H513" s="26">
        <v>3</v>
      </c>
      <c r="I513" s="56">
        <v>273094.28000000003</v>
      </c>
      <c r="J513" s="26">
        <v>3</v>
      </c>
      <c r="K513" s="321">
        <f t="shared" si="8"/>
        <v>91031.426666666681</v>
      </c>
      <c r="L513" s="567">
        <v>46113</v>
      </c>
      <c r="M513" s="567">
        <v>46477</v>
      </c>
      <c r="N513" s="58" t="s">
        <v>520</v>
      </c>
      <c r="O513" s="26"/>
      <c r="P513" s="26"/>
      <c r="Q513" s="58" t="s">
        <v>1080</v>
      </c>
      <c r="R513" s="58"/>
      <c r="S513" s="58" t="s">
        <v>1108</v>
      </c>
      <c r="T513" s="58"/>
      <c r="U513" s="58" t="s">
        <v>1109</v>
      </c>
      <c r="V513" s="58"/>
      <c r="W513" s="58"/>
      <c r="X513" s="58"/>
      <c r="Y513" s="58"/>
      <c r="Z513" s="58"/>
      <c r="AA513" s="58"/>
      <c r="AB513" s="58"/>
      <c r="AC513" s="58" t="s">
        <v>281</v>
      </c>
      <c r="AD513" s="26" t="s">
        <v>97</v>
      </c>
      <c r="AE513" s="26" t="s">
        <v>494</v>
      </c>
      <c r="AF513" s="58" t="s">
        <v>667</v>
      </c>
    </row>
    <row r="514" spans="2:32" ht="15" customHeight="1" x14ac:dyDescent="0.3">
      <c r="B514" s="82" t="s">
        <v>5</v>
      </c>
      <c r="C514" s="575" t="s">
        <v>716</v>
      </c>
      <c r="D514" s="571" t="s">
        <v>447</v>
      </c>
      <c r="E514" s="175" t="s">
        <v>1683</v>
      </c>
      <c r="F514" s="345">
        <v>46125</v>
      </c>
      <c r="G514" s="42" t="s">
        <v>55</v>
      </c>
      <c r="H514" s="42">
        <v>2</v>
      </c>
      <c r="I514" s="61">
        <v>247338.36</v>
      </c>
      <c r="J514" s="42">
        <v>3</v>
      </c>
      <c r="K514" s="321">
        <f t="shared" si="8"/>
        <v>82446.12</v>
      </c>
      <c r="L514" s="585">
        <v>46113</v>
      </c>
      <c r="M514" s="585">
        <v>46477</v>
      </c>
      <c r="N514" s="63" t="s">
        <v>520</v>
      </c>
      <c r="O514" s="42"/>
      <c r="P514" s="42"/>
      <c r="Q514" s="63" t="s">
        <v>1080</v>
      </c>
      <c r="R514" s="63"/>
      <c r="S514" s="63" t="s">
        <v>1108</v>
      </c>
      <c r="T514" s="63"/>
      <c r="U514" s="63" t="s">
        <v>1109</v>
      </c>
      <c r="V514" s="63"/>
      <c r="W514" s="63"/>
      <c r="X514" s="63"/>
      <c r="Y514" s="63"/>
      <c r="Z514" s="63"/>
      <c r="AA514" s="63"/>
      <c r="AB514" s="63"/>
      <c r="AC514" s="63" t="s">
        <v>281</v>
      </c>
      <c r="AD514" s="42" t="s">
        <v>97</v>
      </c>
      <c r="AE514" s="42" t="s">
        <v>494</v>
      </c>
      <c r="AF514" s="63" t="s">
        <v>667</v>
      </c>
    </row>
    <row r="515" spans="2:32" ht="15" customHeight="1" x14ac:dyDescent="0.3">
      <c r="B515" s="42" t="s">
        <v>5</v>
      </c>
      <c r="C515" s="68" t="s">
        <v>762</v>
      </c>
      <c r="D515" s="132" t="s">
        <v>763</v>
      </c>
      <c r="E515" s="42" t="s">
        <v>1684</v>
      </c>
      <c r="F515" s="614">
        <v>46128</v>
      </c>
      <c r="G515" s="42" t="s">
        <v>55</v>
      </c>
      <c r="H515" s="42">
        <v>1</v>
      </c>
      <c r="I515" s="61">
        <v>80001</v>
      </c>
      <c r="J515" s="42">
        <v>3</v>
      </c>
      <c r="K515" s="321">
        <f t="shared" si="8"/>
        <v>26667</v>
      </c>
      <c r="L515" s="615">
        <v>46113</v>
      </c>
      <c r="M515" s="615">
        <v>46477</v>
      </c>
      <c r="N515" s="63" t="s">
        <v>520</v>
      </c>
      <c r="O515" s="42"/>
      <c r="P515" s="42"/>
      <c r="Q515" s="63" t="s">
        <v>1080</v>
      </c>
      <c r="R515" s="63"/>
      <c r="S515" s="63" t="s">
        <v>1108</v>
      </c>
      <c r="T515" s="63"/>
      <c r="U515" s="63" t="s">
        <v>1109</v>
      </c>
      <c r="V515" s="63"/>
      <c r="W515" s="63"/>
      <c r="X515" s="63"/>
      <c r="Y515" s="63"/>
      <c r="Z515" s="63"/>
      <c r="AA515" s="63"/>
      <c r="AB515" s="63"/>
      <c r="AC515" s="63" t="s">
        <v>507</v>
      </c>
      <c r="AD515" s="42" t="s">
        <v>63</v>
      </c>
      <c r="AE515" s="42">
        <v>3</v>
      </c>
      <c r="AF515" s="63" t="s">
        <v>667</v>
      </c>
    </row>
    <row r="516" spans="2:32" ht="15" customHeight="1" x14ac:dyDescent="0.3">
      <c r="B516" s="42" t="s">
        <v>5</v>
      </c>
      <c r="C516" s="68" t="s">
        <v>1685</v>
      </c>
      <c r="D516" s="132" t="s">
        <v>1686</v>
      </c>
      <c r="E516" s="300" t="s">
        <v>1687</v>
      </c>
      <c r="F516" s="345">
        <v>46130</v>
      </c>
      <c r="G516" s="320" t="s">
        <v>703</v>
      </c>
      <c r="H516" s="42">
        <v>6</v>
      </c>
      <c r="I516" s="61">
        <v>2352488.14</v>
      </c>
      <c r="J516" s="42">
        <v>6</v>
      </c>
      <c r="K516" s="321">
        <f t="shared" si="8"/>
        <v>392081.35666666669</v>
      </c>
      <c r="L516" s="615">
        <v>46136</v>
      </c>
      <c r="M516" s="615">
        <v>46500</v>
      </c>
      <c r="N516" s="63" t="s">
        <v>520</v>
      </c>
      <c r="O516" s="42"/>
      <c r="P516" s="42" t="s">
        <v>1</v>
      </c>
      <c r="Q516" s="64" t="s">
        <v>1688</v>
      </c>
      <c r="R516" s="63" t="s">
        <v>1710</v>
      </c>
      <c r="S516" s="63" t="s">
        <v>1689</v>
      </c>
      <c r="T516" s="63"/>
      <c r="U516" s="63" t="s">
        <v>1690</v>
      </c>
      <c r="V516" s="63"/>
      <c r="W516" s="63" t="s">
        <v>1691</v>
      </c>
      <c r="X516" s="63"/>
      <c r="Y516" s="63" t="s">
        <v>1692</v>
      </c>
      <c r="Z516" s="63"/>
      <c r="AA516" s="63" t="s">
        <v>1693</v>
      </c>
      <c r="AB516" s="63"/>
      <c r="AC516" s="63" t="s">
        <v>551</v>
      </c>
      <c r="AD516" s="42" t="s">
        <v>207</v>
      </c>
      <c r="AE516" s="42" t="s">
        <v>494</v>
      </c>
      <c r="AF516" s="63" t="s">
        <v>667</v>
      </c>
    </row>
    <row r="517" spans="2:32" ht="15" customHeight="1" x14ac:dyDescent="0.3">
      <c r="B517" s="42" t="s">
        <v>5</v>
      </c>
      <c r="C517" s="575" t="s">
        <v>836</v>
      </c>
      <c r="D517" s="571" t="s">
        <v>629</v>
      </c>
      <c r="E517" s="297" t="s">
        <v>1694</v>
      </c>
      <c r="F517" s="345">
        <v>46133</v>
      </c>
      <c r="G517" s="42" t="s">
        <v>55</v>
      </c>
      <c r="H517" s="42">
        <v>2</v>
      </c>
      <c r="I517" s="61">
        <v>176400</v>
      </c>
      <c r="J517" s="42">
        <v>2</v>
      </c>
      <c r="K517" s="321">
        <f t="shared" si="8"/>
        <v>88200</v>
      </c>
      <c r="L517" s="585">
        <v>46113</v>
      </c>
      <c r="M517" s="585">
        <v>46477</v>
      </c>
      <c r="N517" s="63" t="s">
        <v>520</v>
      </c>
      <c r="O517" s="42"/>
      <c r="P517" s="42"/>
      <c r="Q517" s="63" t="s">
        <v>467</v>
      </c>
      <c r="R517" s="63"/>
      <c r="S517" s="63" t="s">
        <v>1633</v>
      </c>
      <c r="T517" s="63"/>
      <c r="U517" s="63"/>
      <c r="V517" s="63"/>
      <c r="W517" s="63"/>
      <c r="X517" s="63"/>
      <c r="Y517" s="63"/>
      <c r="Z517" s="63"/>
      <c r="AA517" s="63"/>
      <c r="AB517" s="63"/>
      <c r="AC517" s="63" t="s">
        <v>485</v>
      </c>
      <c r="AD517" s="42" t="s">
        <v>63</v>
      </c>
      <c r="AE517" s="42">
        <v>2</v>
      </c>
      <c r="AF517" s="63" t="s">
        <v>799</v>
      </c>
    </row>
    <row r="518" spans="2:32" ht="15" customHeight="1" x14ac:dyDescent="0.3">
      <c r="B518" s="42" t="s">
        <v>5</v>
      </c>
      <c r="C518" s="575" t="s">
        <v>544</v>
      </c>
      <c r="D518" s="571" t="s">
        <v>1029</v>
      </c>
      <c r="E518" s="84">
        <v>1260004105</v>
      </c>
      <c r="F518" s="345">
        <v>46130</v>
      </c>
      <c r="G518" s="42" t="s">
        <v>55</v>
      </c>
      <c r="H518" s="42">
        <v>1</v>
      </c>
      <c r="I518" s="61">
        <v>145000</v>
      </c>
      <c r="J518" s="42">
        <v>3</v>
      </c>
      <c r="K518" s="321">
        <f t="shared" si="8"/>
        <v>48333.333333333336</v>
      </c>
      <c r="L518" s="588">
        <v>46164</v>
      </c>
      <c r="M518" s="588">
        <v>46528</v>
      </c>
      <c r="N518" s="63" t="s">
        <v>520</v>
      </c>
      <c r="O518" s="42"/>
      <c r="P518" s="42"/>
      <c r="Q518" s="63" t="s">
        <v>1695</v>
      </c>
      <c r="R518" s="63"/>
      <c r="S518" s="63" t="s">
        <v>1696</v>
      </c>
      <c r="T518" s="63"/>
      <c r="U518" s="63" t="s">
        <v>1697</v>
      </c>
      <c r="V518" s="63"/>
      <c r="W518" s="63"/>
      <c r="X518" s="63"/>
      <c r="Y518" s="63"/>
      <c r="Z518" s="63"/>
      <c r="AA518" s="63"/>
      <c r="AB518" s="63"/>
      <c r="AC518" s="63" t="s">
        <v>834</v>
      </c>
      <c r="AD518" s="42" t="s">
        <v>207</v>
      </c>
      <c r="AE518" s="42">
        <v>3</v>
      </c>
      <c r="AF518" s="63" t="s">
        <v>667</v>
      </c>
    </row>
    <row r="519" spans="2:32" ht="15" customHeight="1" x14ac:dyDescent="0.3">
      <c r="B519" s="42" t="s">
        <v>5</v>
      </c>
      <c r="C519" s="575" t="s">
        <v>544</v>
      </c>
      <c r="D519" s="571" t="s">
        <v>447</v>
      </c>
      <c r="E519" s="297">
        <v>1260003465</v>
      </c>
      <c r="F519" s="345">
        <v>46127</v>
      </c>
      <c r="G519" s="42" t="s">
        <v>55</v>
      </c>
      <c r="H519" s="42">
        <v>2</v>
      </c>
      <c r="I519" s="61">
        <v>215400</v>
      </c>
      <c r="J519" s="42">
        <v>3</v>
      </c>
      <c r="K519" s="321">
        <f t="shared" si="8"/>
        <v>71800</v>
      </c>
      <c r="L519" s="585">
        <v>46113</v>
      </c>
      <c r="M519" s="585">
        <v>46477</v>
      </c>
      <c r="N519" s="63" t="s">
        <v>520</v>
      </c>
      <c r="O519" s="42"/>
      <c r="P519" s="42"/>
      <c r="Q519" s="63" t="s">
        <v>1080</v>
      </c>
      <c r="R519" s="63"/>
      <c r="S519" s="63" t="s">
        <v>1108</v>
      </c>
      <c r="T519" s="63"/>
      <c r="U519" s="63" t="s">
        <v>1109</v>
      </c>
      <c r="V519" s="63"/>
      <c r="W519" s="63"/>
      <c r="X519" s="63"/>
      <c r="Y519" s="63"/>
      <c r="Z519" s="63"/>
      <c r="AA519" s="63"/>
      <c r="AB519" s="63"/>
      <c r="AC519" s="63" t="s">
        <v>96</v>
      </c>
      <c r="AD519" s="42" t="s">
        <v>97</v>
      </c>
      <c r="AE519" s="42" t="s">
        <v>494</v>
      </c>
      <c r="AF519" s="63" t="s">
        <v>667</v>
      </c>
    </row>
    <row r="520" spans="2:32" ht="15" customHeight="1" x14ac:dyDescent="0.3">
      <c r="B520" s="42" t="s">
        <v>5</v>
      </c>
      <c r="C520" s="68" t="s">
        <v>751</v>
      </c>
      <c r="D520" s="132" t="s">
        <v>151</v>
      </c>
      <c r="E520" s="121">
        <v>307000844</v>
      </c>
      <c r="F520" s="345">
        <v>46129</v>
      </c>
      <c r="G520" s="42" t="s">
        <v>55</v>
      </c>
      <c r="H520" s="42">
        <v>1</v>
      </c>
      <c r="I520" s="61">
        <v>124440</v>
      </c>
      <c r="J520" s="42">
        <v>4</v>
      </c>
      <c r="K520" s="321">
        <f t="shared" si="8"/>
        <v>31110</v>
      </c>
      <c r="L520" s="615">
        <v>46113</v>
      </c>
      <c r="M520" s="615">
        <v>46477</v>
      </c>
      <c r="N520" s="63" t="s">
        <v>520</v>
      </c>
      <c r="O520" s="42"/>
      <c r="P520" s="42"/>
      <c r="Q520" s="63" t="s">
        <v>397</v>
      </c>
      <c r="R520" s="63"/>
      <c r="S520" s="63" t="s">
        <v>496</v>
      </c>
      <c r="T520" s="63"/>
      <c r="U520" s="63" t="s">
        <v>497</v>
      </c>
      <c r="V520" s="63"/>
      <c r="W520" s="63" t="s">
        <v>498</v>
      </c>
      <c r="X520" s="63"/>
      <c r="Y520" s="63"/>
      <c r="Z520" s="63"/>
      <c r="AA520" s="63"/>
      <c r="AB520" s="63"/>
      <c r="AC520" s="63" t="s">
        <v>507</v>
      </c>
      <c r="AD520" s="42" t="s">
        <v>63</v>
      </c>
      <c r="AE520" s="42">
        <v>4</v>
      </c>
      <c r="AF520" s="63" t="s">
        <v>1626</v>
      </c>
    </row>
    <row r="521" spans="2:32" ht="15" customHeight="1" x14ac:dyDescent="0.3">
      <c r="B521" s="42" t="s">
        <v>5</v>
      </c>
      <c r="C521" s="68" t="s">
        <v>875</v>
      </c>
      <c r="D521" s="132" t="s">
        <v>876</v>
      </c>
      <c r="E521" s="335" t="s">
        <v>1698</v>
      </c>
      <c r="F521" s="345">
        <v>46133</v>
      </c>
      <c r="G521" s="42" t="s">
        <v>55</v>
      </c>
      <c r="H521" s="42">
        <v>3</v>
      </c>
      <c r="I521" s="61">
        <v>461100</v>
      </c>
      <c r="J521" s="42">
        <v>3</v>
      </c>
      <c r="K521" s="321">
        <f t="shared" ref="K521:K548" si="9">I521/J521</f>
        <v>153700</v>
      </c>
      <c r="L521" s="615">
        <v>46143</v>
      </c>
      <c r="M521" s="615">
        <v>46507</v>
      </c>
      <c r="N521" s="63" t="s">
        <v>520</v>
      </c>
      <c r="O521" s="42"/>
      <c r="P521" s="42"/>
      <c r="Q521" s="63" t="s">
        <v>348</v>
      </c>
      <c r="R521" s="63"/>
      <c r="S521" s="63" t="s">
        <v>349</v>
      </c>
      <c r="T521" s="63"/>
      <c r="U521" s="63" t="s">
        <v>738</v>
      </c>
      <c r="V521" s="63"/>
      <c r="W521" s="63"/>
      <c r="X521" s="63"/>
      <c r="Y521" s="63"/>
      <c r="Z521" s="63"/>
      <c r="AA521" s="63"/>
      <c r="AB521" s="63"/>
      <c r="AC521" s="63" t="s">
        <v>281</v>
      </c>
      <c r="AD521" s="42" t="s">
        <v>97</v>
      </c>
      <c r="AE521" s="42">
        <v>3</v>
      </c>
      <c r="AF521" s="63" t="s">
        <v>799</v>
      </c>
    </row>
    <row r="522" spans="2:32" ht="15" customHeight="1" x14ac:dyDescent="0.3">
      <c r="B522" s="42" t="s">
        <v>5</v>
      </c>
      <c r="C522" s="68" t="s">
        <v>1699</v>
      </c>
      <c r="D522" s="132" t="s">
        <v>906</v>
      </c>
      <c r="E522" s="121" t="s">
        <v>1700</v>
      </c>
      <c r="F522" s="345">
        <v>46136</v>
      </c>
      <c r="G522" s="42" t="s">
        <v>55</v>
      </c>
      <c r="H522" s="42">
        <v>2</v>
      </c>
      <c r="I522" s="61">
        <v>180000</v>
      </c>
      <c r="J522" s="42">
        <v>3</v>
      </c>
      <c r="K522" s="321">
        <f t="shared" si="9"/>
        <v>60000</v>
      </c>
      <c r="L522" s="615">
        <v>45953</v>
      </c>
      <c r="M522" s="615">
        <v>46317</v>
      </c>
      <c r="N522" s="63" t="s">
        <v>520</v>
      </c>
      <c r="O522" s="42"/>
      <c r="P522" s="42"/>
      <c r="Q522" s="63" t="s">
        <v>1701</v>
      </c>
      <c r="R522" s="63"/>
      <c r="S522" s="63" t="s">
        <v>1702</v>
      </c>
      <c r="T522" s="63"/>
      <c r="U522" s="63" t="s">
        <v>1703</v>
      </c>
      <c r="V522" s="63"/>
      <c r="W522" s="63"/>
      <c r="X522" s="63"/>
      <c r="Y522" s="63"/>
      <c r="Z522" s="63"/>
      <c r="AA522" s="63"/>
      <c r="AB522" s="63"/>
      <c r="AC522" s="63" t="s">
        <v>551</v>
      </c>
      <c r="AD522" s="42" t="s">
        <v>207</v>
      </c>
      <c r="AE522" s="42">
        <v>3</v>
      </c>
      <c r="AF522" s="63" t="s">
        <v>1704</v>
      </c>
    </row>
    <row r="523" spans="2:32" ht="15" customHeight="1" x14ac:dyDescent="0.3">
      <c r="B523" s="42" t="s">
        <v>5</v>
      </c>
      <c r="C523" s="576" t="s">
        <v>628</v>
      </c>
      <c r="D523" s="577" t="s">
        <v>910</v>
      </c>
      <c r="E523" s="189" t="s">
        <v>1705</v>
      </c>
      <c r="F523" s="611">
        <v>46128</v>
      </c>
      <c r="G523" s="42" t="s">
        <v>55</v>
      </c>
      <c r="H523" s="42">
        <v>3</v>
      </c>
      <c r="I523" s="61">
        <v>163500</v>
      </c>
      <c r="J523" s="42">
        <v>1</v>
      </c>
      <c r="K523" s="321">
        <f t="shared" si="9"/>
        <v>163500</v>
      </c>
      <c r="L523" s="585">
        <v>46113</v>
      </c>
      <c r="M523" s="585">
        <v>46477</v>
      </c>
      <c r="N523" s="63" t="s">
        <v>520</v>
      </c>
      <c r="O523" s="42"/>
      <c r="P523" s="42"/>
      <c r="Q523" s="63" t="s">
        <v>1706</v>
      </c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 t="s">
        <v>485</v>
      </c>
      <c r="AD523" s="42" t="s">
        <v>63</v>
      </c>
      <c r="AE523" s="42">
        <v>2</v>
      </c>
      <c r="AF523" s="63" t="s">
        <v>1488</v>
      </c>
    </row>
    <row r="524" spans="2:32" ht="15" customHeight="1" x14ac:dyDescent="0.3">
      <c r="B524" s="42" t="s">
        <v>5</v>
      </c>
      <c r="C524" s="94" t="s">
        <v>1707</v>
      </c>
      <c r="D524" s="586" t="s">
        <v>176</v>
      </c>
      <c r="E524" s="336">
        <v>26000193</v>
      </c>
      <c r="F524" s="612">
        <v>46118</v>
      </c>
      <c r="G524" s="42" t="s">
        <v>55</v>
      </c>
      <c r="H524" s="42">
        <v>1</v>
      </c>
      <c r="I524" s="61">
        <v>94500</v>
      </c>
      <c r="J524" s="42">
        <v>3</v>
      </c>
      <c r="K524" s="328">
        <f t="shared" si="9"/>
        <v>31500</v>
      </c>
      <c r="L524" s="591">
        <v>46113</v>
      </c>
      <c r="M524" s="591">
        <v>46477</v>
      </c>
      <c r="N524" s="63" t="s">
        <v>520</v>
      </c>
      <c r="O524" s="42"/>
      <c r="P524" s="42"/>
      <c r="Q524" s="63" t="s">
        <v>1080</v>
      </c>
      <c r="R524" s="63"/>
      <c r="S524" s="63" t="s">
        <v>1108</v>
      </c>
      <c r="T524" s="63"/>
      <c r="U524" s="63" t="s">
        <v>1109</v>
      </c>
      <c r="V524" s="63"/>
      <c r="W524" s="63"/>
      <c r="X524" s="63"/>
      <c r="Y524" s="63"/>
      <c r="Z524" s="63"/>
      <c r="AA524" s="63"/>
      <c r="AB524" s="63"/>
      <c r="AC524" s="63" t="s">
        <v>485</v>
      </c>
      <c r="AD524" s="42" t="s">
        <v>63</v>
      </c>
      <c r="AE524" s="42">
        <v>2</v>
      </c>
      <c r="AF524" s="63" t="s">
        <v>1708</v>
      </c>
    </row>
    <row r="525" spans="2:32" ht="15" customHeight="1" x14ac:dyDescent="0.3">
      <c r="B525" s="26" t="s">
        <v>6</v>
      </c>
      <c r="C525" s="39" t="s">
        <v>663</v>
      </c>
      <c r="D525" s="350" t="s">
        <v>950</v>
      </c>
      <c r="E525" s="26">
        <v>4508018808</v>
      </c>
      <c r="F525" s="343">
        <v>46140</v>
      </c>
      <c r="G525" s="26" t="s">
        <v>55</v>
      </c>
      <c r="H525" s="26">
        <v>6</v>
      </c>
      <c r="I525" s="56">
        <v>479999.88</v>
      </c>
      <c r="J525" s="26">
        <v>3</v>
      </c>
      <c r="K525" s="327">
        <f t="shared" si="9"/>
        <v>159999.96</v>
      </c>
      <c r="L525" s="623">
        <v>46113</v>
      </c>
      <c r="M525" s="623">
        <v>46477</v>
      </c>
      <c r="N525" s="58" t="s">
        <v>520</v>
      </c>
      <c r="O525" s="26"/>
      <c r="P525" s="26"/>
      <c r="Q525" s="58" t="s">
        <v>1080</v>
      </c>
      <c r="R525" s="58"/>
      <c r="S525" s="58" t="s">
        <v>1108</v>
      </c>
      <c r="T525" s="58"/>
      <c r="U525" s="58" t="s">
        <v>1109</v>
      </c>
      <c r="V525" s="58"/>
      <c r="W525" s="58"/>
      <c r="X525" s="58"/>
      <c r="Y525" s="58"/>
      <c r="Z525" s="58"/>
      <c r="AA525" s="58"/>
      <c r="AB525" s="58"/>
      <c r="AC525" s="58" t="s">
        <v>478</v>
      </c>
      <c r="AD525" s="26" t="s">
        <v>63</v>
      </c>
      <c r="AE525" s="26">
        <v>3</v>
      </c>
      <c r="AF525" s="58" t="s">
        <v>1272</v>
      </c>
    </row>
    <row r="526" spans="2:32" ht="15" customHeight="1" x14ac:dyDescent="0.3">
      <c r="B526" s="26" t="s">
        <v>6</v>
      </c>
      <c r="C526" s="39" t="s">
        <v>150</v>
      </c>
      <c r="D526" s="232" t="s">
        <v>350</v>
      </c>
      <c r="E526" s="125">
        <v>4200384269</v>
      </c>
      <c r="F526" s="343">
        <v>46100</v>
      </c>
      <c r="G526" s="26" t="s">
        <v>55</v>
      </c>
      <c r="H526" s="26">
        <v>1</v>
      </c>
      <c r="I526" s="56">
        <v>123300</v>
      </c>
      <c r="J526" s="26">
        <v>3</v>
      </c>
      <c r="K526" s="327">
        <f t="shared" si="9"/>
        <v>41100</v>
      </c>
      <c r="L526" s="348">
        <v>46113</v>
      </c>
      <c r="M526" s="348">
        <v>46477</v>
      </c>
      <c r="N526" s="58" t="s">
        <v>520</v>
      </c>
      <c r="O526" s="26"/>
      <c r="P526" s="26"/>
      <c r="Q526" s="58" t="s">
        <v>1080</v>
      </c>
      <c r="R526" s="58"/>
      <c r="S526" s="58" t="s">
        <v>1108</v>
      </c>
      <c r="T526" s="58"/>
      <c r="U526" s="58" t="s">
        <v>1109</v>
      </c>
      <c r="V526" s="58"/>
      <c r="W526" s="58"/>
      <c r="X526" s="58"/>
      <c r="Y526" s="58"/>
      <c r="Z526" s="58"/>
      <c r="AA526" s="58"/>
      <c r="AB526" s="58"/>
      <c r="AC526" s="58" t="s">
        <v>834</v>
      </c>
      <c r="AD526" s="26" t="s">
        <v>207</v>
      </c>
      <c r="AE526" s="26">
        <v>2</v>
      </c>
      <c r="AF526" s="58" t="s">
        <v>1272</v>
      </c>
    </row>
    <row r="527" spans="2:32" ht="15" hidden="1" customHeight="1" x14ac:dyDescent="0.3">
      <c r="B527" s="26" t="s">
        <v>6</v>
      </c>
      <c r="C527" s="39" t="s">
        <v>150</v>
      </c>
      <c r="D527" s="232" t="s">
        <v>350</v>
      </c>
      <c r="E527" s="125">
        <v>4200384269</v>
      </c>
      <c r="F527" s="343">
        <v>46100</v>
      </c>
      <c r="G527" s="26" t="s">
        <v>55</v>
      </c>
      <c r="H527" s="26"/>
      <c r="I527" s="56">
        <v>129600</v>
      </c>
      <c r="J527" s="26">
        <v>3</v>
      </c>
      <c r="K527" s="327">
        <f t="shared" si="9"/>
        <v>43200</v>
      </c>
      <c r="L527" s="283">
        <v>46478</v>
      </c>
      <c r="M527" s="283">
        <v>46843</v>
      </c>
      <c r="N527" s="58" t="s">
        <v>520</v>
      </c>
      <c r="O527" s="26"/>
      <c r="P527" s="26"/>
      <c r="Q527" s="58" t="s">
        <v>1110</v>
      </c>
      <c r="R527" s="58"/>
      <c r="S527" s="58" t="s">
        <v>1742</v>
      </c>
      <c r="T527" s="58"/>
      <c r="U527" s="58" t="s">
        <v>1112</v>
      </c>
      <c r="V527" s="58"/>
      <c r="W527" s="58"/>
      <c r="X527" s="58"/>
      <c r="Y527" s="58"/>
      <c r="Z527" s="58"/>
      <c r="AA527" s="58"/>
      <c r="AB527" s="58"/>
      <c r="AC527" s="58" t="s">
        <v>834</v>
      </c>
      <c r="AD527" s="26" t="s">
        <v>207</v>
      </c>
      <c r="AE527" s="26">
        <v>2</v>
      </c>
      <c r="AF527" s="58" t="s">
        <v>1272</v>
      </c>
    </row>
    <row r="528" spans="2:32" ht="15" hidden="1" customHeight="1" x14ac:dyDescent="0.3">
      <c r="B528" s="42" t="s">
        <v>6</v>
      </c>
      <c r="C528" s="68" t="s">
        <v>150</v>
      </c>
      <c r="D528" s="132" t="s">
        <v>350</v>
      </c>
      <c r="E528" s="121">
        <v>4200384269</v>
      </c>
      <c r="F528" s="345">
        <v>46100</v>
      </c>
      <c r="G528" s="42" t="s">
        <v>55</v>
      </c>
      <c r="H528" s="42"/>
      <c r="I528" s="61">
        <v>136200</v>
      </c>
      <c r="J528" s="42">
        <v>3</v>
      </c>
      <c r="K528" s="329">
        <f t="shared" si="9"/>
        <v>45400</v>
      </c>
      <c r="L528" s="284">
        <v>46844</v>
      </c>
      <c r="M528" s="284">
        <v>47208</v>
      </c>
      <c r="N528" s="63" t="s">
        <v>520</v>
      </c>
      <c r="O528" s="42"/>
      <c r="P528" s="42"/>
      <c r="Q528" s="63" t="s">
        <v>1743</v>
      </c>
      <c r="R528" s="63"/>
      <c r="S528" s="63" t="s">
        <v>1744</v>
      </c>
      <c r="T528" s="63"/>
      <c r="U528" s="63" t="s">
        <v>1745</v>
      </c>
      <c r="V528" s="63"/>
      <c r="W528" s="63"/>
      <c r="X528" s="63"/>
      <c r="Y528" s="63"/>
      <c r="Z528" s="63"/>
      <c r="AA528" s="63"/>
      <c r="AB528" s="63"/>
      <c r="AC528" s="63" t="s">
        <v>834</v>
      </c>
      <c r="AD528" s="42" t="s">
        <v>207</v>
      </c>
      <c r="AE528" s="42">
        <v>2</v>
      </c>
      <c r="AF528" s="63" t="s">
        <v>1272</v>
      </c>
    </row>
    <row r="529" spans="2:32" ht="15" customHeight="1" x14ac:dyDescent="0.3">
      <c r="B529" s="42" t="s">
        <v>6</v>
      </c>
      <c r="C529" s="575" t="s">
        <v>1746</v>
      </c>
      <c r="D529" s="571" t="s">
        <v>388</v>
      </c>
      <c r="E529" s="175">
        <v>5000146860</v>
      </c>
      <c r="F529" s="614">
        <v>46136</v>
      </c>
      <c r="G529" s="42" t="s">
        <v>55</v>
      </c>
      <c r="H529" s="42">
        <v>1</v>
      </c>
      <c r="I529" s="61">
        <v>89300</v>
      </c>
      <c r="J529" s="42">
        <v>2</v>
      </c>
      <c r="K529" s="329">
        <f t="shared" si="9"/>
        <v>44650</v>
      </c>
      <c r="L529" s="585">
        <v>46113</v>
      </c>
      <c r="M529" s="585">
        <v>46477</v>
      </c>
      <c r="N529" s="63" t="s">
        <v>520</v>
      </c>
      <c r="O529" s="42"/>
      <c r="P529" s="42" t="s">
        <v>1</v>
      </c>
      <c r="Q529" s="63" t="s">
        <v>467</v>
      </c>
      <c r="R529" s="63"/>
      <c r="S529" s="63" t="s">
        <v>1633</v>
      </c>
      <c r="T529" s="63"/>
      <c r="U529" s="63"/>
      <c r="V529" s="63"/>
      <c r="W529" s="63"/>
      <c r="X529" s="63"/>
      <c r="Y529" s="63"/>
      <c r="Z529" s="63"/>
      <c r="AA529" s="63"/>
      <c r="AB529" s="63"/>
      <c r="AC529" s="63" t="s">
        <v>619</v>
      </c>
      <c r="AD529" s="42" t="s">
        <v>63</v>
      </c>
      <c r="AE529" s="42">
        <v>3</v>
      </c>
      <c r="AF529" s="63" t="s">
        <v>667</v>
      </c>
    </row>
    <row r="530" spans="2:32" ht="15" customHeight="1" x14ac:dyDescent="0.3">
      <c r="B530" s="42" t="s">
        <v>6</v>
      </c>
      <c r="C530" s="575" t="s">
        <v>845</v>
      </c>
      <c r="D530" s="571" t="s">
        <v>846</v>
      </c>
      <c r="E530" s="175">
        <v>901984108</v>
      </c>
      <c r="F530" s="614">
        <v>46136</v>
      </c>
      <c r="G530" s="42" t="s">
        <v>55</v>
      </c>
      <c r="H530" s="42">
        <v>1</v>
      </c>
      <c r="I530" s="61">
        <v>139000</v>
      </c>
      <c r="J530" s="42">
        <v>3</v>
      </c>
      <c r="K530" s="42"/>
      <c r="L530" s="585">
        <v>46023</v>
      </c>
      <c r="M530" s="585">
        <v>46387</v>
      </c>
      <c r="N530" s="63" t="s">
        <v>520</v>
      </c>
      <c r="O530" s="42"/>
      <c r="P530" s="42"/>
      <c r="Q530" s="64" t="s">
        <v>347</v>
      </c>
      <c r="R530" s="63" t="s">
        <v>1747</v>
      </c>
      <c r="S530" s="63" t="s">
        <v>348</v>
      </c>
      <c r="T530" s="63"/>
      <c r="U530" s="63" t="s">
        <v>349</v>
      </c>
      <c r="V530" s="63"/>
      <c r="W530" s="63"/>
      <c r="X530" s="63"/>
      <c r="Y530" s="63"/>
      <c r="Z530" s="63"/>
      <c r="AA530" s="63"/>
      <c r="AB530" s="63"/>
      <c r="AC530" s="63" t="s">
        <v>551</v>
      </c>
      <c r="AD530" s="42" t="s">
        <v>207</v>
      </c>
      <c r="AE530" s="42">
        <v>3</v>
      </c>
      <c r="AF530" s="63" t="s">
        <v>1748</v>
      </c>
    </row>
    <row r="531" spans="2:32" ht="15" customHeight="1" x14ac:dyDescent="0.3">
      <c r="B531" s="42" t="s">
        <v>6</v>
      </c>
      <c r="C531" s="573" t="s">
        <v>685</v>
      </c>
      <c r="D531" s="574" t="s">
        <v>151</v>
      </c>
      <c r="E531" s="84">
        <v>4514137209</v>
      </c>
      <c r="F531" s="345">
        <v>46147</v>
      </c>
      <c r="G531" s="42" t="s">
        <v>55</v>
      </c>
      <c r="H531" s="42">
        <v>1</v>
      </c>
      <c r="I531" s="61">
        <v>285000</v>
      </c>
      <c r="J531" s="42">
        <v>3</v>
      </c>
      <c r="K531" s="329">
        <f t="shared" si="9"/>
        <v>95000</v>
      </c>
      <c r="L531" s="585">
        <v>46143</v>
      </c>
      <c r="M531" s="585">
        <v>46507</v>
      </c>
      <c r="N531" s="63" t="s">
        <v>520</v>
      </c>
      <c r="O531" s="42"/>
      <c r="P531" s="42"/>
      <c r="Q531" s="63" t="s">
        <v>348</v>
      </c>
      <c r="R531" s="63"/>
      <c r="S531" s="63" t="s">
        <v>349</v>
      </c>
      <c r="T531" s="63"/>
      <c r="U531" s="63" t="s">
        <v>738</v>
      </c>
      <c r="V531" s="63"/>
      <c r="W531" s="63"/>
      <c r="X531" s="63"/>
      <c r="Y531" s="63"/>
      <c r="Z531" s="63"/>
      <c r="AA531" s="63"/>
      <c r="AB531" s="63"/>
      <c r="AC531" s="63" t="s">
        <v>478</v>
      </c>
      <c r="AD531" s="42" t="s">
        <v>63</v>
      </c>
      <c r="AE531" s="42">
        <v>3</v>
      </c>
      <c r="AF531" s="63" t="s">
        <v>667</v>
      </c>
    </row>
    <row r="532" spans="2:32" ht="15" customHeight="1" x14ac:dyDescent="0.3">
      <c r="B532" s="82" t="s">
        <v>6</v>
      </c>
      <c r="C532" s="63" t="s">
        <v>1749</v>
      </c>
      <c r="D532" s="592" t="s">
        <v>841</v>
      </c>
      <c r="E532" s="175" t="s">
        <v>1750</v>
      </c>
      <c r="F532" s="345">
        <v>46144</v>
      </c>
      <c r="G532" s="42" t="s">
        <v>55</v>
      </c>
      <c r="H532" s="42">
        <v>2</v>
      </c>
      <c r="I532" s="61">
        <v>110000</v>
      </c>
      <c r="J532" s="42">
        <v>1</v>
      </c>
      <c r="K532" s="329">
        <f t="shared" si="9"/>
        <v>110000</v>
      </c>
      <c r="L532" s="585">
        <v>46113</v>
      </c>
      <c r="M532" s="585">
        <v>46477</v>
      </c>
      <c r="N532" s="63" t="s">
        <v>520</v>
      </c>
      <c r="O532" s="42"/>
      <c r="P532" s="42"/>
      <c r="Q532" s="63" t="s">
        <v>646</v>
      </c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 t="s">
        <v>485</v>
      </c>
      <c r="AD532" s="42" t="s">
        <v>63</v>
      </c>
      <c r="AE532" s="42">
        <v>2</v>
      </c>
      <c r="AF532" s="63" t="s">
        <v>1751</v>
      </c>
    </row>
    <row r="533" spans="2:32" ht="15" customHeight="1" x14ac:dyDescent="0.3">
      <c r="B533" s="42" t="s">
        <v>6</v>
      </c>
      <c r="C533" s="575" t="s">
        <v>679</v>
      </c>
      <c r="D533" s="571" t="s">
        <v>680</v>
      </c>
      <c r="E533" s="175">
        <v>7000296927</v>
      </c>
      <c r="F533" s="345">
        <v>46140</v>
      </c>
      <c r="G533" s="42" t="s">
        <v>55</v>
      </c>
      <c r="H533" s="42">
        <v>2</v>
      </c>
      <c r="I533" s="61">
        <v>180000</v>
      </c>
      <c r="J533" s="42">
        <v>2</v>
      </c>
      <c r="K533" s="329">
        <f t="shared" si="9"/>
        <v>90000</v>
      </c>
      <c r="L533" s="585">
        <v>46113</v>
      </c>
      <c r="M533" s="585">
        <v>46477</v>
      </c>
      <c r="N533" s="63" t="s">
        <v>520</v>
      </c>
      <c r="O533" s="42"/>
      <c r="P533" s="42"/>
      <c r="Q533" s="63" t="s">
        <v>467</v>
      </c>
      <c r="R533" s="63"/>
      <c r="S533" s="63" t="s">
        <v>1633</v>
      </c>
      <c r="T533" s="63"/>
      <c r="U533" s="63"/>
      <c r="V533" s="63"/>
      <c r="W533" s="63"/>
      <c r="X533" s="63"/>
      <c r="Y533" s="63"/>
      <c r="Z533" s="63"/>
      <c r="AA533" s="63"/>
      <c r="AB533" s="63"/>
      <c r="AC533" s="63" t="s">
        <v>485</v>
      </c>
      <c r="AD533" s="42" t="s">
        <v>63</v>
      </c>
      <c r="AE533" s="42">
        <v>2</v>
      </c>
      <c r="AF533" s="63" t="s">
        <v>1752</v>
      </c>
    </row>
    <row r="534" spans="2:32" ht="15" customHeight="1" x14ac:dyDescent="0.3">
      <c r="B534" s="26" t="s">
        <v>6</v>
      </c>
      <c r="C534" s="565" t="s">
        <v>830</v>
      </c>
      <c r="D534" s="566" t="s">
        <v>831</v>
      </c>
      <c r="E534" s="269">
        <v>3500126806</v>
      </c>
      <c r="F534" s="343">
        <v>46141</v>
      </c>
      <c r="G534" s="26" t="s">
        <v>55</v>
      </c>
      <c r="H534" s="26">
        <v>1</v>
      </c>
      <c r="I534" s="56">
        <v>120000</v>
      </c>
      <c r="J534" s="26">
        <v>3</v>
      </c>
      <c r="K534" s="327">
        <f t="shared" si="9"/>
        <v>40000</v>
      </c>
      <c r="L534" s="567">
        <v>46143</v>
      </c>
      <c r="M534" s="567">
        <v>46507</v>
      </c>
      <c r="N534" s="58" t="s">
        <v>520</v>
      </c>
      <c r="O534" s="26"/>
      <c r="P534" s="26"/>
      <c r="Q534" s="59" t="s">
        <v>348</v>
      </c>
      <c r="R534" s="58" t="s">
        <v>1733</v>
      </c>
      <c r="S534" s="58" t="s">
        <v>349</v>
      </c>
      <c r="T534" s="58"/>
      <c r="U534" s="58" t="s">
        <v>738</v>
      </c>
      <c r="V534" s="58"/>
      <c r="W534" s="58"/>
      <c r="X534" s="58"/>
      <c r="Y534" s="58"/>
      <c r="Z534" s="58"/>
      <c r="AA534" s="58"/>
      <c r="AB534" s="58"/>
      <c r="AC534" s="58" t="s">
        <v>834</v>
      </c>
      <c r="AD534" s="26" t="s">
        <v>207</v>
      </c>
      <c r="AE534" s="26">
        <v>3</v>
      </c>
      <c r="AF534" s="58" t="s">
        <v>1753</v>
      </c>
    </row>
    <row r="535" spans="2:32" ht="15" customHeight="1" x14ac:dyDescent="0.3">
      <c r="B535" s="26" t="s">
        <v>6</v>
      </c>
      <c r="C535" s="39" t="s">
        <v>1206</v>
      </c>
      <c r="D535" s="562" t="s">
        <v>323</v>
      </c>
      <c r="E535" s="125">
        <v>401249055</v>
      </c>
      <c r="F535" s="343">
        <v>46101</v>
      </c>
      <c r="G535" s="26" t="s">
        <v>55</v>
      </c>
      <c r="H535" s="26">
        <v>2</v>
      </c>
      <c r="I535" s="56">
        <v>196002</v>
      </c>
      <c r="J535" s="26">
        <v>2</v>
      </c>
      <c r="K535" s="327">
        <f t="shared" si="9"/>
        <v>98001</v>
      </c>
      <c r="L535" s="348">
        <v>46143</v>
      </c>
      <c r="M535" s="348">
        <v>46507</v>
      </c>
      <c r="N535" s="58" t="s">
        <v>520</v>
      </c>
      <c r="O535" s="26"/>
      <c r="P535" s="26" t="s">
        <v>437</v>
      </c>
      <c r="Q535" s="58" t="s">
        <v>1339</v>
      </c>
      <c r="R535" s="58"/>
      <c r="S535" s="58" t="s">
        <v>1644</v>
      </c>
      <c r="T535" s="58"/>
      <c r="U535" s="58"/>
      <c r="V535" s="58"/>
      <c r="W535" s="58"/>
      <c r="X535" s="58"/>
      <c r="Y535" s="58"/>
      <c r="Z535" s="58"/>
      <c r="AA535" s="58"/>
      <c r="AB535" s="58"/>
      <c r="AC535" s="58" t="s">
        <v>96</v>
      </c>
      <c r="AD535" s="26" t="s">
        <v>97</v>
      </c>
      <c r="AE535" s="26">
        <v>4</v>
      </c>
      <c r="AF535" s="58" t="s">
        <v>1754</v>
      </c>
    </row>
    <row r="536" spans="2:32" ht="15" hidden="1" customHeight="1" x14ac:dyDescent="0.3">
      <c r="B536" s="42" t="s">
        <v>6</v>
      </c>
      <c r="C536" s="68" t="s">
        <v>1206</v>
      </c>
      <c r="D536" s="582" t="s">
        <v>323</v>
      </c>
      <c r="E536" s="121">
        <v>401249055</v>
      </c>
      <c r="F536" s="345">
        <v>46101</v>
      </c>
      <c r="G536" s="42" t="s">
        <v>55</v>
      </c>
      <c r="H536" s="42"/>
      <c r="I536" s="61">
        <v>196002</v>
      </c>
      <c r="J536" s="42">
        <v>2</v>
      </c>
      <c r="K536" s="329">
        <f t="shared" si="9"/>
        <v>98001</v>
      </c>
      <c r="L536" s="615">
        <v>46508</v>
      </c>
      <c r="M536" s="615">
        <v>46873</v>
      </c>
      <c r="N536" s="63" t="s">
        <v>520</v>
      </c>
      <c r="O536" s="42"/>
      <c r="P536" s="42" t="s">
        <v>437</v>
      </c>
      <c r="Q536" s="63" t="s">
        <v>1755</v>
      </c>
      <c r="R536" s="63"/>
      <c r="S536" s="63" t="s">
        <v>1756</v>
      </c>
      <c r="T536" s="63"/>
      <c r="U536" s="63"/>
      <c r="V536" s="63"/>
      <c r="W536" s="63"/>
      <c r="X536" s="63"/>
      <c r="Y536" s="63"/>
      <c r="Z536" s="63"/>
      <c r="AA536" s="63"/>
      <c r="AB536" s="63"/>
      <c r="AC536" s="63" t="s">
        <v>96</v>
      </c>
      <c r="AD536" s="42" t="s">
        <v>97</v>
      </c>
      <c r="AE536" s="42">
        <v>4</v>
      </c>
      <c r="AF536" s="63" t="s">
        <v>1754</v>
      </c>
    </row>
    <row r="537" spans="2:32" ht="15" customHeight="1" x14ac:dyDescent="0.3">
      <c r="B537" s="26" t="s">
        <v>6</v>
      </c>
      <c r="C537" s="39" t="s">
        <v>195</v>
      </c>
      <c r="D537" s="232" t="s">
        <v>858</v>
      </c>
      <c r="E537" s="125" t="s">
        <v>1757</v>
      </c>
      <c r="F537" s="343">
        <v>46104</v>
      </c>
      <c r="G537" s="26" t="s">
        <v>55</v>
      </c>
      <c r="H537" s="26">
        <v>5</v>
      </c>
      <c r="I537" s="56">
        <v>281300</v>
      </c>
      <c r="J537" s="26">
        <v>4</v>
      </c>
      <c r="K537" s="327">
        <f t="shared" si="9"/>
        <v>70325</v>
      </c>
      <c r="L537" s="348">
        <v>46104</v>
      </c>
      <c r="M537" s="348">
        <v>47199</v>
      </c>
      <c r="N537" s="58" t="s">
        <v>520</v>
      </c>
      <c r="O537" s="26"/>
      <c r="P537" s="26"/>
      <c r="Q537" s="59" t="s">
        <v>1758</v>
      </c>
      <c r="R537" s="58" t="s">
        <v>1737</v>
      </c>
      <c r="S537" s="58" t="s">
        <v>1759</v>
      </c>
      <c r="T537" s="58"/>
      <c r="U537" s="58" t="s">
        <v>1760</v>
      </c>
      <c r="V537" s="58"/>
      <c r="W537" s="58" t="s">
        <v>1761</v>
      </c>
      <c r="X537" s="58"/>
      <c r="Y537" s="58"/>
      <c r="Z537" s="58"/>
      <c r="AA537" s="58"/>
      <c r="AB537" s="58"/>
      <c r="AC537" s="58" t="s">
        <v>551</v>
      </c>
      <c r="AD537" s="26" t="s">
        <v>207</v>
      </c>
      <c r="AE537" s="26">
        <v>3</v>
      </c>
      <c r="AF537" s="58" t="s">
        <v>1762</v>
      </c>
    </row>
    <row r="538" spans="2:32" ht="15" hidden="1" customHeight="1" x14ac:dyDescent="0.3">
      <c r="B538" s="26" t="s">
        <v>6</v>
      </c>
      <c r="C538" s="39" t="s">
        <v>195</v>
      </c>
      <c r="D538" s="232" t="s">
        <v>858</v>
      </c>
      <c r="E538" s="125" t="s">
        <v>1757</v>
      </c>
      <c r="F538" s="343">
        <v>46104</v>
      </c>
      <c r="G538" s="26" t="s">
        <v>55</v>
      </c>
      <c r="H538" s="26"/>
      <c r="I538" s="56">
        <v>281300</v>
      </c>
      <c r="J538" s="26">
        <v>4</v>
      </c>
      <c r="K538" s="327">
        <f t="shared" si="9"/>
        <v>70325</v>
      </c>
      <c r="L538" s="348">
        <v>46104</v>
      </c>
      <c r="M538" s="348">
        <v>47199</v>
      </c>
      <c r="N538" s="58" t="s">
        <v>520</v>
      </c>
      <c r="O538" s="26"/>
      <c r="P538" s="26"/>
      <c r="Q538" s="58" t="s">
        <v>1763</v>
      </c>
      <c r="R538" s="58"/>
      <c r="S538" s="58" t="s">
        <v>1764</v>
      </c>
      <c r="T538" s="58"/>
      <c r="U538" s="58" t="s">
        <v>1765</v>
      </c>
      <c r="V538" s="58"/>
      <c r="W538" s="58" t="s">
        <v>1766</v>
      </c>
      <c r="X538" s="58"/>
      <c r="Y538" s="58"/>
      <c r="Z538" s="58"/>
      <c r="AA538" s="58"/>
      <c r="AB538" s="58"/>
      <c r="AC538" s="58" t="s">
        <v>551</v>
      </c>
      <c r="AD538" s="26" t="s">
        <v>207</v>
      </c>
      <c r="AE538" s="26">
        <v>3</v>
      </c>
      <c r="AF538" s="58" t="s">
        <v>1762</v>
      </c>
    </row>
    <row r="539" spans="2:32" ht="15" hidden="1" customHeight="1" x14ac:dyDescent="0.3">
      <c r="B539" s="42" t="s">
        <v>6</v>
      </c>
      <c r="C539" s="68" t="s">
        <v>195</v>
      </c>
      <c r="D539" s="132" t="s">
        <v>858</v>
      </c>
      <c r="E539" s="121" t="s">
        <v>1757</v>
      </c>
      <c r="F539" s="345">
        <v>46104</v>
      </c>
      <c r="G539" s="42" t="s">
        <v>55</v>
      </c>
      <c r="H539" s="42"/>
      <c r="I539" s="61">
        <v>281300</v>
      </c>
      <c r="J539" s="42">
        <v>4</v>
      </c>
      <c r="K539" s="329">
        <f t="shared" si="9"/>
        <v>70325</v>
      </c>
      <c r="L539" s="615">
        <v>46104</v>
      </c>
      <c r="M539" s="615">
        <v>47199</v>
      </c>
      <c r="N539" s="63" t="s">
        <v>520</v>
      </c>
      <c r="O539" s="42"/>
      <c r="P539" s="42"/>
      <c r="Q539" s="63" t="s">
        <v>1767</v>
      </c>
      <c r="R539" s="63"/>
      <c r="S539" s="63" t="s">
        <v>1768</v>
      </c>
      <c r="T539" s="63"/>
      <c r="U539" s="63" t="s">
        <v>1769</v>
      </c>
      <c r="V539" s="63"/>
      <c r="W539" s="63" t="s">
        <v>1770</v>
      </c>
      <c r="X539" s="63"/>
      <c r="Y539" s="63"/>
      <c r="Z539" s="63"/>
      <c r="AA539" s="63"/>
      <c r="AB539" s="63"/>
      <c r="AC539" s="63" t="s">
        <v>551</v>
      </c>
      <c r="AD539" s="42" t="s">
        <v>207</v>
      </c>
      <c r="AE539" s="42">
        <v>3</v>
      </c>
      <c r="AF539" s="63" t="s">
        <v>1762</v>
      </c>
    </row>
    <row r="540" spans="2:32" ht="15" customHeight="1" x14ac:dyDescent="0.3">
      <c r="B540" s="42" t="s">
        <v>6</v>
      </c>
      <c r="C540" s="68" t="s">
        <v>948</v>
      </c>
      <c r="D540" s="132" t="s">
        <v>949</v>
      </c>
      <c r="E540" s="42">
        <v>9000019753</v>
      </c>
      <c r="F540" s="345">
        <v>46149</v>
      </c>
      <c r="G540" s="42" t="s">
        <v>55</v>
      </c>
      <c r="H540" s="42">
        <v>4</v>
      </c>
      <c r="I540" s="61">
        <v>310400</v>
      </c>
      <c r="J540" s="42">
        <v>4</v>
      </c>
      <c r="K540" s="329">
        <f t="shared" si="9"/>
        <v>77600</v>
      </c>
      <c r="L540" s="615">
        <v>46143</v>
      </c>
      <c r="M540" s="615">
        <v>46507</v>
      </c>
      <c r="N540" s="63" t="s">
        <v>520</v>
      </c>
      <c r="O540" s="42"/>
      <c r="P540" s="42"/>
      <c r="Q540" s="63" t="s">
        <v>444</v>
      </c>
      <c r="R540" s="63"/>
      <c r="S540" s="63" t="s">
        <v>1443</v>
      </c>
      <c r="T540" s="63"/>
      <c r="U540" s="63" t="s">
        <v>456</v>
      </c>
      <c r="V540" s="63"/>
      <c r="W540" s="63" t="s">
        <v>457</v>
      </c>
      <c r="X540" s="63"/>
      <c r="Y540" s="63"/>
      <c r="Z540" s="63"/>
      <c r="AA540" s="63"/>
      <c r="AB540" s="63"/>
      <c r="AC540" s="63" t="s">
        <v>551</v>
      </c>
      <c r="AD540" s="42" t="s">
        <v>207</v>
      </c>
      <c r="AE540" s="42">
        <v>4</v>
      </c>
      <c r="AF540" s="63" t="s">
        <v>1762</v>
      </c>
    </row>
    <row r="541" spans="2:32" ht="15" customHeight="1" x14ac:dyDescent="0.3">
      <c r="B541" s="42" t="s">
        <v>6</v>
      </c>
      <c r="C541" s="575" t="s">
        <v>663</v>
      </c>
      <c r="D541" s="571" t="s">
        <v>1114</v>
      </c>
      <c r="E541" s="175">
        <v>4508000076</v>
      </c>
      <c r="F541" s="345">
        <v>46127</v>
      </c>
      <c r="G541" s="42" t="s">
        <v>55</v>
      </c>
      <c r="H541" s="42">
        <v>4</v>
      </c>
      <c r="I541" s="61">
        <v>320000</v>
      </c>
      <c r="J541" s="42">
        <v>3</v>
      </c>
      <c r="K541" s="329">
        <f t="shared" si="9"/>
        <v>106666.66666666667</v>
      </c>
      <c r="L541" s="585">
        <v>46113</v>
      </c>
      <c r="M541" s="585">
        <v>46477</v>
      </c>
      <c r="N541" s="63" t="s">
        <v>520</v>
      </c>
      <c r="O541" s="42"/>
      <c r="P541" s="42"/>
      <c r="Q541" s="64" t="s">
        <v>1080</v>
      </c>
      <c r="R541" s="63" t="s">
        <v>1722</v>
      </c>
      <c r="S541" s="63" t="s">
        <v>1108</v>
      </c>
      <c r="T541" s="63"/>
      <c r="U541" s="63" t="s">
        <v>1109</v>
      </c>
      <c r="V541" s="63"/>
      <c r="W541" s="63"/>
      <c r="X541" s="63"/>
      <c r="Y541" s="63"/>
      <c r="Z541" s="63"/>
      <c r="AA541" s="63"/>
      <c r="AB541" s="63"/>
      <c r="AC541" s="63" t="s">
        <v>183</v>
      </c>
      <c r="AD541" s="42" t="s">
        <v>97</v>
      </c>
      <c r="AE541" s="42">
        <v>3</v>
      </c>
      <c r="AF541" s="63" t="s">
        <v>1771</v>
      </c>
    </row>
    <row r="542" spans="2:32" ht="15" customHeight="1" x14ac:dyDescent="0.3">
      <c r="B542" s="42" t="s">
        <v>6</v>
      </c>
      <c r="C542" s="68" t="s">
        <v>595</v>
      </c>
      <c r="D542" s="81" t="s">
        <v>1000</v>
      </c>
      <c r="E542" s="161">
        <v>3110016879</v>
      </c>
      <c r="F542" s="345">
        <v>46074</v>
      </c>
      <c r="G542" s="42" t="s">
        <v>55</v>
      </c>
      <c r="H542" s="42">
        <v>11</v>
      </c>
      <c r="I542" s="61">
        <v>660000</v>
      </c>
      <c r="J542" s="42">
        <v>3</v>
      </c>
      <c r="K542" s="329">
        <f t="shared" si="9"/>
        <v>220000</v>
      </c>
      <c r="L542" s="615">
        <v>46143</v>
      </c>
      <c r="M542" s="615">
        <v>46507</v>
      </c>
      <c r="N542" s="63" t="s">
        <v>520</v>
      </c>
      <c r="O542" s="42"/>
      <c r="P542" s="42"/>
      <c r="Q542" s="63" t="s">
        <v>348</v>
      </c>
      <c r="R542" s="63"/>
      <c r="S542" s="63" t="s">
        <v>349</v>
      </c>
      <c r="T542" s="63"/>
      <c r="U542" s="63" t="s">
        <v>738</v>
      </c>
      <c r="V542" s="63"/>
      <c r="W542" s="63"/>
      <c r="X542" s="63"/>
      <c r="Y542" s="63"/>
      <c r="Z542" s="63"/>
      <c r="AA542" s="63"/>
      <c r="AB542" s="63"/>
      <c r="AC542" s="63" t="s">
        <v>507</v>
      </c>
      <c r="AD542" s="42" t="s">
        <v>63</v>
      </c>
      <c r="AE542" s="42">
        <v>3</v>
      </c>
      <c r="AF542" s="63" t="s">
        <v>1772</v>
      </c>
    </row>
    <row r="543" spans="2:32" ht="15" customHeight="1" x14ac:dyDescent="0.3">
      <c r="B543" s="42" t="s">
        <v>6</v>
      </c>
      <c r="C543" s="68" t="s">
        <v>595</v>
      </c>
      <c r="D543" s="81" t="s">
        <v>1000</v>
      </c>
      <c r="E543" s="161">
        <v>3110016964</v>
      </c>
      <c r="F543" s="345">
        <v>46084</v>
      </c>
      <c r="G543" s="42" t="s">
        <v>55</v>
      </c>
      <c r="H543" s="42">
        <v>1</v>
      </c>
      <c r="I543" s="61">
        <v>75999.990000000005</v>
      </c>
      <c r="J543" s="42">
        <v>3</v>
      </c>
      <c r="K543" s="329">
        <f t="shared" si="9"/>
        <v>25333.33</v>
      </c>
      <c r="L543" s="615">
        <v>46143</v>
      </c>
      <c r="M543" s="615">
        <v>46507</v>
      </c>
      <c r="N543" s="63" t="s">
        <v>520</v>
      </c>
      <c r="O543" s="42"/>
      <c r="P543" s="42"/>
      <c r="Q543" s="63" t="s">
        <v>348</v>
      </c>
      <c r="R543" s="63"/>
      <c r="S543" s="63" t="s">
        <v>349</v>
      </c>
      <c r="T543" s="63"/>
      <c r="U543" s="63" t="s">
        <v>738</v>
      </c>
      <c r="V543" s="63"/>
      <c r="W543" s="63"/>
      <c r="X543" s="63"/>
      <c r="Y543" s="63"/>
      <c r="Z543" s="63"/>
      <c r="AA543" s="63"/>
      <c r="AB543" s="63"/>
      <c r="AC543" s="63" t="s">
        <v>507</v>
      </c>
      <c r="AD543" s="42" t="s">
        <v>63</v>
      </c>
      <c r="AE543" s="42">
        <v>3</v>
      </c>
      <c r="AF543" s="63" t="s">
        <v>1772</v>
      </c>
    </row>
    <row r="544" spans="2:32" ht="15" customHeight="1" x14ac:dyDescent="0.3">
      <c r="B544" s="42" t="s">
        <v>6</v>
      </c>
      <c r="C544" s="68" t="s">
        <v>614</v>
      </c>
      <c r="D544" s="81" t="s">
        <v>1016</v>
      </c>
      <c r="E544" s="158" t="s">
        <v>1773</v>
      </c>
      <c r="F544" s="345">
        <v>46150</v>
      </c>
      <c r="G544" s="42" t="s">
        <v>55</v>
      </c>
      <c r="H544" s="42">
        <v>12</v>
      </c>
      <c r="I544" s="61">
        <v>917280</v>
      </c>
      <c r="J544" s="42">
        <v>3</v>
      </c>
      <c r="K544" s="42"/>
      <c r="L544" s="624">
        <v>46174</v>
      </c>
      <c r="M544" s="624">
        <v>46538</v>
      </c>
      <c r="N544" s="63" t="s">
        <v>520</v>
      </c>
      <c r="O544" s="42"/>
      <c r="P544" s="42"/>
      <c r="Q544" s="63" t="s">
        <v>406</v>
      </c>
      <c r="R544" s="63"/>
      <c r="S544" s="83" t="s">
        <v>407</v>
      </c>
      <c r="T544" s="58"/>
      <c r="U544" s="338" t="s">
        <v>408</v>
      </c>
      <c r="V544" s="63"/>
      <c r="W544" s="63"/>
      <c r="X544" s="63"/>
      <c r="Y544" s="63"/>
      <c r="Z544" s="63"/>
      <c r="AA544" s="63"/>
      <c r="AB544" s="63"/>
      <c r="AC544" s="63" t="s">
        <v>619</v>
      </c>
      <c r="AD544" s="42" t="s">
        <v>63</v>
      </c>
      <c r="AE544" s="42">
        <v>3</v>
      </c>
      <c r="AF544" s="63" t="s">
        <v>1127</v>
      </c>
    </row>
    <row r="545" spans="2:32" ht="15" customHeight="1" x14ac:dyDescent="0.3">
      <c r="B545" s="42" t="s">
        <v>6</v>
      </c>
      <c r="C545" s="103" t="s">
        <v>609</v>
      </c>
      <c r="D545" s="81" t="s">
        <v>1016</v>
      </c>
      <c r="E545" s="84">
        <v>2100062247</v>
      </c>
      <c r="F545" s="345">
        <v>46153</v>
      </c>
      <c r="G545" s="42" t="s">
        <v>55</v>
      </c>
      <c r="H545" s="42">
        <v>1</v>
      </c>
      <c r="I545" s="61">
        <v>66300</v>
      </c>
      <c r="J545" s="42">
        <v>3</v>
      </c>
      <c r="K545" s="329">
        <f t="shared" si="9"/>
        <v>22100</v>
      </c>
      <c r="L545" s="615">
        <v>46153</v>
      </c>
      <c r="M545" s="615">
        <v>46477</v>
      </c>
      <c r="N545" s="63" t="s">
        <v>520</v>
      </c>
      <c r="O545" s="42"/>
      <c r="P545" s="82"/>
      <c r="Q545" s="58" t="s">
        <v>1774</v>
      </c>
      <c r="S545" s="339" t="s">
        <v>1775</v>
      </c>
      <c r="T545" s="58"/>
      <c r="U545" s="341" t="s">
        <v>1776</v>
      </c>
      <c r="V545" s="338"/>
      <c r="W545" s="63"/>
      <c r="X545" s="63"/>
      <c r="Y545" s="63"/>
      <c r="Z545" s="63"/>
      <c r="AA545" s="63"/>
      <c r="AB545" s="63"/>
      <c r="AC545" s="63" t="s">
        <v>619</v>
      </c>
      <c r="AD545" s="42" t="s">
        <v>63</v>
      </c>
      <c r="AE545" s="42">
        <v>3</v>
      </c>
      <c r="AF545" s="63" t="s">
        <v>667</v>
      </c>
    </row>
    <row r="546" spans="2:32" ht="15" customHeight="1" x14ac:dyDescent="0.3">
      <c r="B546" s="42" t="s">
        <v>6</v>
      </c>
      <c r="C546" s="575" t="s">
        <v>800</v>
      </c>
      <c r="D546" s="571" t="s">
        <v>812</v>
      </c>
      <c r="E546" s="175">
        <v>2102601022</v>
      </c>
      <c r="F546" s="345">
        <v>46146</v>
      </c>
      <c r="G546" s="42" t="s">
        <v>55</v>
      </c>
      <c r="H546" s="42">
        <v>4</v>
      </c>
      <c r="I546" s="61">
        <v>270400</v>
      </c>
      <c r="J546" s="42">
        <v>2</v>
      </c>
      <c r="K546" s="329">
        <f t="shared" si="9"/>
        <v>135200</v>
      </c>
      <c r="L546" s="585">
        <v>46113</v>
      </c>
      <c r="M546" s="585">
        <v>46477</v>
      </c>
      <c r="N546" s="63" t="s">
        <v>520</v>
      </c>
      <c r="O546" s="42"/>
      <c r="P546" s="42"/>
      <c r="Q546" s="92" t="s">
        <v>467</v>
      </c>
      <c r="R546" s="63"/>
      <c r="S546" s="340" t="s">
        <v>1633</v>
      </c>
      <c r="T546" s="58"/>
      <c r="U546" s="342"/>
      <c r="V546" s="63"/>
      <c r="W546" s="63"/>
      <c r="X546" s="63"/>
      <c r="Y546" s="63"/>
      <c r="Z546" s="63"/>
      <c r="AA546" s="63"/>
      <c r="AB546" s="63"/>
      <c r="AC546" s="63" t="s">
        <v>485</v>
      </c>
      <c r="AD546" s="42" t="s">
        <v>63</v>
      </c>
      <c r="AE546" s="42">
        <v>2</v>
      </c>
      <c r="AF546" s="63" t="s">
        <v>667</v>
      </c>
    </row>
    <row r="547" spans="2:32" ht="15" customHeight="1" x14ac:dyDescent="0.3">
      <c r="B547" s="42" t="s">
        <v>6</v>
      </c>
      <c r="C547" s="68" t="s">
        <v>857</v>
      </c>
      <c r="D547" s="132" t="s">
        <v>858</v>
      </c>
      <c r="E547" s="337" t="s">
        <v>1777</v>
      </c>
      <c r="F547" s="345">
        <v>46112</v>
      </c>
      <c r="G547" s="42" t="s">
        <v>55</v>
      </c>
      <c r="H547" s="42">
        <v>2</v>
      </c>
      <c r="I547" s="61">
        <v>384000</v>
      </c>
      <c r="J547" s="42">
        <v>3</v>
      </c>
      <c r="K547" s="329">
        <f t="shared" si="9"/>
        <v>128000</v>
      </c>
      <c r="L547" s="615">
        <v>46113</v>
      </c>
      <c r="M547" s="615">
        <v>46477</v>
      </c>
      <c r="N547" s="63" t="s">
        <v>520</v>
      </c>
      <c r="O547" s="42"/>
      <c r="P547" s="42" t="s">
        <v>1</v>
      </c>
      <c r="Q547" s="64" t="s">
        <v>1080</v>
      </c>
      <c r="R547" s="63" t="s">
        <v>1778</v>
      </c>
      <c r="S547" s="83" t="s">
        <v>1108</v>
      </c>
      <c r="T547" s="58"/>
      <c r="U547" s="338" t="s">
        <v>1109</v>
      </c>
      <c r="V547" s="63"/>
      <c r="W547" s="63"/>
      <c r="X547" s="63"/>
      <c r="Y547" s="63"/>
      <c r="Z547" s="63"/>
      <c r="AA547" s="63"/>
      <c r="AB547" s="63"/>
      <c r="AC547" s="63" t="s">
        <v>356</v>
      </c>
      <c r="AD547" s="42" t="s">
        <v>207</v>
      </c>
      <c r="AE547" s="42">
        <v>3</v>
      </c>
      <c r="AF547" s="63" t="s">
        <v>1779</v>
      </c>
    </row>
    <row r="548" spans="2:32" ht="15" customHeight="1" x14ac:dyDescent="0.3">
      <c r="B548" s="26" t="s">
        <v>6</v>
      </c>
      <c r="C548" s="565" t="s">
        <v>195</v>
      </c>
      <c r="D548" s="566" t="s">
        <v>447</v>
      </c>
      <c r="E548" s="26" t="s">
        <v>1780</v>
      </c>
      <c r="F548" s="55">
        <v>46156</v>
      </c>
      <c r="G548" s="26" t="s">
        <v>55</v>
      </c>
      <c r="H548" s="26">
        <v>1</v>
      </c>
      <c r="I548" s="56">
        <v>65500</v>
      </c>
      <c r="J548" s="26">
        <v>4</v>
      </c>
      <c r="K548" s="329">
        <f t="shared" si="9"/>
        <v>16375</v>
      </c>
      <c r="L548" s="283">
        <v>46161</v>
      </c>
      <c r="M548" s="283">
        <v>46525</v>
      </c>
      <c r="N548" s="58" t="s">
        <v>520</v>
      </c>
      <c r="O548" s="26"/>
      <c r="P548" s="26"/>
      <c r="Q548" s="58" t="s">
        <v>1781</v>
      </c>
      <c r="R548" s="58"/>
      <c r="S548" s="58" t="s">
        <v>1782</v>
      </c>
      <c r="T548" s="202"/>
      <c r="U548" s="58" t="s">
        <v>1783</v>
      </c>
      <c r="V548" s="58"/>
      <c r="W548" s="58" t="s">
        <v>1784</v>
      </c>
      <c r="X548" s="58"/>
      <c r="Y548" s="58"/>
      <c r="Z548" s="58"/>
      <c r="AA548" s="58"/>
      <c r="AB548" s="58"/>
      <c r="AC548" s="58" t="s">
        <v>96</v>
      </c>
      <c r="AD548" s="26" t="s">
        <v>97</v>
      </c>
      <c r="AE548" s="26" t="s">
        <v>494</v>
      </c>
      <c r="AF548" s="58" t="s">
        <v>667</v>
      </c>
    </row>
    <row r="549" spans="2:32" ht="15" hidden="1" customHeight="1" x14ac:dyDescent="0.3">
      <c r="B549" s="42" t="s">
        <v>6</v>
      </c>
      <c r="C549" s="575" t="s">
        <v>195</v>
      </c>
      <c r="D549" s="571" t="s">
        <v>447</v>
      </c>
      <c r="E549" s="42" t="s">
        <v>1780</v>
      </c>
      <c r="F549" s="43">
        <v>46156</v>
      </c>
      <c r="G549" s="42" t="s">
        <v>55</v>
      </c>
      <c r="H549" s="42"/>
      <c r="I549" s="61">
        <v>65500</v>
      </c>
      <c r="J549" s="42">
        <v>4</v>
      </c>
      <c r="K549" s="329">
        <f t="shared" ref="K549:K554" si="10">I549/J549</f>
        <v>16375</v>
      </c>
      <c r="L549" s="284">
        <v>46526</v>
      </c>
      <c r="M549" s="284">
        <v>46891</v>
      </c>
      <c r="N549" s="63" t="s">
        <v>520</v>
      </c>
      <c r="O549" s="42"/>
      <c r="P549" s="42"/>
      <c r="Q549" s="63" t="s">
        <v>1785</v>
      </c>
      <c r="R549" s="63"/>
      <c r="S549" s="63" t="s">
        <v>1786</v>
      </c>
      <c r="T549" s="63"/>
      <c r="U549" s="63" t="s">
        <v>1787</v>
      </c>
      <c r="V549" s="63"/>
      <c r="W549" s="63" t="s">
        <v>1788</v>
      </c>
      <c r="X549" s="63"/>
      <c r="Y549" s="63"/>
      <c r="Z549" s="63"/>
      <c r="AA549" s="63"/>
      <c r="AB549" s="63"/>
      <c r="AC549" s="63" t="s">
        <v>96</v>
      </c>
      <c r="AD549" s="42" t="s">
        <v>97</v>
      </c>
      <c r="AE549" s="42" t="s">
        <v>494</v>
      </c>
      <c r="AF549" s="63" t="s">
        <v>667</v>
      </c>
    </row>
    <row r="550" spans="2:32" ht="15" customHeight="1" x14ac:dyDescent="0.3">
      <c r="B550" s="42" t="s">
        <v>6</v>
      </c>
      <c r="C550" s="575" t="s">
        <v>1746</v>
      </c>
      <c r="D550" s="571" t="s">
        <v>1789</v>
      </c>
      <c r="E550" s="175">
        <v>5000146844</v>
      </c>
      <c r="F550" s="345">
        <v>46136</v>
      </c>
      <c r="G550" s="42" t="s">
        <v>55</v>
      </c>
      <c r="H550" s="42">
        <v>1</v>
      </c>
      <c r="I550" s="61">
        <v>120000</v>
      </c>
      <c r="J550" s="42">
        <v>3</v>
      </c>
      <c r="K550" s="329">
        <f t="shared" si="10"/>
        <v>40000</v>
      </c>
      <c r="L550" s="585">
        <v>46158</v>
      </c>
      <c r="M550" s="585">
        <v>46522</v>
      </c>
      <c r="N550" s="63" t="s">
        <v>520</v>
      </c>
      <c r="O550" s="42"/>
      <c r="P550" s="42"/>
      <c r="Q550" s="64" t="s">
        <v>1790</v>
      </c>
      <c r="R550" s="63" t="s">
        <v>1791</v>
      </c>
      <c r="S550" s="63" t="s">
        <v>1792</v>
      </c>
      <c r="T550" s="63"/>
      <c r="U550" s="63" t="s">
        <v>1793</v>
      </c>
      <c r="V550" s="63"/>
      <c r="W550" s="63"/>
      <c r="X550" s="63"/>
      <c r="Y550" s="63"/>
      <c r="Z550" s="63"/>
      <c r="AA550" s="63"/>
      <c r="AB550" s="63"/>
      <c r="AC550" s="63" t="s">
        <v>834</v>
      </c>
      <c r="AD550" s="42" t="s">
        <v>207</v>
      </c>
      <c r="AE550" s="42">
        <v>3</v>
      </c>
      <c r="AF550" s="63" t="s">
        <v>1794</v>
      </c>
    </row>
    <row r="551" spans="2:32" ht="15" customHeight="1" x14ac:dyDescent="0.3">
      <c r="B551" s="42" t="s">
        <v>6</v>
      </c>
      <c r="C551" s="68" t="s">
        <v>1002</v>
      </c>
      <c r="D551" s="81" t="s">
        <v>151</v>
      </c>
      <c r="E551" s="84">
        <v>4518005269</v>
      </c>
      <c r="F551" s="345">
        <v>46156</v>
      </c>
      <c r="G551" s="42" t="s">
        <v>55</v>
      </c>
      <c r="H551" s="42">
        <v>4</v>
      </c>
      <c r="I551" s="61">
        <v>186000</v>
      </c>
      <c r="J551" s="42">
        <v>1</v>
      </c>
      <c r="K551" s="329">
        <f t="shared" si="10"/>
        <v>186000</v>
      </c>
      <c r="L551" s="615">
        <v>46113</v>
      </c>
      <c r="M551" s="615">
        <v>46477</v>
      </c>
      <c r="N551" s="63" t="s">
        <v>520</v>
      </c>
      <c r="O551" s="42"/>
      <c r="P551" s="42" t="s">
        <v>1</v>
      </c>
      <c r="Q551" s="63" t="s">
        <v>646</v>
      </c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 t="s">
        <v>507</v>
      </c>
      <c r="AD551" s="42" t="s">
        <v>63</v>
      </c>
      <c r="AE551" s="42">
        <v>1</v>
      </c>
      <c r="AF551" s="63" t="s">
        <v>1795</v>
      </c>
    </row>
    <row r="552" spans="2:32" ht="15" customHeight="1" x14ac:dyDescent="0.3">
      <c r="B552" s="42" t="s">
        <v>6</v>
      </c>
      <c r="C552" s="344" t="s">
        <v>965</v>
      </c>
      <c r="D552" s="349" t="s">
        <v>1088</v>
      </c>
      <c r="E552" s="175">
        <v>5400089448</v>
      </c>
      <c r="F552" s="345">
        <v>46160</v>
      </c>
      <c r="G552" s="42" t="s">
        <v>55</v>
      </c>
      <c r="H552" s="42">
        <v>1</v>
      </c>
      <c r="I552" s="346">
        <v>109270</v>
      </c>
      <c r="J552" s="42">
        <v>4</v>
      </c>
      <c r="K552" s="329">
        <f t="shared" si="10"/>
        <v>27317.5</v>
      </c>
      <c r="L552" s="347">
        <v>46113</v>
      </c>
      <c r="M552" s="347">
        <v>46477</v>
      </c>
      <c r="N552" s="63" t="s">
        <v>520</v>
      </c>
      <c r="O552" s="42"/>
      <c r="P552" s="42"/>
      <c r="Q552" s="63" t="s">
        <v>397</v>
      </c>
      <c r="R552" s="63"/>
      <c r="S552" s="63" t="s">
        <v>496</v>
      </c>
      <c r="T552" s="63"/>
      <c r="U552" s="63" t="s">
        <v>497</v>
      </c>
      <c r="V552" s="63"/>
      <c r="W552" s="63" t="s">
        <v>498</v>
      </c>
      <c r="X552" s="63"/>
      <c r="Y552" s="63"/>
      <c r="Z552" s="63"/>
      <c r="AA552" s="63"/>
      <c r="AB552" s="63"/>
      <c r="AC552" s="63" t="s">
        <v>96</v>
      </c>
      <c r="AD552" s="42" t="s">
        <v>97</v>
      </c>
      <c r="AE552" s="42" t="s">
        <v>494</v>
      </c>
      <c r="AF552" s="63" t="s">
        <v>667</v>
      </c>
    </row>
    <row r="553" spans="2:32" ht="15" customHeight="1" x14ac:dyDescent="0.3">
      <c r="B553" s="26" t="s">
        <v>6</v>
      </c>
      <c r="C553" s="39" t="s">
        <v>1796</v>
      </c>
      <c r="D553" s="350" t="s">
        <v>757</v>
      </c>
      <c r="E553" s="26">
        <v>2265007686</v>
      </c>
      <c r="F553" s="343">
        <v>46160</v>
      </c>
      <c r="G553" s="26" t="s">
        <v>55</v>
      </c>
      <c r="H553" s="42">
        <v>10</v>
      </c>
      <c r="I553" s="56">
        <v>835000</v>
      </c>
      <c r="J553" s="26">
        <v>3</v>
      </c>
      <c r="K553" s="327">
        <f t="shared" si="10"/>
        <v>278333.33333333331</v>
      </c>
      <c r="L553" s="348">
        <v>46113</v>
      </c>
      <c r="M553" s="348">
        <v>46477</v>
      </c>
      <c r="N553" s="58" t="s">
        <v>520</v>
      </c>
      <c r="O553" s="26"/>
      <c r="P553" s="26"/>
      <c r="Q553" s="58" t="s">
        <v>1080</v>
      </c>
      <c r="R553" s="58"/>
      <c r="S553" s="58" t="s">
        <v>1108</v>
      </c>
      <c r="T553" s="58"/>
      <c r="U553" s="58" t="s">
        <v>1109</v>
      </c>
      <c r="V553" s="58"/>
      <c r="W553" s="58"/>
      <c r="X553" s="58"/>
      <c r="Y553" s="58"/>
      <c r="Z553" s="58"/>
      <c r="AA553" s="58"/>
      <c r="AB553" s="58"/>
      <c r="AC553" s="58" t="s">
        <v>507</v>
      </c>
      <c r="AD553" s="26" t="s">
        <v>63</v>
      </c>
      <c r="AE553" s="26">
        <v>3</v>
      </c>
      <c r="AF553" s="58" t="s">
        <v>667</v>
      </c>
    </row>
    <row r="554" spans="2:32" ht="15" customHeight="1" x14ac:dyDescent="0.3">
      <c r="B554" s="26" t="s">
        <v>6</v>
      </c>
      <c r="C554" s="556" t="s">
        <v>1797</v>
      </c>
      <c r="D554" s="557" t="s">
        <v>1798</v>
      </c>
      <c r="E554" s="269" t="s">
        <v>1799</v>
      </c>
      <c r="F554" s="343">
        <v>46154</v>
      </c>
      <c r="G554" s="319" t="s">
        <v>55</v>
      </c>
      <c r="H554" s="26">
        <v>1</v>
      </c>
      <c r="I554" s="5">
        <v>105000</v>
      </c>
      <c r="J554" s="2">
        <v>2</v>
      </c>
      <c r="K554" s="327">
        <f t="shared" si="10"/>
        <v>52500</v>
      </c>
      <c r="L554" s="558">
        <v>46158</v>
      </c>
      <c r="M554" s="559">
        <v>46522</v>
      </c>
      <c r="N554" s="58" t="s">
        <v>520</v>
      </c>
      <c r="Q554" s="7" t="s">
        <v>1800</v>
      </c>
      <c r="S554" s="7" t="s">
        <v>1801</v>
      </c>
      <c r="AC554" s="63" t="s">
        <v>183</v>
      </c>
      <c r="AD554" s="2" t="s">
        <v>97</v>
      </c>
      <c r="AE554" s="2">
        <v>3</v>
      </c>
      <c r="AF554" s="7" t="s">
        <v>1802</v>
      </c>
    </row>
    <row r="555" spans="2:32" ht="15" hidden="1" customHeight="1" x14ac:dyDescent="0.3">
      <c r="B555" s="26" t="s">
        <v>6</v>
      </c>
      <c r="C555" s="556" t="s">
        <v>1797</v>
      </c>
      <c r="D555" s="557" t="s">
        <v>1798</v>
      </c>
      <c r="E555" s="269" t="s">
        <v>1799</v>
      </c>
      <c r="F555" s="343">
        <v>46154</v>
      </c>
      <c r="G555" s="319" t="s">
        <v>55</v>
      </c>
      <c r="H555" s="26"/>
      <c r="I555" s="5">
        <v>105000</v>
      </c>
      <c r="J555" s="2">
        <v>2</v>
      </c>
      <c r="K555" s="327">
        <f t="shared" ref="K555:K556" si="11">I555/J555</f>
        <v>52500</v>
      </c>
      <c r="L555" s="352">
        <v>46523</v>
      </c>
      <c r="M555" s="352">
        <v>46888</v>
      </c>
      <c r="N555" s="58" t="s">
        <v>520</v>
      </c>
      <c r="Q555" s="7" t="s">
        <v>1803</v>
      </c>
      <c r="S555" s="7" t="s">
        <v>1804</v>
      </c>
      <c r="AC555" s="63" t="s">
        <v>183</v>
      </c>
      <c r="AD555" s="2" t="s">
        <v>97</v>
      </c>
      <c r="AE555" s="2">
        <v>3</v>
      </c>
      <c r="AF555" s="7" t="s">
        <v>1802</v>
      </c>
    </row>
    <row r="556" spans="2:32" ht="15" hidden="1" customHeight="1" x14ac:dyDescent="0.3">
      <c r="B556" s="26" t="s">
        <v>6</v>
      </c>
      <c r="C556" s="556" t="s">
        <v>1797</v>
      </c>
      <c r="D556" s="557" t="s">
        <v>1798</v>
      </c>
      <c r="E556" s="269" t="s">
        <v>1799</v>
      </c>
      <c r="F556" s="343">
        <v>46154</v>
      </c>
      <c r="G556" s="319" t="s">
        <v>55</v>
      </c>
      <c r="H556" s="26"/>
      <c r="I556" s="5">
        <v>105000</v>
      </c>
      <c r="J556" s="2">
        <v>2</v>
      </c>
      <c r="K556" s="327">
        <f t="shared" si="11"/>
        <v>52500</v>
      </c>
      <c r="L556" s="352">
        <v>46889</v>
      </c>
      <c r="M556" s="352">
        <v>47253</v>
      </c>
      <c r="N556" s="58" t="s">
        <v>520</v>
      </c>
      <c r="Q556" s="7" t="s">
        <v>1805</v>
      </c>
      <c r="S556" s="7" t="s">
        <v>1806</v>
      </c>
      <c r="AC556" s="63" t="s">
        <v>183</v>
      </c>
      <c r="AD556" s="2" t="s">
        <v>97</v>
      </c>
      <c r="AE556" s="2">
        <v>3</v>
      </c>
      <c r="AF556" s="7" t="s">
        <v>1802</v>
      </c>
    </row>
    <row r="557" spans="2:32" ht="15" customHeight="1" x14ac:dyDescent="0.3">
      <c r="B557" s="26" t="s">
        <v>6</v>
      </c>
      <c r="C557" s="556" t="s">
        <v>614</v>
      </c>
      <c r="D557" s="557" t="s">
        <v>884</v>
      </c>
      <c r="E557" s="353" t="s">
        <v>1807</v>
      </c>
      <c r="F557" s="343">
        <v>46150</v>
      </c>
      <c r="G557" s="319" t="s">
        <v>55</v>
      </c>
      <c r="H557" s="26">
        <v>1</v>
      </c>
      <c r="I557" s="5">
        <v>76440</v>
      </c>
      <c r="J557" s="2">
        <v>3</v>
      </c>
      <c r="K557" s="327"/>
      <c r="L557" s="593">
        <v>46174</v>
      </c>
      <c r="M557" s="594">
        <v>46538</v>
      </c>
      <c r="N557" s="58" t="s">
        <v>520</v>
      </c>
      <c r="Q557" s="7" t="s">
        <v>406</v>
      </c>
      <c r="S557" s="7" t="s">
        <v>407</v>
      </c>
      <c r="U557" s="7" t="s">
        <v>1808</v>
      </c>
      <c r="AC557" s="7" t="s">
        <v>281</v>
      </c>
      <c r="AD557" s="2" t="s">
        <v>97</v>
      </c>
      <c r="AE557" s="2">
        <v>3</v>
      </c>
      <c r="AF557" s="7" t="s">
        <v>1809</v>
      </c>
    </row>
    <row r="558" spans="2:32" ht="15" customHeight="1" x14ac:dyDescent="0.3">
      <c r="B558" s="26" t="s">
        <v>6</v>
      </c>
      <c r="C558" s="37" t="s">
        <v>771</v>
      </c>
      <c r="D558" s="235" t="s">
        <v>388</v>
      </c>
      <c r="E558" s="125">
        <v>6000065535</v>
      </c>
      <c r="F558" s="606">
        <v>46135</v>
      </c>
      <c r="G558" s="82" t="s">
        <v>55</v>
      </c>
      <c r="H558" s="42">
        <v>1</v>
      </c>
      <c r="I558" s="5">
        <v>70700</v>
      </c>
      <c r="J558" s="2">
        <v>2</v>
      </c>
      <c r="K558" s="9">
        <f>I558/J558</f>
        <v>35350</v>
      </c>
      <c r="L558" s="602">
        <v>46113</v>
      </c>
      <c r="M558" s="603">
        <v>46477</v>
      </c>
      <c r="N558" s="58" t="s">
        <v>520</v>
      </c>
      <c r="Q558" s="7" t="s">
        <v>467</v>
      </c>
      <c r="S558" s="7" t="s">
        <v>1633</v>
      </c>
      <c r="AC558" s="7" t="s">
        <v>619</v>
      </c>
      <c r="AD558" s="2" t="s">
        <v>63</v>
      </c>
      <c r="AE558" s="2">
        <v>2</v>
      </c>
      <c r="AF558" s="7" t="s">
        <v>667</v>
      </c>
    </row>
    <row r="559" spans="2:32" ht="15" customHeight="1" x14ac:dyDescent="0.3">
      <c r="B559" s="26" t="s">
        <v>6</v>
      </c>
      <c r="C559" s="556" t="s">
        <v>195</v>
      </c>
      <c r="D559" s="557" t="s">
        <v>447</v>
      </c>
      <c r="E559" s="269" t="s">
        <v>1780</v>
      </c>
      <c r="F559" s="625">
        <v>46156</v>
      </c>
      <c r="G559" s="319" t="s">
        <v>55</v>
      </c>
      <c r="H559" s="26">
        <v>1</v>
      </c>
      <c r="I559" s="5">
        <v>65500</v>
      </c>
      <c r="J559" s="2">
        <v>4</v>
      </c>
      <c r="K559" s="9">
        <f>I559/J559</f>
        <v>16375</v>
      </c>
      <c r="L559" s="558">
        <v>46161</v>
      </c>
      <c r="M559" s="559">
        <v>46525</v>
      </c>
      <c r="N559" s="58" t="s">
        <v>520</v>
      </c>
      <c r="Q559" s="7" t="s">
        <v>1781</v>
      </c>
      <c r="S559" s="7" t="s">
        <v>1782</v>
      </c>
      <c r="U559" s="7" t="s">
        <v>1783</v>
      </c>
      <c r="W559" s="7" t="s">
        <v>1784</v>
      </c>
      <c r="AC559" s="7" t="s">
        <v>96</v>
      </c>
      <c r="AD559" s="2" t="s">
        <v>97</v>
      </c>
      <c r="AE559" s="2" t="s">
        <v>494</v>
      </c>
      <c r="AF559" s="7" t="s">
        <v>667</v>
      </c>
    </row>
    <row r="560" spans="2:32" ht="15" hidden="1" customHeight="1" x14ac:dyDescent="0.3">
      <c r="B560" s="26" t="s">
        <v>6</v>
      </c>
      <c r="C560" s="556" t="s">
        <v>195</v>
      </c>
      <c r="D560" s="557" t="s">
        <v>447</v>
      </c>
      <c r="E560" s="269" t="s">
        <v>1780</v>
      </c>
      <c r="F560" s="625">
        <v>46156</v>
      </c>
      <c r="G560" s="82" t="s">
        <v>55</v>
      </c>
      <c r="H560" s="42"/>
      <c r="I560" s="5">
        <v>65500</v>
      </c>
      <c r="J560" s="2">
        <v>4</v>
      </c>
      <c r="K560" s="9">
        <f>I560/J560</f>
        <v>16375</v>
      </c>
      <c r="L560" s="558">
        <v>46526</v>
      </c>
      <c r="M560" s="559">
        <v>46891</v>
      </c>
      <c r="N560" s="58" t="s">
        <v>520</v>
      </c>
      <c r="Q560" s="7" t="s">
        <v>1785</v>
      </c>
      <c r="S560" s="7" t="s">
        <v>1786</v>
      </c>
      <c r="U560" s="7" t="s">
        <v>1787</v>
      </c>
      <c r="W560" s="7" t="s">
        <v>1788</v>
      </c>
      <c r="AC560" s="7" t="s">
        <v>96</v>
      </c>
      <c r="AD560" s="2" t="s">
        <v>97</v>
      </c>
      <c r="AE560" s="2" t="s">
        <v>494</v>
      </c>
      <c r="AF560" s="7" t="s">
        <v>667</v>
      </c>
    </row>
    <row r="561" spans="2:32" ht="15" customHeight="1" x14ac:dyDescent="0.3">
      <c r="B561" s="26" t="s">
        <v>6</v>
      </c>
      <c r="C561" s="556" t="s">
        <v>1810</v>
      </c>
      <c r="D561" s="557" t="s">
        <v>151</v>
      </c>
      <c r="E561" s="269">
        <v>6700005665</v>
      </c>
      <c r="F561" s="626">
        <v>46136</v>
      </c>
      <c r="G561" s="319" t="s">
        <v>55</v>
      </c>
      <c r="H561" s="26">
        <v>1</v>
      </c>
      <c r="I561" s="5">
        <v>80000.009999999995</v>
      </c>
      <c r="J561" s="2">
        <v>3</v>
      </c>
      <c r="K561" s="9">
        <f>I561/J561</f>
        <v>26666.67</v>
      </c>
      <c r="L561" s="558">
        <v>46054</v>
      </c>
      <c r="M561" s="559">
        <v>46418</v>
      </c>
      <c r="N561" s="58" t="s">
        <v>520</v>
      </c>
      <c r="Q561" s="359" t="s">
        <v>404</v>
      </c>
      <c r="R561" s="7" t="s">
        <v>1712</v>
      </c>
      <c r="S561" s="7" t="s">
        <v>406</v>
      </c>
      <c r="U561" s="7" t="s">
        <v>407</v>
      </c>
      <c r="AC561" s="7" t="s">
        <v>478</v>
      </c>
      <c r="AD561" s="2" t="s">
        <v>63</v>
      </c>
      <c r="AE561" s="2">
        <v>3</v>
      </c>
      <c r="AF561" s="7" t="s">
        <v>667</v>
      </c>
    </row>
    <row r="562" spans="2:32" ht="15" hidden="1" customHeight="1" x14ac:dyDescent="0.3">
      <c r="B562" s="26" t="s">
        <v>6</v>
      </c>
      <c r="C562" s="556" t="s">
        <v>1810</v>
      </c>
      <c r="D562" s="557" t="s">
        <v>151</v>
      </c>
      <c r="E562" s="269">
        <v>6700005665</v>
      </c>
      <c r="F562" s="343">
        <v>46136</v>
      </c>
      <c r="G562" s="355" t="s">
        <v>55</v>
      </c>
      <c r="H562" s="26"/>
      <c r="I562" s="5">
        <v>80000.009999999995</v>
      </c>
      <c r="J562" s="2">
        <v>3</v>
      </c>
      <c r="K562" s="9">
        <f t="shared" ref="K562:K566" si="12">I562/J562</f>
        <v>26666.67</v>
      </c>
      <c r="L562" s="352">
        <v>46419</v>
      </c>
      <c r="M562" s="352">
        <v>46783</v>
      </c>
      <c r="N562" s="58" t="s">
        <v>520</v>
      </c>
      <c r="Q562" s="7" t="s">
        <v>408</v>
      </c>
      <c r="S562" s="7" t="s">
        <v>1811</v>
      </c>
      <c r="U562" s="7" t="s">
        <v>1812</v>
      </c>
      <c r="AC562" s="7" t="s">
        <v>478</v>
      </c>
      <c r="AD562" s="2" t="s">
        <v>63</v>
      </c>
      <c r="AE562" s="2">
        <v>3</v>
      </c>
      <c r="AF562" s="7" t="s">
        <v>667</v>
      </c>
    </row>
    <row r="563" spans="2:32" ht="15" hidden="1" customHeight="1" x14ac:dyDescent="0.3">
      <c r="B563" s="26" t="s">
        <v>6</v>
      </c>
      <c r="C563" s="556" t="s">
        <v>1810</v>
      </c>
      <c r="D563" s="557" t="s">
        <v>151</v>
      </c>
      <c r="E563" s="269">
        <v>6700005665</v>
      </c>
      <c r="F563" s="343">
        <v>46136</v>
      </c>
      <c r="G563" s="82" t="s">
        <v>55</v>
      </c>
      <c r="H563" s="26"/>
      <c r="I563" s="5">
        <v>80000.009999999995</v>
      </c>
      <c r="J563" s="2">
        <v>3</v>
      </c>
      <c r="K563" s="9">
        <f t="shared" si="12"/>
        <v>26666.67</v>
      </c>
      <c r="L563" s="352">
        <v>46784</v>
      </c>
      <c r="M563" s="352">
        <v>47149</v>
      </c>
      <c r="N563" s="58" t="s">
        <v>520</v>
      </c>
      <c r="Q563" s="7" t="s">
        <v>1813</v>
      </c>
      <c r="S563" s="7" t="s">
        <v>1814</v>
      </c>
      <c r="U563" s="7" t="s">
        <v>1815</v>
      </c>
      <c r="AC563" s="7" t="s">
        <v>478</v>
      </c>
      <c r="AD563" s="2" t="s">
        <v>63</v>
      </c>
      <c r="AE563" s="2">
        <v>3</v>
      </c>
      <c r="AF563" s="7" t="s">
        <v>667</v>
      </c>
    </row>
    <row r="564" spans="2:32" ht="15" customHeight="1" x14ac:dyDescent="0.3">
      <c r="B564" s="26" t="s">
        <v>6</v>
      </c>
      <c r="C564" s="37" t="s">
        <v>1816</v>
      </c>
      <c r="D564" s="235" t="s">
        <v>1012</v>
      </c>
      <c r="E564" s="343" t="s">
        <v>1817</v>
      </c>
      <c r="F564" s="626">
        <v>46132</v>
      </c>
      <c r="G564" s="319" t="s">
        <v>55</v>
      </c>
      <c r="H564" s="26">
        <v>2</v>
      </c>
      <c r="I564" s="5">
        <v>316800</v>
      </c>
      <c r="J564" s="2">
        <v>3</v>
      </c>
      <c r="K564" s="9">
        <f t="shared" si="12"/>
        <v>105600</v>
      </c>
      <c r="L564" s="602">
        <v>46023</v>
      </c>
      <c r="M564" s="603">
        <v>46387</v>
      </c>
      <c r="N564" s="58" t="s">
        <v>520</v>
      </c>
      <c r="Q564" s="7" t="s">
        <v>347</v>
      </c>
      <c r="S564" s="7" t="s">
        <v>348</v>
      </c>
      <c r="U564" s="7" t="s">
        <v>349</v>
      </c>
      <c r="AC564" s="7" t="s">
        <v>619</v>
      </c>
      <c r="AD564" s="2" t="s">
        <v>63</v>
      </c>
      <c r="AE564" s="2">
        <v>3</v>
      </c>
      <c r="AF564" s="7" t="s">
        <v>667</v>
      </c>
    </row>
    <row r="565" spans="2:32" ht="15" hidden="1" customHeight="1" x14ac:dyDescent="0.3">
      <c r="B565" s="26" t="s">
        <v>6</v>
      </c>
      <c r="C565" s="37" t="s">
        <v>1816</v>
      </c>
      <c r="D565" s="235" t="s">
        <v>1012</v>
      </c>
      <c r="E565" s="343" t="s">
        <v>1817</v>
      </c>
      <c r="F565" s="343">
        <v>46132</v>
      </c>
      <c r="G565" s="355" t="s">
        <v>55</v>
      </c>
      <c r="H565" s="26"/>
      <c r="I565" s="5">
        <v>316800</v>
      </c>
      <c r="J565" s="2">
        <v>3</v>
      </c>
      <c r="K565" s="9">
        <f t="shared" si="12"/>
        <v>105600</v>
      </c>
      <c r="L565" s="352">
        <v>46388</v>
      </c>
      <c r="M565" s="352">
        <v>46752</v>
      </c>
      <c r="N565" s="58" t="s">
        <v>520</v>
      </c>
      <c r="Q565" s="7" t="s">
        <v>738</v>
      </c>
      <c r="S565" s="7" t="s">
        <v>1077</v>
      </c>
      <c r="U565" s="7" t="s">
        <v>1078</v>
      </c>
      <c r="AC565" s="7" t="s">
        <v>619</v>
      </c>
      <c r="AD565" s="2" t="s">
        <v>63</v>
      </c>
      <c r="AE565" s="2">
        <v>3</v>
      </c>
      <c r="AF565" s="7" t="s">
        <v>667</v>
      </c>
    </row>
    <row r="566" spans="2:32" ht="15" hidden="1" customHeight="1" x14ac:dyDescent="0.3">
      <c r="B566" s="26" t="s">
        <v>6</v>
      </c>
      <c r="C566" s="37" t="s">
        <v>1816</v>
      </c>
      <c r="D566" s="235" t="s">
        <v>1012</v>
      </c>
      <c r="E566" s="343" t="s">
        <v>1817</v>
      </c>
      <c r="F566" s="343">
        <v>46132</v>
      </c>
      <c r="G566" s="319" t="s">
        <v>55</v>
      </c>
      <c r="H566" s="26"/>
      <c r="I566" s="5">
        <v>316800</v>
      </c>
      <c r="J566" s="2">
        <v>3</v>
      </c>
      <c r="K566" s="9">
        <f t="shared" si="12"/>
        <v>105600</v>
      </c>
      <c r="L566" s="352">
        <v>46753</v>
      </c>
      <c r="M566" s="352">
        <v>47118</v>
      </c>
      <c r="N566" s="58" t="s">
        <v>520</v>
      </c>
      <c r="Q566" s="7" t="s">
        <v>1818</v>
      </c>
      <c r="S566" s="7" t="s">
        <v>1819</v>
      </c>
      <c r="U566" s="7" t="s">
        <v>1820</v>
      </c>
      <c r="AC566" s="7" t="s">
        <v>619</v>
      </c>
      <c r="AD566" s="2" t="s">
        <v>63</v>
      </c>
      <c r="AE566" s="2">
        <v>3</v>
      </c>
      <c r="AF566" s="7" t="s">
        <v>667</v>
      </c>
    </row>
    <row r="567" spans="2:32" ht="15" customHeight="1" x14ac:dyDescent="0.3">
      <c r="B567" s="26" t="s">
        <v>6</v>
      </c>
      <c r="C567" s="595" t="s">
        <v>1821</v>
      </c>
      <c r="D567" s="557" t="s">
        <v>176</v>
      </c>
      <c r="E567" s="269">
        <v>1365722343</v>
      </c>
      <c r="F567" s="343">
        <v>45909</v>
      </c>
      <c r="G567" s="319" t="s">
        <v>55</v>
      </c>
      <c r="H567" s="570">
        <v>5</v>
      </c>
      <c r="I567" s="5">
        <v>438100</v>
      </c>
      <c r="J567" s="2">
        <v>3</v>
      </c>
      <c r="K567" s="9">
        <f>I567/2</f>
        <v>219050</v>
      </c>
      <c r="L567" s="558">
        <v>45910</v>
      </c>
      <c r="M567" s="559">
        <v>46274</v>
      </c>
      <c r="N567" s="58" t="s">
        <v>520</v>
      </c>
      <c r="Q567" s="359" t="s">
        <v>1822</v>
      </c>
      <c r="R567" s="7" t="s">
        <v>1673</v>
      </c>
      <c r="S567" s="359" t="s">
        <v>1664</v>
      </c>
      <c r="T567" s="7" t="s">
        <v>1673</v>
      </c>
      <c r="U567" s="7" t="s">
        <v>1665</v>
      </c>
      <c r="V567" s="7" t="s">
        <v>1823</v>
      </c>
      <c r="AC567" s="63" t="s">
        <v>183</v>
      </c>
      <c r="AD567" s="2" t="s">
        <v>97</v>
      </c>
      <c r="AE567" s="2">
        <v>2</v>
      </c>
      <c r="AF567" s="7" t="s">
        <v>1824</v>
      </c>
    </row>
    <row r="568" spans="2:32" ht="15" customHeight="1" x14ac:dyDescent="0.3">
      <c r="B568" s="26" t="s">
        <v>6</v>
      </c>
      <c r="C568" s="556" t="s">
        <v>655</v>
      </c>
      <c r="D568" s="557" t="s">
        <v>151</v>
      </c>
      <c r="E568" s="269">
        <v>2016202</v>
      </c>
      <c r="F568" s="343">
        <v>46150</v>
      </c>
      <c r="G568" s="319" t="s">
        <v>55</v>
      </c>
      <c r="H568" s="596">
        <v>4</v>
      </c>
      <c r="I568" s="5">
        <v>279360</v>
      </c>
      <c r="J568" s="2">
        <v>2</v>
      </c>
      <c r="K568" s="9">
        <f>I568/J568</f>
        <v>139680</v>
      </c>
      <c r="L568" s="558">
        <v>46113</v>
      </c>
      <c r="M568" s="559">
        <v>46477</v>
      </c>
      <c r="N568" s="58" t="s">
        <v>520</v>
      </c>
      <c r="Q568" s="7" t="s">
        <v>467</v>
      </c>
      <c r="S568" s="7" t="s">
        <v>1633</v>
      </c>
      <c r="AC568" s="7" t="s">
        <v>478</v>
      </c>
      <c r="AD568" s="2" t="s">
        <v>63</v>
      </c>
      <c r="AE568" s="2">
        <v>3</v>
      </c>
      <c r="AF568" s="7" t="s">
        <v>667</v>
      </c>
    </row>
    <row r="569" spans="2:32" ht="15" customHeight="1" x14ac:dyDescent="0.3">
      <c r="B569" s="26" t="s">
        <v>6</v>
      </c>
      <c r="C569" s="37" t="s">
        <v>751</v>
      </c>
      <c r="D569" s="235" t="s">
        <v>752</v>
      </c>
      <c r="E569" s="26">
        <v>357000936</v>
      </c>
      <c r="F569" s="343">
        <v>46164</v>
      </c>
      <c r="G569" s="319" t="s">
        <v>55</v>
      </c>
      <c r="H569" s="627">
        <v>1</v>
      </c>
      <c r="I569" s="5">
        <v>89300</v>
      </c>
      <c r="J569" s="2">
        <v>3</v>
      </c>
      <c r="K569" s="9">
        <f>I569/J569</f>
        <v>29766.666666666668</v>
      </c>
      <c r="L569" s="628">
        <v>46174</v>
      </c>
      <c r="M569" s="629">
        <v>46538</v>
      </c>
      <c r="N569" s="58" t="s">
        <v>520</v>
      </c>
      <c r="Q569" s="357" t="s">
        <v>406</v>
      </c>
      <c r="S569" s="7" t="s">
        <v>407</v>
      </c>
      <c r="U569" s="7" t="s">
        <v>408</v>
      </c>
      <c r="AC569" s="7" t="s">
        <v>1825</v>
      </c>
      <c r="AD569" s="2" t="s">
        <v>1826</v>
      </c>
      <c r="AE569" s="2">
        <v>3</v>
      </c>
      <c r="AF569" s="7" t="s">
        <v>1626</v>
      </c>
    </row>
    <row r="570" spans="2:32" ht="15" customHeight="1" x14ac:dyDescent="0.3">
      <c r="B570" s="26" t="s">
        <v>6</v>
      </c>
      <c r="C570" s="556" t="s">
        <v>822</v>
      </c>
      <c r="D570" s="557" t="s">
        <v>823</v>
      </c>
      <c r="E570" s="353" t="s">
        <v>1827</v>
      </c>
      <c r="F570" s="606">
        <v>46157</v>
      </c>
      <c r="G570" s="319" t="s">
        <v>55</v>
      </c>
      <c r="H570" s="42">
        <v>1</v>
      </c>
      <c r="I570" s="5">
        <v>105000</v>
      </c>
      <c r="J570" s="2">
        <v>2</v>
      </c>
      <c r="K570" s="9">
        <f>I570/J570</f>
        <v>52500</v>
      </c>
      <c r="L570" s="567">
        <v>46128</v>
      </c>
      <c r="M570" s="567">
        <v>46492</v>
      </c>
      <c r="N570" s="341" t="s">
        <v>520</v>
      </c>
      <c r="Q570" s="359" t="s">
        <v>1828</v>
      </c>
      <c r="R570" s="7" t="s">
        <v>1730</v>
      </c>
      <c r="S570" s="7" t="s">
        <v>1829</v>
      </c>
      <c r="AC570" s="63" t="s">
        <v>183</v>
      </c>
      <c r="AD570" s="2" t="s">
        <v>1171</v>
      </c>
      <c r="AE570" s="2">
        <v>3</v>
      </c>
      <c r="AF570" s="7" t="s">
        <v>829</v>
      </c>
    </row>
    <row r="571" spans="2:32" ht="15" customHeight="1" x14ac:dyDescent="0.3">
      <c r="B571" s="26" t="s">
        <v>6</v>
      </c>
      <c r="C571" s="561" t="s">
        <v>1830</v>
      </c>
      <c r="D571" s="597" t="s">
        <v>1831</v>
      </c>
      <c r="E571" s="50">
        <v>4501930640</v>
      </c>
      <c r="F571" s="343">
        <v>46167</v>
      </c>
      <c r="G571" s="319" t="s">
        <v>55</v>
      </c>
      <c r="H571" s="42">
        <v>1</v>
      </c>
      <c r="I571" s="5">
        <v>93575</v>
      </c>
      <c r="J571" s="2">
        <v>3</v>
      </c>
      <c r="K571" s="9">
        <f>I571/J571</f>
        <v>31191.666666666668</v>
      </c>
      <c r="L571" s="567">
        <v>46157</v>
      </c>
      <c r="M571" s="567">
        <v>46521</v>
      </c>
      <c r="N571" s="341" t="s">
        <v>520</v>
      </c>
      <c r="Q571" s="7" t="s">
        <v>1832</v>
      </c>
      <c r="S571" s="7" t="s">
        <v>1833</v>
      </c>
      <c r="U571" s="7" t="s">
        <v>1834</v>
      </c>
      <c r="AC571" s="7" t="s">
        <v>619</v>
      </c>
      <c r="AD571" s="2" t="s">
        <v>63</v>
      </c>
      <c r="AE571" s="2">
        <v>3</v>
      </c>
      <c r="AF571" s="7" t="s">
        <v>667</v>
      </c>
    </row>
    <row r="572" spans="2:32" ht="15" customHeight="1" x14ac:dyDescent="0.3">
      <c r="B572" s="26" t="s">
        <v>6</v>
      </c>
      <c r="C572" s="37" t="s">
        <v>1014</v>
      </c>
      <c r="D572" s="230" t="s">
        <v>151</v>
      </c>
      <c r="E572" s="50">
        <v>4500596880</v>
      </c>
      <c r="F572" s="343">
        <v>46162</v>
      </c>
      <c r="G572" s="319" t="s">
        <v>55</v>
      </c>
      <c r="H572" s="26">
        <v>1</v>
      </c>
      <c r="I572" s="5">
        <v>180000</v>
      </c>
      <c r="J572" s="2">
        <v>3</v>
      </c>
      <c r="K572" s="9">
        <f>I572/J572</f>
        <v>60000</v>
      </c>
      <c r="L572" s="348">
        <v>46174</v>
      </c>
      <c r="M572" s="348">
        <v>46538</v>
      </c>
      <c r="N572" s="341" t="s">
        <v>520</v>
      </c>
      <c r="Q572" s="7" t="s">
        <v>406</v>
      </c>
      <c r="S572" s="7" t="s">
        <v>407</v>
      </c>
      <c r="U572" s="7" t="s">
        <v>408</v>
      </c>
      <c r="AC572" s="7" t="s">
        <v>507</v>
      </c>
      <c r="AD572" s="2" t="s">
        <v>63</v>
      </c>
      <c r="AE572" s="2">
        <v>3</v>
      </c>
      <c r="AF572" s="7" t="s">
        <v>667</v>
      </c>
    </row>
    <row r="573" spans="2:32" ht="15" customHeight="1" x14ac:dyDescent="0.3">
      <c r="B573" s="26" t="s">
        <v>6</v>
      </c>
      <c r="C573" s="37" t="s">
        <v>614</v>
      </c>
      <c r="D573" s="598" t="s">
        <v>447</v>
      </c>
      <c r="E573" s="361" t="s">
        <v>1835</v>
      </c>
      <c r="F573" s="343">
        <v>46149</v>
      </c>
      <c r="G573" s="319" t="s">
        <v>55</v>
      </c>
      <c r="H573" s="28">
        <v>2</v>
      </c>
      <c r="I573" s="5">
        <v>152880</v>
      </c>
      <c r="J573" s="2">
        <v>3</v>
      </c>
      <c r="K573" s="9"/>
      <c r="L573" s="602">
        <v>46113</v>
      </c>
      <c r="M573" s="603">
        <v>46477</v>
      </c>
      <c r="N573" s="341" t="s">
        <v>520</v>
      </c>
      <c r="Q573" s="7" t="s">
        <v>1080</v>
      </c>
      <c r="S573" s="7" t="s">
        <v>1108</v>
      </c>
      <c r="U573" s="7" t="s">
        <v>1109</v>
      </c>
      <c r="AC573" s="7" t="s">
        <v>281</v>
      </c>
      <c r="AD573" s="2" t="s">
        <v>968</v>
      </c>
      <c r="AE573" s="2">
        <v>3</v>
      </c>
      <c r="AF573" s="7" t="s">
        <v>1836</v>
      </c>
    </row>
    <row r="574" spans="2:32" ht="15" customHeight="1" x14ac:dyDescent="0.3">
      <c r="B574" s="26" t="s">
        <v>6</v>
      </c>
      <c r="C574" s="37" t="s">
        <v>948</v>
      </c>
      <c r="D574" s="235" t="s">
        <v>987</v>
      </c>
      <c r="E574" s="26">
        <v>9000022562</v>
      </c>
      <c r="F574" s="343">
        <v>46167</v>
      </c>
      <c r="G574" s="319" t="s">
        <v>55</v>
      </c>
      <c r="H574" s="627">
        <v>1</v>
      </c>
      <c r="I574" s="5">
        <v>19400</v>
      </c>
      <c r="J574" s="2">
        <v>1</v>
      </c>
      <c r="L574" s="602">
        <v>46113</v>
      </c>
      <c r="M574" s="352">
        <v>46203</v>
      </c>
      <c r="N574" s="341" t="s">
        <v>520</v>
      </c>
      <c r="Q574" s="7" t="s">
        <v>397</v>
      </c>
      <c r="AC574" s="7" t="s">
        <v>356</v>
      </c>
      <c r="AD574" s="2" t="s">
        <v>207</v>
      </c>
    </row>
    <row r="575" spans="2:32" ht="15" customHeight="1" x14ac:dyDescent="0.3">
      <c r="K575" s="9"/>
    </row>
  </sheetData>
  <autoFilter ref="A6:AF574" xr:uid="{27860C58-E594-47B4-8A3F-32657A518DB5}">
    <filterColumn colId="7">
      <filters>
        <filter val="1"/>
        <filter val="10"/>
        <filter val="11"/>
        <filter val="12"/>
        <filter val="13"/>
        <filter val="15"/>
        <filter val="16"/>
        <filter val="19"/>
        <filter val="2"/>
        <filter val="23"/>
        <filter val="26"/>
        <filter val="3"/>
        <filter val="34"/>
        <filter val="4"/>
        <filter val="5"/>
        <filter val="6"/>
        <filter val="7"/>
        <filter val="8"/>
        <filter val="9"/>
      </filters>
    </filterColumn>
  </autoFilter>
  <mergeCells count="3">
    <mergeCell ref="A1:B1"/>
    <mergeCell ref="A2:B2"/>
    <mergeCell ref="L5:M5"/>
  </mergeCells>
  <conditionalFormatting sqref="B575:D997 F575:G997 I575:AF997">
    <cfRule type="expression" dxfId="48" priority="11">
      <formula>$B575:B1021&lt;&gt;""</formula>
    </cfRule>
  </conditionalFormatting>
  <conditionalFormatting sqref="E569">
    <cfRule type="duplicateValues" dxfId="47" priority="9"/>
  </conditionalFormatting>
  <conditionalFormatting sqref="E570">
    <cfRule type="duplicateValues" dxfId="46" priority="8"/>
  </conditionalFormatting>
  <conditionalFormatting sqref="E571">
    <cfRule type="duplicateValues" dxfId="45" priority="7"/>
  </conditionalFormatting>
  <conditionalFormatting sqref="E572">
    <cfRule type="duplicateValues" dxfId="44" priority="6"/>
  </conditionalFormatting>
  <conditionalFormatting sqref="E573">
    <cfRule type="duplicateValues" dxfId="43" priority="5"/>
  </conditionalFormatting>
  <conditionalFormatting sqref="E574">
    <cfRule type="duplicateValues" dxfId="42" priority="4"/>
  </conditionalFormatting>
  <conditionalFormatting sqref="E575:E1048576 E1:E568">
    <cfRule type="duplicateValues" dxfId="41" priority="10"/>
  </conditionalFormatting>
  <conditionalFormatting sqref="F181">
    <cfRule type="duplicateValues" dxfId="40" priority="12" stopIfTrue="1"/>
  </conditionalFormatting>
  <conditionalFormatting sqref="O65">
    <cfRule type="duplicateValues" dxfId="39" priority="13"/>
  </conditionalFormatting>
  <conditionalFormatting sqref="O554:AB556 AD554:AF556 I554:J557 L555:M556 O557:AF566 I558:K561 I562:M563 I564:K574 L565:M566 O567:AB567 AD567:AF567 O568:AF569 O570:AB570 AD570:AF570 O571:AF574 M574">
    <cfRule type="expression" dxfId="38" priority="13128">
      <formula>$B554:I997&lt;&gt;""</formula>
    </cfRule>
  </conditionalFormatting>
  <pageMargins left="0.7" right="0.7" top="0.75" bottom="0.75" header="0.3" footer="0.3"/>
  <pageSetup scale="1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625B-5068-4AC8-8385-052F45982FBD}">
  <sheetPr filterMode="1">
    <pageSetUpPr fitToPage="1"/>
  </sheetPr>
  <dimension ref="A1:AF613"/>
  <sheetViews>
    <sheetView topLeftCell="E211" workbookViewId="0">
      <selection activeCell="M281" sqref="M281"/>
    </sheetView>
  </sheetViews>
  <sheetFormatPr defaultColWidth="9.109375" defaultRowHeight="15" customHeight="1" x14ac:dyDescent="0.3"/>
  <cols>
    <col min="1" max="1" width="7.88671875" style="376" customWidth="1"/>
    <col min="2" max="2" width="25.5546875" style="367" customWidth="1"/>
    <col min="3" max="3" width="41.88671875" style="376" customWidth="1"/>
    <col min="4" max="4" width="19.88671875" style="366" customWidth="1"/>
    <col min="5" max="5" width="37.88671875" style="367" customWidth="1"/>
    <col min="6" max="6" width="12.33203125" style="367" customWidth="1"/>
    <col min="7" max="7" width="16.44140625" style="367" customWidth="1"/>
    <col min="8" max="8" width="17.5546875" style="367" customWidth="1"/>
    <col min="9" max="9" width="16.5546875" style="384" customWidth="1"/>
    <col min="10" max="11" width="14.88671875" style="367" customWidth="1"/>
    <col min="12" max="12" width="13.5546875" style="369" customWidth="1"/>
    <col min="13" max="13" width="11.44140625" style="369" customWidth="1"/>
    <col min="14" max="14" width="20.88671875" style="376" customWidth="1"/>
    <col min="15" max="15" width="16.5546875" style="367" customWidth="1"/>
    <col min="16" max="16" width="22.33203125" style="367" customWidth="1"/>
    <col min="17" max="17" width="25.44140625" style="376" customWidth="1"/>
    <col min="18" max="18" width="24.109375" style="376" customWidth="1"/>
    <col min="19" max="19" width="25.5546875" style="376" customWidth="1"/>
    <col min="20" max="20" width="19.6640625" style="376" customWidth="1"/>
    <col min="21" max="21" width="26" style="376" customWidth="1"/>
    <col min="22" max="22" width="18.6640625" style="376" customWidth="1"/>
    <col min="23" max="23" width="26.109375" style="376" customWidth="1"/>
    <col min="24" max="24" width="26.6640625" style="376" customWidth="1"/>
    <col min="25" max="25" width="23" style="376" customWidth="1"/>
    <col min="26" max="26" width="10.6640625" style="376" customWidth="1"/>
    <col min="27" max="28" width="24.5546875" style="376" customWidth="1"/>
    <col min="29" max="29" width="15.44140625" style="376" customWidth="1"/>
    <col min="30" max="30" width="9.5546875" style="367" customWidth="1"/>
    <col min="31" max="31" width="9.44140625" style="367" customWidth="1"/>
    <col min="32" max="32" width="63.88671875" style="376" customWidth="1"/>
    <col min="33" max="33" width="11.5546875" style="376" bestFit="1" customWidth="1"/>
    <col min="34" max="36" width="9.109375" style="376"/>
    <col min="37" max="37" width="11.6640625" style="376" bestFit="1" customWidth="1"/>
    <col min="38" max="16384" width="9.109375" style="376"/>
  </cols>
  <sheetData>
    <row r="1" spans="1:32" ht="14.4" customHeight="1" x14ac:dyDescent="0.3">
      <c r="A1" s="837" t="s">
        <v>15</v>
      </c>
      <c r="B1" s="837"/>
      <c r="C1" s="365"/>
      <c r="D1" s="366" t="s">
        <v>16</v>
      </c>
      <c r="E1" s="367">
        <f>935+17+137</f>
        <v>1089</v>
      </c>
      <c r="F1" s="367" t="s">
        <v>1837</v>
      </c>
      <c r="G1" s="599">
        <f>E1-E2</f>
        <v>40</v>
      </c>
      <c r="H1" s="367">
        <v>1479</v>
      </c>
      <c r="J1" s="371">
        <f>I1*18%</f>
        <v>0</v>
      </c>
      <c r="K1" s="372">
        <f>J1+I1</f>
        <v>0</v>
      </c>
      <c r="L1" s="372">
        <f>I1*2%</f>
        <v>0</v>
      </c>
      <c r="M1" s="373">
        <f>I1+L1</f>
        <v>0</v>
      </c>
      <c r="N1" s="373">
        <f>K1-L1</f>
        <v>0</v>
      </c>
      <c r="O1" s="370">
        <f>I1-L1</f>
        <v>0</v>
      </c>
      <c r="P1" s="550" t="s">
        <v>1838</v>
      </c>
      <c r="Q1" s="374"/>
      <c r="R1" s="375"/>
      <c r="S1" s="374"/>
      <c r="U1" s="377"/>
    </row>
    <row r="2" spans="1:32" ht="14.4" x14ac:dyDescent="0.3">
      <c r="A2" s="837" t="s">
        <v>17</v>
      </c>
      <c r="B2" s="837"/>
      <c r="C2" s="378"/>
      <c r="D2" s="366" t="s">
        <v>18</v>
      </c>
      <c r="E2" s="367">
        <v>1049</v>
      </c>
      <c r="F2" s="367" t="s">
        <v>1839</v>
      </c>
      <c r="H2" s="599">
        <v>430</v>
      </c>
      <c r="I2" s="370"/>
      <c r="J2" s="528" t="s">
        <v>20</v>
      </c>
      <c r="K2" s="529" t="s">
        <v>21</v>
      </c>
      <c r="L2" s="530" t="s">
        <v>22</v>
      </c>
      <c r="M2" s="531" t="s">
        <v>23</v>
      </c>
      <c r="N2" s="531" t="s">
        <v>24</v>
      </c>
      <c r="O2" s="532" t="s">
        <v>25</v>
      </c>
      <c r="P2" s="380">
        <v>2</v>
      </c>
      <c r="Q2" s="381" t="e" cm="1">
        <f t="array" ref="Q2">TEXT(EDATE($L2,{0}),"dd/mm/yyy") &amp; " to " &amp; TEXT(EDATE($L2,{6})-1,"dd/mm/yyyy")</f>
        <v>#VALUE!</v>
      </c>
      <c r="R2" s="382"/>
      <c r="S2" s="381" t="e" cm="1">
        <f t="array" ref="S2">TEXT(EDATE($L2,{6}),"dd/mm/yyy") &amp; " to " &amp; TEXT(EDATE($L2,{12})-1,"dd/mm/yyyy")</f>
        <v>#VALUE!</v>
      </c>
      <c r="T2" s="363"/>
      <c r="U2" s="363"/>
      <c r="V2" s="363"/>
      <c r="W2" s="363"/>
    </row>
    <row r="3" spans="1:32" ht="14.4" x14ac:dyDescent="0.3">
      <c r="A3" s="376" t="s">
        <v>1840</v>
      </c>
      <c r="C3" s="555"/>
      <c r="D3" s="366" t="s">
        <v>1661</v>
      </c>
      <c r="E3" s="367">
        <v>1094</v>
      </c>
      <c r="F3" s="366" t="s">
        <v>1841</v>
      </c>
      <c r="G3" s="367">
        <f>E3-E2</f>
        <v>45</v>
      </c>
      <c r="H3" s="367">
        <f>H1-H2</f>
        <v>1049</v>
      </c>
      <c r="I3" s="370"/>
      <c r="J3" s="370"/>
      <c r="K3" s="370"/>
      <c r="L3" s="372"/>
      <c r="M3" s="383"/>
      <c r="P3" s="380">
        <v>3</v>
      </c>
      <c r="Q3" s="381" t="str" cm="1">
        <f t="array" ref="Q3">TEXT(EDATE($L3,{0}),"dd/mm/yyy") &amp; " to " &amp; TEXT(EDATE($L3,{4})-1,"dd/mm/yyyy")</f>
        <v>00/01/1900 to 29/04/1900</v>
      </c>
      <c r="R3" s="363"/>
      <c r="S3" s="381" t="str" cm="1">
        <f t="array" ref="S3">TEXT(EDATE($L3,{4}),"dd/mm/yyy") &amp; " to " &amp; TEXT(EDATE($L3,{8})-1,"dd/mm/yyyy")</f>
        <v>30/04/1900 to 30/08/1900</v>
      </c>
      <c r="T3" s="363"/>
      <c r="U3" s="381" t="str" cm="1">
        <f t="array" ref="U3">TEXT(EDATE($L3,{8}),"dd/mm/yyy") &amp; " to " &amp; TEXT(EDATE($L3,{12})-1,"dd/mm/yyyy")</f>
        <v>31/08/1900 to 30/12/1900</v>
      </c>
      <c r="V3" s="363"/>
      <c r="W3" s="363"/>
    </row>
    <row r="4" spans="1:32" ht="14.4" x14ac:dyDescent="0.3">
      <c r="C4" s="650"/>
      <c r="D4" s="366" t="s">
        <v>1842</v>
      </c>
      <c r="G4" s="369"/>
      <c r="J4" s="370"/>
      <c r="K4" s="370"/>
      <c r="L4" s="372"/>
      <c r="M4" s="383"/>
      <c r="P4" s="380">
        <v>4</v>
      </c>
      <c r="Q4" s="381" t="str" cm="1">
        <f t="array" ref="Q4">TEXT(EDATE($L4,{0}),"dd/mm/yyy") &amp; " to " &amp; TEXT(EDATE($L4,{3})-1,"dd/mm/yyyy")</f>
        <v>00/01/1900 to 30/03/1900</v>
      </c>
      <c r="R4" s="363"/>
      <c r="S4" s="381" t="str" cm="1">
        <f t="array" ref="S4">TEXT(EDATE($L4,{3}),"dd/mm/yyy") &amp; " to " &amp; TEXT(EDATE($L4,{6})-1,"dd/mm/yyyy")</f>
        <v>31/03/1900 to 29/06/1900</v>
      </c>
      <c r="T4" s="363"/>
      <c r="U4" s="381" t="str" cm="1">
        <f t="array" ref="U4">TEXT(EDATE($L4,{6}),"dd/mm/yyy") &amp; " to " &amp; TEXT(EDATE($L4,{9})-1,"dd/mm/yyyy")</f>
        <v>30/06/1900 to 29/09/1900</v>
      </c>
      <c r="V4" s="363"/>
      <c r="W4" s="381" t="str" cm="1">
        <f t="array" ref="W4">TEXT(EDATE($L4,{9}),"dd/mm/yyy") &amp; " to " &amp; TEXT(EDATE($L4,{12})-1,"dd/mm/yyyy")</f>
        <v>30/09/1900 to 30/12/1900</v>
      </c>
    </row>
    <row r="5" spans="1:32" ht="14.4" x14ac:dyDescent="0.3">
      <c r="J5" s="371"/>
      <c r="K5" s="371"/>
      <c r="L5" s="836"/>
      <c r="M5" s="836"/>
      <c r="N5" s="385"/>
    </row>
    <row r="6" spans="1:32" s="367" customFormat="1" ht="14.4" x14ac:dyDescent="0.3">
      <c r="B6" s="380" t="s">
        <v>27</v>
      </c>
      <c r="C6" s="386" t="s">
        <v>28</v>
      </c>
      <c r="D6" s="386" t="s">
        <v>29</v>
      </c>
      <c r="E6" s="380" t="s">
        <v>30</v>
      </c>
      <c r="F6" s="380" t="s">
        <v>31</v>
      </c>
      <c r="G6" s="380" t="s">
        <v>32</v>
      </c>
      <c r="H6" s="380" t="s">
        <v>33</v>
      </c>
      <c r="I6" s="533" t="s">
        <v>34</v>
      </c>
      <c r="J6" s="380" t="s">
        <v>35</v>
      </c>
      <c r="K6" s="539" t="s">
        <v>36</v>
      </c>
      <c r="L6" s="534" t="s">
        <v>37</v>
      </c>
      <c r="M6" s="534" t="s">
        <v>38</v>
      </c>
      <c r="N6" s="380" t="s">
        <v>39</v>
      </c>
      <c r="O6" s="380" t="s">
        <v>40</v>
      </c>
      <c r="P6" s="380" t="s">
        <v>41</v>
      </c>
      <c r="Q6" s="380" t="s">
        <v>42</v>
      </c>
      <c r="R6" s="380"/>
      <c r="S6" s="380" t="s">
        <v>43</v>
      </c>
      <c r="T6" s="380"/>
      <c r="U6" s="380" t="s">
        <v>44</v>
      </c>
      <c r="V6" s="380"/>
      <c r="W6" s="380" t="s">
        <v>45</v>
      </c>
      <c r="X6" s="380"/>
      <c r="Y6" s="380" t="s">
        <v>46</v>
      </c>
      <c r="Z6" s="380"/>
      <c r="AA6" s="380" t="s">
        <v>47</v>
      </c>
      <c r="AB6" s="380"/>
      <c r="AC6" s="380" t="s">
        <v>48</v>
      </c>
      <c r="AD6" s="380" t="s">
        <v>49</v>
      </c>
      <c r="AE6" s="380" t="s">
        <v>50</v>
      </c>
      <c r="AF6" s="380" t="s">
        <v>51</v>
      </c>
    </row>
    <row r="7" spans="1:32" ht="14.4" hidden="1" x14ac:dyDescent="0.3">
      <c r="B7" s="380" t="s">
        <v>14</v>
      </c>
      <c r="C7" s="363" t="s">
        <v>52</v>
      </c>
      <c r="D7" s="386" t="s">
        <v>53</v>
      </c>
      <c r="E7" s="380" t="s">
        <v>54</v>
      </c>
      <c r="F7" s="387">
        <v>44996</v>
      </c>
      <c r="G7" s="380" t="s">
        <v>55</v>
      </c>
      <c r="H7" s="380"/>
      <c r="I7" s="388">
        <v>91500</v>
      </c>
      <c r="J7" s="380">
        <v>3</v>
      </c>
      <c r="K7" s="389">
        <f t="shared" ref="K7:K38" si="0">I7/J7</f>
        <v>30500</v>
      </c>
      <c r="L7" s="381">
        <v>44998</v>
      </c>
      <c r="M7" s="381">
        <v>45363</v>
      </c>
      <c r="N7" s="381"/>
      <c r="O7" s="387"/>
      <c r="P7" s="381"/>
      <c r="Q7" s="390" t="s">
        <v>56</v>
      </c>
      <c r="R7" s="363" t="s">
        <v>57</v>
      </c>
      <c r="S7" s="390" t="s">
        <v>58</v>
      </c>
      <c r="T7" s="363" t="s">
        <v>59</v>
      </c>
      <c r="U7" s="390" t="e" cm="1">
        <f t="array" ref="U7">_xlfn.XLOOKUP(T7,T7:T1600,'Jan - June 26'!E7:'Jan - June 26'!E700)</f>
        <v>#VALUE!</v>
      </c>
      <c r="V7" s="363" t="s">
        <v>61</v>
      </c>
      <c r="W7" s="363"/>
      <c r="X7" s="363"/>
      <c r="Y7" s="363"/>
      <c r="Z7" s="363"/>
      <c r="AA7" s="363"/>
      <c r="AB7" s="363"/>
      <c r="AC7" s="363" t="s">
        <v>62</v>
      </c>
      <c r="AD7" s="380" t="s">
        <v>63</v>
      </c>
      <c r="AE7" s="380">
        <v>4</v>
      </c>
      <c r="AF7" s="363"/>
    </row>
    <row r="8" spans="1:32" ht="14.4" hidden="1" x14ac:dyDescent="0.3">
      <c r="B8" s="380" t="s">
        <v>14</v>
      </c>
      <c r="C8" s="363" t="s">
        <v>52</v>
      </c>
      <c r="D8" s="386" t="s">
        <v>53</v>
      </c>
      <c r="E8" s="380" t="s">
        <v>54</v>
      </c>
      <c r="F8" s="387">
        <v>44996</v>
      </c>
      <c r="G8" s="380" t="s">
        <v>55</v>
      </c>
      <c r="H8" s="380"/>
      <c r="I8" s="388">
        <v>91500</v>
      </c>
      <c r="J8" s="380">
        <v>3</v>
      </c>
      <c r="K8" s="389">
        <f t="shared" si="0"/>
        <v>30500</v>
      </c>
      <c r="L8" s="381">
        <v>45364</v>
      </c>
      <c r="M8" s="381">
        <v>45728</v>
      </c>
      <c r="N8" s="363"/>
      <c r="O8" s="380"/>
      <c r="P8" s="363"/>
      <c r="Q8" s="390" t="s">
        <v>64</v>
      </c>
      <c r="R8" s="363" t="s">
        <v>65</v>
      </c>
      <c r="S8" s="390" t="s">
        <v>66</v>
      </c>
      <c r="T8" s="363" t="s">
        <v>67</v>
      </c>
      <c r="U8" s="390" t="s">
        <v>68</v>
      </c>
      <c r="V8" s="363" t="s">
        <v>69</v>
      </c>
      <c r="W8" s="363"/>
      <c r="X8" s="363"/>
      <c r="Y8" s="363"/>
      <c r="Z8" s="363"/>
      <c r="AA8" s="363"/>
      <c r="AB8" s="363"/>
      <c r="AC8" s="363" t="s">
        <v>62</v>
      </c>
      <c r="AD8" s="380" t="s">
        <v>63</v>
      </c>
      <c r="AE8" s="380">
        <v>4</v>
      </c>
      <c r="AF8" s="363"/>
    </row>
    <row r="9" spans="1:32" ht="14.4" hidden="1" x14ac:dyDescent="0.3">
      <c r="B9" s="380" t="s">
        <v>14</v>
      </c>
      <c r="C9" s="547" t="s">
        <v>52</v>
      </c>
      <c r="D9" s="386" t="s">
        <v>53</v>
      </c>
      <c r="E9" s="380" t="s">
        <v>54</v>
      </c>
      <c r="F9" s="387">
        <v>44996</v>
      </c>
      <c r="G9" s="380" t="s">
        <v>55</v>
      </c>
      <c r="H9" s="380">
        <v>1</v>
      </c>
      <c r="I9" s="388">
        <v>99000</v>
      </c>
      <c r="J9" s="380">
        <v>3</v>
      </c>
      <c r="K9" s="389">
        <f t="shared" si="0"/>
        <v>33000</v>
      </c>
      <c r="L9" s="381">
        <v>45729</v>
      </c>
      <c r="M9" s="381">
        <v>46093</v>
      </c>
      <c r="N9" s="363" t="s">
        <v>19</v>
      </c>
      <c r="O9" s="380" t="s">
        <v>3</v>
      </c>
      <c r="P9" s="363"/>
      <c r="Q9" s="390" t="s">
        <v>70</v>
      </c>
      <c r="R9" s="363" t="s">
        <v>71</v>
      </c>
      <c r="S9" s="390" t="s">
        <v>72</v>
      </c>
      <c r="T9" s="363" t="s">
        <v>73</v>
      </c>
      <c r="U9" s="390" t="s">
        <v>74</v>
      </c>
      <c r="V9" s="363" t="s">
        <v>75</v>
      </c>
      <c r="W9" s="363"/>
      <c r="X9" s="363"/>
      <c r="Y9" s="363"/>
      <c r="Z9" s="363"/>
      <c r="AA9" s="363"/>
      <c r="AB9" s="363"/>
      <c r="AC9" s="363" t="s">
        <v>62</v>
      </c>
      <c r="AD9" s="380" t="s">
        <v>63</v>
      </c>
      <c r="AE9" s="380">
        <v>4</v>
      </c>
      <c r="AF9" s="363"/>
    </row>
    <row r="10" spans="1:32" ht="14.4" hidden="1" x14ac:dyDescent="0.3">
      <c r="B10" s="380" t="s">
        <v>14</v>
      </c>
      <c r="C10" s="363" t="s">
        <v>76</v>
      </c>
      <c r="D10" s="386" t="s">
        <v>77</v>
      </c>
      <c r="E10" s="380">
        <v>6700004761</v>
      </c>
      <c r="F10" s="387">
        <v>45678</v>
      </c>
      <c r="G10" s="380" t="s">
        <v>55</v>
      </c>
      <c r="H10" s="380">
        <v>1</v>
      </c>
      <c r="I10" s="388">
        <v>77001</v>
      </c>
      <c r="J10" s="380">
        <v>3</v>
      </c>
      <c r="K10" s="389">
        <f t="shared" si="0"/>
        <v>25667</v>
      </c>
      <c r="L10" s="381">
        <v>45689</v>
      </c>
      <c r="M10" s="381">
        <v>46053</v>
      </c>
      <c r="N10" s="363" t="s">
        <v>19</v>
      </c>
      <c r="O10" s="380" t="s">
        <v>0</v>
      </c>
      <c r="P10" s="363"/>
      <c r="Q10" s="390" t="s">
        <v>79</v>
      </c>
      <c r="R10" s="363" t="s">
        <v>80</v>
      </c>
      <c r="S10" s="390" t="s">
        <v>81</v>
      </c>
      <c r="T10" s="363" t="s">
        <v>82</v>
      </c>
      <c r="U10" s="390" t="s">
        <v>83</v>
      </c>
      <c r="V10" s="363" t="s">
        <v>84</v>
      </c>
      <c r="W10" s="363"/>
      <c r="X10" s="363"/>
      <c r="Y10" s="363"/>
      <c r="Z10" s="363"/>
      <c r="AA10" s="363"/>
      <c r="AB10" s="363"/>
      <c r="AC10" s="363" t="s">
        <v>62</v>
      </c>
      <c r="AD10" s="380" t="s">
        <v>63</v>
      </c>
      <c r="AE10" s="380">
        <v>3</v>
      </c>
      <c r="AF10" s="363"/>
    </row>
    <row r="11" spans="1:32" ht="14.4" hidden="1" x14ac:dyDescent="0.3">
      <c r="B11" s="380" t="s">
        <v>14</v>
      </c>
      <c r="C11" s="363" t="s">
        <v>85</v>
      </c>
      <c r="D11" s="386" t="s">
        <v>86</v>
      </c>
      <c r="E11" s="380" t="s">
        <v>87</v>
      </c>
      <c r="F11" s="387">
        <v>45045</v>
      </c>
      <c r="G11" s="380" t="s">
        <v>55</v>
      </c>
      <c r="H11" s="380"/>
      <c r="I11" s="388">
        <v>58000</v>
      </c>
      <c r="J11" s="380">
        <v>4</v>
      </c>
      <c r="K11" s="389">
        <f t="shared" si="0"/>
        <v>14500</v>
      </c>
      <c r="L11" s="381">
        <v>45065</v>
      </c>
      <c r="M11" s="381">
        <v>45430</v>
      </c>
      <c r="N11" s="363"/>
      <c r="O11" s="380"/>
      <c r="P11" s="363"/>
      <c r="Q11" s="390" t="s">
        <v>88</v>
      </c>
      <c r="R11" s="363" t="s">
        <v>89</v>
      </c>
      <c r="S11" s="390" t="s">
        <v>90</v>
      </c>
      <c r="T11" s="363" t="s">
        <v>91</v>
      </c>
      <c r="U11" s="390" t="s">
        <v>92</v>
      </c>
      <c r="V11" s="363" t="s">
        <v>93</v>
      </c>
      <c r="W11" s="390" t="s">
        <v>94</v>
      </c>
      <c r="X11" s="363" t="s">
        <v>95</v>
      </c>
      <c r="Y11" s="363"/>
      <c r="Z11" s="363"/>
      <c r="AA11" s="363"/>
      <c r="AB11" s="363"/>
      <c r="AC11" s="363" t="s">
        <v>96</v>
      </c>
      <c r="AD11" s="380" t="s">
        <v>97</v>
      </c>
      <c r="AE11" s="380" t="s">
        <v>98</v>
      </c>
      <c r="AF11" s="363"/>
    </row>
    <row r="12" spans="1:32" ht="14.4" hidden="1" x14ac:dyDescent="0.3">
      <c r="B12" s="380" t="s">
        <v>14</v>
      </c>
      <c r="C12" s="363" t="s">
        <v>85</v>
      </c>
      <c r="D12" s="386" t="s">
        <v>86</v>
      </c>
      <c r="E12" s="380" t="s">
        <v>87</v>
      </c>
      <c r="F12" s="387">
        <v>45045</v>
      </c>
      <c r="G12" s="380" t="s">
        <v>55</v>
      </c>
      <c r="H12" s="380">
        <v>1</v>
      </c>
      <c r="I12" s="388">
        <v>58000</v>
      </c>
      <c r="J12" s="380">
        <v>4</v>
      </c>
      <c r="K12" s="389">
        <f t="shared" si="0"/>
        <v>14500</v>
      </c>
      <c r="L12" s="381">
        <v>45431</v>
      </c>
      <c r="M12" s="381">
        <v>45795</v>
      </c>
      <c r="N12" s="363"/>
      <c r="O12" s="380"/>
      <c r="P12" s="363"/>
      <c r="Q12" s="390" t="s">
        <v>99</v>
      </c>
      <c r="R12" s="363" t="s">
        <v>100</v>
      </c>
      <c r="S12" s="390" t="s">
        <v>101</v>
      </c>
      <c r="T12" s="363" t="s">
        <v>102</v>
      </c>
      <c r="U12" s="390" t="s">
        <v>103</v>
      </c>
      <c r="V12" s="363" t="s">
        <v>104</v>
      </c>
      <c r="W12" s="390" t="s">
        <v>105</v>
      </c>
      <c r="X12" s="363" t="s">
        <v>106</v>
      </c>
      <c r="Y12" s="363"/>
      <c r="Z12" s="363"/>
      <c r="AA12" s="363"/>
      <c r="AB12" s="363"/>
      <c r="AC12" s="363" t="s">
        <v>96</v>
      </c>
      <c r="AD12" s="380" t="s">
        <v>97</v>
      </c>
      <c r="AE12" s="380" t="s">
        <v>98</v>
      </c>
      <c r="AF12" s="363"/>
    </row>
    <row r="13" spans="1:32" ht="14.4" hidden="1" x14ac:dyDescent="0.3">
      <c r="B13" s="380" t="s">
        <v>14</v>
      </c>
      <c r="C13" s="363" t="s">
        <v>85</v>
      </c>
      <c r="D13" s="386" t="s">
        <v>86</v>
      </c>
      <c r="E13" s="380" t="s">
        <v>87</v>
      </c>
      <c r="F13" s="387">
        <v>45045</v>
      </c>
      <c r="G13" s="380" t="s">
        <v>55</v>
      </c>
      <c r="H13" s="380"/>
      <c r="I13" s="388">
        <v>58000</v>
      </c>
      <c r="J13" s="380">
        <v>4</v>
      </c>
      <c r="K13" s="391">
        <f t="shared" si="0"/>
        <v>14500</v>
      </c>
      <c r="L13" s="381">
        <v>45796</v>
      </c>
      <c r="M13" s="381">
        <v>46160</v>
      </c>
      <c r="N13" s="363" t="s">
        <v>19</v>
      </c>
      <c r="O13" s="380" t="s">
        <v>6</v>
      </c>
      <c r="P13" s="363"/>
      <c r="Q13" s="390" t="s">
        <v>107</v>
      </c>
      <c r="R13" s="363" t="s">
        <v>108</v>
      </c>
      <c r="S13" s="390" t="s">
        <v>109</v>
      </c>
      <c r="T13" s="363" t="s">
        <v>110</v>
      </c>
      <c r="U13" s="390" t="s">
        <v>111</v>
      </c>
      <c r="V13" s="363" t="s">
        <v>112</v>
      </c>
      <c r="W13" s="390" t="s">
        <v>113</v>
      </c>
      <c r="X13" s="363" t="s">
        <v>114</v>
      </c>
      <c r="Y13" s="363"/>
      <c r="Z13" s="363"/>
      <c r="AA13" s="363"/>
      <c r="AB13" s="363"/>
      <c r="AC13" s="363" t="s">
        <v>96</v>
      </c>
      <c r="AD13" s="380" t="s">
        <v>97</v>
      </c>
      <c r="AE13" s="380" t="s">
        <v>98</v>
      </c>
      <c r="AF13" s="363"/>
    </row>
    <row r="14" spans="1:32" ht="14.4" hidden="1" x14ac:dyDescent="0.3">
      <c r="B14" s="380" t="s">
        <v>14</v>
      </c>
      <c r="C14" s="363" t="s">
        <v>52</v>
      </c>
      <c r="D14" s="386" t="s">
        <v>115</v>
      </c>
      <c r="E14" s="380" t="s">
        <v>116</v>
      </c>
      <c r="F14" s="387">
        <v>45006</v>
      </c>
      <c r="G14" s="380" t="s">
        <v>55</v>
      </c>
      <c r="H14" s="380">
        <v>3</v>
      </c>
      <c r="I14" s="388">
        <v>1313415</v>
      </c>
      <c r="J14" s="380">
        <v>6</v>
      </c>
      <c r="K14" s="391">
        <f t="shared" si="0"/>
        <v>218902.5</v>
      </c>
      <c r="L14" s="381">
        <v>45078</v>
      </c>
      <c r="M14" s="381">
        <v>46173</v>
      </c>
      <c r="N14" s="363" t="s">
        <v>19</v>
      </c>
      <c r="O14" s="380" t="s">
        <v>6</v>
      </c>
      <c r="P14" s="363"/>
      <c r="Q14" s="390" t="s">
        <v>117</v>
      </c>
      <c r="R14" s="363" t="s">
        <v>118</v>
      </c>
      <c r="S14" s="390" t="s">
        <v>119</v>
      </c>
      <c r="T14" s="363" t="s">
        <v>120</v>
      </c>
      <c r="U14" s="390" t="s">
        <v>121</v>
      </c>
      <c r="V14" s="363" t="s">
        <v>122</v>
      </c>
      <c r="W14" s="390" t="s">
        <v>123</v>
      </c>
      <c r="X14" s="363" t="s">
        <v>124</v>
      </c>
      <c r="Y14" s="390" t="s">
        <v>125</v>
      </c>
      <c r="Z14" s="363" t="s">
        <v>126</v>
      </c>
      <c r="AA14" s="390" t="s">
        <v>127</v>
      </c>
      <c r="AB14" s="363" t="s">
        <v>1710</v>
      </c>
      <c r="AC14" s="363" t="s">
        <v>128</v>
      </c>
      <c r="AD14" s="380" t="s">
        <v>129</v>
      </c>
      <c r="AE14" s="380" t="s">
        <v>98</v>
      </c>
      <c r="AF14" s="363"/>
    </row>
    <row r="15" spans="1:32" ht="14.4" hidden="1" x14ac:dyDescent="0.3">
      <c r="B15" s="380" t="s">
        <v>14</v>
      </c>
      <c r="C15" s="363" t="s">
        <v>130</v>
      </c>
      <c r="D15" s="386" t="s">
        <v>131</v>
      </c>
      <c r="E15" s="380">
        <v>6800037118</v>
      </c>
      <c r="F15" s="387">
        <v>45096</v>
      </c>
      <c r="G15" s="380" t="s">
        <v>55</v>
      </c>
      <c r="H15" s="380"/>
      <c r="I15" s="388">
        <f>258000/3</f>
        <v>86000</v>
      </c>
      <c r="J15" s="380">
        <v>3</v>
      </c>
      <c r="K15" s="389">
        <f t="shared" si="0"/>
        <v>28666.666666666668</v>
      </c>
      <c r="L15" s="381">
        <v>45096</v>
      </c>
      <c r="M15" s="381">
        <v>45461</v>
      </c>
      <c r="N15" s="363"/>
      <c r="O15" s="380"/>
      <c r="P15" s="363"/>
      <c r="Q15" s="390" t="s">
        <v>132</v>
      </c>
      <c r="R15" s="363" t="s">
        <v>133</v>
      </c>
      <c r="S15" s="390" t="s">
        <v>134</v>
      </c>
      <c r="T15" s="363" t="s">
        <v>135</v>
      </c>
      <c r="U15" s="390" t="s">
        <v>136</v>
      </c>
      <c r="V15" s="363" t="s">
        <v>61</v>
      </c>
      <c r="W15" s="363"/>
      <c r="X15" s="363"/>
      <c r="Y15" s="363"/>
      <c r="Z15" s="363"/>
      <c r="AA15" s="363"/>
      <c r="AB15" s="363"/>
      <c r="AC15" s="363" t="s">
        <v>137</v>
      </c>
      <c r="AD15" s="380" t="s">
        <v>63</v>
      </c>
      <c r="AE15" s="380">
        <v>2</v>
      </c>
      <c r="AF15" s="363"/>
    </row>
    <row r="16" spans="1:32" ht="14.4" hidden="1" x14ac:dyDescent="0.3">
      <c r="B16" s="380" t="s">
        <v>14</v>
      </c>
      <c r="C16" s="363" t="s">
        <v>130</v>
      </c>
      <c r="D16" s="386" t="s">
        <v>131</v>
      </c>
      <c r="E16" s="380">
        <v>6800037118</v>
      </c>
      <c r="F16" s="387">
        <v>45096</v>
      </c>
      <c r="G16" s="380" t="s">
        <v>55</v>
      </c>
      <c r="H16" s="380"/>
      <c r="I16" s="388">
        <f>258000/3</f>
        <v>86000</v>
      </c>
      <c r="J16" s="380">
        <v>3</v>
      </c>
      <c r="K16" s="389">
        <f t="shared" si="0"/>
        <v>28666.666666666668</v>
      </c>
      <c r="L16" s="381">
        <v>45462</v>
      </c>
      <c r="M16" s="381">
        <v>45826</v>
      </c>
      <c r="N16" s="363"/>
      <c r="O16" s="380"/>
      <c r="P16" s="363"/>
      <c r="Q16" s="390" t="s">
        <v>138</v>
      </c>
      <c r="R16" s="363" t="s">
        <v>139</v>
      </c>
      <c r="S16" s="390" t="s">
        <v>140</v>
      </c>
      <c r="T16" s="363" t="s">
        <v>141</v>
      </c>
      <c r="U16" s="390" t="s">
        <v>142</v>
      </c>
      <c r="V16" s="363" t="s">
        <v>143</v>
      </c>
      <c r="W16" s="363"/>
      <c r="X16" s="363"/>
      <c r="Y16" s="363"/>
      <c r="Z16" s="363"/>
      <c r="AA16" s="363"/>
      <c r="AB16" s="363"/>
      <c r="AC16" s="363" t="s">
        <v>137</v>
      </c>
      <c r="AD16" s="380" t="s">
        <v>63</v>
      </c>
      <c r="AE16" s="380">
        <v>2</v>
      </c>
      <c r="AF16" s="363"/>
    </row>
    <row r="17" spans="2:32" ht="14.4" x14ac:dyDescent="0.3">
      <c r="B17" s="380" t="s">
        <v>14</v>
      </c>
      <c r="C17" s="363" t="s">
        <v>130</v>
      </c>
      <c r="D17" s="386" t="s">
        <v>131</v>
      </c>
      <c r="E17" s="380">
        <v>6800037118</v>
      </c>
      <c r="F17" s="387">
        <v>45096</v>
      </c>
      <c r="G17" s="380" t="s">
        <v>55</v>
      </c>
      <c r="H17" s="380">
        <v>1</v>
      </c>
      <c r="I17" s="388">
        <f>258000/3</f>
        <v>86000</v>
      </c>
      <c r="J17" s="380">
        <v>3</v>
      </c>
      <c r="K17" s="389">
        <f t="shared" si="0"/>
        <v>28666.666666666668</v>
      </c>
      <c r="L17" s="381">
        <v>45827</v>
      </c>
      <c r="M17" s="381">
        <v>46191</v>
      </c>
      <c r="N17" s="363" t="s">
        <v>19</v>
      </c>
      <c r="O17" s="380" t="s">
        <v>9</v>
      </c>
      <c r="P17" s="363"/>
      <c r="Q17" s="390" t="s">
        <v>144</v>
      </c>
      <c r="R17" s="363" t="s">
        <v>145</v>
      </c>
      <c r="S17" s="390" t="s">
        <v>146</v>
      </c>
      <c r="T17" s="363" t="s">
        <v>147</v>
      </c>
      <c r="U17" s="390" t="s">
        <v>148</v>
      </c>
      <c r="V17" s="363" t="s">
        <v>149</v>
      </c>
      <c r="W17" s="363"/>
      <c r="X17" s="363"/>
      <c r="Y17" s="363"/>
      <c r="Z17" s="363"/>
      <c r="AA17" s="363"/>
      <c r="AB17" s="363"/>
      <c r="AC17" s="363" t="s">
        <v>137</v>
      </c>
      <c r="AD17" s="380" t="s">
        <v>63</v>
      </c>
      <c r="AE17" s="380">
        <v>2</v>
      </c>
      <c r="AF17" s="363"/>
    </row>
    <row r="18" spans="2:32" ht="14.4" hidden="1" x14ac:dyDescent="0.3">
      <c r="B18" s="380" t="s">
        <v>14</v>
      </c>
      <c r="C18" s="392" t="s">
        <v>150</v>
      </c>
      <c r="D18" s="386" t="s">
        <v>151</v>
      </c>
      <c r="E18" s="380">
        <v>4200258422</v>
      </c>
      <c r="F18" s="387">
        <v>45126</v>
      </c>
      <c r="G18" s="380" t="s">
        <v>55</v>
      </c>
      <c r="H18" s="380"/>
      <c r="I18" s="388">
        <v>91728</v>
      </c>
      <c r="J18" s="380">
        <v>4</v>
      </c>
      <c r="K18" s="389">
        <f t="shared" si="0"/>
        <v>22932</v>
      </c>
      <c r="L18" s="381">
        <v>45108</v>
      </c>
      <c r="M18" s="381">
        <v>45473</v>
      </c>
      <c r="N18" s="363"/>
      <c r="O18" s="380"/>
      <c r="P18" s="363"/>
      <c r="Q18" s="390" t="s">
        <v>152</v>
      </c>
      <c r="R18" s="363" t="s">
        <v>153</v>
      </c>
      <c r="S18" s="390" t="s">
        <v>154</v>
      </c>
      <c r="T18" s="363" t="s">
        <v>155</v>
      </c>
      <c r="U18" s="390" t="s">
        <v>156</v>
      </c>
      <c r="V18" s="363" t="s">
        <v>157</v>
      </c>
      <c r="W18" s="390" t="s">
        <v>158</v>
      </c>
      <c r="X18" s="363" t="s">
        <v>159</v>
      </c>
      <c r="Y18" s="363"/>
      <c r="Z18" s="363"/>
      <c r="AA18" s="363"/>
      <c r="AB18" s="363"/>
      <c r="AC18" s="363" t="s">
        <v>62</v>
      </c>
      <c r="AD18" s="380" t="s">
        <v>63</v>
      </c>
      <c r="AE18" s="380">
        <v>4</v>
      </c>
      <c r="AF18" s="363"/>
    </row>
    <row r="19" spans="2:32" ht="14.4" hidden="1" x14ac:dyDescent="0.3">
      <c r="B19" s="380" t="s">
        <v>14</v>
      </c>
      <c r="C19" s="392" t="s">
        <v>150</v>
      </c>
      <c r="D19" s="386" t="s">
        <v>151</v>
      </c>
      <c r="E19" s="380">
        <v>4200258422</v>
      </c>
      <c r="F19" s="387">
        <v>45126</v>
      </c>
      <c r="G19" s="380" t="s">
        <v>55</v>
      </c>
      <c r="H19" s="380">
        <v>1</v>
      </c>
      <c r="I19" s="388">
        <v>96313</v>
      </c>
      <c r="J19" s="380">
        <v>4</v>
      </c>
      <c r="K19" s="389">
        <f t="shared" si="0"/>
        <v>24078.25</v>
      </c>
      <c r="L19" s="381">
        <v>45474</v>
      </c>
      <c r="M19" s="381">
        <v>45838</v>
      </c>
      <c r="N19" s="363"/>
      <c r="O19" s="380"/>
      <c r="P19" s="363"/>
      <c r="Q19" s="390" t="s">
        <v>160</v>
      </c>
      <c r="R19" s="363" t="s">
        <v>161</v>
      </c>
      <c r="S19" s="390" t="s">
        <v>162</v>
      </c>
      <c r="T19" s="363" t="s">
        <v>163</v>
      </c>
      <c r="U19" s="390" t="s">
        <v>164</v>
      </c>
      <c r="V19" s="363" t="s">
        <v>165</v>
      </c>
      <c r="W19" s="390" t="s">
        <v>166</v>
      </c>
      <c r="X19" s="363" t="s">
        <v>167</v>
      </c>
      <c r="Y19" s="363"/>
      <c r="Z19" s="363"/>
      <c r="AA19" s="363"/>
      <c r="AB19" s="363"/>
      <c r="AC19" s="363" t="s">
        <v>62</v>
      </c>
      <c r="AD19" s="380" t="s">
        <v>63</v>
      </c>
      <c r="AE19" s="380">
        <v>4</v>
      </c>
      <c r="AF19" s="363"/>
    </row>
    <row r="20" spans="2:32" ht="14.4" x14ac:dyDescent="0.3">
      <c r="B20" s="380" t="s">
        <v>14</v>
      </c>
      <c r="C20" s="392" t="s">
        <v>150</v>
      </c>
      <c r="D20" s="386" t="s">
        <v>151</v>
      </c>
      <c r="E20" s="380">
        <v>4200258422</v>
      </c>
      <c r="F20" s="387">
        <v>45126</v>
      </c>
      <c r="G20" s="380" t="s">
        <v>55</v>
      </c>
      <c r="H20" s="380"/>
      <c r="I20" s="388">
        <v>96313</v>
      </c>
      <c r="J20" s="380">
        <v>4</v>
      </c>
      <c r="K20" s="389">
        <f t="shared" si="0"/>
        <v>24078.25</v>
      </c>
      <c r="L20" s="381">
        <v>45839</v>
      </c>
      <c r="M20" s="381">
        <v>46203</v>
      </c>
      <c r="N20" s="363" t="s">
        <v>19</v>
      </c>
      <c r="O20" s="380" t="s">
        <v>9</v>
      </c>
      <c r="P20" s="363"/>
      <c r="Q20" s="390" t="s">
        <v>168</v>
      </c>
      <c r="R20" s="363" t="s">
        <v>169</v>
      </c>
      <c r="S20" s="390" t="s">
        <v>170</v>
      </c>
      <c r="T20" s="363" t="s">
        <v>171</v>
      </c>
      <c r="U20" s="390" t="s">
        <v>172</v>
      </c>
      <c r="V20" s="363" t="s">
        <v>173</v>
      </c>
      <c r="W20" s="390" t="s">
        <v>174</v>
      </c>
      <c r="X20" s="363" t="s">
        <v>1843</v>
      </c>
      <c r="Y20" s="363"/>
      <c r="Z20" s="363"/>
      <c r="AA20" s="363"/>
      <c r="AB20" s="363"/>
      <c r="AC20" s="363" t="s">
        <v>62</v>
      </c>
      <c r="AD20" s="380" t="s">
        <v>63</v>
      </c>
      <c r="AE20" s="380">
        <v>4</v>
      </c>
      <c r="AF20" s="363"/>
    </row>
    <row r="21" spans="2:32" ht="14.4" hidden="1" x14ac:dyDescent="0.3">
      <c r="B21" s="380" t="s">
        <v>14</v>
      </c>
      <c r="C21" s="363" t="s">
        <v>175</v>
      </c>
      <c r="D21" s="386" t="s">
        <v>176</v>
      </c>
      <c r="E21" s="393" t="s">
        <v>177</v>
      </c>
      <c r="F21" s="387">
        <v>45184</v>
      </c>
      <c r="G21" s="380" t="s">
        <v>55</v>
      </c>
      <c r="H21" s="380"/>
      <c r="I21" s="388">
        <v>88500</v>
      </c>
      <c r="J21" s="380">
        <v>3</v>
      </c>
      <c r="K21" s="389">
        <f t="shared" si="0"/>
        <v>29500</v>
      </c>
      <c r="L21" s="381">
        <v>45108</v>
      </c>
      <c r="M21" s="381">
        <v>45473</v>
      </c>
      <c r="N21" s="363"/>
      <c r="O21" s="380"/>
      <c r="P21" s="363"/>
      <c r="Q21" s="390" t="s">
        <v>178</v>
      </c>
      <c r="R21" s="363"/>
      <c r="S21" s="390" t="s">
        <v>179</v>
      </c>
      <c r="T21" s="363" t="s">
        <v>180</v>
      </c>
      <c r="U21" s="390" t="s">
        <v>181</v>
      </c>
      <c r="V21" s="363" t="s">
        <v>182</v>
      </c>
      <c r="W21" s="363"/>
      <c r="X21" s="363"/>
      <c r="Y21" s="363"/>
      <c r="Z21" s="363"/>
      <c r="AA21" s="363"/>
      <c r="AB21" s="363"/>
      <c r="AC21" s="363" t="s">
        <v>183</v>
      </c>
      <c r="AD21" s="380" t="s">
        <v>97</v>
      </c>
      <c r="AE21" s="380"/>
      <c r="AF21" s="363"/>
    </row>
    <row r="22" spans="2:32" ht="14.4" hidden="1" x14ac:dyDescent="0.3">
      <c r="B22" s="380" t="s">
        <v>14</v>
      </c>
      <c r="C22" s="363" t="s">
        <v>175</v>
      </c>
      <c r="D22" s="386" t="s">
        <v>176</v>
      </c>
      <c r="E22" s="393" t="s">
        <v>177</v>
      </c>
      <c r="F22" s="387">
        <v>45184</v>
      </c>
      <c r="G22" s="380" t="s">
        <v>55</v>
      </c>
      <c r="H22" s="380">
        <v>1</v>
      </c>
      <c r="I22" s="388">
        <v>88500</v>
      </c>
      <c r="J22" s="380">
        <v>3</v>
      </c>
      <c r="K22" s="389">
        <f t="shared" si="0"/>
        <v>29500</v>
      </c>
      <c r="L22" s="381">
        <v>45474</v>
      </c>
      <c r="M22" s="381">
        <v>45838</v>
      </c>
      <c r="N22" s="363"/>
      <c r="O22" s="380"/>
      <c r="P22" s="363"/>
      <c r="Q22" s="390" t="s">
        <v>184</v>
      </c>
      <c r="R22" s="363" t="s">
        <v>185</v>
      </c>
      <c r="S22" s="390" t="s">
        <v>186</v>
      </c>
      <c r="T22" s="363" t="s">
        <v>187</v>
      </c>
      <c r="U22" s="390" t="s">
        <v>188</v>
      </c>
      <c r="V22" s="363" t="s">
        <v>189</v>
      </c>
      <c r="W22" s="363"/>
      <c r="X22" s="363"/>
      <c r="Y22" s="363"/>
      <c r="Z22" s="363"/>
      <c r="AA22" s="363"/>
      <c r="AB22" s="363"/>
      <c r="AC22" s="363" t="s">
        <v>183</v>
      </c>
      <c r="AD22" s="380" t="s">
        <v>97</v>
      </c>
      <c r="AE22" s="380"/>
      <c r="AF22" s="363"/>
    </row>
    <row r="23" spans="2:32" ht="14.4" x14ac:dyDescent="0.3">
      <c r="B23" s="380" t="s">
        <v>14</v>
      </c>
      <c r="C23" s="363" t="s">
        <v>175</v>
      </c>
      <c r="D23" s="386" t="s">
        <v>176</v>
      </c>
      <c r="E23" s="393" t="s">
        <v>177</v>
      </c>
      <c r="F23" s="387">
        <v>45184</v>
      </c>
      <c r="G23" s="380" t="s">
        <v>55</v>
      </c>
      <c r="H23" s="380"/>
      <c r="I23" s="388">
        <v>88500</v>
      </c>
      <c r="J23" s="380">
        <v>3</v>
      </c>
      <c r="K23" s="389">
        <f t="shared" si="0"/>
        <v>29500</v>
      </c>
      <c r="L23" s="381">
        <v>45839</v>
      </c>
      <c r="M23" s="381">
        <v>46203</v>
      </c>
      <c r="N23" s="363" t="s">
        <v>19</v>
      </c>
      <c r="O23" s="380" t="s">
        <v>9</v>
      </c>
      <c r="P23" s="363"/>
      <c r="Q23" s="390" t="s">
        <v>190</v>
      </c>
      <c r="R23" s="363" t="s">
        <v>191</v>
      </c>
      <c r="S23" s="390" t="s">
        <v>192</v>
      </c>
      <c r="T23" s="363" t="s">
        <v>193</v>
      </c>
      <c r="U23" s="390" t="s">
        <v>194</v>
      </c>
      <c r="V23" s="363" t="s">
        <v>1844</v>
      </c>
      <c r="W23" s="363"/>
      <c r="X23" s="363"/>
      <c r="Y23" s="363"/>
      <c r="Z23" s="363"/>
      <c r="AA23" s="363"/>
      <c r="AB23" s="363"/>
      <c r="AC23" s="363" t="s">
        <v>183</v>
      </c>
      <c r="AD23" s="380" t="s">
        <v>97</v>
      </c>
      <c r="AE23" s="380"/>
      <c r="AF23" s="363"/>
    </row>
    <row r="24" spans="2:32" ht="14.4" hidden="1" x14ac:dyDescent="0.3">
      <c r="B24" s="380" t="s">
        <v>14</v>
      </c>
      <c r="C24" s="363" t="s">
        <v>195</v>
      </c>
      <c r="D24" s="386" t="s">
        <v>196</v>
      </c>
      <c r="E24" s="393" t="s">
        <v>197</v>
      </c>
      <c r="F24" s="387">
        <v>45210</v>
      </c>
      <c r="G24" s="380" t="s">
        <v>55</v>
      </c>
      <c r="H24" s="380"/>
      <c r="I24" s="388">
        <v>741000</v>
      </c>
      <c r="J24" s="380">
        <v>4</v>
      </c>
      <c r="K24" s="389">
        <f t="shared" si="0"/>
        <v>185250</v>
      </c>
      <c r="L24" s="381">
        <v>45203</v>
      </c>
      <c r="M24" s="381">
        <v>45568</v>
      </c>
      <c r="N24" s="363"/>
      <c r="O24" s="380"/>
      <c r="P24" s="363"/>
      <c r="Q24" s="390" t="s">
        <v>198</v>
      </c>
      <c r="R24" s="363" t="s">
        <v>199</v>
      </c>
      <c r="S24" s="394" t="s">
        <v>200</v>
      </c>
      <c r="T24" s="363" t="s">
        <v>201</v>
      </c>
      <c r="U24" s="390" t="s">
        <v>202</v>
      </c>
      <c r="V24" s="363" t="s">
        <v>203</v>
      </c>
      <c r="W24" s="390" t="s">
        <v>204</v>
      </c>
      <c r="X24" s="363" t="s">
        <v>205</v>
      </c>
      <c r="Y24" s="363"/>
      <c r="Z24" s="363"/>
      <c r="AA24" s="363"/>
      <c r="AB24" s="363"/>
      <c r="AC24" s="363" t="s">
        <v>206</v>
      </c>
      <c r="AD24" s="380" t="s">
        <v>207</v>
      </c>
      <c r="AE24" s="380">
        <v>39</v>
      </c>
      <c r="AF24" s="363"/>
    </row>
    <row r="25" spans="2:32" ht="14.4" hidden="1" x14ac:dyDescent="0.3">
      <c r="B25" s="380" t="s">
        <v>14</v>
      </c>
      <c r="C25" s="363" t="s">
        <v>195</v>
      </c>
      <c r="D25" s="386" t="s">
        <v>196</v>
      </c>
      <c r="E25" s="393" t="s">
        <v>197</v>
      </c>
      <c r="F25" s="387">
        <v>45210</v>
      </c>
      <c r="G25" s="380" t="s">
        <v>55</v>
      </c>
      <c r="H25" s="380">
        <v>13</v>
      </c>
      <c r="I25" s="388">
        <v>741000</v>
      </c>
      <c r="J25" s="380">
        <v>4</v>
      </c>
      <c r="K25" s="389">
        <f t="shared" si="0"/>
        <v>185250</v>
      </c>
      <c r="L25" s="381">
        <v>45569</v>
      </c>
      <c r="M25" s="381">
        <v>45933</v>
      </c>
      <c r="N25" s="363"/>
      <c r="O25" s="380"/>
      <c r="P25" s="363"/>
      <c r="Q25" s="390" t="s">
        <v>208</v>
      </c>
      <c r="R25" s="363" t="s">
        <v>209</v>
      </c>
      <c r="S25" s="394" t="s">
        <v>210</v>
      </c>
      <c r="T25" s="363" t="s">
        <v>211</v>
      </c>
      <c r="U25" s="390" t="s">
        <v>212</v>
      </c>
      <c r="V25" s="363" t="s">
        <v>213</v>
      </c>
      <c r="W25" s="390" t="s">
        <v>214</v>
      </c>
      <c r="X25" s="363" t="s">
        <v>169</v>
      </c>
      <c r="Y25" s="363"/>
      <c r="Z25" s="363"/>
      <c r="AA25" s="363"/>
      <c r="AB25" s="363"/>
      <c r="AC25" s="363" t="s">
        <v>206</v>
      </c>
      <c r="AD25" s="380" t="s">
        <v>207</v>
      </c>
      <c r="AE25" s="380">
        <v>39</v>
      </c>
      <c r="AF25" s="363"/>
    </row>
    <row r="26" spans="2:32" ht="14.4" hidden="1" x14ac:dyDescent="0.3">
      <c r="B26" s="380" t="s">
        <v>14</v>
      </c>
      <c r="C26" s="363" t="s">
        <v>85</v>
      </c>
      <c r="D26" s="386" t="s">
        <v>86</v>
      </c>
      <c r="E26" s="393" t="s">
        <v>215</v>
      </c>
      <c r="F26" s="387">
        <v>45204</v>
      </c>
      <c r="G26" s="380" t="s">
        <v>55</v>
      </c>
      <c r="H26" s="380"/>
      <c r="I26" s="388">
        <f>696000/3</f>
        <v>232000</v>
      </c>
      <c r="J26" s="380">
        <v>4</v>
      </c>
      <c r="K26" s="389">
        <f t="shared" si="0"/>
        <v>58000</v>
      </c>
      <c r="L26" s="381">
        <v>45200</v>
      </c>
      <c r="M26" s="381">
        <v>45565</v>
      </c>
      <c r="N26" s="363"/>
      <c r="O26" s="380"/>
      <c r="P26" s="363"/>
      <c r="Q26" s="390" t="s">
        <v>216</v>
      </c>
      <c r="R26" s="363" t="s">
        <v>217</v>
      </c>
      <c r="S26" s="390" t="s">
        <v>156</v>
      </c>
      <c r="T26" s="363" t="s">
        <v>218</v>
      </c>
      <c r="U26" s="390" t="s">
        <v>158</v>
      </c>
      <c r="V26" s="363" t="s">
        <v>219</v>
      </c>
      <c r="W26" s="390" t="s">
        <v>220</v>
      </c>
      <c r="X26" s="363" t="s">
        <v>221</v>
      </c>
      <c r="Y26" s="363"/>
      <c r="Z26" s="363"/>
      <c r="AA26" s="363"/>
      <c r="AB26" s="363"/>
      <c r="AC26" s="363" t="s">
        <v>96</v>
      </c>
      <c r="AD26" s="380" t="s">
        <v>97</v>
      </c>
      <c r="AE26" s="380" t="s">
        <v>98</v>
      </c>
      <c r="AF26" s="363"/>
    </row>
    <row r="27" spans="2:32" ht="14.4" hidden="1" x14ac:dyDescent="0.3">
      <c r="B27" s="380" t="s">
        <v>14</v>
      </c>
      <c r="C27" s="363" t="s">
        <v>85</v>
      </c>
      <c r="D27" s="386" t="s">
        <v>86</v>
      </c>
      <c r="E27" s="393" t="s">
        <v>215</v>
      </c>
      <c r="F27" s="387">
        <v>45204</v>
      </c>
      <c r="G27" s="380" t="s">
        <v>55</v>
      </c>
      <c r="H27" s="380">
        <v>4</v>
      </c>
      <c r="I27" s="388">
        <f>696000/3</f>
        <v>232000</v>
      </c>
      <c r="J27" s="380">
        <v>4</v>
      </c>
      <c r="K27" s="389">
        <f t="shared" si="0"/>
        <v>58000</v>
      </c>
      <c r="L27" s="381">
        <v>45566</v>
      </c>
      <c r="M27" s="381">
        <v>45930</v>
      </c>
      <c r="N27" s="363"/>
      <c r="O27" s="380"/>
      <c r="P27" s="363"/>
      <c r="Q27" s="390" t="s">
        <v>222</v>
      </c>
      <c r="R27" s="363" t="s">
        <v>223</v>
      </c>
      <c r="S27" s="390" t="s">
        <v>164</v>
      </c>
      <c r="T27" s="363" t="s">
        <v>224</v>
      </c>
      <c r="U27" s="390" t="s">
        <v>166</v>
      </c>
      <c r="V27" s="363" t="s">
        <v>225</v>
      </c>
      <c r="W27" s="390" t="s">
        <v>226</v>
      </c>
      <c r="X27" s="363" t="s">
        <v>227</v>
      </c>
      <c r="Y27" s="363"/>
      <c r="Z27" s="363"/>
      <c r="AA27" s="363"/>
      <c r="AB27" s="363"/>
      <c r="AC27" s="363" t="s">
        <v>96</v>
      </c>
      <c r="AD27" s="380" t="s">
        <v>97</v>
      </c>
      <c r="AE27" s="380" t="s">
        <v>98</v>
      </c>
      <c r="AF27" s="363"/>
    </row>
    <row r="28" spans="2:32" ht="14.4" hidden="1" x14ac:dyDescent="0.3">
      <c r="B28" s="380" t="s">
        <v>14</v>
      </c>
      <c r="C28" s="363" t="s">
        <v>85</v>
      </c>
      <c r="D28" s="386" t="s">
        <v>86</v>
      </c>
      <c r="E28" s="393" t="s">
        <v>215</v>
      </c>
      <c r="F28" s="387">
        <v>45204</v>
      </c>
      <c r="G28" s="380" t="s">
        <v>55</v>
      </c>
      <c r="H28" s="380"/>
      <c r="I28" s="395">
        <f>696000/3</f>
        <v>232000</v>
      </c>
      <c r="J28" s="380">
        <v>4</v>
      </c>
      <c r="K28" s="389">
        <f t="shared" si="0"/>
        <v>58000</v>
      </c>
      <c r="L28" s="381">
        <v>45931</v>
      </c>
      <c r="M28" s="381">
        <v>46295</v>
      </c>
      <c r="N28" s="363"/>
      <c r="O28" s="380"/>
      <c r="P28" s="363"/>
      <c r="Q28" s="390" t="s">
        <v>228</v>
      </c>
      <c r="R28" s="363" t="s">
        <v>229</v>
      </c>
      <c r="S28" s="390" t="s">
        <v>172</v>
      </c>
      <c r="T28" s="363" t="s">
        <v>230</v>
      </c>
      <c r="U28" s="390" t="s">
        <v>174</v>
      </c>
      <c r="V28" s="363" t="s">
        <v>1845</v>
      </c>
      <c r="W28" s="363" t="s">
        <v>231</v>
      </c>
      <c r="X28" s="363"/>
      <c r="Y28" s="363"/>
      <c r="Z28" s="363"/>
      <c r="AA28" s="363"/>
      <c r="AB28" s="363"/>
      <c r="AC28" s="363" t="s">
        <v>96</v>
      </c>
      <c r="AD28" s="380" t="s">
        <v>97</v>
      </c>
      <c r="AE28" s="380" t="s">
        <v>98</v>
      </c>
      <c r="AF28" s="363"/>
    </row>
    <row r="29" spans="2:32" ht="14.4" hidden="1" x14ac:dyDescent="0.3">
      <c r="B29" s="380" t="s">
        <v>14</v>
      </c>
      <c r="C29" s="363" t="s">
        <v>232</v>
      </c>
      <c r="D29" s="386" t="s">
        <v>86</v>
      </c>
      <c r="E29" s="380">
        <v>115885</v>
      </c>
      <c r="F29" s="387">
        <v>45269</v>
      </c>
      <c r="G29" s="380" t="s">
        <v>55</v>
      </c>
      <c r="H29" s="380"/>
      <c r="I29" s="388">
        <f>432000/3</f>
        <v>144000</v>
      </c>
      <c r="J29" s="380">
        <v>4</v>
      </c>
      <c r="K29" s="389">
        <f t="shared" si="0"/>
        <v>36000</v>
      </c>
      <c r="L29" s="381">
        <v>45261</v>
      </c>
      <c r="M29" s="381">
        <v>45626</v>
      </c>
      <c r="N29" s="363"/>
      <c r="O29" s="380"/>
      <c r="P29" s="363"/>
      <c r="Q29" s="390" t="s">
        <v>233</v>
      </c>
      <c r="R29" s="363" t="s">
        <v>234</v>
      </c>
      <c r="S29" s="390" t="s">
        <v>235</v>
      </c>
      <c r="T29" s="363" t="s">
        <v>203</v>
      </c>
      <c r="U29" s="390" t="s">
        <v>236</v>
      </c>
      <c r="V29" s="363" t="s">
        <v>237</v>
      </c>
      <c r="W29" s="390" t="s">
        <v>238</v>
      </c>
      <c r="X29" s="363" t="s">
        <v>239</v>
      </c>
      <c r="Y29" s="363"/>
      <c r="Z29" s="363"/>
      <c r="AA29" s="363"/>
      <c r="AB29" s="363"/>
      <c r="AC29" s="363" t="s">
        <v>96</v>
      </c>
      <c r="AD29" s="380" t="s">
        <v>97</v>
      </c>
      <c r="AE29" s="380" t="s">
        <v>98</v>
      </c>
      <c r="AF29" s="363"/>
    </row>
    <row r="30" spans="2:32" ht="14.4" hidden="1" x14ac:dyDescent="0.3">
      <c r="B30" s="380" t="s">
        <v>14</v>
      </c>
      <c r="C30" s="363" t="s">
        <v>232</v>
      </c>
      <c r="D30" s="386" t="s">
        <v>86</v>
      </c>
      <c r="E30" s="380">
        <v>115885</v>
      </c>
      <c r="F30" s="387">
        <v>45269</v>
      </c>
      <c r="G30" s="380" t="s">
        <v>55</v>
      </c>
      <c r="H30" s="380">
        <v>2</v>
      </c>
      <c r="I30" s="388">
        <f>432000/3</f>
        <v>144000</v>
      </c>
      <c r="J30" s="380">
        <v>4</v>
      </c>
      <c r="K30" s="389">
        <f t="shared" si="0"/>
        <v>36000</v>
      </c>
      <c r="L30" s="381">
        <v>45627</v>
      </c>
      <c r="M30" s="381">
        <v>45991</v>
      </c>
      <c r="N30" s="363"/>
      <c r="O30" s="380"/>
      <c r="P30" s="363"/>
      <c r="Q30" s="390" t="s">
        <v>240</v>
      </c>
      <c r="R30" s="363" t="s">
        <v>241</v>
      </c>
      <c r="S30" s="390" t="s">
        <v>242</v>
      </c>
      <c r="T30" s="363" t="s">
        <v>243</v>
      </c>
      <c r="U30" s="390" t="s">
        <v>244</v>
      </c>
      <c r="V30" s="363" t="s">
        <v>245</v>
      </c>
      <c r="W30" s="390" t="s">
        <v>246</v>
      </c>
      <c r="X30" s="363" t="s">
        <v>247</v>
      </c>
      <c r="Y30" s="363"/>
      <c r="Z30" s="363"/>
      <c r="AA30" s="363"/>
      <c r="AB30" s="363"/>
      <c r="AC30" s="363" t="s">
        <v>96</v>
      </c>
      <c r="AD30" s="380" t="s">
        <v>97</v>
      </c>
      <c r="AE30" s="380" t="s">
        <v>98</v>
      </c>
      <c r="AF30" s="363"/>
    </row>
    <row r="31" spans="2:32" ht="14.4" hidden="1" x14ac:dyDescent="0.3">
      <c r="B31" s="380" t="s">
        <v>14</v>
      </c>
      <c r="C31" s="363" t="s">
        <v>232</v>
      </c>
      <c r="D31" s="386" t="s">
        <v>86</v>
      </c>
      <c r="E31" s="380">
        <v>115885</v>
      </c>
      <c r="F31" s="387">
        <v>45269</v>
      </c>
      <c r="G31" s="380" t="s">
        <v>55</v>
      </c>
      <c r="H31" s="380"/>
      <c r="I31" s="388">
        <f>432000/3</f>
        <v>144000</v>
      </c>
      <c r="J31" s="380">
        <v>4</v>
      </c>
      <c r="K31" s="391">
        <f t="shared" si="0"/>
        <v>36000</v>
      </c>
      <c r="L31" s="381">
        <v>45992</v>
      </c>
      <c r="M31" s="381">
        <v>46356</v>
      </c>
      <c r="N31" s="363"/>
      <c r="O31" s="380"/>
      <c r="P31" s="363"/>
      <c r="Q31" s="390" t="s">
        <v>248</v>
      </c>
      <c r="R31" s="363" t="s">
        <v>249</v>
      </c>
      <c r="S31" s="390" t="s">
        <v>250</v>
      </c>
      <c r="T31" s="363" t="s">
        <v>251</v>
      </c>
      <c r="U31" s="363" t="s">
        <v>252</v>
      </c>
      <c r="V31" s="363"/>
      <c r="W31" s="363" t="s">
        <v>253</v>
      </c>
      <c r="X31" s="363"/>
      <c r="Y31" s="363"/>
      <c r="Z31" s="363"/>
      <c r="AA31" s="363"/>
      <c r="AB31" s="363"/>
      <c r="AC31" s="363" t="s">
        <v>96</v>
      </c>
      <c r="AD31" s="380" t="s">
        <v>97</v>
      </c>
      <c r="AE31" s="380" t="s">
        <v>98</v>
      </c>
      <c r="AF31" s="363"/>
    </row>
    <row r="32" spans="2:32" ht="14.4" hidden="1" x14ac:dyDescent="0.3">
      <c r="B32" s="380" t="s">
        <v>14</v>
      </c>
      <c r="C32" s="363" t="s">
        <v>254</v>
      </c>
      <c r="D32" s="386" t="s">
        <v>86</v>
      </c>
      <c r="E32" s="380" t="s">
        <v>255</v>
      </c>
      <c r="F32" s="387">
        <v>45323</v>
      </c>
      <c r="G32" s="380" t="s">
        <v>55</v>
      </c>
      <c r="H32" s="380"/>
      <c r="I32" s="388">
        <f>354000/2</f>
        <v>177000</v>
      </c>
      <c r="J32" s="380">
        <v>4</v>
      </c>
      <c r="K32" s="389">
        <f t="shared" si="0"/>
        <v>44250</v>
      </c>
      <c r="L32" s="381">
        <v>45323</v>
      </c>
      <c r="M32" s="381">
        <v>45688</v>
      </c>
      <c r="N32" s="363"/>
      <c r="O32" s="380"/>
      <c r="P32" s="380"/>
      <c r="Q32" s="390" t="s">
        <v>256</v>
      </c>
      <c r="R32" s="363" t="s">
        <v>257</v>
      </c>
      <c r="S32" s="390" t="s">
        <v>258</v>
      </c>
      <c r="T32" s="363" t="s">
        <v>259</v>
      </c>
      <c r="U32" s="390" t="s">
        <v>260</v>
      </c>
      <c r="V32" s="363" t="s">
        <v>261</v>
      </c>
      <c r="W32" s="390" t="s">
        <v>262</v>
      </c>
      <c r="X32" s="390" t="s">
        <v>263</v>
      </c>
      <c r="Y32" s="363"/>
      <c r="Z32" s="363"/>
      <c r="AA32" s="363"/>
      <c r="AB32" s="363"/>
      <c r="AC32" s="363" t="s">
        <v>96</v>
      </c>
      <c r="AD32" s="380" t="s">
        <v>97</v>
      </c>
      <c r="AE32" s="380" t="s">
        <v>98</v>
      </c>
      <c r="AF32" s="363"/>
    </row>
    <row r="33" spans="2:32" ht="14.4" hidden="1" x14ac:dyDescent="0.3">
      <c r="B33" s="380" t="s">
        <v>14</v>
      </c>
      <c r="C33" s="363" t="s">
        <v>254</v>
      </c>
      <c r="D33" s="386" t="s">
        <v>86</v>
      </c>
      <c r="E33" s="380" t="s">
        <v>255</v>
      </c>
      <c r="F33" s="387">
        <v>45323</v>
      </c>
      <c r="G33" s="380" t="s">
        <v>55</v>
      </c>
      <c r="H33" s="380">
        <v>3</v>
      </c>
      <c r="I33" s="388">
        <f>354000/2</f>
        <v>177000</v>
      </c>
      <c r="J33" s="380">
        <v>4</v>
      </c>
      <c r="K33" s="389">
        <f t="shared" si="0"/>
        <v>44250</v>
      </c>
      <c r="L33" s="381">
        <v>45689</v>
      </c>
      <c r="M33" s="381">
        <v>46053</v>
      </c>
      <c r="N33" s="363"/>
      <c r="O33" s="380"/>
      <c r="P33" s="380"/>
      <c r="Q33" s="390" t="s">
        <v>264</v>
      </c>
      <c r="R33" s="363" t="s">
        <v>265</v>
      </c>
      <c r="S33" s="390" t="s">
        <v>266</v>
      </c>
      <c r="T33" s="363" t="s">
        <v>145</v>
      </c>
      <c r="U33" s="390" t="s">
        <v>267</v>
      </c>
      <c r="V33" s="363" t="s">
        <v>268</v>
      </c>
      <c r="W33" s="390" t="s">
        <v>269</v>
      </c>
      <c r="X33" s="363" t="s">
        <v>270</v>
      </c>
      <c r="Y33" s="363"/>
      <c r="Z33" s="363"/>
      <c r="AA33" s="363"/>
      <c r="AB33" s="363"/>
      <c r="AC33" s="363" t="s">
        <v>96</v>
      </c>
      <c r="AD33" s="380" t="s">
        <v>97</v>
      </c>
      <c r="AE33" s="380" t="s">
        <v>98</v>
      </c>
      <c r="AF33" s="363"/>
    </row>
    <row r="34" spans="2:32" ht="14.4" hidden="1" x14ac:dyDescent="0.3">
      <c r="B34" s="380" t="s">
        <v>14</v>
      </c>
      <c r="C34" s="363" t="s">
        <v>271</v>
      </c>
      <c r="D34" s="386" t="s">
        <v>86</v>
      </c>
      <c r="E34" s="380" t="s">
        <v>272</v>
      </c>
      <c r="F34" s="387">
        <v>45260</v>
      </c>
      <c r="G34" s="380" t="s">
        <v>55</v>
      </c>
      <c r="H34" s="380"/>
      <c r="I34" s="388">
        <v>186960</v>
      </c>
      <c r="J34" s="380">
        <v>4</v>
      </c>
      <c r="K34" s="389">
        <f t="shared" si="0"/>
        <v>46740</v>
      </c>
      <c r="L34" s="381">
        <v>45260</v>
      </c>
      <c r="M34" s="381">
        <v>45625</v>
      </c>
      <c r="N34" s="363"/>
      <c r="O34" s="380"/>
      <c r="P34" s="380"/>
      <c r="Q34" s="390" t="s">
        <v>273</v>
      </c>
      <c r="R34" s="363" t="s">
        <v>274</v>
      </c>
      <c r="S34" s="390" t="s">
        <v>275</v>
      </c>
      <c r="T34" s="363" t="s">
        <v>276</v>
      </c>
      <c r="U34" s="390" t="s">
        <v>277</v>
      </c>
      <c r="V34" s="363" t="s">
        <v>278</v>
      </c>
      <c r="W34" s="390" t="s">
        <v>279</v>
      </c>
      <c r="X34" s="363" t="s">
        <v>280</v>
      </c>
      <c r="Y34" s="363"/>
      <c r="Z34" s="363"/>
      <c r="AA34" s="363"/>
      <c r="AB34" s="363"/>
      <c r="AC34" s="363" t="s">
        <v>281</v>
      </c>
      <c r="AD34" s="380" t="s">
        <v>97</v>
      </c>
      <c r="AE34" s="380" t="s">
        <v>98</v>
      </c>
      <c r="AF34" s="363"/>
    </row>
    <row r="35" spans="2:32" ht="14.4" hidden="1" x14ac:dyDescent="0.3">
      <c r="B35" s="380" t="s">
        <v>14</v>
      </c>
      <c r="C35" s="363" t="s">
        <v>271</v>
      </c>
      <c r="D35" s="386" t="s">
        <v>86</v>
      </c>
      <c r="E35" s="380" t="s">
        <v>272</v>
      </c>
      <c r="F35" s="387">
        <v>45260</v>
      </c>
      <c r="G35" s="380" t="s">
        <v>55</v>
      </c>
      <c r="H35" s="380">
        <v>2</v>
      </c>
      <c r="I35" s="388">
        <v>186960</v>
      </c>
      <c r="J35" s="380">
        <v>4</v>
      </c>
      <c r="K35" s="389">
        <f t="shared" si="0"/>
        <v>46740</v>
      </c>
      <c r="L35" s="381">
        <v>45626</v>
      </c>
      <c r="M35" s="381">
        <v>45990</v>
      </c>
      <c r="N35" s="363"/>
      <c r="O35" s="380"/>
      <c r="P35" s="380"/>
      <c r="Q35" s="390" t="s">
        <v>282</v>
      </c>
      <c r="R35" s="363" t="s">
        <v>283</v>
      </c>
      <c r="S35" s="390" t="s">
        <v>284</v>
      </c>
      <c r="T35" s="363" t="s">
        <v>285</v>
      </c>
      <c r="U35" s="390" t="s">
        <v>286</v>
      </c>
      <c r="V35" s="363" t="s">
        <v>287</v>
      </c>
      <c r="W35" s="390" t="s">
        <v>288</v>
      </c>
      <c r="X35" s="363" t="s">
        <v>289</v>
      </c>
      <c r="Y35" s="363"/>
      <c r="Z35" s="363"/>
      <c r="AA35" s="363"/>
      <c r="AB35" s="363"/>
      <c r="AC35" s="363" t="s">
        <v>281</v>
      </c>
      <c r="AD35" s="380" t="s">
        <v>97</v>
      </c>
      <c r="AE35" s="380" t="s">
        <v>98</v>
      </c>
      <c r="AF35" s="363"/>
    </row>
    <row r="36" spans="2:32" ht="14.4" hidden="1" x14ac:dyDescent="0.3">
      <c r="B36" s="380" t="s">
        <v>14</v>
      </c>
      <c r="C36" s="363" t="s">
        <v>271</v>
      </c>
      <c r="D36" s="386" t="s">
        <v>86</v>
      </c>
      <c r="E36" s="380" t="s">
        <v>272</v>
      </c>
      <c r="F36" s="387">
        <v>45260</v>
      </c>
      <c r="G36" s="380" t="s">
        <v>55</v>
      </c>
      <c r="H36" s="380"/>
      <c r="I36" s="388">
        <v>186960</v>
      </c>
      <c r="J36" s="380">
        <v>4</v>
      </c>
      <c r="K36" s="391">
        <f t="shared" si="0"/>
        <v>46740</v>
      </c>
      <c r="L36" s="381">
        <v>45991</v>
      </c>
      <c r="M36" s="381">
        <v>46355</v>
      </c>
      <c r="N36" s="363"/>
      <c r="O36" s="380"/>
      <c r="P36" s="380"/>
      <c r="Q36" s="390" t="s">
        <v>290</v>
      </c>
      <c r="R36" s="363" t="s">
        <v>291</v>
      </c>
      <c r="S36" s="390" t="s">
        <v>292</v>
      </c>
      <c r="T36" s="363" t="s">
        <v>1711</v>
      </c>
      <c r="U36" s="363" t="s">
        <v>293</v>
      </c>
      <c r="V36" s="363"/>
      <c r="W36" s="363" t="s">
        <v>294</v>
      </c>
      <c r="X36" s="363"/>
      <c r="Y36" s="363"/>
      <c r="Z36" s="363"/>
      <c r="AA36" s="363"/>
      <c r="AB36" s="363"/>
      <c r="AC36" s="363" t="s">
        <v>281</v>
      </c>
      <c r="AD36" s="380" t="s">
        <v>97</v>
      </c>
      <c r="AE36" s="380" t="s">
        <v>98</v>
      </c>
      <c r="AF36" s="363"/>
    </row>
    <row r="37" spans="2:32" ht="14.4" hidden="1" x14ac:dyDescent="0.3">
      <c r="B37" s="380" t="s">
        <v>14</v>
      </c>
      <c r="C37" s="363" t="s">
        <v>295</v>
      </c>
      <c r="D37" s="386" t="s">
        <v>296</v>
      </c>
      <c r="E37" s="380" t="s">
        <v>297</v>
      </c>
      <c r="F37" s="387">
        <v>45337</v>
      </c>
      <c r="G37" s="380" t="s">
        <v>55</v>
      </c>
      <c r="H37" s="380"/>
      <c r="I37" s="388">
        <v>898776</v>
      </c>
      <c r="J37" s="380">
        <v>3</v>
      </c>
      <c r="K37" s="389">
        <f t="shared" si="0"/>
        <v>299592</v>
      </c>
      <c r="L37" s="381">
        <v>45352</v>
      </c>
      <c r="M37" s="381">
        <v>45716</v>
      </c>
      <c r="N37" s="363"/>
      <c r="O37" s="380"/>
      <c r="P37" s="380"/>
      <c r="Q37" s="390" t="s">
        <v>298</v>
      </c>
      <c r="R37" s="363" t="s">
        <v>299</v>
      </c>
      <c r="S37" s="390" t="s">
        <v>300</v>
      </c>
      <c r="T37" s="363" t="s">
        <v>122</v>
      </c>
      <c r="U37" s="390" t="s">
        <v>301</v>
      </c>
      <c r="V37" s="363" t="s">
        <v>302</v>
      </c>
      <c r="W37" s="363"/>
      <c r="X37" s="363"/>
      <c r="Y37" s="363"/>
      <c r="Z37" s="363"/>
      <c r="AA37" s="363"/>
      <c r="AB37" s="363"/>
      <c r="AC37" s="363" t="s">
        <v>281</v>
      </c>
      <c r="AD37" s="380" t="s">
        <v>97</v>
      </c>
      <c r="AE37" s="380">
        <f>9*3</f>
        <v>27</v>
      </c>
      <c r="AF37" s="363"/>
    </row>
    <row r="38" spans="2:32" ht="14.4" hidden="1" x14ac:dyDescent="0.3">
      <c r="B38" s="380" t="s">
        <v>14</v>
      </c>
      <c r="C38" s="363" t="s">
        <v>295</v>
      </c>
      <c r="D38" s="386" t="s">
        <v>296</v>
      </c>
      <c r="E38" s="380" t="s">
        <v>297</v>
      </c>
      <c r="F38" s="387">
        <v>45337</v>
      </c>
      <c r="G38" s="380" t="s">
        <v>55</v>
      </c>
      <c r="H38" s="380">
        <v>9</v>
      </c>
      <c r="I38" s="388">
        <v>898776</v>
      </c>
      <c r="J38" s="380">
        <v>3</v>
      </c>
      <c r="K38" s="389">
        <f t="shared" si="0"/>
        <v>299592</v>
      </c>
      <c r="L38" s="381">
        <v>45717</v>
      </c>
      <c r="M38" s="381">
        <v>46081</v>
      </c>
      <c r="N38" s="363" t="s">
        <v>19</v>
      </c>
      <c r="O38" s="380" t="s">
        <v>2</v>
      </c>
      <c r="P38" s="380"/>
      <c r="Q38" s="390" t="s">
        <v>303</v>
      </c>
      <c r="R38" s="363" t="s">
        <v>304</v>
      </c>
      <c r="S38" s="390" t="s">
        <v>305</v>
      </c>
      <c r="T38" s="363" t="s">
        <v>306</v>
      </c>
      <c r="U38" s="390" t="s">
        <v>307</v>
      </c>
      <c r="V38" s="363" t="s">
        <v>193</v>
      </c>
      <c r="W38" s="363"/>
      <c r="X38" s="363"/>
      <c r="Y38" s="363"/>
      <c r="Z38" s="363"/>
      <c r="AA38" s="363"/>
      <c r="AB38" s="363"/>
      <c r="AC38" s="363" t="s">
        <v>281</v>
      </c>
      <c r="AD38" s="380" t="s">
        <v>97</v>
      </c>
      <c r="AE38" s="380">
        <f>9*3</f>
        <v>27</v>
      </c>
      <c r="AF38" s="363"/>
    </row>
    <row r="39" spans="2:32" ht="14.4" hidden="1" x14ac:dyDescent="0.3">
      <c r="B39" s="380" t="s">
        <v>14</v>
      </c>
      <c r="C39" s="363" t="s">
        <v>76</v>
      </c>
      <c r="D39" s="386" t="s">
        <v>151</v>
      </c>
      <c r="E39" s="380">
        <v>4700004976</v>
      </c>
      <c r="F39" s="387">
        <v>45097</v>
      </c>
      <c r="G39" s="380" t="s">
        <v>55</v>
      </c>
      <c r="H39" s="380"/>
      <c r="I39" s="388">
        <f>261000/3</f>
        <v>87000</v>
      </c>
      <c r="J39" s="380">
        <v>3</v>
      </c>
      <c r="K39" s="389">
        <f t="shared" ref="K39:K70" si="1">I39/J39</f>
        <v>29000</v>
      </c>
      <c r="L39" s="381">
        <v>45078</v>
      </c>
      <c r="M39" s="381">
        <v>45443</v>
      </c>
      <c r="N39" s="363"/>
      <c r="O39" s="380"/>
      <c r="P39" s="380"/>
      <c r="Q39" s="390" t="s">
        <v>308</v>
      </c>
      <c r="R39" s="363" t="s">
        <v>309</v>
      </c>
      <c r="S39" s="390" t="s">
        <v>310</v>
      </c>
      <c r="T39" s="363" t="s">
        <v>311</v>
      </c>
      <c r="U39" s="390" t="s">
        <v>312</v>
      </c>
      <c r="V39" s="363" t="s">
        <v>313</v>
      </c>
      <c r="W39" s="363"/>
      <c r="X39" s="363"/>
      <c r="Y39" s="363"/>
      <c r="Z39" s="363"/>
      <c r="AA39" s="363"/>
      <c r="AB39" s="363"/>
      <c r="AC39" s="363" t="s">
        <v>62</v>
      </c>
      <c r="AD39" s="380" t="s">
        <v>63</v>
      </c>
      <c r="AE39" s="380"/>
      <c r="AF39" s="363"/>
    </row>
    <row r="40" spans="2:32" ht="14.4" hidden="1" x14ac:dyDescent="0.3">
      <c r="B40" s="380" t="s">
        <v>14</v>
      </c>
      <c r="C40" s="363" t="s">
        <v>76</v>
      </c>
      <c r="D40" s="386" t="s">
        <v>151</v>
      </c>
      <c r="E40" s="380">
        <v>4700004976</v>
      </c>
      <c r="F40" s="387">
        <v>45097</v>
      </c>
      <c r="G40" s="380" t="s">
        <v>55</v>
      </c>
      <c r="H40" s="380"/>
      <c r="I40" s="388">
        <f>261000/3</f>
        <v>87000</v>
      </c>
      <c r="J40" s="380">
        <v>3</v>
      </c>
      <c r="K40" s="389">
        <f t="shared" si="1"/>
        <v>29000</v>
      </c>
      <c r="L40" s="381">
        <v>45444</v>
      </c>
      <c r="M40" s="381">
        <v>45808</v>
      </c>
      <c r="N40" s="363"/>
      <c r="O40" s="380"/>
      <c r="P40" s="380"/>
      <c r="Q40" s="390" t="s">
        <v>314</v>
      </c>
      <c r="R40" s="363" t="s">
        <v>315</v>
      </c>
      <c r="S40" s="390" t="s">
        <v>316</v>
      </c>
      <c r="T40" s="363" t="s">
        <v>317</v>
      </c>
      <c r="U40" s="390" t="s">
        <v>318</v>
      </c>
      <c r="V40" s="363" t="s">
        <v>319</v>
      </c>
      <c r="W40" s="363"/>
      <c r="X40" s="363"/>
      <c r="Y40" s="363"/>
      <c r="Z40" s="363"/>
      <c r="AA40" s="363"/>
      <c r="AB40" s="363"/>
      <c r="AC40" s="363" t="s">
        <v>62</v>
      </c>
      <c r="AD40" s="380" t="s">
        <v>63</v>
      </c>
      <c r="AE40" s="380"/>
      <c r="AF40" s="363"/>
    </row>
    <row r="41" spans="2:32" ht="14.4" hidden="1" x14ac:dyDescent="0.3">
      <c r="B41" s="380" t="s">
        <v>14</v>
      </c>
      <c r="C41" s="363" t="s">
        <v>76</v>
      </c>
      <c r="D41" s="386" t="s">
        <v>151</v>
      </c>
      <c r="E41" s="380">
        <v>4700004976</v>
      </c>
      <c r="F41" s="387">
        <v>45097</v>
      </c>
      <c r="G41" s="380" t="s">
        <v>55</v>
      </c>
      <c r="H41" s="380">
        <v>1</v>
      </c>
      <c r="I41" s="388">
        <f>261000/3</f>
        <v>87000</v>
      </c>
      <c r="J41" s="380">
        <v>3</v>
      </c>
      <c r="K41" s="391">
        <f t="shared" si="1"/>
        <v>29000</v>
      </c>
      <c r="L41" s="381">
        <v>45809</v>
      </c>
      <c r="M41" s="381">
        <v>46173</v>
      </c>
      <c r="N41" s="363" t="s">
        <v>19</v>
      </c>
      <c r="O41" s="380" t="s">
        <v>6</v>
      </c>
      <c r="P41" s="380"/>
      <c r="Q41" s="390" t="s">
        <v>81</v>
      </c>
      <c r="R41" s="363" t="s">
        <v>82</v>
      </c>
      <c r="S41" s="390" t="s">
        <v>83</v>
      </c>
      <c r="T41" s="363" t="s">
        <v>320</v>
      </c>
      <c r="U41" s="390" t="s">
        <v>321</v>
      </c>
      <c r="V41" s="363" t="s">
        <v>1712</v>
      </c>
      <c r="W41" s="363"/>
      <c r="X41" s="363"/>
      <c r="Y41" s="363"/>
      <c r="Z41" s="363"/>
      <c r="AA41" s="363"/>
      <c r="AB41" s="363"/>
      <c r="AC41" s="363" t="s">
        <v>62</v>
      </c>
      <c r="AD41" s="380" t="s">
        <v>63</v>
      </c>
      <c r="AE41" s="380"/>
      <c r="AF41" s="363"/>
    </row>
    <row r="42" spans="2:32" ht="14.4" hidden="1" x14ac:dyDescent="0.3">
      <c r="B42" s="380" t="s">
        <v>14</v>
      </c>
      <c r="C42" s="363" t="s">
        <v>322</v>
      </c>
      <c r="D42" s="386" t="s">
        <v>323</v>
      </c>
      <c r="E42" s="380">
        <v>401186595</v>
      </c>
      <c r="F42" s="387">
        <v>45357</v>
      </c>
      <c r="G42" s="380" t="s">
        <v>55</v>
      </c>
      <c r="H42" s="380">
        <v>2</v>
      </c>
      <c r="I42" s="388">
        <v>380004</v>
      </c>
      <c r="J42" s="380">
        <v>4</v>
      </c>
      <c r="K42" s="389">
        <f t="shared" si="1"/>
        <v>95001</v>
      </c>
      <c r="L42" s="381">
        <v>45413</v>
      </c>
      <c r="M42" s="381">
        <v>46142</v>
      </c>
      <c r="N42" s="363" t="s">
        <v>19</v>
      </c>
      <c r="O42" s="380" t="s">
        <v>5</v>
      </c>
      <c r="P42" s="380"/>
      <c r="Q42" s="390" t="s">
        <v>324</v>
      </c>
      <c r="R42" s="363" t="s">
        <v>325</v>
      </c>
      <c r="S42" s="390" t="s">
        <v>326</v>
      </c>
      <c r="T42" s="363" t="s">
        <v>327</v>
      </c>
      <c r="U42" s="390" t="s">
        <v>328</v>
      </c>
      <c r="V42" s="363" t="s">
        <v>329</v>
      </c>
      <c r="W42" s="390" t="s">
        <v>330</v>
      </c>
      <c r="X42" s="363" t="s">
        <v>331</v>
      </c>
      <c r="Y42" s="363"/>
      <c r="Z42" s="363"/>
      <c r="AA42" s="363"/>
      <c r="AB42" s="363"/>
      <c r="AC42" s="363" t="s">
        <v>96</v>
      </c>
      <c r="AD42" s="380" t="s">
        <v>97</v>
      </c>
      <c r="AE42" s="380">
        <v>16</v>
      </c>
      <c r="AF42" s="363" t="s">
        <v>332</v>
      </c>
    </row>
    <row r="43" spans="2:32" ht="14.4" hidden="1" x14ac:dyDescent="0.3">
      <c r="B43" s="380" t="s">
        <v>14</v>
      </c>
      <c r="C43" s="363" t="s">
        <v>333</v>
      </c>
      <c r="D43" s="386" t="s">
        <v>151</v>
      </c>
      <c r="E43" s="380">
        <v>8163932</v>
      </c>
      <c r="F43" s="387">
        <v>45418</v>
      </c>
      <c r="G43" s="380" t="s">
        <v>55</v>
      </c>
      <c r="H43" s="380"/>
      <c r="I43" s="388">
        <f>232497/3</f>
        <v>77499</v>
      </c>
      <c r="J43" s="380">
        <v>3</v>
      </c>
      <c r="K43" s="389">
        <f t="shared" si="1"/>
        <v>25833</v>
      </c>
      <c r="L43" s="381">
        <v>45292</v>
      </c>
      <c r="M43" s="381">
        <v>45657</v>
      </c>
      <c r="N43" s="363"/>
      <c r="O43" s="380"/>
      <c r="P43" s="380"/>
      <c r="Q43" s="390" t="s">
        <v>334</v>
      </c>
      <c r="R43" s="363" t="s">
        <v>335</v>
      </c>
      <c r="S43" s="390" t="s">
        <v>336</v>
      </c>
      <c r="T43" s="363" t="s">
        <v>337</v>
      </c>
      <c r="U43" s="390" t="s">
        <v>338</v>
      </c>
      <c r="V43" s="363" t="s">
        <v>339</v>
      </c>
      <c r="W43" s="363"/>
      <c r="X43" s="363"/>
      <c r="Y43" s="363"/>
      <c r="Z43" s="363"/>
      <c r="AA43" s="363"/>
      <c r="AB43" s="363"/>
      <c r="AC43" s="363" t="s">
        <v>62</v>
      </c>
      <c r="AD43" s="380" t="s">
        <v>63</v>
      </c>
      <c r="AE43" s="380">
        <v>3</v>
      </c>
      <c r="AF43" s="363" t="s">
        <v>340</v>
      </c>
    </row>
    <row r="44" spans="2:32" ht="14.4" hidden="1" x14ac:dyDescent="0.3">
      <c r="B44" s="380" t="s">
        <v>14</v>
      </c>
      <c r="C44" s="363" t="s">
        <v>333</v>
      </c>
      <c r="D44" s="386" t="s">
        <v>151</v>
      </c>
      <c r="E44" s="380">
        <v>8163932</v>
      </c>
      <c r="F44" s="387">
        <v>45418</v>
      </c>
      <c r="G44" s="380" t="s">
        <v>55</v>
      </c>
      <c r="H44" s="380">
        <v>1</v>
      </c>
      <c r="I44" s="388">
        <f>232497/3</f>
        <v>77499</v>
      </c>
      <c r="J44" s="380">
        <v>3</v>
      </c>
      <c r="K44" s="389">
        <f t="shared" si="1"/>
        <v>25833</v>
      </c>
      <c r="L44" s="381">
        <v>45658</v>
      </c>
      <c r="M44" s="381">
        <v>46022</v>
      </c>
      <c r="N44" s="363"/>
      <c r="O44" s="380"/>
      <c r="P44" s="380"/>
      <c r="Q44" s="390" t="s">
        <v>341</v>
      </c>
      <c r="R44" s="363" t="s">
        <v>342</v>
      </c>
      <c r="S44" s="390" t="s">
        <v>343</v>
      </c>
      <c r="T44" s="363" t="s">
        <v>344</v>
      </c>
      <c r="U44" s="390" t="s">
        <v>345</v>
      </c>
      <c r="V44" s="363" t="s">
        <v>346</v>
      </c>
      <c r="W44" s="363"/>
      <c r="X44" s="363"/>
      <c r="Y44" s="363"/>
      <c r="Z44" s="363"/>
      <c r="AA44" s="363"/>
      <c r="AB44" s="363"/>
      <c r="AC44" s="363" t="s">
        <v>62</v>
      </c>
      <c r="AD44" s="380" t="s">
        <v>63</v>
      </c>
      <c r="AE44" s="380">
        <v>3</v>
      </c>
      <c r="AF44" s="363" t="s">
        <v>340</v>
      </c>
    </row>
    <row r="45" spans="2:32" ht="14.4" hidden="1" x14ac:dyDescent="0.3">
      <c r="B45" s="380" t="s">
        <v>14</v>
      </c>
      <c r="C45" s="363" t="s">
        <v>333</v>
      </c>
      <c r="D45" s="386" t="s">
        <v>151</v>
      </c>
      <c r="E45" s="380">
        <v>8163932</v>
      </c>
      <c r="F45" s="387">
        <v>45418</v>
      </c>
      <c r="G45" s="380" t="s">
        <v>55</v>
      </c>
      <c r="H45" s="380"/>
      <c r="I45" s="388">
        <f>232497/3</f>
        <v>77499</v>
      </c>
      <c r="J45" s="380">
        <v>3</v>
      </c>
      <c r="K45" s="389">
        <f t="shared" si="1"/>
        <v>25833</v>
      </c>
      <c r="L45" s="381">
        <v>46023</v>
      </c>
      <c r="M45" s="381">
        <v>46387</v>
      </c>
      <c r="N45" s="363"/>
      <c r="O45" s="380"/>
      <c r="P45" s="380"/>
      <c r="Q45" s="390" t="s">
        <v>347</v>
      </c>
      <c r="R45" s="363" t="s">
        <v>986</v>
      </c>
      <c r="S45" s="363" t="s">
        <v>348</v>
      </c>
      <c r="T45" s="363"/>
      <c r="U45" s="363" t="s">
        <v>349</v>
      </c>
      <c r="V45" s="363"/>
      <c r="W45" s="363"/>
      <c r="X45" s="363"/>
      <c r="Y45" s="363"/>
      <c r="Z45" s="363"/>
      <c r="AA45" s="363"/>
      <c r="AB45" s="363"/>
      <c r="AC45" s="363" t="s">
        <v>62</v>
      </c>
      <c r="AD45" s="380" t="s">
        <v>63</v>
      </c>
      <c r="AE45" s="380">
        <v>3</v>
      </c>
      <c r="AF45" s="363" t="s">
        <v>340</v>
      </c>
    </row>
    <row r="46" spans="2:32" ht="14.4" hidden="1" x14ac:dyDescent="0.3">
      <c r="B46" s="380" t="s">
        <v>14</v>
      </c>
      <c r="C46" s="392" t="s">
        <v>150</v>
      </c>
      <c r="D46" s="386" t="s">
        <v>350</v>
      </c>
      <c r="E46" s="380">
        <v>4200269912</v>
      </c>
      <c r="F46" s="387">
        <v>45355</v>
      </c>
      <c r="G46" s="380" t="s">
        <v>55</v>
      </c>
      <c r="H46" s="380"/>
      <c r="I46" s="388">
        <v>117500</v>
      </c>
      <c r="J46" s="380">
        <v>3</v>
      </c>
      <c r="K46" s="389">
        <f t="shared" si="1"/>
        <v>39166.666666666664</v>
      </c>
      <c r="L46" s="381">
        <v>45383</v>
      </c>
      <c r="M46" s="381">
        <v>45747</v>
      </c>
      <c r="N46" s="363"/>
      <c r="O46" s="380"/>
      <c r="P46" s="380"/>
      <c r="Q46" s="390" t="s">
        <v>351</v>
      </c>
      <c r="R46" s="363" t="s">
        <v>352</v>
      </c>
      <c r="S46" s="390" t="s">
        <v>353</v>
      </c>
      <c r="T46" s="363" t="s">
        <v>102</v>
      </c>
      <c r="U46" s="390" t="s">
        <v>354</v>
      </c>
      <c r="V46" s="363" t="s">
        <v>355</v>
      </c>
      <c r="W46" s="363"/>
      <c r="X46" s="363"/>
      <c r="Y46" s="363"/>
      <c r="Z46" s="363"/>
      <c r="AA46" s="363"/>
      <c r="AB46" s="363"/>
      <c r="AC46" s="363" t="s">
        <v>356</v>
      </c>
      <c r="AD46" s="380" t="s">
        <v>207</v>
      </c>
      <c r="AE46" s="380">
        <v>2</v>
      </c>
      <c r="AF46" s="363" t="s">
        <v>340</v>
      </c>
    </row>
    <row r="47" spans="2:32" ht="14.4" hidden="1" x14ac:dyDescent="0.3">
      <c r="B47" s="380" t="s">
        <v>14</v>
      </c>
      <c r="C47" s="392" t="s">
        <v>150</v>
      </c>
      <c r="D47" s="386" t="s">
        <v>350</v>
      </c>
      <c r="E47" s="380">
        <v>4200269912</v>
      </c>
      <c r="F47" s="387">
        <v>45355</v>
      </c>
      <c r="G47" s="380" t="s">
        <v>55</v>
      </c>
      <c r="H47" s="380">
        <v>1</v>
      </c>
      <c r="I47" s="388">
        <v>117500</v>
      </c>
      <c r="J47" s="380">
        <v>3</v>
      </c>
      <c r="K47" s="389">
        <f t="shared" si="1"/>
        <v>39166.666666666664</v>
      </c>
      <c r="L47" s="381">
        <v>45748</v>
      </c>
      <c r="M47" s="381">
        <v>46112</v>
      </c>
      <c r="N47" s="363" t="s">
        <v>19</v>
      </c>
      <c r="O47" s="380" t="s">
        <v>3</v>
      </c>
      <c r="P47" s="380"/>
      <c r="Q47" s="390" t="s">
        <v>357</v>
      </c>
      <c r="R47" s="363" t="s">
        <v>358</v>
      </c>
      <c r="S47" s="390" t="s">
        <v>359</v>
      </c>
      <c r="T47" s="363" t="s">
        <v>360</v>
      </c>
      <c r="U47" s="390" t="s">
        <v>361</v>
      </c>
      <c r="V47" s="363" t="s">
        <v>173</v>
      </c>
      <c r="W47" s="363"/>
      <c r="X47" s="363"/>
      <c r="Y47" s="363"/>
      <c r="Z47" s="363"/>
      <c r="AA47" s="363"/>
      <c r="AB47" s="363"/>
      <c r="AC47" s="363" t="s">
        <v>356</v>
      </c>
      <c r="AD47" s="380" t="s">
        <v>207</v>
      </c>
      <c r="AE47" s="380">
        <v>2</v>
      </c>
      <c r="AF47" s="363" t="s">
        <v>362</v>
      </c>
    </row>
    <row r="48" spans="2:32" ht="14.4" hidden="1" x14ac:dyDescent="0.3">
      <c r="B48" s="380" t="s">
        <v>14</v>
      </c>
      <c r="C48" s="363" t="s">
        <v>363</v>
      </c>
      <c r="D48" s="386" t="s">
        <v>364</v>
      </c>
      <c r="E48" s="380" t="s">
        <v>365</v>
      </c>
      <c r="F48" s="387">
        <v>45442</v>
      </c>
      <c r="G48" s="380" t="s">
        <v>55</v>
      </c>
      <c r="H48" s="380">
        <v>6</v>
      </c>
      <c r="I48" s="388">
        <v>362880</v>
      </c>
      <c r="J48" s="380">
        <v>2</v>
      </c>
      <c r="K48" s="389">
        <f t="shared" si="1"/>
        <v>181440</v>
      </c>
      <c r="L48" s="381">
        <v>45442</v>
      </c>
      <c r="M48" s="381">
        <v>45806</v>
      </c>
      <c r="N48" s="363"/>
      <c r="O48" s="380"/>
      <c r="P48" s="380"/>
      <c r="Q48" s="390" t="s">
        <v>366</v>
      </c>
      <c r="R48" s="363" t="s">
        <v>367</v>
      </c>
      <c r="S48" s="390" t="s">
        <v>368</v>
      </c>
      <c r="T48" s="363" t="s">
        <v>369</v>
      </c>
      <c r="U48" s="363"/>
      <c r="V48" s="363"/>
      <c r="W48" s="363"/>
      <c r="X48" s="363"/>
      <c r="Y48" s="363"/>
      <c r="Z48" s="363"/>
      <c r="AA48" s="363"/>
      <c r="AB48" s="363"/>
      <c r="AC48" s="363" t="s">
        <v>356</v>
      </c>
      <c r="AD48" s="380" t="s">
        <v>207</v>
      </c>
      <c r="AE48" s="380">
        <v>12</v>
      </c>
      <c r="AF48" s="363" t="s">
        <v>340</v>
      </c>
    </row>
    <row r="49" spans="2:32" ht="14.4" hidden="1" x14ac:dyDescent="0.3">
      <c r="B49" s="380" t="s">
        <v>14</v>
      </c>
      <c r="C49" s="363" t="s">
        <v>363</v>
      </c>
      <c r="D49" s="386" t="s">
        <v>364</v>
      </c>
      <c r="E49" s="380" t="s">
        <v>365</v>
      </c>
      <c r="F49" s="387">
        <v>45442</v>
      </c>
      <c r="G49" s="380" t="s">
        <v>55</v>
      </c>
      <c r="H49" s="380"/>
      <c r="I49" s="388">
        <v>362880</v>
      </c>
      <c r="J49" s="380">
        <v>2</v>
      </c>
      <c r="K49" s="389">
        <f t="shared" si="1"/>
        <v>181440</v>
      </c>
      <c r="L49" s="381">
        <v>45807</v>
      </c>
      <c r="M49" s="381">
        <v>46171</v>
      </c>
      <c r="N49" s="363" t="s">
        <v>19</v>
      </c>
      <c r="O49" s="380" t="s">
        <v>6</v>
      </c>
      <c r="P49" s="380"/>
      <c r="Q49" s="390" t="s">
        <v>370</v>
      </c>
      <c r="R49" s="363" t="s">
        <v>371</v>
      </c>
      <c r="S49" s="390" t="s">
        <v>372</v>
      </c>
      <c r="T49" s="363" t="s">
        <v>373</v>
      </c>
      <c r="U49" s="363"/>
      <c r="V49" s="363"/>
      <c r="W49" s="363"/>
      <c r="X49" s="363"/>
      <c r="Y49" s="363"/>
      <c r="Z49" s="363"/>
      <c r="AA49" s="363"/>
      <c r="AB49" s="363"/>
      <c r="AC49" s="363" t="s">
        <v>356</v>
      </c>
      <c r="AD49" s="380" t="s">
        <v>207</v>
      </c>
      <c r="AE49" s="380">
        <v>12</v>
      </c>
      <c r="AF49" s="363" t="s">
        <v>340</v>
      </c>
    </row>
    <row r="50" spans="2:32" ht="14.4" hidden="1" x14ac:dyDescent="0.3">
      <c r="B50" s="380" t="s">
        <v>14</v>
      </c>
      <c r="C50" s="363" t="s">
        <v>374</v>
      </c>
      <c r="D50" s="386" t="s">
        <v>375</v>
      </c>
      <c r="E50" s="380">
        <v>2260058861</v>
      </c>
      <c r="F50" s="387">
        <v>45450</v>
      </c>
      <c r="G50" s="380" t="s">
        <v>55</v>
      </c>
      <c r="H50" s="380"/>
      <c r="I50" s="388">
        <f>607992/2</f>
        <v>303996</v>
      </c>
      <c r="J50" s="380">
        <v>3</v>
      </c>
      <c r="K50" s="389">
        <f t="shared" si="1"/>
        <v>101332</v>
      </c>
      <c r="L50" s="381">
        <v>45383</v>
      </c>
      <c r="M50" s="381">
        <v>45747</v>
      </c>
      <c r="N50" s="363"/>
      <c r="O50" s="380"/>
      <c r="P50" s="380"/>
      <c r="Q50" s="390" t="s">
        <v>351</v>
      </c>
      <c r="R50" s="363" t="s">
        <v>376</v>
      </c>
      <c r="S50" s="390" t="s">
        <v>353</v>
      </c>
      <c r="T50" s="363" t="s">
        <v>377</v>
      </c>
      <c r="U50" s="390" t="s">
        <v>354</v>
      </c>
      <c r="V50" s="363" t="s">
        <v>378</v>
      </c>
      <c r="W50" s="363"/>
      <c r="X50" s="363"/>
      <c r="Y50" s="363"/>
      <c r="Z50" s="363"/>
      <c r="AA50" s="363"/>
      <c r="AB50" s="363"/>
      <c r="AC50" s="363" t="s">
        <v>62</v>
      </c>
      <c r="AD50" s="380" t="s">
        <v>63</v>
      </c>
      <c r="AE50" s="380">
        <v>12</v>
      </c>
      <c r="AF50" s="363" t="s">
        <v>340</v>
      </c>
    </row>
    <row r="51" spans="2:32" ht="14.4" hidden="1" x14ac:dyDescent="0.3">
      <c r="B51" s="380" t="s">
        <v>14</v>
      </c>
      <c r="C51" s="363" t="s">
        <v>374</v>
      </c>
      <c r="D51" s="386" t="s">
        <v>375</v>
      </c>
      <c r="E51" s="396">
        <v>2260058861</v>
      </c>
      <c r="F51" s="387">
        <v>45450</v>
      </c>
      <c r="G51" s="380" t="s">
        <v>55</v>
      </c>
      <c r="H51" s="380">
        <v>4</v>
      </c>
      <c r="I51" s="388">
        <f>607992/2</f>
        <v>303996</v>
      </c>
      <c r="J51" s="380">
        <v>3</v>
      </c>
      <c r="K51" s="389">
        <f t="shared" si="1"/>
        <v>101332</v>
      </c>
      <c r="L51" s="381">
        <v>45748</v>
      </c>
      <c r="M51" s="381">
        <v>46112</v>
      </c>
      <c r="N51" s="363" t="s">
        <v>19</v>
      </c>
      <c r="O51" s="380" t="s">
        <v>3</v>
      </c>
      <c r="P51" s="380"/>
      <c r="Q51" s="390" t="s">
        <v>357</v>
      </c>
      <c r="R51" s="363" t="s">
        <v>379</v>
      </c>
      <c r="S51" s="390" t="s">
        <v>359</v>
      </c>
      <c r="T51" s="363" t="s">
        <v>289</v>
      </c>
      <c r="U51" s="390" t="s">
        <v>361</v>
      </c>
      <c r="V51" s="363" t="s">
        <v>380</v>
      </c>
      <c r="W51" s="363"/>
      <c r="X51" s="363"/>
      <c r="Y51" s="363"/>
      <c r="Z51" s="363"/>
      <c r="AA51" s="363"/>
      <c r="AB51" s="363"/>
      <c r="AC51" s="363" t="s">
        <v>62</v>
      </c>
      <c r="AD51" s="380" t="s">
        <v>63</v>
      </c>
      <c r="AE51" s="380">
        <v>12</v>
      </c>
      <c r="AF51" s="363" t="s">
        <v>340</v>
      </c>
    </row>
    <row r="52" spans="2:32" ht="14.4" hidden="1" x14ac:dyDescent="0.3">
      <c r="B52" s="380" t="s">
        <v>14</v>
      </c>
      <c r="C52" s="363" t="s">
        <v>381</v>
      </c>
      <c r="D52" s="386" t="s">
        <v>86</v>
      </c>
      <c r="E52" s="397" t="s">
        <v>382</v>
      </c>
      <c r="F52" s="387">
        <v>45467</v>
      </c>
      <c r="G52" s="380" t="s">
        <v>55</v>
      </c>
      <c r="H52" s="380">
        <v>26</v>
      </c>
      <c r="I52" s="388">
        <f>3582696/2</f>
        <v>1791348</v>
      </c>
      <c r="J52" s="380">
        <v>3</v>
      </c>
      <c r="K52" s="389">
        <f t="shared" si="1"/>
        <v>597116</v>
      </c>
      <c r="L52" s="381">
        <v>45474</v>
      </c>
      <c r="M52" s="381">
        <v>45838</v>
      </c>
      <c r="N52" s="363"/>
      <c r="O52" s="380"/>
      <c r="P52" s="380"/>
      <c r="Q52" s="390" t="s">
        <v>184</v>
      </c>
      <c r="R52" s="363" t="s">
        <v>383</v>
      </c>
      <c r="S52" s="390" t="s">
        <v>186</v>
      </c>
      <c r="T52" s="363" t="s">
        <v>104</v>
      </c>
      <c r="U52" s="390" t="s">
        <v>188</v>
      </c>
      <c r="V52" s="363" t="s">
        <v>384</v>
      </c>
      <c r="W52" s="363"/>
      <c r="X52" s="363"/>
      <c r="Y52" s="363"/>
      <c r="Z52" s="363"/>
      <c r="AA52" s="363"/>
      <c r="AB52" s="363"/>
      <c r="AC52" s="363" t="s">
        <v>96</v>
      </c>
      <c r="AD52" s="380" t="s">
        <v>97</v>
      </c>
      <c r="AE52" s="380" t="s">
        <v>98</v>
      </c>
      <c r="AF52" s="363" t="s">
        <v>385</v>
      </c>
    </row>
    <row r="53" spans="2:32" ht="14.4" x14ac:dyDescent="0.3">
      <c r="B53" s="380" t="s">
        <v>14</v>
      </c>
      <c r="C53" s="363" t="s">
        <v>381</v>
      </c>
      <c r="D53" s="386" t="s">
        <v>86</v>
      </c>
      <c r="E53" s="397" t="s">
        <v>382</v>
      </c>
      <c r="F53" s="387">
        <v>45467</v>
      </c>
      <c r="G53" s="380" t="s">
        <v>55</v>
      </c>
      <c r="H53" s="380"/>
      <c r="I53" s="388">
        <f>3582696/2</f>
        <v>1791348</v>
      </c>
      <c r="J53" s="380">
        <v>3</v>
      </c>
      <c r="K53" s="389">
        <f t="shared" si="1"/>
        <v>597116</v>
      </c>
      <c r="L53" s="381">
        <v>45839</v>
      </c>
      <c r="M53" s="381">
        <v>46203</v>
      </c>
      <c r="N53" s="363" t="s">
        <v>19</v>
      </c>
      <c r="O53" s="380" t="s">
        <v>9</v>
      </c>
      <c r="P53" s="380"/>
      <c r="Q53" s="390" t="s">
        <v>190</v>
      </c>
      <c r="R53" s="363" t="s">
        <v>110</v>
      </c>
      <c r="S53" s="390" t="s">
        <v>192</v>
      </c>
      <c r="T53" s="363" t="s">
        <v>386</v>
      </c>
      <c r="U53" s="390" t="s">
        <v>194</v>
      </c>
      <c r="V53" s="363" t="s">
        <v>1846</v>
      </c>
      <c r="W53" s="363"/>
      <c r="X53" s="363"/>
      <c r="Y53" s="363"/>
      <c r="Z53" s="363"/>
      <c r="AA53" s="363"/>
      <c r="AB53" s="363"/>
      <c r="AC53" s="363" t="s">
        <v>96</v>
      </c>
      <c r="AD53" s="380" t="s">
        <v>97</v>
      </c>
      <c r="AE53" s="380" t="s">
        <v>98</v>
      </c>
      <c r="AF53" s="363" t="s">
        <v>385</v>
      </c>
    </row>
    <row r="54" spans="2:32" ht="14.4" hidden="1" x14ac:dyDescent="0.3">
      <c r="B54" s="380" t="s">
        <v>14</v>
      </c>
      <c r="C54" s="363" t="s">
        <v>387</v>
      </c>
      <c r="D54" s="386" t="s">
        <v>388</v>
      </c>
      <c r="E54" s="380">
        <v>4500023979</v>
      </c>
      <c r="F54" s="387">
        <v>45488</v>
      </c>
      <c r="G54" s="380" t="s">
        <v>55</v>
      </c>
      <c r="H54" s="380">
        <v>1</v>
      </c>
      <c r="I54" s="388">
        <v>67651</v>
      </c>
      <c r="J54" s="380">
        <v>4</v>
      </c>
      <c r="K54" s="389">
        <f t="shared" si="1"/>
        <v>16912.75</v>
      </c>
      <c r="L54" s="381">
        <v>45474</v>
      </c>
      <c r="M54" s="381">
        <v>45838</v>
      </c>
      <c r="N54" s="363"/>
      <c r="O54" s="380"/>
      <c r="P54" s="380"/>
      <c r="Q54" s="390" t="s">
        <v>160</v>
      </c>
      <c r="R54" s="363" t="s">
        <v>389</v>
      </c>
      <c r="S54" s="390" t="s">
        <v>222</v>
      </c>
      <c r="T54" s="363" t="s">
        <v>163</v>
      </c>
      <c r="U54" s="390" t="s">
        <v>390</v>
      </c>
      <c r="V54" s="363" t="s">
        <v>378</v>
      </c>
      <c r="W54" s="390" t="s">
        <v>391</v>
      </c>
      <c r="X54" s="363" t="s">
        <v>392</v>
      </c>
      <c r="Y54" s="363"/>
      <c r="Z54" s="363"/>
      <c r="AA54" s="363"/>
      <c r="AB54" s="363"/>
      <c r="AC54" s="363" t="s">
        <v>393</v>
      </c>
      <c r="AD54" s="380" t="s">
        <v>63</v>
      </c>
      <c r="AE54" s="380">
        <v>4</v>
      </c>
      <c r="AF54" s="363" t="s">
        <v>332</v>
      </c>
    </row>
    <row r="55" spans="2:32" ht="14.4" hidden="1" x14ac:dyDescent="0.3">
      <c r="B55" s="398" t="s">
        <v>14</v>
      </c>
      <c r="C55" s="399" t="s">
        <v>387</v>
      </c>
      <c r="D55" s="400" t="s">
        <v>388</v>
      </c>
      <c r="E55" s="398">
        <v>4500023979</v>
      </c>
      <c r="F55" s="401">
        <v>45488</v>
      </c>
      <c r="G55" s="380" t="s">
        <v>55</v>
      </c>
      <c r="H55" s="402"/>
      <c r="I55" s="388">
        <v>67651</v>
      </c>
      <c r="J55" s="380">
        <v>4</v>
      </c>
      <c r="K55" s="389">
        <f t="shared" si="1"/>
        <v>16912.75</v>
      </c>
      <c r="L55" s="381">
        <v>45839</v>
      </c>
      <c r="M55" s="381">
        <v>46203</v>
      </c>
      <c r="N55" s="363"/>
      <c r="O55" s="380"/>
      <c r="P55" s="380"/>
      <c r="Q55" s="390" t="s">
        <v>168</v>
      </c>
      <c r="R55" s="363" t="s">
        <v>394</v>
      </c>
      <c r="S55" s="390" t="s">
        <v>228</v>
      </c>
      <c r="T55" s="363" t="s">
        <v>395</v>
      </c>
      <c r="U55" s="403" t="s">
        <v>396</v>
      </c>
      <c r="V55" s="363"/>
      <c r="W55" s="403" t="s">
        <v>397</v>
      </c>
      <c r="X55" s="363"/>
      <c r="Y55" s="363"/>
      <c r="Z55" s="363"/>
      <c r="AA55" s="363"/>
      <c r="AB55" s="363"/>
      <c r="AC55" s="363" t="s">
        <v>393</v>
      </c>
      <c r="AD55" s="380" t="s">
        <v>63</v>
      </c>
      <c r="AE55" s="380">
        <v>4</v>
      </c>
      <c r="AF55" s="363" t="s">
        <v>332</v>
      </c>
    </row>
    <row r="56" spans="2:32" ht="14.4" hidden="1" x14ac:dyDescent="0.3">
      <c r="B56" s="380" t="s">
        <v>14</v>
      </c>
      <c r="C56" s="392" t="s">
        <v>150</v>
      </c>
      <c r="D56" s="386" t="s">
        <v>398</v>
      </c>
      <c r="E56" s="380">
        <v>4200280308</v>
      </c>
      <c r="F56" s="387">
        <v>45443</v>
      </c>
      <c r="G56" s="380" t="s">
        <v>55</v>
      </c>
      <c r="H56" s="380">
        <v>2</v>
      </c>
      <c r="I56" s="388">
        <v>117600</v>
      </c>
      <c r="J56" s="380">
        <v>3</v>
      </c>
      <c r="K56" s="389">
        <f t="shared" si="1"/>
        <v>39200</v>
      </c>
      <c r="L56" s="381">
        <v>45444</v>
      </c>
      <c r="M56" s="381">
        <v>45808</v>
      </c>
      <c r="N56" s="363"/>
      <c r="O56" s="380"/>
      <c r="P56" s="380"/>
      <c r="Q56" s="390" t="s">
        <v>314</v>
      </c>
      <c r="R56" s="363" t="s">
        <v>399</v>
      </c>
      <c r="S56" s="390" t="s">
        <v>316</v>
      </c>
      <c r="T56" s="363" t="s">
        <v>400</v>
      </c>
      <c r="U56" s="390" t="s">
        <v>79</v>
      </c>
      <c r="V56" s="363" t="s">
        <v>401</v>
      </c>
      <c r="W56" s="363"/>
      <c r="X56" s="363"/>
      <c r="Y56" s="363"/>
      <c r="Z56" s="363"/>
      <c r="AA56" s="363"/>
      <c r="AB56" s="363"/>
      <c r="AC56" s="363" t="s">
        <v>128</v>
      </c>
      <c r="AD56" s="380" t="s">
        <v>129</v>
      </c>
      <c r="AE56" s="380">
        <v>4</v>
      </c>
      <c r="AF56" s="363"/>
    </row>
    <row r="57" spans="2:32" ht="14.4" hidden="1" x14ac:dyDescent="0.3">
      <c r="B57" s="380" t="s">
        <v>14</v>
      </c>
      <c r="C57" s="392" t="s">
        <v>150</v>
      </c>
      <c r="D57" s="386" t="s">
        <v>398</v>
      </c>
      <c r="E57" s="380">
        <v>4200280308</v>
      </c>
      <c r="F57" s="387">
        <v>45443</v>
      </c>
      <c r="G57" s="380" t="s">
        <v>55</v>
      </c>
      <c r="H57" s="380"/>
      <c r="I57" s="388">
        <v>123480</v>
      </c>
      <c r="J57" s="380">
        <v>3</v>
      </c>
      <c r="K57" s="391">
        <f t="shared" si="1"/>
        <v>41160</v>
      </c>
      <c r="L57" s="381">
        <v>45809</v>
      </c>
      <c r="M57" s="381">
        <v>46173</v>
      </c>
      <c r="N57" s="363"/>
      <c r="O57" s="380"/>
      <c r="P57" s="380"/>
      <c r="Q57" s="390" t="s">
        <v>81</v>
      </c>
      <c r="R57" s="363" t="s">
        <v>402</v>
      </c>
      <c r="S57" s="390" t="s">
        <v>83</v>
      </c>
      <c r="T57" s="363" t="s">
        <v>403</v>
      </c>
      <c r="U57" s="390" t="s">
        <v>404</v>
      </c>
      <c r="V57" s="363" t="s">
        <v>1847</v>
      </c>
      <c r="W57" s="363"/>
      <c r="X57" s="363"/>
      <c r="Y57" s="363"/>
      <c r="Z57" s="363"/>
      <c r="AA57" s="363"/>
      <c r="AB57" s="363"/>
      <c r="AC57" s="363" t="s">
        <v>128</v>
      </c>
      <c r="AD57" s="380" t="s">
        <v>129</v>
      </c>
      <c r="AE57" s="380">
        <v>4</v>
      </c>
      <c r="AF57" s="363" t="s">
        <v>405</v>
      </c>
    </row>
    <row r="58" spans="2:32" ht="14.4" hidden="1" x14ac:dyDescent="0.3">
      <c r="B58" s="380" t="s">
        <v>14</v>
      </c>
      <c r="C58" s="392" t="s">
        <v>150</v>
      </c>
      <c r="D58" s="386" t="s">
        <v>398</v>
      </c>
      <c r="E58" s="380">
        <v>4200280308</v>
      </c>
      <c r="F58" s="387">
        <v>45443</v>
      </c>
      <c r="G58" s="380" t="s">
        <v>55</v>
      </c>
      <c r="H58" s="380"/>
      <c r="I58" s="388">
        <v>129654</v>
      </c>
      <c r="J58" s="380">
        <v>3</v>
      </c>
      <c r="K58" s="389">
        <f t="shared" si="1"/>
        <v>43218</v>
      </c>
      <c r="L58" s="381">
        <v>46174</v>
      </c>
      <c r="M58" s="381">
        <v>46538</v>
      </c>
      <c r="N58" s="363"/>
      <c r="O58" s="380"/>
      <c r="P58" s="380"/>
      <c r="Q58" s="363" t="s">
        <v>406</v>
      </c>
      <c r="R58" s="363"/>
      <c r="S58" s="363" t="s">
        <v>407</v>
      </c>
      <c r="T58" s="363"/>
      <c r="U58" s="363" t="s">
        <v>408</v>
      </c>
      <c r="V58" s="363"/>
      <c r="W58" s="363"/>
      <c r="X58" s="363"/>
      <c r="Y58" s="363"/>
      <c r="Z58" s="363"/>
      <c r="AA58" s="363"/>
      <c r="AB58" s="363"/>
      <c r="AC58" s="363" t="s">
        <v>128</v>
      </c>
      <c r="AD58" s="380" t="s">
        <v>129</v>
      </c>
      <c r="AE58" s="380">
        <v>4</v>
      </c>
      <c r="AF58" s="363" t="s">
        <v>405</v>
      </c>
    </row>
    <row r="59" spans="2:32" ht="14.4" hidden="1" x14ac:dyDescent="0.3">
      <c r="B59" s="380" t="s">
        <v>14</v>
      </c>
      <c r="C59" s="363" t="s">
        <v>409</v>
      </c>
      <c r="D59" s="386" t="s">
        <v>86</v>
      </c>
      <c r="E59" s="397" t="s">
        <v>410</v>
      </c>
      <c r="F59" s="404">
        <v>45558</v>
      </c>
      <c r="G59" s="380" t="s">
        <v>55</v>
      </c>
      <c r="H59" s="380">
        <v>2</v>
      </c>
      <c r="I59" s="388">
        <f>290488/2</f>
        <v>145244</v>
      </c>
      <c r="J59" s="380">
        <v>3</v>
      </c>
      <c r="K59" s="389">
        <f t="shared" si="1"/>
        <v>48414.666666666664</v>
      </c>
      <c r="L59" s="381">
        <v>45566</v>
      </c>
      <c r="M59" s="381">
        <v>45930</v>
      </c>
      <c r="N59" s="363"/>
      <c r="O59" s="380"/>
      <c r="P59" s="380"/>
      <c r="Q59" s="390" t="s">
        <v>411</v>
      </c>
      <c r="R59" s="363" t="s">
        <v>412</v>
      </c>
      <c r="S59" s="390" t="s">
        <v>318</v>
      </c>
      <c r="T59" s="363" t="s">
        <v>413</v>
      </c>
      <c r="U59" s="390" t="s">
        <v>414</v>
      </c>
      <c r="V59" s="363" t="s">
        <v>415</v>
      </c>
      <c r="W59" s="363"/>
      <c r="X59" s="363"/>
      <c r="Y59" s="363"/>
      <c r="Z59" s="363"/>
      <c r="AA59" s="363"/>
      <c r="AB59" s="363"/>
      <c r="AC59" s="363" t="s">
        <v>281</v>
      </c>
      <c r="AD59" s="380" t="s">
        <v>97</v>
      </c>
      <c r="AE59" s="380">
        <v>6</v>
      </c>
      <c r="AF59" s="363" t="s">
        <v>332</v>
      </c>
    </row>
    <row r="60" spans="2:32" ht="14.4" hidden="1" x14ac:dyDescent="0.3">
      <c r="B60" s="380" t="s">
        <v>14</v>
      </c>
      <c r="C60" s="363" t="s">
        <v>409</v>
      </c>
      <c r="D60" s="386" t="s">
        <v>86</v>
      </c>
      <c r="E60" s="397" t="s">
        <v>410</v>
      </c>
      <c r="F60" s="404">
        <v>45558</v>
      </c>
      <c r="G60" s="380" t="s">
        <v>55</v>
      </c>
      <c r="H60" s="380"/>
      <c r="I60" s="388">
        <f>290488/2</f>
        <v>145244</v>
      </c>
      <c r="J60" s="380">
        <v>3</v>
      </c>
      <c r="K60" s="391">
        <f t="shared" si="1"/>
        <v>48414.666666666664</v>
      </c>
      <c r="L60" s="381">
        <v>45931</v>
      </c>
      <c r="M60" s="381">
        <v>46295</v>
      </c>
      <c r="N60" s="363"/>
      <c r="O60" s="380"/>
      <c r="P60" s="380"/>
      <c r="Q60" s="390" t="s">
        <v>416</v>
      </c>
      <c r="R60" s="363" t="s">
        <v>417</v>
      </c>
      <c r="S60" s="390" t="s">
        <v>321</v>
      </c>
      <c r="T60" s="363" t="s">
        <v>1524</v>
      </c>
      <c r="U60" s="363" t="s">
        <v>418</v>
      </c>
      <c r="V60" s="363"/>
      <c r="W60" s="363"/>
      <c r="X60" s="363"/>
      <c r="Y60" s="363"/>
      <c r="Z60" s="363"/>
      <c r="AA60" s="363"/>
      <c r="AB60" s="363"/>
      <c r="AC60" s="363" t="s">
        <v>281</v>
      </c>
      <c r="AD60" s="380" t="s">
        <v>97</v>
      </c>
      <c r="AE60" s="380">
        <v>6</v>
      </c>
      <c r="AF60" s="363" t="s">
        <v>332</v>
      </c>
    </row>
    <row r="61" spans="2:32" ht="14.4" hidden="1" x14ac:dyDescent="0.3">
      <c r="B61" s="380" t="s">
        <v>14</v>
      </c>
      <c r="C61" s="363" t="s">
        <v>419</v>
      </c>
      <c r="D61" s="386" t="s">
        <v>151</v>
      </c>
      <c r="E61" s="380">
        <v>4508706140</v>
      </c>
      <c r="F61" s="387">
        <v>45566</v>
      </c>
      <c r="G61" s="380" t="s">
        <v>55</v>
      </c>
      <c r="H61" s="380">
        <v>3</v>
      </c>
      <c r="I61" s="388">
        <f>59400+59400+54000+32000</f>
        <v>204800</v>
      </c>
      <c r="J61" s="380">
        <v>2</v>
      </c>
      <c r="K61" s="389">
        <f t="shared" si="1"/>
        <v>102400</v>
      </c>
      <c r="L61" s="381">
        <v>45505</v>
      </c>
      <c r="M61" s="381">
        <v>45869</v>
      </c>
      <c r="N61" s="363"/>
      <c r="O61" s="380"/>
      <c r="P61" s="380" t="s">
        <v>1</v>
      </c>
      <c r="Q61" s="390" t="s">
        <v>420</v>
      </c>
      <c r="R61" s="363" t="s">
        <v>421</v>
      </c>
      <c r="S61" s="390" t="s">
        <v>422</v>
      </c>
      <c r="T61" s="363" t="s">
        <v>423</v>
      </c>
      <c r="U61" s="363"/>
      <c r="V61" s="363"/>
      <c r="W61" s="363"/>
      <c r="X61" s="363"/>
      <c r="Y61" s="363"/>
      <c r="Z61" s="363"/>
      <c r="AA61" s="363"/>
      <c r="AB61" s="363"/>
      <c r="AC61" s="363" t="s">
        <v>62</v>
      </c>
      <c r="AD61" s="380" t="s">
        <v>63</v>
      </c>
      <c r="AE61" s="380">
        <v>9</v>
      </c>
      <c r="AF61" s="363" t="s">
        <v>332</v>
      </c>
    </row>
    <row r="62" spans="2:32" ht="14.4" hidden="1" x14ac:dyDescent="0.3">
      <c r="B62" s="380" t="s">
        <v>14</v>
      </c>
      <c r="C62" s="363" t="s">
        <v>419</v>
      </c>
      <c r="D62" s="386" t="s">
        <v>151</v>
      </c>
      <c r="E62" s="380">
        <v>4508706140</v>
      </c>
      <c r="F62" s="387">
        <v>45566</v>
      </c>
      <c r="G62" s="380" t="s">
        <v>55</v>
      </c>
      <c r="H62" s="380"/>
      <c r="I62" s="388">
        <f>59400+59400+54000+32000</f>
        <v>204800</v>
      </c>
      <c r="J62" s="380">
        <v>2</v>
      </c>
      <c r="K62" s="389">
        <f t="shared" si="1"/>
        <v>102400</v>
      </c>
      <c r="L62" s="381">
        <v>45870</v>
      </c>
      <c r="M62" s="381">
        <v>46234</v>
      </c>
      <c r="N62" s="363"/>
      <c r="O62" s="380"/>
      <c r="P62" s="380" t="s">
        <v>1</v>
      </c>
      <c r="Q62" s="390" t="s">
        <v>424</v>
      </c>
      <c r="R62" s="363" t="s">
        <v>425</v>
      </c>
      <c r="S62" s="363" t="s">
        <v>426</v>
      </c>
      <c r="T62" s="363" t="s">
        <v>1848</v>
      </c>
      <c r="U62" s="363"/>
      <c r="V62" s="363"/>
      <c r="W62" s="363"/>
      <c r="X62" s="363"/>
      <c r="Y62" s="363"/>
      <c r="Z62" s="363"/>
      <c r="AA62" s="363"/>
      <c r="AB62" s="363"/>
      <c r="AC62" s="363" t="s">
        <v>62</v>
      </c>
      <c r="AD62" s="380" t="s">
        <v>63</v>
      </c>
      <c r="AE62" s="380">
        <v>9</v>
      </c>
      <c r="AF62" s="363" t="s">
        <v>332</v>
      </c>
    </row>
    <row r="63" spans="2:32" ht="14.4" hidden="1" x14ac:dyDescent="0.3">
      <c r="B63" s="380" t="s">
        <v>14</v>
      </c>
      <c r="C63" s="363" t="s">
        <v>419</v>
      </c>
      <c r="D63" s="386" t="s">
        <v>151</v>
      </c>
      <c r="E63" s="542">
        <v>4508706140</v>
      </c>
      <c r="F63" s="387">
        <v>45566</v>
      </c>
      <c r="G63" s="380" t="s">
        <v>55</v>
      </c>
      <c r="H63" s="380"/>
      <c r="I63" s="388">
        <f>59400+59400+54000+32000</f>
        <v>204800</v>
      </c>
      <c r="J63" s="380">
        <v>2</v>
      </c>
      <c r="K63" s="389">
        <f t="shared" si="1"/>
        <v>102400</v>
      </c>
      <c r="L63" s="381">
        <v>46235</v>
      </c>
      <c r="M63" s="381">
        <v>46599</v>
      </c>
      <c r="N63" s="363"/>
      <c r="O63" s="380"/>
      <c r="P63" s="380" t="s">
        <v>1</v>
      </c>
      <c r="Q63" s="363" t="s">
        <v>427</v>
      </c>
      <c r="R63" s="363"/>
      <c r="S63" s="363" t="s">
        <v>428</v>
      </c>
      <c r="T63" s="363"/>
      <c r="U63" s="363"/>
      <c r="V63" s="363"/>
      <c r="W63" s="363"/>
      <c r="X63" s="363"/>
      <c r="Y63" s="363"/>
      <c r="Z63" s="363"/>
      <c r="AA63" s="363"/>
      <c r="AB63" s="363"/>
      <c r="AC63" s="363" t="s">
        <v>62</v>
      </c>
      <c r="AD63" s="380" t="s">
        <v>63</v>
      </c>
      <c r="AE63" s="380">
        <v>9</v>
      </c>
      <c r="AF63" s="363" t="s">
        <v>332</v>
      </c>
    </row>
    <row r="64" spans="2:32" ht="14.4" hidden="1" x14ac:dyDescent="0.3">
      <c r="B64" s="380" t="s">
        <v>14</v>
      </c>
      <c r="C64" s="363" t="s">
        <v>419</v>
      </c>
      <c r="D64" s="386" t="s">
        <v>151</v>
      </c>
      <c r="E64" s="380">
        <v>4508706120</v>
      </c>
      <c r="F64" s="387">
        <v>45566</v>
      </c>
      <c r="G64" s="380" t="s">
        <v>55</v>
      </c>
      <c r="H64" s="380">
        <v>2</v>
      </c>
      <c r="I64" s="388">
        <f t="shared" ref="I64:I69" si="2">54000+54000+32000</f>
        <v>140000</v>
      </c>
      <c r="J64" s="380">
        <v>2</v>
      </c>
      <c r="K64" s="389">
        <f t="shared" si="1"/>
        <v>70000</v>
      </c>
      <c r="L64" s="381">
        <v>45505</v>
      </c>
      <c r="M64" s="381">
        <v>45869</v>
      </c>
      <c r="N64" s="363"/>
      <c r="O64" s="380"/>
      <c r="P64" s="380" t="s">
        <v>1</v>
      </c>
      <c r="Q64" s="390" t="s">
        <v>420</v>
      </c>
      <c r="R64" s="363" t="s">
        <v>421</v>
      </c>
      <c r="S64" s="390" t="s">
        <v>422</v>
      </c>
      <c r="T64" s="363" t="s">
        <v>429</v>
      </c>
      <c r="U64" s="363"/>
      <c r="V64" s="363"/>
      <c r="W64" s="363"/>
      <c r="X64" s="363"/>
      <c r="Y64" s="363"/>
      <c r="Z64" s="363"/>
      <c r="AA64" s="363"/>
      <c r="AB64" s="363"/>
      <c r="AC64" s="363" t="s">
        <v>62</v>
      </c>
      <c r="AD64" s="380" t="s">
        <v>63</v>
      </c>
      <c r="AE64" s="380">
        <v>9</v>
      </c>
      <c r="AF64" s="363" t="s">
        <v>332</v>
      </c>
    </row>
    <row r="65" spans="2:32" ht="14.4" hidden="1" x14ac:dyDescent="0.3">
      <c r="B65" s="380" t="s">
        <v>14</v>
      </c>
      <c r="C65" s="363" t="s">
        <v>419</v>
      </c>
      <c r="D65" s="386" t="s">
        <v>151</v>
      </c>
      <c r="E65" s="380">
        <v>4508706120</v>
      </c>
      <c r="F65" s="387">
        <v>45566</v>
      </c>
      <c r="G65" s="380" t="s">
        <v>55</v>
      </c>
      <c r="H65" s="380"/>
      <c r="I65" s="388">
        <f t="shared" si="2"/>
        <v>140000</v>
      </c>
      <c r="J65" s="380">
        <v>2</v>
      </c>
      <c r="K65" s="389">
        <f t="shared" si="1"/>
        <v>70000</v>
      </c>
      <c r="L65" s="381">
        <v>45870</v>
      </c>
      <c r="M65" s="381">
        <v>46234</v>
      </c>
      <c r="N65" s="363"/>
      <c r="O65" s="380"/>
      <c r="P65" s="380" t="s">
        <v>1</v>
      </c>
      <c r="Q65" s="390" t="s">
        <v>424</v>
      </c>
      <c r="R65" s="363" t="s">
        <v>430</v>
      </c>
      <c r="S65" s="363" t="s">
        <v>426</v>
      </c>
      <c r="T65" s="363"/>
      <c r="U65" s="363"/>
      <c r="V65" s="363"/>
      <c r="W65" s="363"/>
      <c r="X65" s="363"/>
      <c r="Y65" s="363"/>
      <c r="Z65" s="363"/>
      <c r="AA65" s="363"/>
      <c r="AB65" s="363"/>
      <c r="AC65" s="363" t="s">
        <v>62</v>
      </c>
      <c r="AD65" s="380" t="s">
        <v>63</v>
      </c>
      <c r="AE65" s="380">
        <v>9</v>
      </c>
      <c r="AF65" s="363" t="s">
        <v>332</v>
      </c>
    </row>
    <row r="66" spans="2:32" ht="14.4" hidden="1" x14ac:dyDescent="0.3">
      <c r="B66" s="380" t="s">
        <v>14</v>
      </c>
      <c r="C66" s="363" t="s">
        <v>419</v>
      </c>
      <c r="D66" s="386" t="s">
        <v>151</v>
      </c>
      <c r="E66" s="380">
        <v>4508706120</v>
      </c>
      <c r="F66" s="387">
        <v>45566</v>
      </c>
      <c r="G66" s="380" t="s">
        <v>55</v>
      </c>
      <c r="H66" s="380"/>
      <c r="I66" s="388">
        <f t="shared" si="2"/>
        <v>140000</v>
      </c>
      <c r="J66" s="380">
        <v>2</v>
      </c>
      <c r="K66" s="389">
        <f t="shared" si="1"/>
        <v>70000</v>
      </c>
      <c r="L66" s="381">
        <v>46235</v>
      </c>
      <c r="M66" s="381">
        <v>46599</v>
      </c>
      <c r="N66" s="363"/>
      <c r="O66" s="380"/>
      <c r="P66" s="380" t="s">
        <v>1</v>
      </c>
      <c r="Q66" s="363" t="s">
        <v>427</v>
      </c>
      <c r="R66" s="363"/>
      <c r="S66" s="363" t="s">
        <v>428</v>
      </c>
      <c r="T66" s="363"/>
      <c r="U66" s="363"/>
      <c r="V66" s="363"/>
      <c r="W66" s="363"/>
      <c r="X66" s="363"/>
      <c r="Y66" s="363"/>
      <c r="Z66" s="363"/>
      <c r="AA66" s="363"/>
      <c r="AB66" s="363"/>
      <c r="AC66" s="363" t="s">
        <v>62</v>
      </c>
      <c r="AD66" s="380" t="s">
        <v>63</v>
      </c>
      <c r="AE66" s="380">
        <v>9</v>
      </c>
      <c r="AF66" s="363" t="s">
        <v>332</v>
      </c>
    </row>
    <row r="67" spans="2:32" ht="14.4" hidden="1" x14ac:dyDescent="0.3">
      <c r="B67" s="380" t="s">
        <v>14</v>
      </c>
      <c r="C67" s="363" t="s">
        <v>419</v>
      </c>
      <c r="D67" s="386" t="s">
        <v>151</v>
      </c>
      <c r="E67" s="380">
        <v>4508706133</v>
      </c>
      <c r="F67" s="387">
        <v>45566</v>
      </c>
      <c r="G67" s="380" t="s">
        <v>55</v>
      </c>
      <c r="H67" s="380">
        <v>2</v>
      </c>
      <c r="I67" s="388">
        <f t="shared" si="2"/>
        <v>140000</v>
      </c>
      <c r="J67" s="380">
        <v>2</v>
      </c>
      <c r="K67" s="389">
        <f t="shared" si="1"/>
        <v>70000</v>
      </c>
      <c r="L67" s="381">
        <v>45505</v>
      </c>
      <c r="M67" s="381">
        <v>45869</v>
      </c>
      <c r="N67" s="363"/>
      <c r="O67" s="380"/>
      <c r="P67" s="380" t="s">
        <v>1</v>
      </c>
      <c r="Q67" s="390" t="s">
        <v>420</v>
      </c>
      <c r="R67" s="363" t="s">
        <v>421</v>
      </c>
      <c r="S67" s="390" t="s">
        <v>422</v>
      </c>
      <c r="T67" s="363" t="s">
        <v>431</v>
      </c>
      <c r="U67" s="363"/>
      <c r="V67" s="363"/>
      <c r="W67" s="363"/>
      <c r="X67" s="363"/>
      <c r="Y67" s="363"/>
      <c r="Z67" s="363"/>
      <c r="AA67" s="363"/>
      <c r="AB67" s="363"/>
      <c r="AC67" s="363" t="s">
        <v>62</v>
      </c>
      <c r="AD67" s="380" t="s">
        <v>63</v>
      </c>
      <c r="AE67" s="380">
        <v>9</v>
      </c>
      <c r="AF67" s="363" t="s">
        <v>332</v>
      </c>
    </row>
    <row r="68" spans="2:32" ht="14.4" hidden="1" x14ac:dyDescent="0.3">
      <c r="B68" s="380" t="s">
        <v>14</v>
      </c>
      <c r="C68" s="363" t="s">
        <v>419</v>
      </c>
      <c r="D68" s="386" t="s">
        <v>151</v>
      </c>
      <c r="E68" s="380">
        <v>4508706133</v>
      </c>
      <c r="F68" s="387">
        <v>45566</v>
      </c>
      <c r="G68" s="380" t="s">
        <v>55</v>
      </c>
      <c r="H68" s="380"/>
      <c r="I68" s="388">
        <f t="shared" si="2"/>
        <v>140000</v>
      </c>
      <c r="J68" s="380">
        <v>2</v>
      </c>
      <c r="K68" s="389">
        <f t="shared" si="1"/>
        <v>70000</v>
      </c>
      <c r="L68" s="381">
        <v>45870</v>
      </c>
      <c r="M68" s="381">
        <v>46234</v>
      </c>
      <c r="N68" s="363"/>
      <c r="O68" s="380"/>
      <c r="P68" s="380" t="s">
        <v>1</v>
      </c>
      <c r="Q68" s="390" t="s">
        <v>424</v>
      </c>
      <c r="R68" s="363" t="s">
        <v>432</v>
      </c>
      <c r="S68" s="363" t="s">
        <v>426</v>
      </c>
      <c r="T68" s="363"/>
      <c r="U68" s="363"/>
      <c r="V68" s="363"/>
      <c r="W68" s="363"/>
      <c r="X68" s="363"/>
      <c r="Y68" s="363"/>
      <c r="Z68" s="363"/>
      <c r="AA68" s="363"/>
      <c r="AB68" s="363"/>
      <c r="AC68" s="363" t="s">
        <v>62</v>
      </c>
      <c r="AD68" s="380" t="s">
        <v>63</v>
      </c>
      <c r="AE68" s="380">
        <v>9</v>
      </c>
      <c r="AF68" s="363" t="s">
        <v>332</v>
      </c>
    </row>
    <row r="69" spans="2:32" ht="14.4" hidden="1" x14ac:dyDescent="0.3">
      <c r="B69" s="380" t="s">
        <v>14</v>
      </c>
      <c r="C69" s="363" t="s">
        <v>419</v>
      </c>
      <c r="D69" s="386" t="s">
        <v>151</v>
      </c>
      <c r="E69" s="380">
        <v>4508706133</v>
      </c>
      <c r="F69" s="387">
        <v>45566</v>
      </c>
      <c r="G69" s="380" t="s">
        <v>55</v>
      </c>
      <c r="H69" s="380"/>
      <c r="I69" s="388">
        <f t="shared" si="2"/>
        <v>140000</v>
      </c>
      <c r="J69" s="380">
        <v>2</v>
      </c>
      <c r="K69" s="389">
        <f t="shared" si="1"/>
        <v>70000</v>
      </c>
      <c r="L69" s="381">
        <v>46235</v>
      </c>
      <c r="M69" s="381">
        <v>46599</v>
      </c>
      <c r="N69" s="363"/>
      <c r="O69" s="380"/>
      <c r="P69" s="380" t="s">
        <v>1</v>
      </c>
      <c r="Q69" s="363" t="s">
        <v>427</v>
      </c>
      <c r="R69" s="363"/>
      <c r="S69" s="363" t="s">
        <v>428</v>
      </c>
      <c r="T69" s="363"/>
      <c r="U69" s="363"/>
      <c r="V69" s="363"/>
      <c r="W69" s="363"/>
      <c r="X69" s="363"/>
      <c r="Y69" s="363"/>
      <c r="Z69" s="363"/>
      <c r="AA69" s="363"/>
      <c r="AB69" s="363"/>
      <c r="AC69" s="363" t="s">
        <v>62</v>
      </c>
      <c r="AD69" s="380" t="s">
        <v>63</v>
      </c>
      <c r="AE69" s="380">
        <v>9</v>
      </c>
      <c r="AF69" s="363" t="s">
        <v>332</v>
      </c>
    </row>
    <row r="70" spans="2:32" ht="14.4" hidden="1" x14ac:dyDescent="0.3">
      <c r="B70" s="380" t="s">
        <v>14</v>
      </c>
      <c r="C70" s="363" t="s">
        <v>433</v>
      </c>
      <c r="D70" s="386" t="s">
        <v>434</v>
      </c>
      <c r="E70" s="405" t="s">
        <v>435</v>
      </c>
      <c r="F70" s="406">
        <v>45581</v>
      </c>
      <c r="G70" s="407" t="s">
        <v>436</v>
      </c>
      <c r="H70" s="380">
        <v>10</v>
      </c>
      <c r="I70" s="388">
        <f>(6572290/118*100)/2</f>
        <v>2784868.6440677969</v>
      </c>
      <c r="J70" s="380">
        <v>4</v>
      </c>
      <c r="K70" s="389">
        <f t="shared" si="1"/>
        <v>696217.16101694922</v>
      </c>
      <c r="L70" s="381">
        <v>45597</v>
      </c>
      <c r="M70" s="381">
        <v>45961</v>
      </c>
      <c r="N70" s="363"/>
      <c r="O70" s="380"/>
      <c r="P70" s="380" t="s">
        <v>437</v>
      </c>
      <c r="Q70" s="390" t="s">
        <v>262</v>
      </c>
      <c r="R70" s="363" t="s">
        <v>438</v>
      </c>
      <c r="S70" s="390" t="s">
        <v>264</v>
      </c>
      <c r="T70" s="363" t="s">
        <v>124</v>
      </c>
      <c r="U70" s="390" t="s">
        <v>266</v>
      </c>
      <c r="V70" s="363" t="s">
        <v>439</v>
      </c>
      <c r="W70" s="390" t="s">
        <v>267</v>
      </c>
      <c r="X70" s="363" t="s">
        <v>440</v>
      </c>
      <c r="Y70" s="363"/>
      <c r="Z70" s="363"/>
      <c r="AA70" s="363"/>
      <c r="AB70" s="363"/>
      <c r="AC70" s="363" t="s">
        <v>281</v>
      </c>
      <c r="AD70" s="380" t="s">
        <v>97</v>
      </c>
      <c r="AE70" s="380" t="s">
        <v>98</v>
      </c>
      <c r="AF70" s="363" t="s">
        <v>332</v>
      </c>
    </row>
    <row r="71" spans="2:32" ht="14.4" hidden="1" x14ac:dyDescent="0.3">
      <c r="B71" s="380" t="s">
        <v>14</v>
      </c>
      <c r="C71" s="363" t="s">
        <v>433</v>
      </c>
      <c r="D71" s="386" t="s">
        <v>434</v>
      </c>
      <c r="E71" s="405" t="s">
        <v>435</v>
      </c>
      <c r="F71" s="406">
        <v>45581</v>
      </c>
      <c r="G71" s="407" t="s">
        <v>436</v>
      </c>
      <c r="H71" s="380"/>
      <c r="I71" s="388">
        <f>(6572290/118*100)/2</f>
        <v>2784868.6440677969</v>
      </c>
      <c r="J71" s="380">
        <v>4</v>
      </c>
      <c r="K71" s="389">
        <f t="shared" ref="K71:K98" si="3">I71/J71</f>
        <v>696217.16101694922</v>
      </c>
      <c r="L71" s="381">
        <v>45962</v>
      </c>
      <c r="M71" s="381">
        <v>46326</v>
      </c>
      <c r="N71" s="363"/>
      <c r="O71" s="380"/>
      <c r="P71" s="380" t="s">
        <v>437</v>
      </c>
      <c r="Q71" s="390" t="s">
        <v>269</v>
      </c>
      <c r="R71" s="363" t="s">
        <v>441</v>
      </c>
      <c r="S71" s="390" t="s">
        <v>442</v>
      </c>
      <c r="T71" s="363" t="s">
        <v>443</v>
      </c>
      <c r="U71" s="363" t="s">
        <v>444</v>
      </c>
      <c r="V71" s="363"/>
      <c r="W71" s="363" t="s">
        <v>445</v>
      </c>
      <c r="X71" s="363"/>
      <c r="Y71" s="363"/>
      <c r="Z71" s="363"/>
      <c r="AA71" s="363"/>
      <c r="AB71" s="363"/>
      <c r="AC71" s="363" t="s">
        <v>281</v>
      </c>
      <c r="AD71" s="380" t="s">
        <v>97</v>
      </c>
      <c r="AE71" s="380" t="s">
        <v>98</v>
      </c>
      <c r="AF71" s="363" t="s">
        <v>332</v>
      </c>
    </row>
    <row r="72" spans="2:32" ht="14.4" hidden="1" x14ac:dyDescent="0.3">
      <c r="B72" s="380" t="s">
        <v>14</v>
      </c>
      <c r="C72" s="363" t="s">
        <v>446</v>
      </c>
      <c r="D72" s="386" t="s">
        <v>447</v>
      </c>
      <c r="E72" s="405" t="s">
        <v>448</v>
      </c>
      <c r="F72" s="406">
        <v>45589</v>
      </c>
      <c r="G72" s="380" t="s">
        <v>55</v>
      </c>
      <c r="H72" s="380">
        <v>3</v>
      </c>
      <c r="I72" s="388">
        <f>44887.5*4</f>
        <v>179550</v>
      </c>
      <c r="J72" s="380">
        <v>4</v>
      </c>
      <c r="K72" s="389">
        <f t="shared" si="3"/>
        <v>44887.5</v>
      </c>
      <c r="L72" s="381">
        <v>45597</v>
      </c>
      <c r="M72" s="381">
        <v>45961</v>
      </c>
      <c r="N72" s="363"/>
      <c r="O72" s="380"/>
      <c r="P72" s="380"/>
      <c r="Q72" s="390" t="s">
        <v>262</v>
      </c>
      <c r="R72" s="390" t="s">
        <v>449</v>
      </c>
      <c r="S72" s="390" t="s">
        <v>264</v>
      </c>
      <c r="T72" s="363" t="s">
        <v>450</v>
      </c>
      <c r="U72" s="390" t="s">
        <v>266</v>
      </c>
      <c r="V72" s="363" t="s">
        <v>451</v>
      </c>
      <c r="W72" s="390" t="s">
        <v>267</v>
      </c>
      <c r="X72" s="363" t="s">
        <v>452</v>
      </c>
      <c r="Y72" s="363"/>
      <c r="Z72" s="363"/>
      <c r="AA72" s="363"/>
      <c r="AB72" s="363"/>
      <c r="AC72" s="363" t="s">
        <v>96</v>
      </c>
      <c r="AD72" s="380" t="s">
        <v>97</v>
      </c>
      <c r="AE72" s="380" t="s">
        <v>98</v>
      </c>
      <c r="AF72" s="363" t="s">
        <v>453</v>
      </c>
    </row>
    <row r="73" spans="2:32" ht="14.4" hidden="1" x14ac:dyDescent="0.3">
      <c r="B73" s="380" t="s">
        <v>14</v>
      </c>
      <c r="C73" s="363" t="s">
        <v>446</v>
      </c>
      <c r="D73" s="386" t="s">
        <v>447</v>
      </c>
      <c r="E73" s="405" t="s">
        <v>448</v>
      </c>
      <c r="F73" s="406">
        <v>45589</v>
      </c>
      <c r="G73" s="380" t="s">
        <v>55</v>
      </c>
      <c r="H73" s="380"/>
      <c r="I73" s="388">
        <f>47133.75*4</f>
        <v>188535</v>
      </c>
      <c r="J73" s="380">
        <v>4</v>
      </c>
      <c r="K73" s="389">
        <f t="shared" si="3"/>
        <v>47133.75</v>
      </c>
      <c r="L73" s="381">
        <v>45962</v>
      </c>
      <c r="M73" s="381">
        <v>46326</v>
      </c>
      <c r="N73" s="363"/>
      <c r="O73" s="380"/>
      <c r="P73" s="380"/>
      <c r="Q73" s="390" t="s">
        <v>269</v>
      </c>
      <c r="R73" s="363" t="s">
        <v>454</v>
      </c>
      <c r="S73" s="390" t="s">
        <v>442</v>
      </c>
      <c r="T73" s="363" t="s">
        <v>455</v>
      </c>
      <c r="U73" s="363" t="s">
        <v>444</v>
      </c>
      <c r="V73" s="363"/>
      <c r="W73" s="363" t="s">
        <v>445</v>
      </c>
      <c r="X73" s="363"/>
      <c r="Y73" s="363"/>
      <c r="Z73" s="363"/>
      <c r="AA73" s="363"/>
      <c r="AB73" s="363"/>
      <c r="AC73" s="363" t="s">
        <v>96</v>
      </c>
      <c r="AD73" s="380" t="s">
        <v>97</v>
      </c>
      <c r="AE73" s="380" t="s">
        <v>98</v>
      </c>
      <c r="AF73" s="363" t="s">
        <v>453</v>
      </c>
    </row>
    <row r="74" spans="2:32" ht="14.4" hidden="1" x14ac:dyDescent="0.3">
      <c r="B74" s="380" t="s">
        <v>14</v>
      </c>
      <c r="C74" s="363" t="s">
        <v>446</v>
      </c>
      <c r="D74" s="386" t="s">
        <v>447</v>
      </c>
      <c r="E74" s="405" t="s">
        <v>448</v>
      </c>
      <c r="F74" s="406">
        <v>45589</v>
      </c>
      <c r="G74" s="380" t="s">
        <v>55</v>
      </c>
      <c r="H74" s="380"/>
      <c r="I74" s="388">
        <f>49488.75*4</f>
        <v>197955</v>
      </c>
      <c r="J74" s="380">
        <v>4</v>
      </c>
      <c r="K74" s="389">
        <f t="shared" si="3"/>
        <v>49488.75</v>
      </c>
      <c r="L74" s="381">
        <v>46327</v>
      </c>
      <c r="M74" s="381">
        <v>46691</v>
      </c>
      <c r="N74" s="363"/>
      <c r="O74" s="380"/>
      <c r="P74" s="380"/>
      <c r="Q74" s="363" t="s">
        <v>456</v>
      </c>
      <c r="R74" s="363"/>
      <c r="S74" s="363" t="s">
        <v>457</v>
      </c>
      <c r="T74" s="363"/>
      <c r="U74" s="363" t="s">
        <v>458</v>
      </c>
      <c r="V74" s="363"/>
      <c r="W74" s="363" t="s">
        <v>459</v>
      </c>
      <c r="X74" s="363"/>
      <c r="Y74" s="363"/>
      <c r="Z74" s="363"/>
      <c r="AA74" s="363"/>
      <c r="AB74" s="363"/>
      <c r="AC74" s="363" t="s">
        <v>96</v>
      </c>
      <c r="AD74" s="380" t="s">
        <v>97</v>
      </c>
      <c r="AE74" s="380" t="s">
        <v>98</v>
      </c>
      <c r="AF74" s="363" t="s">
        <v>453</v>
      </c>
    </row>
    <row r="75" spans="2:32" ht="14.4" hidden="1" x14ac:dyDescent="0.3">
      <c r="B75" s="380" t="s">
        <v>14</v>
      </c>
      <c r="C75" s="363" t="s">
        <v>460</v>
      </c>
      <c r="D75" s="386" t="s">
        <v>151</v>
      </c>
      <c r="E75" s="408">
        <v>1240038765</v>
      </c>
      <c r="F75" s="387">
        <v>45591</v>
      </c>
      <c r="G75" s="380" t="s">
        <v>55</v>
      </c>
      <c r="H75" s="380">
        <v>1</v>
      </c>
      <c r="I75" s="388">
        <v>150000</v>
      </c>
      <c r="J75" s="380">
        <v>4</v>
      </c>
      <c r="K75" s="389">
        <f t="shared" si="3"/>
        <v>37500</v>
      </c>
      <c r="L75" s="381">
        <v>45566</v>
      </c>
      <c r="M75" s="381">
        <v>46295</v>
      </c>
      <c r="N75" s="363"/>
      <c r="O75" s="380"/>
      <c r="P75" s="380"/>
      <c r="Q75" s="390" t="s">
        <v>461</v>
      </c>
      <c r="R75" s="363" t="s">
        <v>462</v>
      </c>
      <c r="S75" s="390" t="s">
        <v>463</v>
      </c>
      <c r="T75" s="363" t="s">
        <v>464</v>
      </c>
      <c r="U75" s="390" t="s">
        <v>465</v>
      </c>
      <c r="V75" s="363" t="s">
        <v>466</v>
      </c>
      <c r="W75" s="363" t="s">
        <v>467</v>
      </c>
      <c r="X75" s="363"/>
      <c r="Y75" s="363"/>
      <c r="Z75" s="363"/>
      <c r="AA75" s="363"/>
      <c r="AB75" s="363"/>
      <c r="AC75" s="363" t="s">
        <v>62</v>
      </c>
      <c r="AD75" s="380" t="s">
        <v>63</v>
      </c>
      <c r="AE75" s="380">
        <v>6</v>
      </c>
      <c r="AF75" s="363" t="s">
        <v>332</v>
      </c>
    </row>
    <row r="76" spans="2:32" ht="14.4" hidden="1" x14ac:dyDescent="0.3">
      <c r="B76" s="380" t="s">
        <v>14</v>
      </c>
      <c r="C76" s="409" t="s">
        <v>468</v>
      </c>
      <c r="D76" s="386" t="s">
        <v>388</v>
      </c>
      <c r="E76" s="380">
        <v>4510640616</v>
      </c>
      <c r="F76" s="387">
        <v>45660</v>
      </c>
      <c r="G76" s="380" t="s">
        <v>55</v>
      </c>
      <c r="H76" s="380">
        <v>3</v>
      </c>
      <c r="I76" s="388">
        <v>755305</v>
      </c>
      <c r="J76" s="380">
        <v>4</v>
      </c>
      <c r="K76" s="389">
        <f t="shared" si="3"/>
        <v>188826.25</v>
      </c>
      <c r="L76" s="381">
        <v>45642</v>
      </c>
      <c r="M76" s="381">
        <v>46006</v>
      </c>
      <c r="N76" s="363" t="s">
        <v>19</v>
      </c>
      <c r="O76" s="380">
        <v>2025</v>
      </c>
      <c r="P76" s="380"/>
      <c r="Q76" s="390" t="s">
        <v>470</v>
      </c>
      <c r="R76" s="363" t="s">
        <v>471</v>
      </c>
      <c r="S76" s="390" t="s">
        <v>472</v>
      </c>
      <c r="T76" s="363" t="s">
        <v>473</v>
      </c>
      <c r="U76" s="390" t="s">
        <v>474</v>
      </c>
      <c r="V76" s="363" t="s">
        <v>475</v>
      </c>
      <c r="W76" s="390" t="s">
        <v>476</v>
      </c>
      <c r="X76" s="363" t="s">
        <v>477</v>
      </c>
      <c r="Y76" s="363"/>
      <c r="Z76" s="363"/>
      <c r="AA76" s="363"/>
      <c r="AB76" s="363"/>
      <c r="AC76" s="363" t="s">
        <v>478</v>
      </c>
      <c r="AD76" s="380" t="s">
        <v>63</v>
      </c>
      <c r="AE76" s="380">
        <v>3</v>
      </c>
      <c r="AF76" s="363" t="s">
        <v>479</v>
      </c>
    </row>
    <row r="77" spans="2:32" ht="14.4" hidden="1" x14ac:dyDescent="0.3">
      <c r="B77" s="380" t="s">
        <v>14</v>
      </c>
      <c r="C77" s="409" t="s">
        <v>480</v>
      </c>
      <c r="D77" s="386" t="s">
        <v>481</v>
      </c>
      <c r="E77" s="380">
        <v>5300005783</v>
      </c>
      <c r="F77" s="387">
        <v>45467</v>
      </c>
      <c r="G77" s="380" t="s">
        <v>55</v>
      </c>
      <c r="H77" s="380">
        <v>3</v>
      </c>
      <c r="I77" s="388">
        <f>882000/3</f>
        <v>294000</v>
      </c>
      <c r="J77" s="380">
        <v>2</v>
      </c>
      <c r="K77" s="389">
        <f t="shared" si="3"/>
        <v>147000</v>
      </c>
      <c r="L77" s="381">
        <v>45658</v>
      </c>
      <c r="M77" s="381">
        <v>46022</v>
      </c>
      <c r="N77" s="363"/>
      <c r="O77" s="380"/>
      <c r="P77" s="380" t="s">
        <v>1</v>
      </c>
      <c r="Q77" s="390" t="s">
        <v>482</v>
      </c>
      <c r="R77" s="363" t="s">
        <v>189</v>
      </c>
      <c r="S77" s="390" t="s">
        <v>483</v>
      </c>
      <c r="T77" s="363" t="s">
        <v>484</v>
      </c>
      <c r="U77" s="363"/>
      <c r="V77" s="363"/>
      <c r="W77" s="363"/>
      <c r="X77" s="363"/>
      <c r="Y77" s="363"/>
      <c r="Z77" s="363"/>
      <c r="AA77" s="363"/>
      <c r="AB77" s="363"/>
      <c r="AC77" s="363" t="s">
        <v>485</v>
      </c>
      <c r="AD77" s="380" t="s">
        <v>63</v>
      </c>
      <c r="AE77" s="380">
        <v>6</v>
      </c>
      <c r="AF77" s="363" t="s">
        <v>332</v>
      </c>
    </row>
    <row r="78" spans="2:32" ht="14.4" hidden="1" x14ac:dyDescent="0.3">
      <c r="B78" s="380" t="s">
        <v>14</v>
      </c>
      <c r="C78" s="409" t="s">
        <v>480</v>
      </c>
      <c r="D78" s="386" t="s">
        <v>481</v>
      </c>
      <c r="E78" s="380">
        <v>5300005783</v>
      </c>
      <c r="F78" s="387">
        <v>45467</v>
      </c>
      <c r="G78" s="380" t="s">
        <v>55</v>
      </c>
      <c r="H78" s="380"/>
      <c r="I78" s="388">
        <f>882000/3</f>
        <v>294000</v>
      </c>
      <c r="J78" s="380">
        <v>2</v>
      </c>
      <c r="K78" s="389">
        <f t="shared" si="3"/>
        <v>147000</v>
      </c>
      <c r="L78" s="381">
        <v>46023</v>
      </c>
      <c r="M78" s="381">
        <v>46387</v>
      </c>
      <c r="N78" s="363"/>
      <c r="O78" s="380"/>
      <c r="P78" s="380" t="s">
        <v>1</v>
      </c>
      <c r="Q78" s="390" t="s">
        <v>486</v>
      </c>
      <c r="R78" s="363" t="s">
        <v>1713</v>
      </c>
      <c r="S78" s="363" t="s">
        <v>487</v>
      </c>
      <c r="T78" s="363"/>
      <c r="U78" s="363"/>
      <c r="V78" s="363"/>
      <c r="W78" s="363"/>
      <c r="X78" s="363"/>
      <c r="Y78" s="363"/>
      <c r="Z78" s="363"/>
      <c r="AA78" s="363"/>
      <c r="AB78" s="363"/>
      <c r="AC78" s="363" t="s">
        <v>485</v>
      </c>
      <c r="AD78" s="380" t="s">
        <v>63</v>
      </c>
      <c r="AE78" s="380">
        <v>6</v>
      </c>
      <c r="AF78" s="363" t="s">
        <v>332</v>
      </c>
    </row>
    <row r="79" spans="2:32" ht="14.4" hidden="1" x14ac:dyDescent="0.3">
      <c r="B79" s="380" t="s">
        <v>14</v>
      </c>
      <c r="C79" s="409" t="s">
        <v>480</v>
      </c>
      <c r="D79" s="386" t="s">
        <v>481</v>
      </c>
      <c r="E79" s="380">
        <v>5300005783</v>
      </c>
      <c r="F79" s="387">
        <v>45467</v>
      </c>
      <c r="G79" s="380" t="s">
        <v>55</v>
      </c>
      <c r="H79" s="380"/>
      <c r="I79" s="388">
        <f>882000/3</f>
        <v>294000</v>
      </c>
      <c r="J79" s="380">
        <v>2</v>
      </c>
      <c r="K79" s="389">
        <f t="shared" si="3"/>
        <v>147000</v>
      </c>
      <c r="L79" s="381">
        <v>46388</v>
      </c>
      <c r="M79" s="381">
        <v>46752</v>
      </c>
      <c r="N79" s="363"/>
      <c r="O79" s="380"/>
      <c r="P79" s="380" t="s">
        <v>1</v>
      </c>
      <c r="Q79" s="363" t="s">
        <v>488</v>
      </c>
      <c r="R79" s="363"/>
      <c r="S79" s="363" t="s">
        <v>489</v>
      </c>
      <c r="T79" s="363"/>
      <c r="U79" s="363"/>
      <c r="V79" s="363"/>
      <c r="W79" s="363"/>
      <c r="X79" s="363"/>
      <c r="Y79" s="363"/>
      <c r="Z79" s="363"/>
      <c r="AA79" s="363"/>
      <c r="AB79" s="363"/>
      <c r="AC79" s="363" t="s">
        <v>485</v>
      </c>
      <c r="AD79" s="380" t="s">
        <v>63</v>
      </c>
      <c r="AE79" s="380">
        <v>6</v>
      </c>
      <c r="AF79" s="363" t="s">
        <v>332</v>
      </c>
    </row>
    <row r="80" spans="2:32" ht="14.4" hidden="1" x14ac:dyDescent="0.3">
      <c r="B80" s="380" t="s">
        <v>14</v>
      </c>
      <c r="C80" s="409" t="s">
        <v>490</v>
      </c>
      <c r="D80" s="386" t="s">
        <v>447</v>
      </c>
      <c r="E80" s="411">
        <v>1000036136</v>
      </c>
      <c r="F80" s="387">
        <v>45644</v>
      </c>
      <c r="G80" s="380" t="s">
        <v>55</v>
      </c>
      <c r="H80" s="380">
        <v>4</v>
      </c>
      <c r="I80" s="388">
        <f>68706.75*4</f>
        <v>274827</v>
      </c>
      <c r="J80" s="380">
        <v>4</v>
      </c>
      <c r="K80" s="389">
        <f t="shared" si="3"/>
        <v>68706.75</v>
      </c>
      <c r="L80" s="381">
        <v>45658</v>
      </c>
      <c r="M80" s="381">
        <v>46022</v>
      </c>
      <c r="N80" s="363"/>
      <c r="O80" s="380"/>
      <c r="P80" s="380"/>
      <c r="Q80" s="390" t="s">
        <v>390</v>
      </c>
      <c r="R80" s="363" t="s">
        <v>491</v>
      </c>
      <c r="S80" s="390" t="s">
        <v>391</v>
      </c>
      <c r="T80" s="363" t="s">
        <v>384</v>
      </c>
      <c r="U80" s="390" t="s">
        <v>168</v>
      </c>
      <c r="V80" s="363" t="s">
        <v>492</v>
      </c>
      <c r="W80" s="390" t="s">
        <v>228</v>
      </c>
      <c r="X80" s="363" t="s">
        <v>493</v>
      </c>
      <c r="Y80" s="363"/>
      <c r="Z80" s="363"/>
      <c r="AA80" s="363"/>
      <c r="AB80" s="363"/>
      <c r="AC80" s="363" t="s">
        <v>281</v>
      </c>
      <c r="AD80" s="380" t="s">
        <v>97</v>
      </c>
      <c r="AE80" s="380" t="s">
        <v>494</v>
      </c>
      <c r="AF80" s="363"/>
    </row>
    <row r="81" spans="2:32" ht="14.4" hidden="1" x14ac:dyDescent="0.3">
      <c r="B81" s="380" t="s">
        <v>14</v>
      </c>
      <c r="C81" s="409" t="s">
        <v>490</v>
      </c>
      <c r="D81" s="386" t="s">
        <v>447</v>
      </c>
      <c r="E81" s="411">
        <v>1000036136</v>
      </c>
      <c r="F81" s="387">
        <v>45644</v>
      </c>
      <c r="G81" s="380" t="s">
        <v>55</v>
      </c>
      <c r="H81" s="380"/>
      <c r="I81" s="388">
        <f>68706.75*4</f>
        <v>274827</v>
      </c>
      <c r="J81" s="380">
        <v>4</v>
      </c>
      <c r="K81" s="389">
        <f t="shared" si="3"/>
        <v>68706.75</v>
      </c>
      <c r="L81" s="381">
        <v>46023</v>
      </c>
      <c r="M81" s="381">
        <v>46387</v>
      </c>
      <c r="N81" s="363"/>
      <c r="O81" s="380"/>
      <c r="P81" s="380"/>
      <c r="Q81" s="390" t="s">
        <v>396</v>
      </c>
      <c r="R81" s="363" t="s">
        <v>495</v>
      </c>
      <c r="S81" s="390" t="s">
        <v>397</v>
      </c>
      <c r="T81" s="363" t="s">
        <v>1843</v>
      </c>
      <c r="U81" s="363" t="s">
        <v>496</v>
      </c>
      <c r="V81" s="363"/>
      <c r="W81" s="363" t="s">
        <v>497</v>
      </c>
      <c r="X81" s="363"/>
      <c r="Y81" s="363"/>
      <c r="Z81" s="363"/>
      <c r="AA81" s="363"/>
      <c r="AB81" s="363"/>
      <c r="AC81" s="363" t="s">
        <v>281</v>
      </c>
      <c r="AD81" s="380" t="s">
        <v>97</v>
      </c>
      <c r="AE81" s="380" t="s">
        <v>494</v>
      </c>
      <c r="AF81" s="363"/>
    </row>
    <row r="82" spans="2:32" ht="14.4" hidden="1" x14ac:dyDescent="0.3">
      <c r="B82" s="380" t="s">
        <v>14</v>
      </c>
      <c r="C82" s="409" t="s">
        <v>490</v>
      </c>
      <c r="D82" s="386" t="s">
        <v>447</v>
      </c>
      <c r="E82" s="411">
        <v>1000036136</v>
      </c>
      <c r="F82" s="387">
        <v>45644</v>
      </c>
      <c r="G82" s="380" t="s">
        <v>55</v>
      </c>
      <c r="H82" s="380"/>
      <c r="I82" s="388">
        <f>68706.75*4</f>
        <v>274827</v>
      </c>
      <c r="J82" s="380">
        <v>4</v>
      </c>
      <c r="K82" s="389">
        <f t="shared" si="3"/>
        <v>68706.75</v>
      </c>
      <c r="L82" s="381">
        <v>46388</v>
      </c>
      <c r="M82" s="381">
        <v>46752</v>
      </c>
      <c r="N82" s="363"/>
      <c r="O82" s="380"/>
      <c r="P82" s="380"/>
      <c r="Q82" s="363" t="s">
        <v>498</v>
      </c>
      <c r="R82" s="363"/>
      <c r="S82" s="363" t="s">
        <v>499</v>
      </c>
      <c r="T82" s="363"/>
      <c r="U82" s="363" t="s">
        <v>500</v>
      </c>
      <c r="V82" s="363"/>
      <c r="W82" s="363" t="s">
        <v>501</v>
      </c>
      <c r="X82" s="363"/>
      <c r="Y82" s="363"/>
      <c r="Z82" s="363"/>
      <c r="AA82" s="363"/>
      <c r="AB82" s="363"/>
      <c r="AC82" s="363" t="s">
        <v>281</v>
      </c>
      <c r="AD82" s="380" t="s">
        <v>97</v>
      </c>
      <c r="AE82" s="380" t="s">
        <v>494</v>
      </c>
      <c r="AF82" s="363"/>
    </row>
    <row r="83" spans="2:32" ht="14.4" hidden="1" x14ac:dyDescent="0.3">
      <c r="B83" s="380" t="s">
        <v>14</v>
      </c>
      <c r="C83" s="412" t="s">
        <v>502</v>
      </c>
      <c r="D83" s="413" t="s">
        <v>151</v>
      </c>
      <c r="E83" s="414" t="s">
        <v>503</v>
      </c>
      <c r="F83" s="415">
        <v>45658</v>
      </c>
      <c r="G83" s="380" t="s">
        <v>55</v>
      </c>
      <c r="H83" s="380">
        <v>1</v>
      </c>
      <c r="I83" s="388">
        <v>73500</v>
      </c>
      <c r="J83" s="380">
        <v>3</v>
      </c>
      <c r="K83" s="389">
        <f t="shared" si="3"/>
        <v>24500</v>
      </c>
      <c r="L83" s="381">
        <v>45658</v>
      </c>
      <c r="M83" s="381">
        <v>46022</v>
      </c>
      <c r="N83" s="363" t="s">
        <v>19</v>
      </c>
      <c r="O83" s="380">
        <v>2025</v>
      </c>
      <c r="P83" s="380"/>
      <c r="Q83" s="390" t="s">
        <v>341</v>
      </c>
      <c r="R83" s="363" t="s">
        <v>504</v>
      </c>
      <c r="S83" s="390" t="s">
        <v>343</v>
      </c>
      <c r="T83" s="363" t="s">
        <v>505</v>
      </c>
      <c r="U83" s="390" t="s">
        <v>345</v>
      </c>
      <c r="V83" s="363" t="s">
        <v>506</v>
      </c>
      <c r="W83" s="363"/>
      <c r="X83" s="363"/>
      <c r="Y83" s="363"/>
      <c r="Z83" s="363"/>
      <c r="AA83" s="363"/>
      <c r="AB83" s="363"/>
      <c r="AC83" s="363" t="s">
        <v>507</v>
      </c>
      <c r="AD83" s="380" t="s">
        <v>63</v>
      </c>
      <c r="AE83" s="380">
        <v>3</v>
      </c>
      <c r="AF83" s="363"/>
    </row>
    <row r="84" spans="2:32" ht="14.4" hidden="1" x14ac:dyDescent="0.3">
      <c r="B84" s="380" t="s">
        <v>14</v>
      </c>
      <c r="C84" s="412" t="s">
        <v>508</v>
      </c>
      <c r="D84" s="413" t="s">
        <v>509</v>
      </c>
      <c r="E84" s="416" t="s">
        <v>510</v>
      </c>
      <c r="F84" s="415">
        <v>45661</v>
      </c>
      <c r="G84" s="380" t="s">
        <v>55</v>
      </c>
      <c r="H84" s="380">
        <v>1</v>
      </c>
      <c r="I84" s="417">
        <v>89000</v>
      </c>
      <c r="J84" s="380">
        <v>3</v>
      </c>
      <c r="K84" s="389">
        <f t="shared" si="3"/>
        <v>29666.666666666668</v>
      </c>
      <c r="L84" s="381">
        <v>45667</v>
      </c>
      <c r="M84" s="381">
        <v>46031</v>
      </c>
      <c r="N84" s="363" t="s">
        <v>19</v>
      </c>
      <c r="O84" s="380" t="s">
        <v>0</v>
      </c>
      <c r="P84" s="380"/>
      <c r="Q84" s="390" t="s">
        <v>511</v>
      </c>
      <c r="R84" s="363" t="s">
        <v>512</v>
      </c>
      <c r="S84" s="390" t="s">
        <v>513</v>
      </c>
      <c r="T84" s="363" t="s">
        <v>514</v>
      </c>
      <c r="U84" s="390" t="s">
        <v>515</v>
      </c>
      <c r="V84" s="363" t="s">
        <v>516</v>
      </c>
      <c r="W84" s="363"/>
      <c r="X84" s="363"/>
      <c r="Y84" s="363"/>
      <c r="Z84" s="363"/>
      <c r="AA84" s="363"/>
      <c r="AB84" s="363"/>
      <c r="AC84" s="363" t="s">
        <v>96</v>
      </c>
      <c r="AD84" s="380" t="s">
        <v>97</v>
      </c>
      <c r="AE84" s="380" t="s">
        <v>494</v>
      </c>
      <c r="AF84" s="535" t="s">
        <v>517</v>
      </c>
    </row>
    <row r="85" spans="2:32" ht="14.4" hidden="1" x14ac:dyDescent="0.3">
      <c r="B85" s="380" t="s">
        <v>14</v>
      </c>
      <c r="C85" s="409" t="s">
        <v>518</v>
      </c>
      <c r="D85" s="418" t="s">
        <v>519</v>
      </c>
      <c r="E85" s="380">
        <v>4516924874</v>
      </c>
      <c r="F85" s="387">
        <v>45660</v>
      </c>
      <c r="G85" s="380" t="s">
        <v>55</v>
      </c>
      <c r="H85" s="380"/>
      <c r="I85" s="388">
        <v>219500</v>
      </c>
      <c r="J85" s="380">
        <v>4</v>
      </c>
      <c r="K85" s="389">
        <f t="shared" si="3"/>
        <v>54875</v>
      </c>
      <c r="L85" s="381">
        <v>45658</v>
      </c>
      <c r="M85" s="381">
        <v>46022</v>
      </c>
      <c r="N85" s="363" t="s">
        <v>520</v>
      </c>
      <c r="O85" s="380" t="s">
        <v>0</v>
      </c>
      <c r="P85" s="380"/>
      <c r="Q85" s="390" t="s">
        <v>390</v>
      </c>
      <c r="R85" s="363" t="s">
        <v>521</v>
      </c>
      <c r="S85" s="390" t="s">
        <v>391</v>
      </c>
      <c r="T85" s="363" t="s">
        <v>522</v>
      </c>
      <c r="U85" s="390" t="s">
        <v>523</v>
      </c>
      <c r="V85" s="363" t="s">
        <v>524</v>
      </c>
      <c r="W85" s="390" t="s">
        <v>228</v>
      </c>
      <c r="X85" s="363" t="s">
        <v>525</v>
      </c>
      <c r="Y85" s="363"/>
      <c r="Z85" s="363"/>
      <c r="AA85" s="363"/>
      <c r="AB85" s="363"/>
      <c r="AC85" s="363" t="s">
        <v>485</v>
      </c>
      <c r="AD85" s="380" t="s">
        <v>63</v>
      </c>
      <c r="AE85" s="380">
        <f>6</f>
        <v>6</v>
      </c>
      <c r="AF85" s="363"/>
    </row>
    <row r="86" spans="2:32" ht="14.4" hidden="1" x14ac:dyDescent="0.3">
      <c r="B86" s="380" t="s">
        <v>14</v>
      </c>
      <c r="C86" s="409" t="s">
        <v>518</v>
      </c>
      <c r="D86" s="418" t="s">
        <v>519</v>
      </c>
      <c r="E86" s="380">
        <v>4516924874</v>
      </c>
      <c r="F86" s="387">
        <v>45660</v>
      </c>
      <c r="G86" s="380" t="s">
        <v>55</v>
      </c>
      <c r="H86" s="380">
        <v>2</v>
      </c>
      <c r="I86" s="388">
        <v>142300</v>
      </c>
      <c r="J86" s="380">
        <v>4</v>
      </c>
      <c r="K86" s="389">
        <f t="shared" si="3"/>
        <v>35575</v>
      </c>
      <c r="L86" s="381">
        <v>46023</v>
      </c>
      <c r="M86" s="381">
        <v>46387</v>
      </c>
      <c r="N86" s="363" t="s">
        <v>520</v>
      </c>
      <c r="O86" s="380" t="s">
        <v>0</v>
      </c>
      <c r="P86" s="380"/>
      <c r="Q86" s="394" t="s">
        <v>396</v>
      </c>
      <c r="R86" s="363" t="s">
        <v>526</v>
      </c>
      <c r="S86" s="390" t="s">
        <v>397</v>
      </c>
      <c r="T86" s="363" t="s">
        <v>1849</v>
      </c>
      <c r="U86" s="363" t="s">
        <v>496</v>
      </c>
      <c r="V86" s="363"/>
      <c r="W86" s="363" t="s">
        <v>497</v>
      </c>
      <c r="X86" s="363"/>
      <c r="Y86" s="363"/>
      <c r="Z86" s="363"/>
      <c r="AA86" s="363"/>
      <c r="AB86" s="363"/>
      <c r="AC86" s="363" t="s">
        <v>485</v>
      </c>
      <c r="AD86" s="380" t="s">
        <v>63</v>
      </c>
      <c r="AE86" s="380">
        <v>6</v>
      </c>
      <c r="AF86" s="363"/>
    </row>
    <row r="87" spans="2:32" ht="14.4" hidden="1" x14ac:dyDescent="0.3">
      <c r="B87" s="380" t="s">
        <v>14</v>
      </c>
      <c r="C87" s="409" t="s">
        <v>527</v>
      </c>
      <c r="D87" s="386" t="s">
        <v>151</v>
      </c>
      <c r="E87" s="419">
        <v>38369028</v>
      </c>
      <c r="F87" s="387">
        <v>45664</v>
      </c>
      <c r="G87" s="380" t="s">
        <v>55</v>
      </c>
      <c r="H87" s="380">
        <v>1</v>
      </c>
      <c r="I87" s="388">
        <v>67000</v>
      </c>
      <c r="J87" s="380">
        <v>1</v>
      </c>
      <c r="K87" s="389">
        <f t="shared" si="3"/>
        <v>67000</v>
      </c>
      <c r="L87" s="381">
        <v>45670</v>
      </c>
      <c r="M87" s="381">
        <v>46034</v>
      </c>
      <c r="N87" s="363" t="s">
        <v>19</v>
      </c>
      <c r="O87" s="380" t="s">
        <v>0</v>
      </c>
      <c r="P87" s="380"/>
      <c r="Q87" s="390" t="s">
        <v>528</v>
      </c>
      <c r="R87" s="363" t="s">
        <v>451</v>
      </c>
      <c r="S87" s="363"/>
      <c r="T87" s="363"/>
      <c r="U87" s="363"/>
      <c r="V87" s="363"/>
      <c r="W87" s="363"/>
      <c r="X87" s="363"/>
      <c r="Y87" s="363"/>
      <c r="Z87" s="363"/>
      <c r="AA87" s="363"/>
      <c r="AB87" s="363"/>
      <c r="AC87" s="363" t="s">
        <v>507</v>
      </c>
      <c r="AD87" s="380" t="s">
        <v>63</v>
      </c>
      <c r="AE87" s="380">
        <v>2</v>
      </c>
      <c r="AF87" s="363"/>
    </row>
    <row r="88" spans="2:32" ht="14.4" hidden="1" x14ac:dyDescent="0.3">
      <c r="B88" s="380" t="s">
        <v>14</v>
      </c>
      <c r="C88" s="409" t="s">
        <v>527</v>
      </c>
      <c r="D88" s="386" t="s">
        <v>151</v>
      </c>
      <c r="E88" s="419">
        <v>38414491</v>
      </c>
      <c r="F88" s="387">
        <v>45671</v>
      </c>
      <c r="G88" s="380" t="s">
        <v>55</v>
      </c>
      <c r="H88" s="380">
        <v>1</v>
      </c>
      <c r="I88" s="388">
        <v>67000</v>
      </c>
      <c r="J88" s="380">
        <v>1</v>
      </c>
      <c r="K88" s="389">
        <f t="shared" si="3"/>
        <v>67000</v>
      </c>
      <c r="L88" s="381">
        <v>45672</v>
      </c>
      <c r="M88" s="381">
        <v>46036</v>
      </c>
      <c r="N88" s="363" t="s">
        <v>19</v>
      </c>
      <c r="O88" s="380" t="s">
        <v>0</v>
      </c>
      <c r="P88" s="380"/>
      <c r="Q88" s="390" t="s">
        <v>529</v>
      </c>
      <c r="R88" s="363" t="s">
        <v>451</v>
      </c>
      <c r="S88" s="363"/>
      <c r="T88" s="363"/>
      <c r="U88" s="363"/>
      <c r="V88" s="363"/>
      <c r="W88" s="363"/>
      <c r="X88" s="363"/>
      <c r="Y88" s="363"/>
      <c r="Z88" s="363"/>
      <c r="AA88" s="363"/>
      <c r="AB88" s="363"/>
      <c r="AC88" s="363" t="s">
        <v>507</v>
      </c>
      <c r="AD88" s="380" t="s">
        <v>63</v>
      </c>
      <c r="AE88" s="380">
        <v>2</v>
      </c>
      <c r="AF88" s="363"/>
    </row>
    <row r="89" spans="2:32" ht="14.4" hidden="1" x14ac:dyDescent="0.3">
      <c r="B89" s="380" t="s">
        <v>14</v>
      </c>
      <c r="C89" s="420" t="s">
        <v>530</v>
      </c>
      <c r="D89" s="421" t="s">
        <v>176</v>
      </c>
      <c r="E89" s="380">
        <v>16882528</v>
      </c>
      <c r="F89" s="387">
        <v>45670</v>
      </c>
      <c r="G89" s="380" t="s">
        <v>55</v>
      </c>
      <c r="H89" s="380">
        <v>1</v>
      </c>
      <c r="I89" s="388">
        <f>568000/4</f>
        <v>142000</v>
      </c>
      <c r="J89" s="380">
        <v>4</v>
      </c>
      <c r="K89" s="389">
        <f t="shared" si="3"/>
        <v>35500</v>
      </c>
      <c r="L89" s="381">
        <v>45670</v>
      </c>
      <c r="M89" s="381">
        <v>46764</v>
      </c>
      <c r="N89" s="363" t="s">
        <v>520</v>
      </c>
      <c r="O89" s="380" t="s">
        <v>0</v>
      </c>
      <c r="P89" s="380"/>
      <c r="Q89" s="422" t="s">
        <v>531</v>
      </c>
      <c r="R89" s="363"/>
      <c r="S89" s="422" t="s">
        <v>532</v>
      </c>
      <c r="T89" s="363"/>
      <c r="U89" s="422" t="s">
        <v>533</v>
      </c>
      <c r="V89" s="363"/>
      <c r="W89" s="422" t="s">
        <v>534</v>
      </c>
      <c r="X89" s="363"/>
      <c r="Y89" s="363"/>
      <c r="Z89" s="363"/>
      <c r="AA89" s="363"/>
      <c r="AB89" s="363"/>
      <c r="AC89" s="363" t="s">
        <v>183</v>
      </c>
      <c r="AD89" s="380" t="s">
        <v>97</v>
      </c>
      <c r="AE89" s="380">
        <v>4</v>
      </c>
      <c r="AF89" s="363"/>
    </row>
    <row r="90" spans="2:32" ht="14.4" hidden="1" x14ac:dyDescent="0.3">
      <c r="B90" s="380" t="s">
        <v>14</v>
      </c>
      <c r="C90" s="420" t="s">
        <v>530</v>
      </c>
      <c r="D90" s="421" t="s">
        <v>535</v>
      </c>
      <c r="E90" s="380">
        <v>16882528</v>
      </c>
      <c r="F90" s="387">
        <v>45670</v>
      </c>
      <c r="G90" s="380" t="s">
        <v>55</v>
      </c>
      <c r="H90" s="380">
        <v>1</v>
      </c>
      <c r="I90" s="388">
        <f>568000/4</f>
        <v>142000</v>
      </c>
      <c r="J90" s="380">
        <v>4</v>
      </c>
      <c r="K90" s="389">
        <f t="shared" si="3"/>
        <v>35500</v>
      </c>
      <c r="L90" s="381">
        <v>45670</v>
      </c>
      <c r="M90" s="381">
        <v>46764</v>
      </c>
      <c r="N90" s="363" t="s">
        <v>520</v>
      </c>
      <c r="O90" s="380" t="s">
        <v>0</v>
      </c>
      <c r="P90" s="380"/>
      <c r="Q90" s="390" t="s">
        <v>531</v>
      </c>
      <c r="R90" s="363" t="s">
        <v>536</v>
      </c>
      <c r="S90" s="390" t="s">
        <v>532</v>
      </c>
      <c r="T90" s="363" t="s">
        <v>439</v>
      </c>
      <c r="U90" s="390" t="s">
        <v>533</v>
      </c>
      <c r="V90" s="363" t="s">
        <v>537</v>
      </c>
      <c r="W90" s="390" t="s">
        <v>534</v>
      </c>
      <c r="X90" s="363" t="s">
        <v>320</v>
      </c>
      <c r="Y90" s="363"/>
      <c r="Z90" s="363"/>
      <c r="AA90" s="363"/>
      <c r="AB90" s="363"/>
      <c r="AC90" s="363" t="s">
        <v>183</v>
      </c>
      <c r="AD90" s="380" t="s">
        <v>97</v>
      </c>
      <c r="AE90" s="380">
        <v>4</v>
      </c>
      <c r="AF90" s="363"/>
    </row>
    <row r="91" spans="2:32" ht="14.4" hidden="1" x14ac:dyDescent="0.3">
      <c r="B91" s="380" t="s">
        <v>14</v>
      </c>
      <c r="C91" s="420" t="s">
        <v>530</v>
      </c>
      <c r="D91" s="421" t="s">
        <v>538</v>
      </c>
      <c r="E91" s="380">
        <v>16882528</v>
      </c>
      <c r="F91" s="387">
        <v>45670</v>
      </c>
      <c r="G91" s="380" t="s">
        <v>55</v>
      </c>
      <c r="H91" s="380">
        <v>1</v>
      </c>
      <c r="I91" s="388">
        <f>568000/4</f>
        <v>142000</v>
      </c>
      <c r="J91" s="380">
        <v>4</v>
      </c>
      <c r="K91" s="389">
        <f t="shared" si="3"/>
        <v>35500</v>
      </c>
      <c r="L91" s="381">
        <v>45670</v>
      </c>
      <c r="M91" s="381">
        <v>46764</v>
      </c>
      <c r="N91" s="363" t="s">
        <v>520</v>
      </c>
      <c r="O91" s="380" t="s">
        <v>0</v>
      </c>
      <c r="P91" s="380"/>
      <c r="Q91" s="390" t="s">
        <v>531</v>
      </c>
      <c r="R91" s="363" t="s">
        <v>241</v>
      </c>
      <c r="S91" s="390" t="s">
        <v>532</v>
      </c>
      <c r="T91" s="363" t="s">
        <v>439</v>
      </c>
      <c r="U91" s="390" t="s">
        <v>533</v>
      </c>
      <c r="V91" s="363" t="s">
        <v>539</v>
      </c>
      <c r="W91" s="390" t="s">
        <v>534</v>
      </c>
      <c r="X91" s="363" t="s">
        <v>417</v>
      </c>
      <c r="Y91" s="363"/>
      <c r="Z91" s="363"/>
      <c r="AA91" s="363"/>
      <c r="AB91" s="363"/>
      <c r="AC91" s="363" t="s">
        <v>485</v>
      </c>
      <c r="AD91" s="380" t="s">
        <v>63</v>
      </c>
      <c r="AE91" s="380">
        <v>4</v>
      </c>
      <c r="AF91" s="363"/>
    </row>
    <row r="92" spans="2:32" ht="14.4" hidden="1" x14ac:dyDescent="0.3">
      <c r="B92" s="380" t="s">
        <v>14</v>
      </c>
      <c r="C92" s="420" t="s">
        <v>530</v>
      </c>
      <c r="D92" s="421" t="s">
        <v>540</v>
      </c>
      <c r="E92" s="380">
        <v>16882528</v>
      </c>
      <c r="F92" s="387">
        <v>45670</v>
      </c>
      <c r="G92" s="380" t="s">
        <v>55</v>
      </c>
      <c r="H92" s="380">
        <v>1</v>
      </c>
      <c r="I92" s="388">
        <f>568000/4</f>
        <v>142000</v>
      </c>
      <c r="J92" s="380">
        <v>4</v>
      </c>
      <c r="K92" s="389">
        <f t="shared" si="3"/>
        <v>35500</v>
      </c>
      <c r="L92" s="381">
        <v>45670</v>
      </c>
      <c r="M92" s="381">
        <v>46764</v>
      </c>
      <c r="N92" s="363" t="s">
        <v>520</v>
      </c>
      <c r="O92" s="380" t="s">
        <v>0</v>
      </c>
      <c r="P92" s="380"/>
      <c r="Q92" s="390" t="s">
        <v>531</v>
      </c>
      <c r="R92" s="363" t="s">
        <v>541</v>
      </c>
      <c r="S92" s="390" t="s">
        <v>532</v>
      </c>
      <c r="T92" s="363" t="s">
        <v>439</v>
      </c>
      <c r="U92" s="390" t="s">
        <v>533</v>
      </c>
      <c r="V92" s="363" t="s">
        <v>542</v>
      </c>
      <c r="W92" s="390" t="s">
        <v>534</v>
      </c>
      <c r="X92" s="363" t="s">
        <v>543</v>
      </c>
      <c r="Y92" s="363"/>
      <c r="Z92" s="363"/>
      <c r="AA92" s="363"/>
      <c r="AB92" s="363"/>
      <c r="AC92" s="363" t="s">
        <v>128</v>
      </c>
      <c r="AD92" s="380" t="s">
        <v>129</v>
      </c>
      <c r="AE92" s="380">
        <v>4</v>
      </c>
      <c r="AF92" s="363"/>
    </row>
    <row r="93" spans="2:32" ht="14.4" hidden="1" x14ac:dyDescent="0.3">
      <c r="B93" s="380" t="s">
        <v>14</v>
      </c>
      <c r="C93" s="409" t="s">
        <v>544</v>
      </c>
      <c r="D93" s="423" t="s">
        <v>545</v>
      </c>
      <c r="E93" s="419">
        <v>1240051506</v>
      </c>
      <c r="F93" s="387">
        <v>45670</v>
      </c>
      <c r="G93" s="380" t="s">
        <v>55</v>
      </c>
      <c r="H93" s="380">
        <v>2</v>
      </c>
      <c r="I93" s="388">
        <v>144999.96</v>
      </c>
      <c r="J93" s="380">
        <v>3</v>
      </c>
      <c r="K93" s="389">
        <f t="shared" si="3"/>
        <v>48333.32</v>
      </c>
      <c r="L93" s="381">
        <v>45670</v>
      </c>
      <c r="M93" s="381">
        <v>46034</v>
      </c>
      <c r="N93" s="363" t="s">
        <v>19</v>
      </c>
      <c r="O93" s="380" t="s">
        <v>0</v>
      </c>
      <c r="P93" s="380"/>
      <c r="Q93" s="390" t="s">
        <v>546</v>
      </c>
      <c r="R93" s="363" t="s">
        <v>547</v>
      </c>
      <c r="S93" s="390" t="s">
        <v>548</v>
      </c>
      <c r="T93" s="363" t="s">
        <v>549</v>
      </c>
      <c r="U93" s="390" t="s">
        <v>550</v>
      </c>
      <c r="V93" s="363" t="s">
        <v>537</v>
      </c>
      <c r="W93" s="363"/>
      <c r="X93" s="363"/>
      <c r="Y93" s="363"/>
      <c r="Z93" s="363"/>
      <c r="AA93" s="363"/>
      <c r="AB93" s="363"/>
      <c r="AC93" s="363" t="s">
        <v>551</v>
      </c>
      <c r="AD93" s="380" t="s">
        <v>207</v>
      </c>
      <c r="AE93" s="380">
        <v>3</v>
      </c>
      <c r="AF93" s="363"/>
    </row>
    <row r="94" spans="2:32" ht="14.4" hidden="1" x14ac:dyDescent="0.3">
      <c r="B94" s="380" t="s">
        <v>14</v>
      </c>
      <c r="C94" s="409" t="s">
        <v>552</v>
      </c>
      <c r="D94" s="418" t="s">
        <v>151</v>
      </c>
      <c r="E94" s="380" t="s">
        <v>553</v>
      </c>
      <c r="F94" s="387">
        <v>45677</v>
      </c>
      <c r="G94" s="380" t="s">
        <v>55</v>
      </c>
      <c r="H94" s="380">
        <v>2</v>
      </c>
      <c r="I94" s="388">
        <f>332160/2</f>
        <v>166080</v>
      </c>
      <c r="J94" s="380">
        <v>3</v>
      </c>
      <c r="K94" s="389">
        <f t="shared" si="3"/>
        <v>55360</v>
      </c>
      <c r="L94" s="381">
        <v>45658</v>
      </c>
      <c r="M94" s="381">
        <v>46022</v>
      </c>
      <c r="N94" s="363" t="s">
        <v>520</v>
      </c>
      <c r="O94" s="380" t="s">
        <v>0</v>
      </c>
      <c r="P94" s="380"/>
      <c r="Q94" s="390" t="s">
        <v>554</v>
      </c>
      <c r="R94" s="363" t="s">
        <v>555</v>
      </c>
      <c r="S94" s="390" t="s">
        <v>343</v>
      </c>
      <c r="T94" s="363" t="s">
        <v>227</v>
      </c>
      <c r="U94" s="390" t="s">
        <v>345</v>
      </c>
      <c r="V94" s="363" t="s">
        <v>417</v>
      </c>
      <c r="W94" s="363"/>
      <c r="X94" s="363"/>
      <c r="Y94" s="363"/>
      <c r="Z94" s="363"/>
      <c r="AA94" s="363"/>
      <c r="AB94" s="363"/>
      <c r="AC94" s="363" t="s">
        <v>507</v>
      </c>
      <c r="AD94" s="380" t="s">
        <v>63</v>
      </c>
      <c r="AE94" s="380">
        <v>3</v>
      </c>
      <c r="AF94" s="363"/>
    </row>
    <row r="95" spans="2:32" ht="14.4" hidden="1" x14ac:dyDescent="0.3">
      <c r="B95" s="380" t="s">
        <v>14</v>
      </c>
      <c r="C95" s="409" t="s">
        <v>552</v>
      </c>
      <c r="D95" s="418" t="s">
        <v>151</v>
      </c>
      <c r="E95" s="493" t="s">
        <v>553</v>
      </c>
      <c r="F95" s="387">
        <v>45677</v>
      </c>
      <c r="G95" s="380" t="s">
        <v>55</v>
      </c>
      <c r="H95" s="380"/>
      <c r="I95" s="388">
        <f>332160/2</f>
        <v>166080</v>
      </c>
      <c r="J95" s="380">
        <v>3</v>
      </c>
      <c r="K95" s="389">
        <f t="shared" si="3"/>
        <v>55360</v>
      </c>
      <c r="L95" s="381">
        <v>46023</v>
      </c>
      <c r="M95" s="381">
        <v>46387</v>
      </c>
      <c r="N95" s="363" t="s">
        <v>520</v>
      </c>
      <c r="O95" s="380" t="s">
        <v>0</v>
      </c>
      <c r="P95" s="380"/>
      <c r="Q95" s="390" t="s">
        <v>347</v>
      </c>
      <c r="R95" s="363" t="s">
        <v>556</v>
      </c>
      <c r="S95" s="363" t="s">
        <v>348</v>
      </c>
      <c r="T95" s="363"/>
      <c r="U95" s="363" t="s">
        <v>349</v>
      </c>
      <c r="V95" s="363"/>
      <c r="W95" s="363"/>
      <c r="X95" s="363"/>
      <c r="Y95" s="363"/>
      <c r="Z95" s="363"/>
      <c r="AA95" s="363"/>
      <c r="AB95" s="363"/>
      <c r="AC95" s="363" t="s">
        <v>507</v>
      </c>
      <c r="AD95" s="380" t="s">
        <v>63</v>
      </c>
      <c r="AE95" s="380">
        <v>3</v>
      </c>
      <c r="AF95" s="363"/>
    </row>
    <row r="96" spans="2:32" ht="14.4" hidden="1" x14ac:dyDescent="0.3">
      <c r="B96" s="380" t="s">
        <v>14</v>
      </c>
      <c r="C96" s="409" t="s">
        <v>557</v>
      </c>
      <c r="D96" s="386" t="s">
        <v>558</v>
      </c>
      <c r="E96" s="424" t="s">
        <v>559</v>
      </c>
      <c r="F96" s="387">
        <v>45688</v>
      </c>
      <c r="G96" s="380" t="s">
        <v>55</v>
      </c>
      <c r="H96" s="380">
        <v>1</v>
      </c>
      <c r="I96" s="388">
        <v>134698</v>
      </c>
      <c r="J96" s="380">
        <v>4</v>
      </c>
      <c r="K96" s="389">
        <f t="shared" si="3"/>
        <v>33674.5</v>
      </c>
      <c r="L96" s="381">
        <v>45688</v>
      </c>
      <c r="M96" s="381">
        <v>46052</v>
      </c>
      <c r="N96" s="363" t="s">
        <v>19</v>
      </c>
      <c r="O96" s="380" t="s">
        <v>0</v>
      </c>
      <c r="P96" s="380"/>
      <c r="Q96" s="390" t="s">
        <v>560</v>
      </c>
      <c r="R96" s="363" t="s">
        <v>561</v>
      </c>
      <c r="S96" s="390" t="s">
        <v>266</v>
      </c>
      <c r="T96" s="363" t="s">
        <v>562</v>
      </c>
      <c r="U96" s="390" t="s">
        <v>267</v>
      </c>
      <c r="V96" s="363" t="s">
        <v>563</v>
      </c>
      <c r="W96" s="390" t="s">
        <v>564</v>
      </c>
      <c r="X96" s="363" t="s">
        <v>84</v>
      </c>
      <c r="Y96" s="363"/>
      <c r="Z96" s="363"/>
      <c r="AA96" s="363"/>
      <c r="AB96" s="363"/>
      <c r="AC96" s="363" t="s">
        <v>281</v>
      </c>
      <c r="AD96" s="380" t="s">
        <v>97</v>
      </c>
      <c r="AE96" s="380" t="s">
        <v>494</v>
      </c>
      <c r="AF96" s="363"/>
    </row>
    <row r="97" spans="2:32" ht="14.4" hidden="1" x14ac:dyDescent="0.3">
      <c r="B97" s="380" t="s">
        <v>14</v>
      </c>
      <c r="C97" s="409" t="s">
        <v>565</v>
      </c>
      <c r="D97" s="386" t="s">
        <v>566</v>
      </c>
      <c r="E97" s="424">
        <v>1011705960</v>
      </c>
      <c r="F97" s="387">
        <v>45692</v>
      </c>
      <c r="G97" s="380" t="s">
        <v>55</v>
      </c>
      <c r="H97" s="380">
        <v>1</v>
      </c>
      <c r="I97" s="388">
        <v>75000</v>
      </c>
      <c r="J97" s="380">
        <v>2</v>
      </c>
      <c r="K97" s="389">
        <f t="shared" si="3"/>
        <v>37500</v>
      </c>
      <c r="L97" s="381">
        <v>45689</v>
      </c>
      <c r="M97" s="381">
        <v>46053</v>
      </c>
      <c r="N97" s="363" t="s">
        <v>19</v>
      </c>
      <c r="O97" s="380" t="s">
        <v>0</v>
      </c>
      <c r="P97" s="380"/>
      <c r="Q97" s="390" t="s">
        <v>567</v>
      </c>
      <c r="R97" s="363" t="s">
        <v>555</v>
      </c>
      <c r="S97" s="390" t="s">
        <v>424</v>
      </c>
      <c r="T97" s="363" t="s">
        <v>493</v>
      </c>
      <c r="U97" s="363"/>
      <c r="V97" s="363"/>
      <c r="W97" s="363"/>
      <c r="X97" s="363"/>
      <c r="Y97" s="363"/>
      <c r="Z97" s="363"/>
      <c r="AA97" s="363"/>
      <c r="AB97" s="363"/>
      <c r="AC97" s="363" t="s">
        <v>551</v>
      </c>
      <c r="AD97" s="380" t="s">
        <v>207</v>
      </c>
      <c r="AE97" s="380">
        <v>2</v>
      </c>
      <c r="AF97" s="363"/>
    </row>
    <row r="98" spans="2:32" ht="14.4" hidden="1" x14ac:dyDescent="0.3">
      <c r="B98" s="380" t="s">
        <v>14</v>
      </c>
      <c r="C98" s="412" t="s">
        <v>568</v>
      </c>
      <c r="D98" s="413" t="s">
        <v>151</v>
      </c>
      <c r="E98" s="425">
        <v>7700326717</v>
      </c>
      <c r="F98" s="415">
        <v>45693</v>
      </c>
      <c r="G98" s="380" t="s">
        <v>55</v>
      </c>
      <c r="H98" s="380"/>
      <c r="I98" s="388">
        <f>93000*3</f>
        <v>279000</v>
      </c>
      <c r="J98" s="380">
        <v>3</v>
      </c>
      <c r="K98" s="389">
        <f t="shared" si="3"/>
        <v>93000</v>
      </c>
      <c r="L98" s="381">
        <v>45705</v>
      </c>
      <c r="M98" s="381">
        <v>46069</v>
      </c>
      <c r="N98" s="363" t="s">
        <v>19</v>
      </c>
      <c r="O98" s="380" t="s">
        <v>2</v>
      </c>
      <c r="P98" s="380"/>
      <c r="Q98" s="390" t="s">
        <v>569</v>
      </c>
      <c r="R98" s="363" t="s">
        <v>570</v>
      </c>
      <c r="S98" s="390" t="s">
        <v>571</v>
      </c>
      <c r="T98" s="363" t="s">
        <v>126</v>
      </c>
      <c r="U98" s="390" t="s">
        <v>572</v>
      </c>
      <c r="V98" s="363" t="s">
        <v>573</v>
      </c>
      <c r="W98" s="363"/>
      <c r="X98" s="363"/>
      <c r="Y98" s="363"/>
      <c r="Z98" s="363"/>
      <c r="AA98" s="363"/>
      <c r="AB98" s="363"/>
      <c r="AC98" s="363" t="s">
        <v>507</v>
      </c>
      <c r="AD98" s="380" t="s">
        <v>63</v>
      </c>
      <c r="AE98" s="380">
        <v>3</v>
      </c>
      <c r="AF98" s="363"/>
    </row>
    <row r="99" spans="2:32" ht="14.4" hidden="1" x14ac:dyDescent="0.3">
      <c r="B99" s="380" t="s">
        <v>14</v>
      </c>
      <c r="C99" s="412" t="s">
        <v>568</v>
      </c>
      <c r="D99" s="413" t="s">
        <v>151</v>
      </c>
      <c r="E99" s="425">
        <v>7700326717</v>
      </c>
      <c r="F99" s="415">
        <v>45693</v>
      </c>
      <c r="G99" s="380" t="s">
        <v>55</v>
      </c>
      <c r="H99" s="380">
        <v>4</v>
      </c>
      <c r="I99" s="388">
        <f>279000+93000</f>
        <v>372000</v>
      </c>
      <c r="J99" s="380">
        <v>3</v>
      </c>
      <c r="K99" s="389"/>
      <c r="L99" s="381">
        <v>46070</v>
      </c>
      <c r="M99" s="381">
        <v>46434</v>
      </c>
      <c r="N99" s="363" t="s">
        <v>520</v>
      </c>
      <c r="O99" s="380" t="s">
        <v>2</v>
      </c>
      <c r="P99" s="380"/>
      <c r="Q99" s="390" t="s">
        <v>574</v>
      </c>
      <c r="R99" s="363" t="s">
        <v>1714</v>
      </c>
      <c r="S99" s="363" t="s">
        <v>575</v>
      </c>
      <c r="T99" s="363"/>
      <c r="U99" s="363" t="s">
        <v>576</v>
      </c>
      <c r="V99" s="363"/>
      <c r="W99" s="363"/>
      <c r="X99" s="363"/>
      <c r="Y99" s="363"/>
      <c r="Z99" s="363"/>
      <c r="AA99" s="363"/>
      <c r="AB99" s="363"/>
      <c r="AC99" s="363" t="s">
        <v>507</v>
      </c>
      <c r="AD99" s="380" t="s">
        <v>63</v>
      </c>
      <c r="AE99" s="380">
        <v>3</v>
      </c>
      <c r="AF99" s="363"/>
    </row>
    <row r="100" spans="2:32" ht="14.4" hidden="1" x14ac:dyDescent="0.3">
      <c r="B100" s="380" t="s">
        <v>14</v>
      </c>
      <c r="C100" s="409" t="s">
        <v>568</v>
      </c>
      <c r="D100" s="386" t="s">
        <v>151</v>
      </c>
      <c r="E100" s="380">
        <v>7700326717</v>
      </c>
      <c r="F100" s="387">
        <v>45693</v>
      </c>
      <c r="G100" s="380" t="s">
        <v>55</v>
      </c>
      <c r="H100" s="380"/>
      <c r="I100" s="388">
        <f>279000+93000</f>
        <v>372000</v>
      </c>
      <c r="J100" s="380">
        <v>3</v>
      </c>
      <c r="K100" s="389"/>
      <c r="L100" s="381">
        <v>46435</v>
      </c>
      <c r="M100" s="381">
        <v>46799</v>
      </c>
      <c r="N100" s="363" t="s">
        <v>520</v>
      </c>
      <c r="O100" s="380" t="s">
        <v>2</v>
      </c>
      <c r="P100" s="380"/>
      <c r="Q100" s="363" t="s">
        <v>577</v>
      </c>
      <c r="R100" s="363"/>
      <c r="S100" s="363" t="s">
        <v>578</v>
      </c>
      <c r="T100" s="363"/>
      <c r="U100" s="363" t="s">
        <v>579</v>
      </c>
      <c r="V100" s="363"/>
      <c r="W100" s="363"/>
      <c r="X100" s="363"/>
      <c r="Y100" s="363"/>
      <c r="Z100" s="363"/>
      <c r="AA100" s="363"/>
      <c r="AB100" s="363"/>
      <c r="AC100" s="363" t="s">
        <v>507</v>
      </c>
      <c r="AD100" s="380" t="s">
        <v>63</v>
      </c>
      <c r="AE100" s="380">
        <v>3</v>
      </c>
      <c r="AF100" s="363"/>
    </row>
    <row r="101" spans="2:32" ht="14.4" hidden="1" x14ac:dyDescent="0.3">
      <c r="B101" s="380" t="s">
        <v>14</v>
      </c>
      <c r="C101" s="412" t="s">
        <v>580</v>
      </c>
      <c r="D101" s="413" t="s">
        <v>581</v>
      </c>
      <c r="E101" s="426">
        <v>24008608</v>
      </c>
      <c r="F101" s="415">
        <v>45698</v>
      </c>
      <c r="G101" s="380" t="s">
        <v>55</v>
      </c>
      <c r="H101" s="380">
        <v>1</v>
      </c>
      <c r="I101" s="388">
        <v>90000</v>
      </c>
      <c r="J101" s="380">
        <v>3</v>
      </c>
      <c r="K101" s="389">
        <f t="shared" ref="K101:K132" si="4">I101/J101</f>
        <v>30000</v>
      </c>
      <c r="L101" s="381">
        <v>45689</v>
      </c>
      <c r="M101" s="381">
        <v>46053</v>
      </c>
      <c r="N101" s="363" t="s">
        <v>19</v>
      </c>
      <c r="O101" s="380" t="s">
        <v>0</v>
      </c>
      <c r="P101" s="380"/>
      <c r="Q101" s="390" t="s">
        <v>79</v>
      </c>
      <c r="R101" s="363" t="s">
        <v>413</v>
      </c>
      <c r="S101" s="390" t="s">
        <v>81</v>
      </c>
      <c r="T101" s="363" t="s">
        <v>582</v>
      </c>
      <c r="U101" s="390" t="s">
        <v>83</v>
      </c>
      <c r="V101" s="363" t="s">
        <v>320</v>
      </c>
      <c r="W101" s="363"/>
      <c r="X101" s="363"/>
      <c r="Y101" s="363"/>
      <c r="Z101" s="363"/>
      <c r="AA101" s="363"/>
      <c r="AB101" s="363"/>
      <c r="AC101" s="363" t="s">
        <v>183</v>
      </c>
      <c r="AD101" s="380" t="s">
        <v>97</v>
      </c>
      <c r="AE101" s="380">
        <v>2</v>
      </c>
      <c r="AF101" s="363"/>
    </row>
    <row r="102" spans="2:32" ht="14.4" hidden="1" x14ac:dyDescent="0.3">
      <c r="B102" s="380" t="s">
        <v>14</v>
      </c>
      <c r="C102" s="427" t="s">
        <v>583</v>
      </c>
      <c r="D102" s="413" t="s">
        <v>176</v>
      </c>
      <c r="E102" s="416" t="s">
        <v>584</v>
      </c>
      <c r="F102" s="387">
        <v>45699</v>
      </c>
      <c r="G102" s="380" t="s">
        <v>55</v>
      </c>
      <c r="H102" s="380">
        <v>1</v>
      </c>
      <c r="I102" s="428">
        <v>142080</v>
      </c>
      <c r="J102" s="380">
        <v>2</v>
      </c>
      <c r="K102" s="389">
        <f t="shared" si="4"/>
        <v>71040</v>
      </c>
      <c r="L102" s="381">
        <v>45689</v>
      </c>
      <c r="M102" s="381">
        <v>46053</v>
      </c>
      <c r="N102" s="363" t="s">
        <v>19</v>
      </c>
      <c r="O102" s="380" t="s">
        <v>0</v>
      </c>
      <c r="P102" s="380"/>
      <c r="Q102" s="390" t="s">
        <v>422</v>
      </c>
      <c r="R102" s="363" t="s">
        <v>585</v>
      </c>
      <c r="S102" s="390" t="s">
        <v>424</v>
      </c>
      <c r="T102" s="363" t="s">
        <v>586</v>
      </c>
      <c r="U102" s="363"/>
      <c r="V102" s="363"/>
      <c r="W102" s="363"/>
      <c r="X102" s="363"/>
      <c r="Y102" s="363"/>
      <c r="Z102" s="363"/>
      <c r="AA102" s="363"/>
      <c r="AB102" s="363"/>
      <c r="AC102" s="363" t="s">
        <v>183</v>
      </c>
      <c r="AD102" s="380" t="s">
        <v>97</v>
      </c>
      <c r="AE102" s="380">
        <v>2</v>
      </c>
      <c r="AF102" s="363"/>
    </row>
    <row r="103" spans="2:32" ht="14.4" hidden="1" x14ac:dyDescent="0.3">
      <c r="B103" s="380" t="s">
        <v>14</v>
      </c>
      <c r="C103" s="409" t="s">
        <v>587</v>
      </c>
      <c r="D103" s="386" t="s">
        <v>176</v>
      </c>
      <c r="E103" s="424">
        <v>4800012618</v>
      </c>
      <c r="F103" s="387">
        <v>45673</v>
      </c>
      <c r="G103" s="380" t="s">
        <v>55</v>
      </c>
      <c r="H103" s="380">
        <v>1</v>
      </c>
      <c r="I103" s="388">
        <v>86350</v>
      </c>
      <c r="J103" s="380">
        <v>2</v>
      </c>
      <c r="K103" s="389">
        <f t="shared" si="4"/>
        <v>43175</v>
      </c>
      <c r="L103" s="381">
        <v>45689</v>
      </c>
      <c r="M103" s="381">
        <v>46053</v>
      </c>
      <c r="N103" s="363" t="s">
        <v>19</v>
      </c>
      <c r="O103" s="380" t="s">
        <v>0</v>
      </c>
      <c r="P103" s="380"/>
      <c r="Q103" s="390" t="s">
        <v>422</v>
      </c>
      <c r="R103" s="363" t="s">
        <v>225</v>
      </c>
      <c r="S103" s="390" t="s">
        <v>424</v>
      </c>
      <c r="T103" s="363" t="s">
        <v>588</v>
      </c>
      <c r="U103" s="363"/>
      <c r="V103" s="363"/>
      <c r="W103" s="363"/>
      <c r="X103" s="363"/>
      <c r="Y103" s="363"/>
      <c r="Z103" s="363"/>
      <c r="AA103" s="363"/>
      <c r="AB103" s="363"/>
      <c r="AC103" s="363" t="s">
        <v>183</v>
      </c>
      <c r="AD103" s="380" t="s">
        <v>97</v>
      </c>
      <c r="AE103" s="380">
        <v>2</v>
      </c>
      <c r="AF103" s="363"/>
    </row>
    <row r="104" spans="2:32" ht="14.4" hidden="1" x14ac:dyDescent="0.3">
      <c r="B104" s="380" t="s">
        <v>14</v>
      </c>
      <c r="C104" s="409" t="s">
        <v>589</v>
      </c>
      <c r="D104" s="386" t="s">
        <v>590</v>
      </c>
      <c r="E104" s="424">
        <v>4508578495</v>
      </c>
      <c r="F104" s="387">
        <v>45700</v>
      </c>
      <c r="G104" s="380" t="s">
        <v>55</v>
      </c>
      <c r="H104" s="380">
        <v>1</v>
      </c>
      <c r="I104" s="388">
        <v>137750</v>
      </c>
      <c r="J104" s="380">
        <v>3</v>
      </c>
      <c r="K104" s="389">
        <f t="shared" si="4"/>
        <v>45916.666666666664</v>
      </c>
      <c r="L104" s="381">
        <v>45698</v>
      </c>
      <c r="M104" s="381">
        <v>46062</v>
      </c>
      <c r="N104" s="363" t="s">
        <v>19</v>
      </c>
      <c r="O104" s="380" t="s">
        <v>2</v>
      </c>
      <c r="P104" s="380"/>
      <c r="Q104" s="390" t="s">
        <v>591</v>
      </c>
      <c r="R104" s="363" t="s">
        <v>555</v>
      </c>
      <c r="S104" s="390" t="s">
        <v>592</v>
      </c>
      <c r="T104" s="363" t="s">
        <v>464</v>
      </c>
      <c r="U104" s="390" t="s">
        <v>593</v>
      </c>
      <c r="V104" s="363" t="s">
        <v>594</v>
      </c>
      <c r="W104" s="363"/>
      <c r="X104" s="363"/>
      <c r="Y104" s="363"/>
      <c r="Z104" s="363"/>
      <c r="AA104" s="363"/>
      <c r="AB104" s="363"/>
      <c r="AC104" s="363" t="s">
        <v>551</v>
      </c>
      <c r="AD104" s="380" t="s">
        <v>207</v>
      </c>
      <c r="AE104" s="380">
        <v>3</v>
      </c>
      <c r="AF104" s="363"/>
    </row>
    <row r="105" spans="2:32" ht="14.4" hidden="1" x14ac:dyDescent="0.3">
      <c r="B105" s="380" t="s">
        <v>14</v>
      </c>
      <c r="C105" s="409" t="s">
        <v>595</v>
      </c>
      <c r="D105" s="386" t="s">
        <v>596</v>
      </c>
      <c r="E105" s="424">
        <v>3110014461</v>
      </c>
      <c r="F105" s="387">
        <v>45700</v>
      </c>
      <c r="G105" s="380" t="s">
        <v>55</v>
      </c>
      <c r="H105" s="380">
        <v>1</v>
      </c>
      <c r="I105" s="388">
        <v>50000</v>
      </c>
      <c r="J105" s="380">
        <v>2</v>
      </c>
      <c r="K105" s="389">
        <f t="shared" si="4"/>
        <v>25000</v>
      </c>
      <c r="L105" s="381">
        <v>45748</v>
      </c>
      <c r="M105" s="381">
        <v>46112</v>
      </c>
      <c r="N105" s="363" t="s">
        <v>19</v>
      </c>
      <c r="O105" s="380" t="s">
        <v>3</v>
      </c>
      <c r="P105" s="380"/>
      <c r="Q105" s="390" t="s">
        <v>463</v>
      </c>
      <c r="R105" s="363" t="s">
        <v>537</v>
      </c>
      <c r="S105" s="390" t="s">
        <v>465</v>
      </c>
      <c r="T105" s="363" t="s">
        <v>597</v>
      </c>
      <c r="U105" s="363"/>
      <c r="V105" s="363"/>
      <c r="W105" s="363"/>
      <c r="X105" s="363"/>
      <c r="Y105" s="363"/>
      <c r="Z105" s="363"/>
      <c r="AA105" s="363"/>
      <c r="AB105" s="363"/>
      <c r="AC105" s="363" t="s">
        <v>507</v>
      </c>
      <c r="AD105" s="380" t="s">
        <v>63</v>
      </c>
      <c r="AE105" s="380">
        <v>2</v>
      </c>
      <c r="AF105" s="363"/>
    </row>
    <row r="106" spans="2:32" ht="14.4" hidden="1" x14ac:dyDescent="0.3">
      <c r="B106" s="380" t="s">
        <v>14</v>
      </c>
      <c r="C106" s="409" t="s">
        <v>598</v>
      </c>
      <c r="D106" s="386" t="s">
        <v>599</v>
      </c>
      <c r="E106" s="419">
        <v>3001027074</v>
      </c>
      <c r="F106" s="387">
        <v>45702</v>
      </c>
      <c r="G106" s="380" t="s">
        <v>55</v>
      </c>
      <c r="H106" s="380">
        <v>5</v>
      </c>
      <c r="I106" s="388">
        <v>290000</v>
      </c>
      <c r="J106" s="380">
        <v>2</v>
      </c>
      <c r="K106" s="389">
        <f t="shared" si="4"/>
        <v>145000</v>
      </c>
      <c r="L106" s="381">
        <v>45702</v>
      </c>
      <c r="M106" s="381">
        <v>46065</v>
      </c>
      <c r="N106" s="363" t="s">
        <v>19</v>
      </c>
      <c r="O106" s="380" t="s">
        <v>2</v>
      </c>
      <c r="P106" s="380"/>
      <c r="Q106" s="390" t="s">
        <v>600</v>
      </c>
      <c r="R106" s="363" t="s">
        <v>601</v>
      </c>
      <c r="S106" s="390" t="s">
        <v>602</v>
      </c>
      <c r="T106" s="363" t="s">
        <v>573</v>
      </c>
      <c r="U106" s="363"/>
      <c r="V106" s="363"/>
      <c r="W106" s="363"/>
      <c r="X106" s="363"/>
      <c r="Y106" s="363"/>
      <c r="Z106" s="363"/>
      <c r="AA106" s="363"/>
      <c r="AB106" s="363"/>
      <c r="AC106" s="363" t="s">
        <v>485</v>
      </c>
      <c r="AD106" s="380" t="s">
        <v>63</v>
      </c>
      <c r="AE106" s="380">
        <v>2</v>
      </c>
      <c r="AF106" s="363" t="s">
        <v>603</v>
      </c>
    </row>
    <row r="107" spans="2:32" ht="14.4" hidden="1" x14ac:dyDescent="0.3">
      <c r="B107" s="380" t="s">
        <v>14</v>
      </c>
      <c r="C107" s="409" t="s">
        <v>604</v>
      </c>
      <c r="D107" s="386" t="s">
        <v>605</v>
      </c>
      <c r="E107" s="380">
        <v>5700171274</v>
      </c>
      <c r="F107" s="387">
        <v>45705</v>
      </c>
      <c r="G107" s="380" t="s">
        <v>55</v>
      </c>
      <c r="H107" s="380">
        <v>5</v>
      </c>
      <c r="I107" s="388">
        <v>591675</v>
      </c>
      <c r="J107" s="380">
        <v>2</v>
      </c>
      <c r="K107" s="389">
        <f t="shared" si="4"/>
        <v>295837.5</v>
      </c>
      <c r="L107" s="381">
        <v>45658</v>
      </c>
      <c r="M107" s="381">
        <v>46022</v>
      </c>
      <c r="N107" s="363" t="s">
        <v>520</v>
      </c>
      <c r="O107" s="380" t="s">
        <v>2</v>
      </c>
      <c r="P107" s="380"/>
      <c r="Q107" s="390" t="s">
        <v>482</v>
      </c>
      <c r="R107" s="363" t="s">
        <v>371</v>
      </c>
      <c r="S107" s="390" t="s">
        <v>483</v>
      </c>
      <c r="T107" s="363" t="s">
        <v>606</v>
      </c>
      <c r="U107" s="363"/>
      <c r="V107" s="363"/>
      <c r="W107" s="363"/>
      <c r="X107" s="363"/>
      <c r="Y107" s="363"/>
      <c r="Z107" s="363"/>
      <c r="AA107" s="363"/>
      <c r="AB107" s="363"/>
      <c r="AC107" s="363" t="s">
        <v>485</v>
      </c>
      <c r="AD107" s="380" t="s">
        <v>63</v>
      </c>
      <c r="AE107" s="380">
        <v>3</v>
      </c>
      <c r="AF107" s="363"/>
    </row>
    <row r="108" spans="2:32" ht="14.4" hidden="1" x14ac:dyDescent="0.3">
      <c r="B108" s="380" t="s">
        <v>14</v>
      </c>
      <c r="C108" s="409" t="s">
        <v>604</v>
      </c>
      <c r="D108" s="386" t="s">
        <v>605</v>
      </c>
      <c r="E108" s="380">
        <v>5700171274</v>
      </c>
      <c r="F108" s="387">
        <v>45705</v>
      </c>
      <c r="G108" s="380"/>
      <c r="H108" s="380"/>
      <c r="I108" s="388">
        <v>591675</v>
      </c>
      <c r="J108" s="380">
        <v>2</v>
      </c>
      <c r="K108" s="389">
        <f t="shared" si="4"/>
        <v>295837.5</v>
      </c>
      <c r="L108" s="381">
        <v>46023</v>
      </c>
      <c r="M108" s="381">
        <v>46387</v>
      </c>
      <c r="N108" s="363" t="s">
        <v>520</v>
      </c>
      <c r="O108" s="380" t="s">
        <v>2</v>
      </c>
      <c r="P108" s="380"/>
      <c r="Q108" s="390" t="s">
        <v>607</v>
      </c>
      <c r="R108" s="363" t="s">
        <v>1850</v>
      </c>
      <c r="S108" s="363" t="s">
        <v>608</v>
      </c>
      <c r="T108" s="363"/>
      <c r="U108" s="363"/>
      <c r="V108" s="363"/>
      <c r="W108" s="363"/>
      <c r="X108" s="363"/>
      <c r="Y108" s="363"/>
      <c r="Z108" s="363"/>
      <c r="AA108" s="363"/>
      <c r="AB108" s="363"/>
      <c r="AC108" s="363" t="s">
        <v>485</v>
      </c>
      <c r="AD108" s="380" t="s">
        <v>63</v>
      </c>
      <c r="AE108" s="380">
        <v>3</v>
      </c>
      <c r="AF108" s="363"/>
    </row>
    <row r="109" spans="2:32" ht="14.4" hidden="1" x14ac:dyDescent="0.3">
      <c r="B109" s="380" t="s">
        <v>14</v>
      </c>
      <c r="C109" s="429" t="s">
        <v>609</v>
      </c>
      <c r="D109" s="386" t="s">
        <v>86</v>
      </c>
      <c r="E109" s="419">
        <v>3791225209</v>
      </c>
      <c r="F109" s="387">
        <v>45695</v>
      </c>
      <c r="G109" s="380" t="s">
        <v>55</v>
      </c>
      <c r="H109" s="380">
        <v>2</v>
      </c>
      <c r="I109" s="388">
        <v>364800</v>
      </c>
      <c r="J109" s="380">
        <v>3</v>
      </c>
      <c r="K109" s="389">
        <f t="shared" si="4"/>
        <v>121600</v>
      </c>
      <c r="L109" s="381">
        <v>45689</v>
      </c>
      <c r="M109" s="381">
        <v>46053</v>
      </c>
      <c r="N109" s="363" t="s">
        <v>19</v>
      </c>
      <c r="O109" s="380" t="s">
        <v>0</v>
      </c>
      <c r="P109" s="380" t="s">
        <v>1</v>
      </c>
      <c r="Q109" s="390" t="s">
        <v>79</v>
      </c>
      <c r="R109" s="363" t="s">
        <v>610</v>
      </c>
      <c r="S109" s="390" t="s">
        <v>81</v>
      </c>
      <c r="T109" s="363" t="s">
        <v>611</v>
      </c>
      <c r="U109" s="390" t="s">
        <v>83</v>
      </c>
      <c r="V109" s="430" t="s">
        <v>612</v>
      </c>
      <c r="W109" s="363"/>
      <c r="X109" s="363"/>
      <c r="Y109" s="363"/>
      <c r="Z109" s="363"/>
      <c r="AA109" s="363"/>
      <c r="AB109" s="363"/>
      <c r="AC109" s="363" t="s">
        <v>281</v>
      </c>
      <c r="AD109" s="380" t="s">
        <v>97</v>
      </c>
      <c r="AE109" s="380">
        <v>3</v>
      </c>
      <c r="AF109" s="363" t="s">
        <v>613</v>
      </c>
    </row>
    <row r="110" spans="2:32" ht="14.4" hidden="1" x14ac:dyDescent="0.3">
      <c r="B110" s="380" t="s">
        <v>14</v>
      </c>
      <c r="C110" s="412" t="s">
        <v>614</v>
      </c>
      <c r="D110" s="413" t="s">
        <v>53</v>
      </c>
      <c r="E110" s="414" t="s">
        <v>615</v>
      </c>
      <c r="F110" s="415">
        <v>45714</v>
      </c>
      <c r="G110" s="380" t="s">
        <v>616</v>
      </c>
      <c r="H110" s="380">
        <v>2</v>
      </c>
      <c r="I110" s="388">
        <v>147000</v>
      </c>
      <c r="J110" s="380">
        <v>3</v>
      </c>
      <c r="K110" s="389">
        <f t="shared" si="4"/>
        <v>49000</v>
      </c>
      <c r="L110" s="381">
        <v>45658</v>
      </c>
      <c r="M110" s="381">
        <v>46022</v>
      </c>
      <c r="N110" s="363" t="s">
        <v>19</v>
      </c>
      <c r="O110" s="380">
        <v>2025</v>
      </c>
      <c r="P110" s="380"/>
      <c r="Q110" s="390" t="s">
        <v>341</v>
      </c>
      <c r="R110" s="363" t="s">
        <v>617</v>
      </c>
      <c r="S110" s="390" t="s">
        <v>343</v>
      </c>
      <c r="T110" s="363" t="s">
        <v>601</v>
      </c>
      <c r="U110" s="390" t="s">
        <v>345</v>
      </c>
      <c r="V110" s="363" t="s">
        <v>618</v>
      </c>
      <c r="W110" s="363"/>
      <c r="X110" s="363"/>
      <c r="Y110" s="363"/>
      <c r="Z110" s="363"/>
      <c r="AA110" s="363"/>
      <c r="AB110" s="363"/>
      <c r="AC110" s="363" t="s">
        <v>619</v>
      </c>
      <c r="AD110" s="380" t="s">
        <v>63</v>
      </c>
      <c r="AE110" s="380">
        <v>3</v>
      </c>
      <c r="AF110" s="363"/>
    </row>
    <row r="111" spans="2:32" ht="14.4" hidden="1" x14ac:dyDescent="0.3">
      <c r="B111" s="380" t="s">
        <v>14</v>
      </c>
      <c r="C111" s="409" t="s">
        <v>604</v>
      </c>
      <c r="D111" s="386" t="s">
        <v>620</v>
      </c>
      <c r="E111" s="419">
        <v>5700166357</v>
      </c>
      <c r="F111" s="387">
        <v>45679</v>
      </c>
      <c r="G111" s="380" t="s">
        <v>616</v>
      </c>
      <c r="H111" s="380">
        <v>8</v>
      </c>
      <c r="I111" s="388">
        <v>946680</v>
      </c>
      <c r="J111" s="380">
        <v>2</v>
      </c>
      <c r="K111" s="389">
        <f t="shared" si="4"/>
        <v>473340</v>
      </c>
      <c r="L111" s="381">
        <v>45658</v>
      </c>
      <c r="M111" s="381">
        <v>46022</v>
      </c>
      <c r="N111" s="363" t="s">
        <v>19</v>
      </c>
      <c r="O111" s="380">
        <v>2025</v>
      </c>
      <c r="P111" s="380" t="s">
        <v>1</v>
      </c>
      <c r="Q111" s="390" t="s">
        <v>621</v>
      </c>
      <c r="R111" s="363" t="s">
        <v>622</v>
      </c>
      <c r="S111" s="390" t="s">
        <v>483</v>
      </c>
      <c r="T111" s="363" t="s">
        <v>623</v>
      </c>
      <c r="U111" s="363"/>
      <c r="V111" s="363"/>
      <c r="W111" s="363"/>
      <c r="X111" s="363"/>
      <c r="Y111" s="363"/>
      <c r="Z111" s="363"/>
      <c r="AA111" s="363"/>
      <c r="AB111" s="363"/>
      <c r="AC111" s="363" t="s">
        <v>619</v>
      </c>
      <c r="AD111" s="380" t="s">
        <v>63</v>
      </c>
      <c r="AE111" s="380">
        <v>3</v>
      </c>
      <c r="AF111" s="363"/>
    </row>
    <row r="112" spans="2:32" ht="14.4" hidden="1" x14ac:dyDescent="0.3">
      <c r="B112" s="380" t="s">
        <v>14</v>
      </c>
      <c r="C112" s="409" t="s">
        <v>598</v>
      </c>
      <c r="D112" s="386" t="s">
        <v>388</v>
      </c>
      <c r="E112" s="424">
        <v>3001030991</v>
      </c>
      <c r="F112" s="387">
        <v>45719</v>
      </c>
      <c r="G112" s="380" t="s">
        <v>616</v>
      </c>
      <c r="H112" s="380">
        <v>2</v>
      </c>
      <c r="I112" s="388">
        <v>116000</v>
      </c>
      <c r="J112" s="380">
        <v>2</v>
      </c>
      <c r="K112" s="389">
        <f t="shared" si="4"/>
        <v>58000</v>
      </c>
      <c r="L112" s="381">
        <v>45717</v>
      </c>
      <c r="M112" s="381">
        <v>46081</v>
      </c>
      <c r="N112" s="363" t="s">
        <v>19</v>
      </c>
      <c r="O112" s="380" t="s">
        <v>2</v>
      </c>
      <c r="P112" s="380"/>
      <c r="Q112" s="390" t="s">
        <v>624</v>
      </c>
      <c r="R112" s="363" t="s">
        <v>423</v>
      </c>
      <c r="S112" s="390" t="s">
        <v>625</v>
      </c>
      <c r="T112" s="363" t="s">
        <v>626</v>
      </c>
      <c r="U112" s="363"/>
      <c r="V112" s="363"/>
      <c r="W112" s="363"/>
      <c r="X112" s="363"/>
      <c r="Y112" s="363"/>
      <c r="Z112" s="363"/>
      <c r="AA112" s="363"/>
      <c r="AB112" s="363"/>
      <c r="AC112" s="363" t="s">
        <v>478</v>
      </c>
      <c r="AD112" s="380" t="s">
        <v>63</v>
      </c>
      <c r="AE112" s="380">
        <v>2</v>
      </c>
      <c r="AF112" s="431" t="s">
        <v>627</v>
      </c>
    </row>
    <row r="113" spans="2:32" ht="14.4" hidden="1" x14ac:dyDescent="0.3">
      <c r="B113" s="380" t="s">
        <v>14</v>
      </c>
      <c r="C113" s="412" t="s">
        <v>628</v>
      </c>
      <c r="D113" s="413" t="s">
        <v>629</v>
      </c>
      <c r="E113" s="416" t="s">
        <v>630</v>
      </c>
      <c r="F113" s="415">
        <v>45727</v>
      </c>
      <c r="G113" s="425" t="s">
        <v>616</v>
      </c>
      <c r="H113" s="425">
        <v>1</v>
      </c>
      <c r="I113" s="432">
        <v>52000</v>
      </c>
      <c r="J113" s="380">
        <v>1</v>
      </c>
      <c r="K113" s="389">
        <f t="shared" si="4"/>
        <v>52000</v>
      </c>
      <c r="L113" s="381">
        <v>45748</v>
      </c>
      <c r="M113" s="381">
        <v>46112</v>
      </c>
      <c r="N113" s="363" t="s">
        <v>19</v>
      </c>
      <c r="O113" s="380" t="s">
        <v>3</v>
      </c>
      <c r="P113" s="380"/>
      <c r="Q113" s="390" t="s">
        <v>631</v>
      </c>
      <c r="R113" s="363" t="s">
        <v>632</v>
      </c>
      <c r="S113" s="363"/>
      <c r="T113" s="363"/>
      <c r="U113" s="363"/>
      <c r="V113" s="363"/>
      <c r="W113" s="363"/>
      <c r="X113" s="363"/>
      <c r="Y113" s="363"/>
      <c r="Z113" s="363"/>
      <c r="AA113" s="363"/>
      <c r="AB113" s="363"/>
      <c r="AC113" s="363" t="s">
        <v>485</v>
      </c>
      <c r="AD113" s="380" t="s">
        <v>63</v>
      </c>
      <c r="AE113" s="380">
        <v>2</v>
      </c>
      <c r="AF113" s="363" t="s">
        <v>633</v>
      </c>
    </row>
    <row r="114" spans="2:32" ht="14.4" hidden="1" x14ac:dyDescent="0.3">
      <c r="B114" s="380" t="s">
        <v>14</v>
      </c>
      <c r="C114" s="409" t="s">
        <v>634</v>
      </c>
      <c r="D114" s="386" t="s">
        <v>447</v>
      </c>
      <c r="E114" s="380">
        <v>4500262958</v>
      </c>
      <c r="F114" s="387">
        <v>45727</v>
      </c>
      <c r="G114" s="380" t="s">
        <v>616</v>
      </c>
      <c r="H114" s="380">
        <v>2</v>
      </c>
      <c r="I114" s="388">
        <f>597000/3</f>
        <v>199000</v>
      </c>
      <c r="J114" s="380">
        <v>4</v>
      </c>
      <c r="K114" s="389">
        <f t="shared" si="4"/>
        <v>49750</v>
      </c>
      <c r="L114" s="381">
        <v>45658</v>
      </c>
      <c r="M114" s="381">
        <v>46022</v>
      </c>
      <c r="N114" s="363" t="s">
        <v>520</v>
      </c>
      <c r="O114" s="380" t="s">
        <v>3</v>
      </c>
      <c r="P114" s="380"/>
      <c r="Q114" s="390" t="s">
        <v>390</v>
      </c>
      <c r="R114" s="363" t="s">
        <v>635</v>
      </c>
      <c r="S114" s="390" t="s">
        <v>391</v>
      </c>
      <c r="T114" s="363" t="s">
        <v>636</v>
      </c>
      <c r="U114" s="390" t="s">
        <v>168</v>
      </c>
      <c r="V114" s="363" t="s">
        <v>637</v>
      </c>
      <c r="W114" s="390" t="s">
        <v>228</v>
      </c>
      <c r="X114" s="363" t="s">
        <v>493</v>
      </c>
      <c r="Y114" s="363"/>
      <c r="Z114" s="363"/>
      <c r="AA114" s="363"/>
      <c r="AB114" s="363"/>
      <c r="AC114" s="363" t="s">
        <v>96</v>
      </c>
      <c r="AD114" s="380" t="s">
        <v>97</v>
      </c>
      <c r="AE114" s="380" t="s">
        <v>494</v>
      </c>
      <c r="AF114" s="363" t="s">
        <v>638</v>
      </c>
    </row>
    <row r="115" spans="2:32" ht="14.4" hidden="1" x14ac:dyDescent="0.3">
      <c r="B115" s="380" t="s">
        <v>14</v>
      </c>
      <c r="C115" s="409" t="s">
        <v>634</v>
      </c>
      <c r="D115" s="386" t="s">
        <v>447</v>
      </c>
      <c r="E115" s="380">
        <v>4500262958</v>
      </c>
      <c r="F115" s="387">
        <v>45727</v>
      </c>
      <c r="G115" s="380"/>
      <c r="H115" s="380"/>
      <c r="I115" s="388">
        <v>199000</v>
      </c>
      <c r="J115" s="380">
        <v>4</v>
      </c>
      <c r="K115" s="389">
        <f t="shared" si="4"/>
        <v>49750</v>
      </c>
      <c r="L115" s="381">
        <v>46023</v>
      </c>
      <c r="M115" s="381">
        <v>46387</v>
      </c>
      <c r="N115" s="363" t="s">
        <v>520</v>
      </c>
      <c r="O115" s="380" t="s">
        <v>3</v>
      </c>
      <c r="P115" s="380"/>
      <c r="Q115" s="390" t="s">
        <v>396</v>
      </c>
      <c r="R115" s="363" t="s">
        <v>639</v>
      </c>
      <c r="S115" s="390" t="s">
        <v>397</v>
      </c>
      <c r="T115" s="363" t="s">
        <v>1715</v>
      </c>
      <c r="U115" s="363" t="s">
        <v>496</v>
      </c>
      <c r="V115" s="363"/>
      <c r="W115" s="363" t="s">
        <v>497</v>
      </c>
      <c r="X115" s="363"/>
      <c r="Y115" s="363"/>
      <c r="Z115" s="363"/>
      <c r="AA115" s="363"/>
      <c r="AB115" s="363"/>
      <c r="AC115" s="363" t="s">
        <v>96</v>
      </c>
      <c r="AD115" s="380" t="s">
        <v>97</v>
      </c>
      <c r="AE115" s="380" t="s">
        <v>494</v>
      </c>
      <c r="AF115" s="363"/>
    </row>
    <row r="116" spans="2:32" ht="14.4" hidden="1" x14ac:dyDescent="0.3">
      <c r="B116" s="380" t="s">
        <v>14</v>
      </c>
      <c r="C116" s="409" t="s">
        <v>634</v>
      </c>
      <c r="D116" s="386" t="s">
        <v>447</v>
      </c>
      <c r="E116" s="380">
        <v>4500262958</v>
      </c>
      <c r="F116" s="387">
        <v>45727</v>
      </c>
      <c r="G116" s="380"/>
      <c r="H116" s="380"/>
      <c r="I116" s="388">
        <v>199000</v>
      </c>
      <c r="J116" s="380">
        <v>4</v>
      </c>
      <c r="K116" s="389">
        <f t="shared" si="4"/>
        <v>49750</v>
      </c>
      <c r="L116" s="381">
        <v>46388</v>
      </c>
      <c r="M116" s="381">
        <v>46752</v>
      </c>
      <c r="N116" s="363" t="s">
        <v>520</v>
      </c>
      <c r="O116" s="380" t="s">
        <v>3</v>
      </c>
      <c r="P116" s="380"/>
      <c r="Q116" s="363" t="s">
        <v>498</v>
      </c>
      <c r="R116" s="363"/>
      <c r="S116" s="363" t="s">
        <v>499</v>
      </c>
      <c r="T116" s="363"/>
      <c r="U116" s="363" t="s">
        <v>500</v>
      </c>
      <c r="V116" s="363"/>
      <c r="W116" s="363" t="s">
        <v>501</v>
      </c>
      <c r="X116" s="363"/>
      <c r="Y116" s="363"/>
      <c r="Z116" s="363"/>
      <c r="AA116" s="363"/>
      <c r="AB116" s="363"/>
      <c r="AC116" s="363" t="s">
        <v>96</v>
      </c>
      <c r="AD116" s="380" t="s">
        <v>97</v>
      </c>
      <c r="AE116" s="380" t="s">
        <v>494</v>
      </c>
      <c r="AF116" s="363"/>
    </row>
    <row r="117" spans="2:32" ht="14.4" hidden="1" x14ac:dyDescent="0.3">
      <c r="B117" s="380" t="s">
        <v>14</v>
      </c>
      <c r="C117" s="409" t="s">
        <v>640</v>
      </c>
      <c r="D117" s="386" t="s">
        <v>641</v>
      </c>
      <c r="E117" s="380" t="s">
        <v>642</v>
      </c>
      <c r="F117" s="387">
        <v>45731</v>
      </c>
      <c r="G117" s="380" t="s">
        <v>643</v>
      </c>
      <c r="H117" s="380">
        <v>3</v>
      </c>
      <c r="I117" s="388">
        <v>152460</v>
      </c>
      <c r="J117" s="380">
        <v>1</v>
      </c>
      <c r="K117" s="389">
        <f t="shared" si="4"/>
        <v>152460</v>
      </c>
      <c r="L117" s="381">
        <v>45748</v>
      </c>
      <c r="M117" s="381">
        <v>46112</v>
      </c>
      <c r="N117" s="363" t="s">
        <v>19</v>
      </c>
      <c r="O117" s="380" t="s">
        <v>3</v>
      </c>
      <c r="P117" s="380"/>
      <c r="Q117" s="390" t="s">
        <v>631</v>
      </c>
      <c r="R117" s="363" t="s">
        <v>644</v>
      </c>
      <c r="S117" s="363"/>
      <c r="T117" s="363"/>
      <c r="U117" s="363"/>
      <c r="V117" s="363"/>
      <c r="W117" s="363"/>
      <c r="X117" s="363"/>
      <c r="Y117" s="363"/>
      <c r="Z117" s="363"/>
      <c r="AA117" s="363"/>
      <c r="AB117" s="363"/>
      <c r="AC117" s="363" t="s">
        <v>551</v>
      </c>
      <c r="AD117" s="380" t="s">
        <v>207</v>
      </c>
      <c r="AE117" s="380">
        <v>2</v>
      </c>
      <c r="AF117" s="363" t="s">
        <v>645</v>
      </c>
    </row>
    <row r="118" spans="2:32" ht="14.4" hidden="1" x14ac:dyDescent="0.3">
      <c r="B118" s="380" t="s">
        <v>14</v>
      </c>
      <c r="C118" s="409" t="s">
        <v>640</v>
      </c>
      <c r="D118" s="386" t="s">
        <v>641</v>
      </c>
      <c r="E118" s="380" t="s">
        <v>642</v>
      </c>
      <c r="F118" s="387">
        <v>45731</v>
      </c>
      <c r="G118" s="380"/>
      <c r="H118" s="380"/>
      <c r="I118" s="388">
        <v>152460</v>
      </c>
      <c r="J118" s="380">
        <v>1</v>
      </c>
      <c r="K118" s="389">
        <f t="shared" si="4"/>
        <v>152460</v>
      </c>
      <c r="L118" s="381">
        <v>46113</v>
      </c>
      <c r="M118" s="381">
        <v>46477</v>
      </c>
      <c r="N118" s="363" t="s">
        <v>520</v>
      </c>
      <c r="O118" s="380" t="s">
        <v>3</v>
      </c>
      <c r="P118" s="380"/>
      <c r="Q118" s="363" t="s">
        <v>646</v>
      </c>
      <c r="R118" s="363"/>
      <c r="S118" s="363"/>
      <c r="T118" s="363"/>
      <c r="U118" s="363"/>
      <c r="V118" s="363"/>
      <c r="W118" s="363"/>
      <c r="X118" s="363"/>
      <c r="Y118" s="363"/>
      <c r="Z118" s="363"/>
      <c r="AA118" s="363"/>
      <c r="AB118" s="363"/>
      <c r="AC118" s="363" t="s">
        <v>551</v>
      </c>
      <c r="AD118" s="380" t="s">
        <v>207</v>
      </c>
      <c r="AE118" s="380">
        <v>2</v>
      </c>
      <c r="AF118" s="363"/>
    </row>
    <row r="119" spans="2:32" ht="14.4" hidden="1" x14ac:dyDescent="0.3">
      <c r="B119" s="380" t="s">
        <v>14</v>
      </c>
      <c r="C119" s="409" t="s">
        <v>647</v>
      </c>
      <c r="D119" s="386" t="s">
        <v>648</v>
      </c>
      <c r="E119" s="419">
        <v>450087563</v>
      </c>
      <c r="F119" s="387">
        <v>45728</v>
      </c>
      <c r="G119" s="380" t="s">
        <v>643</v>
      </c>
      <c r="H119" s="380">
        <v>2</v>
      </c>
      <c r="I119" s="388">
        <v>220000</v>
      </c>
      <c r="J119" s="380">
        <v>2</v>
      </c>
      <c r="K119" s="389">
        <f t="shared" si="4"/>
        <v>110000</v>
      </c>
      <c r="L119" s="381">
        <v>45660</v>
      </c>
      <c r="M119" s="381">
        <v>46081</v>
      </c>
      <c r="N119" s="363" t="s">
        <v>19</v>
      </c>
      <c r="O119" s="380" t="s">
        <v>2</v>
      </c>
      <c r="P119" s="380"/>
      <c r="Q119" s="390" t="s">
        <v>624</v>
      </c>
      <c r="R119" s="363" t="s">
        <v>504</v>
      </c>
      <c r="S119" s="433" t="s">
        <v>625</v>
      </c>
      <c r="T119" s="363" t="s">
        <v>649</v>
      </c>
      <c r="U119" s="363"/>
      <c r="V119" s="363"/>
      <c r="W119" s="363"/>
      <c r="X119" s="363"/>
      <c r="Y119" s="363"/>
      <c r="Z119" s="363"/>
      <c r="AA119" s="363"/>
      <c r="AB119" s="363"/>
      <c r="AC119" s="363" t="s">
        <v>183</v>
      </c>
      <c r="AD119" s="380" t="s">
        <v>97</v>
      </c>
      <c r="AE119" s="380">
        <v>2</v>
      </c>
      <c r="AF119" s="363" t="s">
        <v>650</v>
      </c>
    </row>
    <row r="120" spans="2:32" ht="14.4" hidden="1" x14ac:dyDescent="0.3">
      <c r="B120" s="380" t="s">
        <v>14</v>
      </c>
      <c r="C120" s="409" t="s">
        <v>651</v>
      </c>
      <c r="D120" s="386" t="s">
        <v>447</v>
      </c>
      <c r="E120" s="408">
        <v>9200013983</v>
      </c>
      <c r="F120" s="387">
        <v>45727</v>
      </c>
      <c r="G120" s="380" t="s">
        <v>643</v>
      </c>
      <c r="H120" s="380">
        <v>1</v>
      </c>
      <c r="I120" s="388">
        <v>87360</v>
      </c>
      <c r="J120" s="380">
        <v>3</v>
      </c>
      <c r="K120" s="389">
        <f t="shared" si="4"/>
        <v>29120</v>
      </c>
      <c r="L120" s="381">
        <v>45717</v>
      </c>
      <c r="M120" s="381">
        <v>46081</v>
      </c>
      <c r="N120" s="363" t="s">
        <v>19</v>
      </c>
      <c r="O120" s="380" t="s">
        <v>2</v>
      </c>
      <c r="P120" s="380"/>
      <c r="Q120" s="390" t="s">
        <v>188</v>
      </c>
      <c r="R120" s="363" t="s">
        <v>652</v>
      </c>
      <c r="S120" s="390" t="s">
        <v>190</v>
      </c>
      <c r="T120" s="363" t="s">
        <v>475</v>
      </c>
      <c r="U120" s="390" t="s">
        <v>192</v>
      </c>
      <c r="V120" s="363" t="s">
        <v>653</v>
      </c>
      <c r="W120" s="363"/>
      <c r="X120" s="363"/>
      <c r="Y120" s="363"/>
      <c r="Z120" s="363"/>
      <c r="AA120" s="363"/>
      <c r="AB120" s="363"/>
      <c r="AC120" s="363" t="s">
        <v>281</v>
      </c>
      <c r="AD120" s="380" t="s">
        <v>97</v>
      </c>
      <c r="AE120" s="380">
        <v>3</v>
      </c>
      <c r="AF120" s="363" t="s">
        <v>654</v>
      </c>
    </row>
    <row r="121" spans="2:32" ht="14.4" hidden="1" x14ac:dyDescent="0.3">
      <c r="B121" s="380" t="s">
        <v>14</v>
      </c>
      <c r="C121" s="409" t="s">
        <v>655</v>
      </c>
      <c r="D121" s="423" t="s">
        <v>151</v>
      </c>
      <c r="E121" s="424">
        <v>2006637</v>
      </c>
      <c r="F121" s="387">
        <v>45729</v>
      </c>
      <c r="G121" s="380" t="s">
        <v>643</v>
      </c>
      <c r="H121" s="380">
        <v>4</v>
      </c>
      <c r="I121" s="388">
        <v>288000</v>
      </c>
      <c r="J121" s="380">
        <v>2</v>
      </c>
      <c r="K121" s="389">
        <f t="shared" si="4"/>
        <v>144000</v>
      </c>
      <c r="L121" s="381">
        <v>45661</v>
      </c>
      <c r="M121" s="381">
        <v>46112</v>
      </c>
      <c r="N121" s="363" t="s">
        <v>19</v>
      </c>
      <c r="O121" s="380" t="s">
        <v>5</v>
      </c>
      <c r="P121" s="380"/>
      <c r="Q121" s="390" t="s">
        <v>463</v>
      </c>
      <c r="R121" s="363" t="s">
        <v>582</v>
      </c>
      <c r="S121" s="390" t="s">
        <v>465</v>
      </c>
      <c r="T121" s="363" t="s">
        <v>656</v>
      </c>
      <c r="U121" s="363"/>
      <c r="V121" s="363"/>
      <c r="W121" s="363"/>
      <c r="X121" s="363"/>
      <c r="Y121" s="363"/>
      <c r="Z121" s="363"/>
      <c r="AA121" s="363"/>
      <c r="AB121" s="363"/>
      <c r="AC121" s="363" t="s">
        <v>478</v>
      </c>
      <c r="AD121" s="380" t="s">
        <v>63</v>
      </c>
      <c r="AE121" s="380">
        <v>2</v>
      </c>
      <c r="AF121" s="363" t="s">
        <v>657</v>
      </c>
    </row>
    <row r="122" spans="2:32" ht="14.4" hidden="1" x14ac:dyDescent="0.3">
      <c r="B122" s="380" t="s">
        <v>14</v>
      </c>
      <c r="C122" s="409" t="s">
        <v>658</v>
      </c>
      <c r="D122" s="386" t="s">
        <v>388</v>
      </c>
      <c r="E122" s="424" t="s">
        <v>659</v>
      </c>
      <c r="F122" s="387">
        <v>45705</v>
      </c>
      <c r="G122" s="380" t="s">
        <v>643</v>
      </c>
      <c r="H122" s="380">
        <v>1</v>
      </c>
      <c r="I122" s="388">
        <v>68000</v>
      </c>
      <c r="J122" s="380">
        <v>2</v>
      </c>
      <c r="K122" s="389">
        <f t="shared" si="4"/>
        <v>34000</v>
      </c>
      <c r="L122" s="381">
        <v>45717</v>
      </c>
      <c r="M122" s="381">
        <v>46081</v>
      </c>
      <c r="N122" s="363" t="s">
        <v>19</v>
      </c>
      <c r="O122" s="380" t="s">
        <v>3</v>
      </c>
      <c r="P122" s="380"/>
      <c r="Q122" s="390" t="s">
        <v>624</v>
      </c>
      <c r="R122" s="363" t="s">
        <v>660</v>
      </c>
      <c r="S122" s="390" t="s">
        <v>625</v>
      </c>
      <c r="T122" s="363" t="s">
        <v>661</v>
      </c>
      <c r="U122" s="363"/>
      <c r="V122" s="363"/>
      <c r="W122" s="363"/>
      <c r="X122" s="363"/>
      <c r="Y122" s="363"/>
      <c r="Z122" s="363"/>
      <c r="AA122" s="363"/>
      <c r="AB122" s="363"/>
      <c r="AC122" s="363" t="s">
        <v>478</v>
      </c>
      <c r="AD122" s="380" t="s">
        <v>63</v>
      </c>
      <c r="AE122" s="380">
        <v>3</v>
      </c>
      <c r="AF122" s="363" t="s">
        <v>662</v>
      </c>
    </row>
    <row r="123" spans="2:32" ht="14.4" hidden="1" x14ac:dyDescent="0.3">
      <c r="B123" s="380" t="s">
        <v>14</v>
      </c>
      <c r="C123" s="409" t="s">
        <v>663</v>
      </c>
      <c r="D123" s="434" t="s">
        <v>664</v>
      </c>
      <c r="E123" s="424">
        <v>4507449999</v>
      </c>
      <c r="F123" s="387">
        <v>45742</v>
      </c>
      <c r="G123" s="380" t="s">
        <v>643</v>
      </c>
      <c r="H123" s="380">
        <v>1</v>
      </c>
      <c r="I123" s="388">
        <v>66999.990000000005</v>
      </c>
      <c r="J123" s="380">
        <v>3</v>
      </c>
      <c r="K123" s="389">
        <f t="shared" si="4"/>
        <v>22333.33</v>
      </c>
      <c r="L123" s="381">
        <v>45748</v>
      </c>
      <c r="M123" s="381">
        <v>46112</v>
      </c>
      <c r="N123" s="363" t="s">
        <v>19</v>
      </c>
      <c r="O123" s="380" t="s">
        <v>3</v>
      </c>
      <c r="P123" s="380"/>
      <c r="Q123" s="390" t="s">
        <v>357</v>
      </c>
      <c r="R123" s="363" t="s">
        <v>401</v>
      </c>
      <c r="S123" s="390" t="s">
        <v>665</v>
      </c>
      <c r="T123" s="363" t="s">
        <v>73</v>
      </c>
      <c r="U123" s="390" t="s">
        <v>361</v>
      </c>
      <c r="V123" s="363" t="s">
        <v>666</v>
      </c>
      <c r="W123" s="363"/>
      <c r="X123" s="363"/>
      <c r="Y123" s="363"/>
      <c r="Z123" s="363"/>
      <c r="AA123" s="363"/>
      <c r="AB123" s="363"/>
      <c r="AC123" s="363" t="s">
        <v>478</v>
      </c>
      <c r="AD123" s="380" t="s">
        <v>63</v>
      </c>
      <c r="AE123" s="380" t="s">
        <v>494</v>
      </c>
      <c r="AF123" s="363" t="s">
        <v>667</v>
      </c>
    </row>
    <row r="124" spans="2:32" ht="14.4" hidden="1" x14ac:dyDescent="0.3">
      <c r="B124" s="380" t="s">
        <v>14</v>
      </c>
      <c r="C124" s="409" t="s">
        <v>668</v>
      </c>
      <c r="D124" s="434" t="s">
        <v>669</v>
      </c>
      <c r="E124" s="380">
        <v>50055662</v>
      </c>
      <c r="F124" s="387">
        <v>45743</v>
      </c>
      <c r="G124" s="380" t="s">
        <v>643</v>
      </c>
      <c r="H124" s="380">
        <v>13</v>
      </c>
      <c r="I124" s="388">
        <v>585000</v>
      </c>
      <c r="J124" s="380">
        <v>1</v>
      </c>
      <c r="K124" s="389">
        <f t="shared" si="4"/>
        <v>585000</v>
      </c>
      <c r="L124" s="381">
        <v>45748</v>
      </c>
      <c r="M124" s="381">
        <v>46112</v>
      </c>
      <c r="N124" s="363" t="s">
        <v>19</v>
      </c>
      <c r="O124" s="380" t="s">
        <v>3</v>
      </c>
      <c r="P124" s="380"/>
      <c r="Q124" s="390" t="s">
        <v>631</v>
      </c>
      <c r="R124" s="363" t="s">
        <v>670</v>
      </c>
      <c r="S124" s="363"/>
      <c r="T124" s="363"/>
      <c r="U124" s="363"/>
      <c r="V124" s="363"/>
      <c r="W124" s="363"/>
      <c r="X124" s="363"/>
      <c r="Y124" s="363"/>
      <c r="Z124" s="363"/>
      <c r="AA124" s="363"/>
      <c r="AB124" s="363"/>
      <c r="AC124" s="363" t="s">
        <v>478</v>
      </c>
      <c r="AD124" s="380" t="s">
        <v>63</v>
      </c>
      <c r="AE124" s="380">
        <v>1</v>
      </c>
      <c r="AF124" s="363"/>
    </row>
    <row r="125" spans="2:32" ht="14.4" hidden="1" x14ac:dyDescent="0.3">
      <c r="B125" s="380" t="s">
        <v>14</v>
      </c>
      <c r="C125" s="409" t="s">
        <v>668</v>
      </c>
      <c r="D125" s="434" t="s">
        <v>669</v>
      </c>
      <c r="E125" s="380">
        <v>50055662</v>
      </c>
      <c r="F125" s="387">
        <v>45743</v>
      </c>
      <c r="G125" s="380" t="s">
        <v>643</v>
      </c>
      <c r="H125" s="380">
        <v>2</v>
      </c>
      <c r="I125" s="388">
        <v>160000</v>
      </c>
      <c r="J125" s="380">
        <v>2</v>
      </c>
      <c r="K125" s="389">
        <f t="shared" si="4"/>
        <v>80000</v>
      </c>
      <c r="L125" s="381">
        <v>45748</v>
      </c>
      <c r="M125" s="381">
        <v>46112</v>
      </c>
      <c r="N125" s="363" t="s">
        <v>19</v>
      </c>
      <c r="O125" s="380" t="s">
        <v>3</v>
      </c>
      <c r="P125" s="380"/>
      <c r="Q125" s="390" t="s">
        <v>463</v>
      </c>
      <c r="R125" s="363" t="s">
        <v>169</v>
      </c>
      <c r="S125" s="390" t="s">
        <v>465</v>
      </c>
      <c r="T125" s="363" t="s">
        <v>526</v>
      </c>
      <c r="U125" s="363"/>
      <c r="V125" s="363"/>
      <c r="W125" s="363"/>
      <c r="X125" s="363"/>
      <c r="Y125" s="363"/>
      <c r="Z125" s="363"/>
      <c r="AA125" s="363"/>
      <c r="AB125" s="363"/>
      <c r="AC125" s="363" t="s">
        <v>478</v>
      </c>
      <c r="AD125" s="380" t="s">
        <v>63</v>
      </c>
      <c r="AE125" s="380">
        <v>2</v>
      </c>
      <c r="AF125" s="363" t="s">
        <v>671</v>
      </c>
    </row>
    <row r="126" spans="2:32" ht="14.4" hidden="1" x14ac:dyDescent="0.3">
      <c r="B126" s="380" t="s">
        <v>14</v>
      </c>
      <c r="C126" s="409" t="s">
        <v>672</v>
      </c>
      <c r="D126" s="386" t="s">
        <v>447</v>
      </c>
      <c r="E126" s="380">
        <v>4800086922</v>
      </c>
      <c r="F126" s="387">
        <v>45747</v>
      </c>
      <c r="G126" s="380" t="s">
        <v>643</v>
      </c>
      <c r="H126" s="380">
        <v>3</v>
      </c>
      <c r="I126" s="435">
        <f>44887.5*4</f>
        <v>179550</v>
      </c>
      <c r="J126" s="380">
        <v>4</v>
      </c>
      <c r="K126" s="389">
        <f t="shared" si="4"/>
        <v>44887.5</v>
      </c>
      <c r="L126" s="381">
        <v>45748</v>
      </c>
      <c r="M126" s="381">
        <v>46112</v>
      </c>
      <c r="N126" s="363" t="s">
        <v>520</v>
      </c>
      <c r="O126" s="380" t="s">
        <v>5</v>
      </c>
      <c r="P126" s="380"/>
      <c r="Q126" s="390" t="s">
        <v>391</v>
      </c>
      <c r="R126" s="363" t="s">
        <v>401</v>
      </c>
      <c r="S126" s="390" t="s">
        <v>523</v>
      </c>
      <c r="T126" s="363" t="s">
        <v>126</v>
      </c>
      <c r="U126" s="390" t="s">
        <v>228</v>
      </c>
      <c r="V126" s="363" t="s">
        <v>673</v>
      </c>
      <c r="W126" s="390" t="s">
        <v>396</v>
      </c>
      <c r="X126" s="363" t="s">
        <v>495</v>
      </c>
      <c r="Y126" s="363"/>
      <c r="Z126" s="363"/>
      <c r="AA126" s="363"/>
      <c r="AB126" s="363"/>
      <c r="AC126" s="363" t="s">
        <v>96</v>
      </c>
      <c r="AD126" s="380" t="s">
        <v>97</v>
      </c>
      <c r="AE126" s="380" t="s">
        <v>494</v>
      </c>
      <c r="AF126" s="363" t="s">
        <v>657</v>
      </c>
    </row>
    <row r="127" spans="2:32" ht="14.4" hidden="1" x14ac:dyDescent="0.3">
      <c r="B127" s="380" t="s">
        <v>14</v>
      </c>
      <c r="C127" s="409" t="s">
        <v>672</v>
      </c>
      <c r="D127" s="386" t="s">
        <v>447</v>
      </c>
      <c r="E127" s="380">
        <v>4800086922</v>
      </c>
      <c r="F127" s="387">
        <v>45747</v>
      </c>
      <c r="G127" s="380" t="s">
        <v>643</v>
      </c>
      <c r="H127" s="380"/>
      <c r="I127" s="388">
        <f>47133.75*4</f>
        <v>188535</v>
      </c>
      <c r="J127" s="380">
        <v>4</v>
      </c>
      <c r="K127" s="389">
        <f t="shared" si="4"/>
        <v>47133.75</v>
      </c>
      <c r="L127" s="381">
        <v>46113</v>
      </c>
      <c r="M127" s="381">
        <v>46477</v>
      </c>
      <c r="N127" s="363" t="s">
        <v>520</v>
      </c>
      <c r="O127" s="380" t="s">
        <v>5</v>
      </c>
      <c r="P127" s="380"/>
      <c r="Q127" s="390" t="s">
        <v>397</v>
      </c>
      <c r="R127" s="363" t="s">
        <v>1843</v>
      </c>
      <c r="S127" s="363" t="s">
        <v>496</v>
      </c>
      <c r="T127" s="363"/>
      <c r="U127" s="363" t="s">
        <v>497</v>
      </c>
      <c r="V127" s="363"/>
      <c r="W127" s="363" t="s">
        <v>498</v>
      </c>
      <c r="X127" s="363"/>
      <c r="Y127" s="363"/>
      <c r="Z127" s="363"/>
      <c r="AA127" s="363"/>
      <c r="AB127" s="363"/>
      <c r="AC127" s="363" t="s">
        <v>96</v>
      </c>
      <c r="AD127" s="380" t="s">
        <v>97</v>
      </c>
      <c r="AE127" s="380" t="s">
        <v>494</v>
      </c>
      <c r="AF127" s="363"/>
    </row>
    <row r="128" spans="2:32" ht="14.4" hidden="1" x14ac:dyDescent="0.3">
      <c r="B128" s="380" t="s">
        <v>14</v>
      </c>
      <c r="C128" s="409" t="s">
        <v>672</v>
      </c>
      <c r="D128" s="386" t="s">
        <v>447</v>
      </c>
      <c r="E128" s="380">
        <v>4800086922</v>
      </c>
      <c r="F128" s="387">
        <v>45747</v>
      </c>
      <c r="G128" s="380" t="s">
        <v>643</v>
      </c>
      <c r="H128" s="380"/>
      <c r="I128" s="388">
        <v>196500</v>
      </c>
      <c r="J128" s="380">
        <v>4</v>
      </c>
      <c r="K128" s="389">
        <f t="shared" si="4"/>
        <v>49125</v>
      </c>
      <c r="L128" s="381">
        <v>46478</v>
      </c>
      <c r="M128" s="381">
        <v>46843</v>
      </c>
      <c r="N128" s="363" t="s">
        <v>520</v>
      </c>
      <c r="O128" s="380" t="s">
        <v>5</v>
      </c>
      <c r="P128" s="380"/>
      <c r="Q128" s="363" t="s">
        <v>499</v>
      </c>
      <c r="R128" s="363"/>
      <c r="S128" s="363" t="s">
        <v>500</v>
      </c>
      <c r="T128" s="363"/>
      <c r="U128" s="363" t="s">
        <v>501</v>
      </c>
      <c r="V128" s="363"/>
      <c r="W128" s="363" t="s">
        <v>674</v>
      </c>
      <c r="X128" s="363"/>
      <c r="Y128" s="363"/>
      <c r="Z128" s="363"/>
      <c r="AA128" s="363"/>
      <c r="AB128" s="363"/>
      <c r="AC128" s="363" t="s">
        <v>96</v>
      </c>
      <c r="AD128" s="380" t="s">
        <v>97</v>
      </c>
      <c r="AE128" s="380" t="s">
        <v>494</v>
      </c>
      <c r="AF128" s="363"/>
    </row>
    <row r="129" spans="2:32" ht="14.4" hidden="1" x14ac:dyDescent="0.3">
      <c r="B129" s="380" t="s">
        <v>14</v>
      </c>
      <c r="C129" s="412" t="s">
        <v>614</v>
      </c>
      <c r="D129" s="413" t="s">
        <v>447</v>
      </c>
      <c r="E129" s="436" t="s">
        <v>675</v>
      </c>
      <c r="F129" s="415">
        <v>45743</v>
      </c>
      <c r="G129" s="380" t="s">
        <v>643</v>
      </c>
      <c r="H129" s="380">
        <v>2</v>
      </c>
      <c r="I129" s="388">
        <v>152880</v>
      </c>
      <c r="J129" s="380">
        <v>3</v>
      </c>
      <c r="K129" s="389">
        <f t="shared" si="4"/>
        <v>50960</v>
      </c>
      <c r="L129" s="381">
        <v>45748</v>
      </c>
      <c r="M129" s="381">
        <v>46112</v>
      </c>
      <c r="N129" s="363" t="s">
        <v>19</v>
      </c>
      <c r="O129" s="380" t="s">
        <v>3</v>
      </c>
      <c r="P129" s="380"/>
      <c r="Q129" s="390" t="s">
        <v>357</v>
      </c>
      <c r="R129" s="363" t="s">
        <v>676</v>
      </c>
      <c r="S129" s="390" t="s">
        <v>665</v>
      </c>
      <c r="T129" s="363" t="s">
        <v>677</v>
      </c>
      <c r="U129" s="390" t="s">
        <v>361</v>
      </c>
      <c r="V129" s="363" t="s">
        <v>403</v>
      </c>
      <c r="W129" s="363"/>
      <c r="X129" s="363"/>
      <c r="Y129" s="363"/>
      <c r="Z129" s="363"/>
      <c r="AA129" s="363"/>
      <c r="AB129" s="363"/>
      <c r="AC129" s="363" t="s">
        <v>281</v>
      </c>
      <c r="AD129" s="380" t="s">
        <v>97</v>
      </c>
      <c r="AE129" s="380">
        <v>3</v>
      </c>
      <c r="AF129" s="363" t="s">
        <v>678</v>
      </c>
    </row>
    <row r="130" spans="2:32" ht="14.4" hidden="1" x14ac:dyDescent="0.3">
      <c r="B130" s="380" t="s">
        <v>14</v>
      </c>
      <c r="C130" s="429" t="s">
        <v>679</v>
      </c>
      <c r="D130" s="434" t="s">
        <v>680</v>
      </c>
      <c r="E130" s="380">
        <v>7000168921</v>
      </c>
      <c r="F130" s="387">
        <v>45834</v>
      </c>
      <c r="G130" s="380" t="s">
        <v>643</v>
      </c>
      <c r="H130" s="380">
        <v>2</v>
      </c>
      <c r="I130" s="435">
        <v>180000</v>
      </c>
      <c r="J130" s="380">
        <v>2</v>
      </c>
      <c r="K130" s="389">
        <f t="shared" si="4"/>
        <v>90000</v>
      </c>
      <c r="L130" s="381">
        <v>45748</v>
      </c>
      <c r="M130" s="381">
        <v>46112</v>
      </c>
      <c r="N130" s="363" t="s">
        <v>19</v>
      </c>
      <c r="O130" s="380" t="s">
        <v>3</v>
      </c>
      <c r="P130" s="380"/>
      <c r="Q130" s="390" t="s">
        <v>681</v>
      </c>
      <c r="R130" s="363" t="s">
        <v>682</v>
      </c>
      <c r="S130" s="390" t="s">
        <v>465</v>
      </c>
      <c r="T130" s="363" t="s">
        <v>683</v>
      </c>
      <c r="U130" s="363"/>
      <c r="V130" s="363"/>
      <c r="W130" s="363"/>
      <c r="X130" s="363"/>
      <c r="Y130" s="363"/>
      <c r="Z130" s="363"/>
      <c r="AA130" s="363"/>
      <c r="AB130" s="363"/>
      <c r="AC130" s="363" t="s">
        <v>485</v>
      </c>
      <c r="AD130" s="380" t="s">
        <v>63</v>
      </c>
      <c r="AE130" s="380">
        <v>2</v>
      </c>
      <c r="AF130" s="363" t="s">
        <v>684</v>
      </c>
    </row>
    <row r="131" spans="2:32" ht="14.4" hidden="1" x14ac:dyDescent="0.3">
      <c r="B131" s="380" t="s">
        <v>14</v>
      </c>
      <c r="C131" s="430" t="s">
        <v>685</v>
      </c>
      <c r="D131" s="386" t="s">
        <v>151</v>
      </c>
      <c r="E131" s="380">
        <v>4512433191</v>
      </c>
      <c r="F131" s="387">
        <v>45749</v>
      </c>
      <c r="G131" s="380" t="s">
        <v>643</v>
      </c>
      <c r="H131" s="380">
        <v>1</v>
      </c>
      <c r="I131" s="388">
        <v>46000</v>
      </c>
      <c r="J131" s="380">
        <v>3</v>
      </c>
      <c r="K131" s="389">
        <f t="shared" si="4"/>
        <v>15333.333333333334</v>
      </c>
      <c r="L131" s="381">
        <v>45778</v>
      </c>
      <c r="M131" s="381">
        <v>46142</v>
      </c>
      <c r="N131" s="363" t="s">
        <v>19</v>
      </c>
      <c r="O131" s="380" t="s">
        <v>5</v>
      </c>
      <c r="P131" s="380"/>
      <c r="Q131" s="390" t="s">
        <v>343</v>
      </c>
      <c r="R131" s="363" t="s">
        <v>686</v>
      </c>
      <c r="S131" s="390" t="s">
        <v>345</v>
      </c>
      <c r="T131" s="363" t="s">
        <v>687</v>
      </c>
      <c r="U131" s="390" t="s">
        <v>347</v>
      </c>
      <c r="V131" s="363" t="s">
        <v>688</v>
      </c>
      <c r="W131" s="363"/>
      <c r="X131" s="363"/>
      <c r="Y131" s="363"/>
      <c r="Z131" s="363"/>
      <c r="AA131" s="363"/>
      <c r="AB131" s="363"/>
      <c r="AC131" s="363" t="s">
        <v>478</v>
      </c>
      <c r="AD131" s="380" t="s">
        <v>63</v>
      </c>
      <c r="AE131" s="380">
        <v>5</v>
      </c>
      <c r="AF131" s="363" t="s">
        <v>689</v>
      </c>
    </row>
    <row r="132" spans="2:32" ht="14.4" hidden="1" x14ac:dyDescent="0.3">
      <c r="B132" s="380" t="s">
        <v>14</v>
      </c>
      <c r="C132" s="430" t="s">
        <v>685</v>
      </c>
      <c r="D132" s="386" t="s">
        <v>151</v>
      </c>
      <c r="E132" s="419">
        <v>4512439844</v>
      </c>
      <c r="F132" s="387">
        <v>45750</v>
      </c>
      <c r="G132" s="380" t="s">
        <v>643</v>
      </c>
      <c r="H132" s="380">
        <v>1</v>
      </c>
      <c r="I132" s="388">
        <v>269660</v>
      </c>
      <c r="J132" s="380">
        <v>3</v>
      </c>
      <c r="K132" s="389">
        <f t="shared" si="4"/>
        <v>89886.666666666672</v>
      </c>
      <c r="L132" s="381">
        <v>45748</v>
      </c>
      <c r="M132" s="381">
        <v>46112</v>
      </c>
      <c r="N132" s="363" t="s">
        <v>19</v>
      </c>
      <c r="O132" s="380" t="s">
        <v>5</v>
      </c>
      <c r="P132" s="380"/>
      <c r="Q132" s="390" t="s">
        <v>357</v>
      </c>
      <c r="R132" s="363" t="s">
        <v>690</v>
      </c>
      <c r="S132" s="390" t="s">
        <v>665</v>
      </c>
      <c r="T132" s="363" t="s">
        <v>691</v>
      </c>
      <c r="U132" s="390" t="s">
        <v>361</v>
      </c>
      <c r="V132" s="363" t="s">
        <v>692</v>
      </c>
      <c r="W132" s="363"/>
      <c r="X132" s="363"/>
      <c r="Y132" s="363"/>
      <c r="Z132" s="363"/>
      <c r="AA132" s="363"/>
      <c r="AB132" s="363"/>
      <c r="AC132" s="363" t="s">
        <v>478</v>
      </c>
      <c r="AD132" s="380" t="s">
        <v>63</v>
      </c>
      <c r="AE132" s="380">
        <v>5</v>
      </c>
      <c r="AF132" s="363" t="s">
        <v>689</v>
      </c>
    </row>
    <row r="133" spans="2:32" ht="14.4" hidden="1" x14ac:dyDescent="0.3">
      <c r="B133" s="380" t="s">
        <v>14</v>
      </c>
      <c r="C133" s="409" t="s">
        <v>668</v>
      </c>
      <c r="D133" s="386" t="s">
        <v>693</v>
      </c>
      <c r="E133" s="419">
        <v>30078594</v>
      </c>
      <c r="F133" s="387">
        <v>45755</v>
      </c>
      <c r="G133" s="380" t="s">
        <v>643</v>
      </c>
      <c r="H133" s="380">
        <v>7</v>
      </c>
      <c r="I133" s="388">
        <v>420413</v>
      </c>
      <c r="J133" s="380">
        <v>2</v>
      </c>
      <c r="K133" s="389">
        <f t="shared" ref="K133:K164" si="5">I133/J133</f>
        <v>210206.5</v>
      </c>
      <c r="L133" s="381">
        <v>45748</v>
      </c>
      <c r="M133" s="381">
        <v>46112</v>
      </c>
      <c r="N133" s="363" t="s">
        <v>19</v>
      </c>
      <c r="O133" s="380" t="s">
        <v>5</v>
      </c>
      <c r="P133" s="380"/>
      <c r="Q133" s="390" t="s">
        <v>463</v>
      </c>
      <c r="R133" s="363" t="s">
        <v>694</v>
      </c>
      <c r="S133" s="390" t="s">
        <v>465</v>
      </c>
      <c r="T133" s="363" t="s">
        <v>695</v>
      </c>
      <c r="U133" s="363"/>
      <c r="V133" s="363"/>
      <c r="W133" s="363"/>
      <c r="X133" s="363"/>
      <c r="Y133" s="363"/>
      <c r="Z133" s="363"/>
      <c r="AA133" s="363"/>
      <c r="AB133" s="363"/>
      <c r="AC133" s="363" t="s">
        <v>128</v>
      </c>
      <c r="AD133" s="380" t="s">
        <v>129</v>
      </c>
      <c r="AE133" s="380">
        <v>2</v>
      </c>
      <c r="AF133" s="363" t="s">
        <v>696</v>
      </c>
    </row>
    <row r="134" spans="2:32" ht="14.4" hidden="1" x14ac:dyDescent="0.3">
      <c r="B134" s="380" t="s">
        <v>14</v>
      </c>
      <c r="C134" s="409" t="s">
        <v>544</v>
      </c>
      <c r="D134" s="386" t="s">
        <v>447</v>
      </c>
      <c r="E134" s="380">
        <v>1240065413</v>
      </c>
      <c r="F134" s="387">
        <v>45744</v>
      </c>
      <c r="G134" s="380" t="s">
        <v>643</v>
      </c>
      <c r="H134" s="380">
        <v>2</v>
      </c>
      <c r="I134" s="388">
        <v>204999.96</v>
      </c>
      <c r="J134" s="380">
        <v>3</v>
      </c>
      <c r="K134" s="389">
        <f t="shared" si="5"/>
        <v>68333.319999999992</v>
      </c>
      <c r="L134" s="381">
        <v>45748</v>
      </c>
      <c r="M134" s="381">
        <v>46112</v>
      </c>
      <c r="N134" s="363" t="s">
        <v>19</v>
      </c>
      <c r="O134" s="380" t="s">
        <v>3</v>
      </c>
      <c r="P134" s="380"/>
      <c r="Q134" s="390" t="s">
        <v>357</v>
      </c>
      <c r="R134" s="363" t="s">
        <v>697</v>
      </c>
      <c r="S134" s="390" t="s">
        <v>665</v>
      </c>
      <c r="T134" s="363" t="s">
        <v>698</v>
      </c>
      <c r="U134" s="390" t="s">
        <v>361</v>
      </c>
      <c r="V134" s="363" t="s">
        <v>699</v>
      </c>
      <c r="W134" s="363"/>
      <c r="X134" s="363"/>
      <c r="Y134" s="363"/>
      <c r="Z134" s="363"/>
      <c r="AA134" s="363"/>
      <c r="AB134" s="363"/>
      <c r="AC134" s="363" t="s">
        <v>96</v>
      </c>
      <c r="AD134" s="380" t="s">
        <v>97</v>
      </c>
      <c r="AE134" s="380">
        <v>3</v>
      </c>
      <c r="AF134" s="363" t="s">
        <v>700</v>
      </c>
    </row>
    <row r="135" spans="2:32" ht="14.4" x14ac:dyDescent="0.3">
      <c r="B135" s="380" t="s">
        <v>14</v>
      </c>
      <c r="C135" s="363" t="s">
        <v>701</v>
      </c>
      <c r="D135" s="386" t="s">
        <v>702</v>
      </c>
      <c r="E135" s="419">
        <v>6000079727</v>
      </c>
      <c r="F135" s="387">
        <v>45754</v>
      </c>
      <c r="G135" s="407" t="s">
        <v>703</v>
      </c>
      <c r="H135" s="380">
        <v>1</v>
      </c>
      <c r="I135" s="388">
        <v>362744.94</v>
      </c>
      <c r="J135" s="380">
        <v>6</v>
      </c>
      <c r="K135" s="389">
        <f t="shared" si="5"/>
        <v>60457.49</v>
      </c>
      <c r="L135" s="381">
        <v>45818</v>
      </c>
      <c r="M135" s="381">
        <v>46182</v>
      </c>
      <c r="N135" s="363" t="s">
        <v>19</v>
      </c>
      <c r="O135" s="380" t="s">
        <v>9</v>
      </c>
      <c r="P135" s="380"/>
      <c r="Q135" s="390" t="s">
        <v>704</v>
      </c>
      <c r="R135" s="363" t="s">
        <v>705</v>
      </c>
      <c r="S135" s="390" t="s">
        <v>706</v>
      </c>
      <c r="T135" s="363" t="s">
        <v>707</v>
      </c>
      <c r="U135" s="390" t="s">
        <v>708</v>
      </c>
      <c r="V135" s="363" t="s">
        <v>709</v>
      </c>
      <c r="W135" s="390" t="s">
        <v>710</v>
      </c>
      <c r="X135" s="363" t="s">
        <v>230</v>
      </c>
      <c r="Y135" s="390" t="s">
        <v>711</v>
      </c>
      <c r="Z135" s="363" t="s">
        <v>712</v>
      </c>
      <c r="AA135" s="390" t="s">
        <v>713</v>
      </c>
      <c r="AB135" s="363" t="s">
        <v>1851</v>
      </c>
      <c r="AC135" s="363" t="s">
        <v>128</v>
      </c>
      <c r="AD135" s="380" t="s">
        <v>129</v>
      </c>
      <c r="AE135" s="380" t="s">
        <v>494</v>
      </c>
      <c r="AF135" s="363" t="s">
        <v>715</v>
      </c>
    </row>
    <row r="136" spans="2:32" ht="14.4" hidden="1" x14ac:dyDescent="0.3">
      <c r="B136" s="380" t="s">
        <v>14</v>
      </c>
      <c r="C136" s="409" t="s">
        <v>716</v>
      </c>
      <c r="D136" s="386" t="s">
        <v>447</v>
      </c>
      <c r="E136" s="380" t="s">
        <v>717</v>
      </c>
      <c r="F136" s="387">
        <v>45751</v>
      </c>
      <c r="G136" s="380" t="s">
        <v>643</v>
      </c>
      <c r="H136" s="380">
        <v>2</v>
      </c>
      <c r="I136" s="388">
        <f>118050+118050</f>
        <v>236100</v>
      </c>
      <c r="J136" s="380">
        <v>3</v>
      </c>
      <c r="K136" s="389">
        <f t="shared" si="5"/>
        <v>78700</v>
      </c>
      <c r="L136" s="381">
        <v>45748</v>
      </c>
      <c r="M136" s="381">
        <v>46112</v>
      </c>
      <c r="N136" s="363" t="s">
        <v>19</v>
      </c>
      <c r="O136" s="380" t="s">
        <v>3</v>
      </c>
      <c r="P136" s="380"/>
      <c r="Q136" s="390" t="s">
        <v>357</v>
      </c>
      <c r="R136" s="363" t="s">
        <v>570</v>
      </c>
      <c r="S136" s="390" t="s">
        <v>665</v>
      </c>
      <c r="T136" s="363" t="s">
        <v>718</v>
      </c>
      <c r="U136" s="390" t="s">
        <v>361</v>
      </c>
      <c r="V136" s="363" t="s">
        <v>719</v>
      </c>
      <c r="W136" s="363"/>
      <c r="X136" s="363"/>
      <c r="Y136" s="363"/>
      <c r="Z136" s="363"/>
      <c r="AA136" s="363"/>
      <c r="AB136" s="363"/>
      <c r="AC136" s="363" t="s">
        <v>281</v>
      </c>
      <c r="AD136" s="380" t="s">
        <v>97</v>
      </c>
      <c r="AE136" s="380" t="s">
        <v>494</v>
      </c>
      <c r="AF136" s="363" t="s">
        <v>720</v>
      </c>
    </row>
    <row r="137" spans="2:32" ht="14.4" hidden="1" x14ac:dyDescent="0.3">
      <c r="B137" s="380" t="s">
        <v>14</v>
      </c>
      <c r="C137" s="409" t="s">
        <v>716</v>
      </c>
      <c r="D137" s="386" t="s">
        <v>447</v>
      </c>
      <c r="E137" s="380" t="s">
        <v>721</v>
      </c>
      <c r="F137" s="387">
        <v>45751</v>
      </c>
      <c r="G137" s="380" t="s">
        <v>643</v>
      </c>
      <c r="H137" s="380">
        <v>3</v>
      </c>
      <c r="I137" s="388">
        <f>59022+83613+118050</f>
        <v>260685</v>
      </c>
      <c r="J137" s="380">
        <v>3</v>
      </c>
      <c r="K137" s="389">
        <f t="shared" si="5"/>
        <v>86895</v>
      </c>
      <c r="L137" s="381">
        <v>45748</v>
      </c>
      <c r="M137" s="381">
        <v>46112</v>
      </c>
      <c r="N137" s="363" t="s">
        <v>19</v>
      </c>
      <c r="O137" s="380" t="s">
        <v>3</v>
      </c>
      <c r="P137" s="380"/>
      <c r="Q137" s="390" t="s">
        <v>357</v>
      </c>
      <c r="R137" s="363" t="s">
        <v>722</v>
      </c>
      <c r="S137" s="390" t="s">
        <v>665</v>
      </c>
      <c r="T137" s="363" t="s">
        <v>723</v>
      </c>
      <c r="U137" s="390" t="s">
        <v>361</v>
      </c>
      <c r="V137" s="363" t="s">
        <v>719</v>
      </c>
      <c r="W137" s="363"/>
      <c r="X137" s="363"/>
      <c r="Y137" s="363"/>
      <c r="Z137" s="363"/>
      <c r="AA137" s="363"/>
      <c r="AB137" s="363"/>
      <c r="AC137" s="363"/>
      <c r="AD137" s="380"/>
      <c r="AE137" s="380"/>
      <c r="AF137" s="363"/>
    </row>
    <row r="138" spans="2:32" ht="14.4" hidden="1" x14ac:dyDescent="0.3">
      <c r="B138" s="380" t="s">
        <v>14</v>
      </c>
      <c r="C138" s="409" t="s">
        <v>716</v>
      </c>
      <c r="D138" s="386" t="s">
        <v>447</v>
      </c>
      <c r="E138" s="380" t="s">
        <v>724</v>
      </c>
      <c r="F138" s="387">
        <v>45751</v>
      </c>
      <c r="G138" s="380" t="s">
        <v>643</v>
      </c>
      <c r="H138" s="380">
        <v>1</v>
      </c>
      <c r="I138" s="388">
        <v>57078</v>
      </c>
      <c r="J138" s="380">
        <v>3</v>
      </c>
      <c r="K138" s="389">
        <f t="shared" si="5"/>
        <v>19026</v>
      </c>
      <c r="L138" s="381">
        <v>45748</v>
      </c>
      <c r="M138" s="381">
        <v>46112</v>
      </c>
      <c r="N138" s="363" t="s">
        <v>19</v>
      </c>
      <c r="O138" s="380" t="s">
        <v>3</v>
      </c>
      <c r="P138" s="380"/>
      <c r="Q138" s="390" t="s">
        <v>357</v>
      </c>
      <c r="R138" s="363" t="s">
        <v>725</v>
      </c>
      <c r="S138" s="390" t="s">
        <v>665</v>
      </c>
      <c r="T138" s="363" t="s">
        <v>718</v>
      </c>
      <c r="U138" s="390" t="s">
        <v>361</v>
      </c>
      <c r="V138" s="363" t="s">
        <v>726</v>
      </c>
      <c r="W138" s="363"/>
      <c r="X138" s="363"/>
      <c r="Y138" s="363"/>
      <c r="Z138" s="363"/>
      <c r="AA138" s="363"/>
      <c r="AB138" s="363"/>
      <c r="AC138" s="363"/>
      <c r="AD138" s="380"/>
      <c r="AE138" s="380"/>
      <c r="AF138" s="363"/>
    </row>
    <row r="139" spans="2:32" ht="14.4" hidden="1" x14ac:dyDescent="0.3">
      <c r="B139" s="380" t="s">
        <v>14</v>
      </c>
      <c r="C139" s="412" t="s">
        <v>727</v>
      </c>
      <c r="D139" s="413" t="s">
        <v>447</v>
      </c>
      <c r="E139" s="416">
        <v>4100030249</v>
      </c>
      <c r="F139" s="415">
        <v>45726</v>
      </c>
      <c r="G139" s="407" t="s">
        <v>703</v>
      </c>
      <c r="H139" s="380">
        <v>1</v>
      </c>
      <c r="I139" s="388">
        <v>476000</v>
      </c>
      <c r="J139" s="380">
        <v>3</v>
      </c>
      <c r="K139" s="389">
        <f t="shared" si="5"/>
        <v>158666.66666666666</v>
      </c>
      <c r="L139" s="381">
        <v>45726</v>
      </c>
      <c r="M139" s="381">
        <v>46090</v>
      </c>
      <c r="N139" s="363" t="s">
        <v>19</v>
      </c>
      <c r="O139" s="380" t="s">
        <v>3</v>
      </c>
      <c r="P139" s="380"/>
      <c r="Q139" s="390" t="s">
        <v>728</v>
      </c>
      <c r="R139" s="363" t="s">
        <v>225</v>
      </c>
      <c r="S139" s="390" t="s">
        <v>729</v>
      </c>
      <c r="T139" s="363" t="s">
        <v>730</v>
      </c>
      <c r="U139" s="390" t="s">
        <v>731</v>
      </c>
      <c r="V139" s="363" t="s">
        <v>732</v>
      </c>
      <c r="W139" s="363"/>
      <c r="X139" s="363"/>
      <c r="Y139" s="363"/>
      <c r="Z139" s="363"/>
      <c r="AA139" s="363"/>
      <c r="AB139" s="363"/>
      <c r="AC139" s="363" t="s">
        <v>281</v>
      </c>
      <c r="AD139" s="380" t="s">
        <v>97</v>
      </c>
      <c r="AE139" s="380" t="s">
        <v>494</v>
      </c>
      <c r="AF139" s="363" t="s">
        <v>733</v>
      </c>
    </row>
    <row r="140" spans="2:32" ht="14.4" hidden="1" x14ac:dyDescent="0.3">
      <c r="B140" s="380" t="s">
        <v>14</v>
      </c>
      <c r="C140" s="409" t="s">
        <v>734</v>
      </c>
      <c r="D140" s="386" t="s">
        <v>323</v>
      </c>
      <c r="E140" s="419">
        <v>101265544</v>
      </c>
      <c r="F140" s="387">
        <v>45716</v>
      </c>
      <c r="G140" s="380" t="s">
        <v>643</v>
      </c>
      <c r="H140" s="380">
        <v>4</v>
      </c>
      <c r="I140" s="388">
        <v>329600</v>
      </c>
      <c r="J140" s="380">
        <v>3</v>
      </c>
      <c r="K140" s="389">
        <f t="shared" si="5"/>
        <v>109866.66666666667</v>
      </c>
      <c r="L140" s="381">
        <v>45778</v>
      </c>
      <c r="M140" s="381">
        <v>46142</v>
      </c>
      <c r="N140" s="363" t="s">
        <v>520</v>
      </c>
      <c r="O140" s="380" t="s">
        <v>5</v>
      </c>
      <c r="P140" s="380"/>
      <c r="Q140" s="390" t="s">
        <v>343</v>
      </c>
      <c r="R140" s="363" t="s">
        <v>344</v>
      </c>
      <c r="S140" s="390" t="s">
        <v>345</v>
      </c>
      <c r="T140" s="363" t="s">
        <v>493</v>
      </c>
      <c r="U140" s="390" t="s">
        <v>347</v>
      </c>
      <c r="V140" s="363" t="s">
        <v>735</v>
      </c>
      <c r="W140" s="363"/>
      <c r="X140" s="363"/>
      <c r="Y140" s="363"/>
      <c r="Z140" s="363"/>
      <c r="AA140" s="363"/>
      <c r="AB140" s="363"/>
      <c r="AC140" s="363" t="s">
        <v>96</v>
      </c>
      <c r="AD140" s="380" t="s">
        <v>97</v>
      </c>
      <c r="AE140" s="380" t="s">
        <v>494</v>
      </c>
      <c r="AF140" s="363" t="s">
        <v>736</v>
      </c>
    </row>
    <row r="141" spans="2:32" ht="14.4" hidden="1" x14ac:dyDescent="0.3">
      <c r="B141" s="380" t="s">
        <v>14</v>
      </c>
      <c r="C141" s="409" t="s">
        <v>734</v>
      </c>
      <c r="D141" s="386" t="s">
        <v>323</v>
      </c>
      <c r="E141" s="419">
        <v>101265544</v>
      </c>
      <c r="F141" s="387">
        <v>45716</v>
      </c>
      <c r="G141" s="380" t="s">
        <v>643</v>
      </c>
      <c r="H141" s="380"/>
      <c r="I141" s="388">
        <v>339488</v>
      </c>
      <c r="J141" s="380">
        <v>3</v>
      </c>
      <c r="K141" s="389">
        <f t="shared" si="5"/>
        <v>113162.66666666667</v>
      </c>
      <c r="L141" s="381">
        <v>46143</v>
      </c>
      <c r="M141" s="381">
        <v>46507</v>
      </c>
      <c r="N141" s="363" t="s">
        <v>520</v>
      </c>
      <c r="O141" s="380" t="s">
        <v>5</v>
      </c>
      <c r="P141" s="380"/>
      <c r="Q141" s="363" t="s">
        <v>737</v>
      </c>
      <c r="R141" s="363"/>
      <c r="S141" s="363" t="s">
        <v>349</v>
      </c>
      <c r="T141" s="363"/>
      <c r="U141" s="363" t="s">
        <v>738</v>
      </c>
      <c r="V141" s="363"/>
      <c r="W141" s="363"/>
      <c r="X141" s="363"/>
      <c r="Y141" s="363"/>
      <c r="Z141" s="363"/>
      <c r="AA141" s="363"/>
      <c r="AB141" s="363"/>
      <c r="AC141" s="363" t="s">
        <v>96</v>
      </c>
      <c r="AD141" s="380" t="s">
        <v>97</v>
      </c>
      <c r="AE141" s="380" t="s">
        <v>494</v>
      </c>
      <c r="AF141" s="363" t="s">
        <v>736</v>
      </c>
    </row>
    <row r="142" spans="2:32" ht="14.4" hidden="1" x14ac:dyDescent="0.3">
      <c r="B142" s="380" t="s">
        <v>14</v>
      </c>
      <c r="C142" s="409" t="s">
        <v>739</v>
      </c>
      <c r="D142" s="386" t="s">
        <v>740</v>
      </c>
      <c r="E142" s="419">
        <v>3400014785</v>
      </c>
      <c r="F142" s="387">
        <v>45735</v>
      </c>
      <c r="G142" s="380" t="s">
        <v>643</v>
      </c>
      <c r="H142" s="380">
        <v>10</v>
      </c>
      <c r="I142" s="388">
        <v>660800</v>
      </c>
      <c r="J142" s="380">
        <v>4</v>
      </c>
      <c r="K142" s="389">
        <f t="shared" si="5"/>
        <v>165200</v>
      </c>
      <c r="L142" s="381">
        <v>45689</v>
      </c>
      <c r="M142" s="381">
        <v>46053</v>
      </c>
      <c r="N142" s="363" t="s">
        <v>19</v>
      </c>
      <c r="O142" s="380" t="s">
        <v>0</v>
      </c>
      <c r="P142" s="380"/>
      <c r="Q142" s="390" t="s">
        <v>264</v>
      </c>
      <c r="R142" s="363" t="s">
        <v>741</v>
      </c>
      <c r="S142" s="390" t="s">
        <v>266</v>
      </c>
      <c r="T142" s="363" t="s">
        <v>379</v>
      </c>
      <c r="U142" s="390" t="s">
        <v>267</v>
      </c>
      <c r="V142" s="363" t="s">
        <v>742</v>
      </c>
      <c r="W142" s="390" t="s">
        <v>269</v>
      </c>
      <c r="X142" s="363" t="s">
        <v>441</v>
      </c>
      <c r="Y142" s="363"/>
      <c r="Z142" s="363"/>
      <c r="AA142" s="363"/>
      <c r="AB142" s="363"/>
      <c r="AC142" s="363" t="s">
        <v>96</v>
      </c>
      <c r="AD142" s="380" t="s">
        <v>97</v>
      </c>
      <c r="AE142" s="380" t="s">
        <v>494</v>
      </c>
      <c r="AF142" s="363" t="s">
        <v>743</v>
      </c>
    </row>
    <row r="143" spans="2:32" ht="14.4" hidden="1" x14ac:dyDescent="0.3">
      <c r="B143" s="380" t="s">
        <v>14</v>
      </c>
      <c r="C143" s="409" t="s">
        <v>744</v>
      </c>
      <c r="D143" s="386" t="s">
        <v>176</v>
      </c>
      <c r="E143" s="419">
        <v>4500022079</v>
      </c>
      <c r="F143" s="387">
        <v>45758</v>
      </c>
      <c r="G143" s="380" t="s">
        <v>643</v>
      </c>
      <c r="H143" s="380">
        <v>1</v>
      </c>
      <c r="I143" s="388">
        <v>95545</v>
      </c>
      <c r="J143" s="380">
        <v>2</v>
      </c>
      <c r="K143" s="389">
        <f t="shared" si="5"/>
        <v>47772.5</v>
      </c>
      <c r="L143" s="381">
        <v>45704</v>
      </c>
      <c r="M143" s="381">
        <v>46068</v>
      </c>
      <c r="N143" s="363" t="s">
        <v>19</v>
      </c>
      <c r="O143" s="380" t="s">
        <v>2</v>
      </c>
      <c r="P143" s="380"/>
      <c r="Q143" s="390" t="s">
        <v>745</v>
      </c>
      <c r="R143" s="363" t="s">
        <v>601</v>
      </c>
      <c r="S143" s="390" t="s">
        <v>746</v>
      </c>
      <c r="T143" s="363" t="s">
        <v>747</v>
      </c>
      <c r="U143" s="363"/>
      <c r="V143" s="363"/>
      <c r="W143" s="363"/>
      <c r="X143" s="363"/>
      <c r="Y143" s="363"/>
      <c r="Z143" s="363"/>
      <c r="AA143" s="363"/>
      <c r="AB143" s="363"/>
      <c r="AC143" s="363" t="s">
        <v>183</v>
      </c>
      <c r="AD143" s="380" t="s">
        <v>97</v>
      </c>
      <c r="AE143" s="380">
        <v>2</v>
      </c>
      <c r="AF143" s="363" t="s">
        <v>748</v>
      </c>
    </row>
    <row r="144" spans="2:32" ht="14.4" hidden="1" x14ac:dyDescent="0.3">
      <c r="B144" s="380" t="s">
        <v>14</v>
      </c>
      <c r="C144" s="409" t="s">
        <v>527</v>
      </c>
      <c r="D144" s="423" t="s">
        <v>131</v>
      </c>
      <c r="E144" s="424">
        <v>7000880580</v>
      </c>
      <c r="F144" s="387">
        <v>45758</v>
      </c>
      <c r="G144" s="380" t="s">
        <v>643</v>
      </c>
      <c r="H144" s="380">
        <v>1</v>
      </c>
      <c r="I144" s="388">
        <v>78750</v>
      </c>
      <c r="J144" s="380">
        <v>2</v>
      </c>
      <c r="K144" s="389">
        <f t="shared" si="5"/>
        <v>39375</v>
      </c>
      <c r="L144" s="381">
        <v>45748</v>
      </c>
      <c r="M144" s="381">
        <v>46112</v>
      </c>
      <c r="N144" s="363" t="s">
        <v>19</v>
      </c>
      <c r="O144" s="380" t="s">
        <v>3</v>
      </c>
      <c r="P144" s="380"/>
      <c r="Q144" s="390" t="s">
        <v>463</v>
      </c>
      <c r="R144" s="363" t="s">
        <v>749</v>
      </c>
      <c r="S144" s="390" t="s">
        <v>465</v>
      </c>
      <c r="T144" s="363" t="s">
        <v>750</v>
      </c>
      <c r="U144" s="363"/>
      <c r="V144" s="363"/>
      <c r="W144" s="363"/>
      <c r="X144" s="363"/>
      <c r="Y144" s="363"/>
      <c r="Z144" s="363"/>
      <c r="AA144" s="363"/>
      <c r="AB144" s="363"/>
      <c r="AC144" s="363" t="s">
        <v>485</v>
      </c>
      <c r="AD144" s="380" t="s">
        <v>63</v>
      </c>
      <c r="AE144" s="380">
        <v>2</v>
      </c>
      <c r="AF144" s="363" t="s">
        <v>748</v>
      </c>
    </row>
    <row r="145" spans="2:32" ht="14.4" hidden="1" x14ac:dyDescent="0.3">
      <c r="B145" s="380" t="s">
        <v>14</v>
      </c>
      <c r="C145" s="409" t="s">
        <v>751</v>
      </c>
      <c r="D145" s="423" t="s">
        <v>752</v>
      </c>
      <c r="E145" s="419">
        <v>351002166</v>
      </c>
      <c r="F145" s="387">
        <v>45758</v>
      </c>
      <c r="G145" s="380" t="s">
        <v>643</v>
      </c>
      <c r="H145" s="380">
        <v>1</v>
      </c>
      <c r="I145" s="388">
        <v>84000</v>
      </c>
      <c r="J145" s="380">
        <v>3</v>
      </c>
      <c r="K145" s="389">
        <f t="shared" si="5"/>
        <v>28000</v>
      </c>
      <c r="L145" s="381">
        <v>45778</v>
      </c>
      <c r="M145" s="381">
        <v>46142</v>
      </c>
      <c r="N145" s="363" t="s">
        <v>19</v>
      </c>
      <c r="O145" s="380" t="s">
        <v>5</v>
      </c>
      <c r="P145" s="380"/>
      <c r="Q145" s="390" t="s">
        <v>343</v>
      </c>
      <c r="R145" s="363" t="s">
        <v>753</v>
      </c>
      <c r="S145" s="390" t="s">
        <v>345</v>
      </c>
      <c r="T145" s="363" t="s">
        <v>754</v>
      </c>
      <c r="U145" s="390" t="s">
        <v>347</v>
      </c>
      <c r="V145" s="363" t="s">
        <v>443</v>
      </c>
      <c r="W145" s="363"/>
      <c r="X145" s="363"/>
      <c r="Y145" s="363"/>
      <c r="Z145" s="363"/>
      <c r="AA145" s="363"/>
      <c r="AB145" s="363"/>
      <c r="AC145" s="363" t="s">
        <v>619</v>
      </c>
      <c r="AD145" s="380" t="s">
        <v>63</v>
      </c>
      <c r="AE145" s="380">
        <v>3</v>
      </c>
      <c r="AF145" s="363" t="s">
        <v>755</v>
      </c>
    </row>
    <row r="146" spans="2:32" ht="14.4" hidden="1" x14ac:dyDescent="0.3">
      <c r="B146" s="380" t="s">
        <v>14</v>
      </c>
      <c r="C146" s="409" t="s">
        <v>756</v>
      </c>
      <c r="D146" s="434" t="s">
        <v>757</v>
      </c>
      <c r="E146" s="419">
        <v>2265005320</v>
      </c>
      <c r="F146" s="387">
        <v>45722</v>
      </c>
      <c r="G146" s="380" t="s">
        <v>643</v>
      </c>
      <c r="H146" s="380">
        <v>2</v>
      </c>
      <c r="I146" s="388">
        <v>164160</v>
      </c>
      <c r="J146" s="380">
        <v>3</v>
      </c>
      <c r="K146" s="389">
        <f t="shared" si="5"/>
        <v>54720</v>
      </c>
      <c r="L146" s="381">
        <v>45748</v>
      </c>
      <c r="M146" s="381">
        <v>46112</v>
      </c>
      <c r="N146" s="363" t="s">
        <v>19</v>
      </c>
      <c r="O146" s="380" t="s">
        <v>5</v>
      </c>
      <c r="P146" s="380"/>
      <c r="Q146" s="390" t="s">
        <v>758</v>
      </c>
      <c r="R146" s="363" t="s">
        <v>759</v>
      </c>
      <c r="S146" s="390" t="s">
        <v>665</v>
      </c>
      <c r="T146" s="363" t="s">
        <v>760</v>
      </c>
      <c r="U146" s="390" t="s">
        <v>361</v>
      </c>
      <c r="V146" s="363" t="s">
        <v>455</v>
      </c>
      <c r="W146" s="363"/>
      <c r="X146" s="363"/>
      <c r="Y146" s="363"/>
      <c r="Z146" s="363"/>
      <c r="AA146" s="363"/>
      <c r="AB146" s="363"/>
      <c r="AC146" s="363" t="s">
        <v>507</v>
      </c>
      <c r="AD146" s="380" t="s">
        <v>63</v>
      </c>
      <c r="AE146" s="380">
        <v>3</v>
      </c>
      <c r="AF146" s="430" t="s">
        <v>761</v>
      </c>
    </row>
    <row r="147" spans="2:32" ht="14.4" hidden="1" x14ac:dyDescent="0.3">
      <c r="B147" s="380" t="s">
        <v>14</v>
      </c>
      <c r="C147" s="409" t="s">
        <v>762</v>
      </c>
      <c r="D147" s="423" t="s">
        <v>763</v>
      </c>
      <c r="E147" s="419" t="s">
        <v>764</v>
      </c>
      <c r="F147" s="387">
        <v>45761</v>
      </c>
      <c r="G147" s="380" t="s">
        <v>643</v>
      </c>
      <c r="H147" s="380">
        <v>1</v>
      </c>
      <c r="I147" s="388">
        <v>80001</v>
      </c>
      <c r="J147" s="380">
        <v>3</v>
      </c>
      <c r="K147" s="389">
        <f t="shared" si="5"/>
        <v>26667</v>
      </c>
      <c r="L147" s="381">
        <v>45748</v>
      </c>
      <c r="M147" s="381">
        <v>46112</v>
      </c>
      <c r="N147" s="363" t="s">
        <v>19</v>
      </c>
      <c r="O147" s="380" t="s">
        <v>3</v>
      </c>
      <c r="P147" s="380"/>
      <c r="Q147" s="390" t="s">
        <v>758</v>
      </c>
      <c r="R147" s="363" t="s">
        <v>429</v>
      </c>
      <c r="S147" s="390" t="s">
        <v>665</v>
      </c>
      <c r="T147" s="363" t="s">
        <v>765</v>
      </c>
      <c r="U147" s="390" t="s">
        <v>361</v>
      </c>
      <c r="V147" s="363" t="s">
        <v>466</v>
      </c>
      <c r="W147" s="363"/>
      <c r="X147" s="363"/>
      <c r="Y147" s="363"/>
      <c r="Z147" s="363"/>
      <c r="AA147" s="363"/>
      <c r="AB147" s="363"/>
      <c r="AC147" s="363" t="s">
        <v>507</v>
      </c>
      <c r="AD147" s="380" t="s">
        <v>63</v>
      </c>
      <c r="AE147" s="380">
        <v>3</v>
      </c>
      <c r="AF147" s="363" t="s">
        <v>667</v>
      </c>
    </row>
    <row r="148" spans="2:32" ht="14.4" hidden="1" x14ac:dyDescent="0.3">
      <c r="B148" s="380" t="s">
        <v>14</v>
      </c>
      <c r="C148" s="409" t="s">
        <v>766</v>
      </c>
      <c r="D148" s="386" t="s">
        <v>767</v>
      </c>
      <c r="E148" s="419" t="s">
        <v>768</v>
      </c>
      <c r="F148" s="387">
        <v>45762</v>
      </c>
      <c r="G148" s="380" t="s">
        <v>643</v>
      </c>
      <c r="H148" s="380">
        <v>2</v>
      </c>
      <c r="I148" s="388">
        <v>105600</v>
      </c>
      <c r="J148" s="380">
        <v>1</v>
      </c>
      <c r="K148" s="389">
        <f t="shared" si="5"/>
        <v>105600</v>
      </c>
      <c r="L148" s="381">
        <v>45748</v>
      </c>
      <c r="M148" s="381">
        <v>46112</v>
      </c>
      <c r="N148" s="363" t="s">
        <v>19</v>
      </c>
      <c r="O148" s="380" t="s">
        <v>3</v>
      </c>
      <c r="P148" s="380"/>
      <c r="Q148" s="390" t="s">
        <v>631</v>
      </c>
      <c r="R148" s="363" t="s">
        <v>769</v>
      </c>
      <c r="S148" s="363"/>
      <c r="T148" s="363"/>
      <c r="U148" s="363"/>
      <c r="V148" s="363"/>
      <c r="W148" s="363"/>
      <c r="X148" s="363"/>
      <c r="Y148" s="363"/>
      <c r="Z148" s="363"/>
      <c r="AA148" s="363"/>
      <c r="AB148" s="363"/>
      <c r="AC148" s="363" t="s">
        <v>485</v>
      </c>
      <c r="AD148" s="380" t="s">
        <v>63</v>
      </c>
      <c r="AE148" s="380">
        <v>2</v>
      </c>
      <c r="AF148" s="363" t="s">
        <v>770</v>
      </c>
    </row>
    <row r="149" spans="2:32" ht="14.4" hidden="1" x14ac:dyDescent="0.3">
      <c r="B149" s="380" t="s">
        <v>14</v>
      </c>
      <c r="C149" s="409" t="s">
        <v>771</v>
      </c>
      <c r="D149" s="386" t="s">
        <v>388</v>
      </c>
      <c r="E149" s="419">
        <v>6000059199</v>
      </c>
      <c r="F149" s="410">
        <v>45764</v>
      </c>
      <c r="G149" s="380" t="s">
        <v>643</v>
      </c>
      <c r="H149" s="380">
        <v>1</v>
      </c>
      <c r="I149" s="428">
        <v>66144.070000000007</v>
      </c>
      <c r="J149" s="380">
        <v>2</v>
      </c>
      <c r="K149" s="389">
        <f t="shared" si="5"/>
        <v>33072.035000000003</v>
      </c>
      <c r="L149" s="381">
        <v>45748</v>
      </c>
      <c r="M149" s="381">
        <v>46112</v>
      </c>
      <c r="N149" s="363" t="s">
        <v>19</v>
      </c>
      <c r="O149" s="380" t="s">
        <v>3</v>
      </c>
      <c r="P149" s="380"/>
      <c r="Q149" s="390" t="s">
        <v>463</v>
      </c>
      <c r="R149" s="363" t="s">
        <v>772</v>
      </c>
      <c r="S149" s="390" t="s">
        <v>465</v>
      </c>
      <c r="T149" s="363" t="s">
        <v>773</v>
      </c>
      <c r="U149" s="363"/>
      <c r="V149" s="363"/>
      <c r="W149" s="363"/>
      <c r="X149" s="363"/>
      <c r="Y149" s="363"/>
      <c r="Z149" s="363"/>
      <c r="AA149" s="363"/>
      <c r="AB149" s="363"/>
      <c r="AC149" s="363" t="s">
        <v>619</v>
      </c>
      <c r="AD149" s="380" t="s">
        <v>63</v>
      </c>
      <c r="AE149" s="380">
        <v>2</v>
      </c>
      <c r="AF149" s="363" t="s">
        <v>774</v>
      </c>
    </row>
    <row r="150" spans="2:32" ht="14.4" hidden="1" x14ac:dyDescent="0.3">
      <c r="B150" s="380" t="s">
        <v>14</v>
      </c>
      <c r="C150" s="412" t="s">
        <v>775</v>
      </c>
      <c r="D150" s="437" t="s">
        <v>776</v>
      </c>
      <c r="E150" s="438">
        <v>2710000560</v>
      </c>
      <c r="F150" s="387">
        <v>45713</v>
      </c>
      <c r="G150" s="380" t="s">
        <v>643</v>
      </c>
      <c r="H150" s="380">
        <v>2</v>
      </c>
      <c r="I150" s="388">
        <v>122000</v>
      </c>
      <c r="J150" s="380">
        <v>3</v>
      </c>
      <c r="K150" s="389">
        <f t="shared" si="5"/>
        <v>40666.666666666664</v>
      </c>
      <c r="L150" s="381">
        <v>45748</v>
      </c>
      <c r="M150" s="381">
        <v>46112</v>
      </c>
      <c r="N150" s="363" t="s">
        <v>19</v>
      </c>
      <c r="O150" s="380" t="s">
        <v>3</v>
      </c>
      <c r="P150" s="380"/>
      <c r="Q150" s="390" t="s">
        <v>758</v>
      </c>
      <c r="R150" s="363" t="s">
        <v>777</v>
      </c>
      <c r="S150" s="390" t="s">
        <v>665</v>
      </c>
      <c r="T150" s="363" t="s">
        <v>360</v>
      </c>
      <c r="U150" s="390" t="s">
        <v>361</v>
      </c>
      <c r="V150" s="363" t="s">
        <v>666</v>
      </c>
      <c r="W150" s="363"/>
      <c r="X150" s="363"/>
      <c r="Y150" s="363"/>
      <c r="Z150" s="363"/>
      <c r="AA150" s="363"/>
      <c r="AB150" s="363"/>
      <c r="AC150" s="363" t="s">
        <v>551</v>
      </c>
      <c r="AD150" s="380" t="s">
        <v>207</v>
      </c>
      <c r="AE150" s="380">
        <v>3</v>
      </c>
      <c r="AF150" s="363" t="s">
        <v>778</v>
      </c>
    </row>
    <row r="151" spans="2:32" ht="14.4" hidden="1" x14ac:dyDescent="0.3">
      <c r="B151" s="380" t="s">
        <v>14</v>
      </c>
      <c r="C151" s="409" t="s">
        <v>779</v>
      </c>
      <c r="D151" s="386" t="s">
        <v>53</v>
      </c>
      <c r="E151" s="408">
        <v>2500235067</v>
      </c>
      <c r="F151" s="387">
        <v>45764</v>
      </c>
      <c r="G151" s="380" t="s">
        <v>643</v>
      </c>
      <c r="H151" s="380">
        <v>3</v>
      </c>
      <c r="I151" s="388">
        <v>282816</v>
      </c>
      <c r="J151" s="380">
        <v>3</v>
      </c>
      <c r="K151" s="389">
        <f t="shared" si="5"/>
        <v>94272</v>
      </c>
      <c r="L151" s="381">
        <v>45748</v>
      </c>
      <c r="M151" s="381">
        <v>46112</v>
      </c>
      <c r="N151" s="363" t="s">
        <v>19</v>
      </c>
      <c r="O151" s="380" t="s">
        <v>5</v>
      </c>
      <c r="P151" s="380"/>
      <c r="Q151" s="390" t="s">
        <v>758</v>
      </c>
      <c r="R151" s="363" t="s">
        <v>780</v>
      </c>
      <c r="S151" s="390" t="s">
        <v>665</v>
      </c>
      <c r="T151" s="363" t="s">
        <v>781</v>
      </c>
      <c r="U151" s="390" t="s">
        <v>361</v>
      </c>
      <c r="V151" s="363" t="s">
        <v>782</v>
      </c>
      <c r="W151" s="363"/>
      <c r="X151" s="363"/>
      <c r="Y151" s="363"/>
      <c r="Z151" s="363"/>
      <c r="AA151" s="363"/>
      <c r="AB151" s="363"/>
      <c r="AC151" s="363" t="s">
        <v>619</v>
      </c>
      <c r="AD151" s="380" t="s">
        <v>63</v>
      </c>
      <c r="AE151" s="380">
        <v>3</v>
      </c>
      <c r="AF151" s="363" t="s">
        <v>667</v>
      </c>
    </row>
    <row r="152" spans="2:32" ht="14.4" hidden="1" x14ac:dyDescent="0.3">
      <c r="B152" s="380" t="s">
        <v>14</v>
      </c>
      <c r="C152" s="409" t="s">
        <v>783</v>
      </c>
      <c r="D152" s="386" t="s">
        <v>151</v>
      </c>
      <c r="E152" s="419">
        <v>8000155292</v>
      </c>
      <c r="F152" s="387">
        <v>45768</v>
      </c>
      <c r="G152" s="439" t="s">
        <v>643</v>
      </c>
      <c r="H152" s="439">
        <v>5</v>
      </c>
      <c r="I152" s="440">
        <v>636000</v>
      </c>
      <c r="J152" s="439">
        <v>3</v>
      </c>
      <c r="K152" s="389">
        <f t="shared" si="5"/>
        <v>212000</v>
      </c>
      <c r="L152" s="441">
        <v>45658</v>
      </c>
      <c r="M152" s="441">
        <v>46022</v>
      </c>
      <c r="N152" s="442" t="s">
        <v>19</v>
      </c>
      <c r="O152" s="380">
        <v>2025</v>
      </c>
      <c r="P152" s="380"/>
      <c r="Q152" s="390" t="s">
        <v>554</v>
      </c>
      <c r="R152" s="363" t="s">
        <v>784</v>
      </c>
      <c r="S152" s="390" t="s">
        <v>785</v>
      </c>
      <c r="T152" s="363" t="s">
        <v>786</v>
      </c>
      <c r="U152" s="390" t="s">
        <v>345</v>
      </c>
      <c r="V152" s="363" t="s">
        <v>787</v>
      </c>
      <c r="W152" s="363"/>
      <c r="X152" s="363"/>
      <c r="Y152" s="363"/>
      <c r="Z152" s="363"/>
      <c r="AA152" s="363"/>
      <c r="AB152" s="363"/>
      <c r="AC152" s="363" t="s">
        <v>788</v>
      </c>
      <c r="AD152" s="380" t="s">
        <v>63</v>
      </c>
      <c r="AE152" s="380">
        <v>3</v>
      </c>
      <c r="AF152" s="363" t="s">
        <v>667</v>
      </c>
    </row>
    <row r="153" spans="2:32" ht="14.4" hidden="1" x14ac:dyDescent="0.3">
      <c r="B153" s="380" t="s">
        <v>14</v>
      </c>
      <c r="C153" s="412" t="s">
        <v>789</v>
      </c>
      <c r="D153" s="413" t="s">
        <v>790</v>
      </c>
      <c r="E153" s="426">
        <v>8480219192</v>
      </c>
      <c r="F153" s="415">
        <v>45756</v>
      </c>
      <c r="G153" s="380" t="s">
        <v>643</v>
      </c>
      <c r="H153" s="380">
        <v>1</v>
      </c>
      <c r="I153" s="388">
        <v>76440</v>
      </c>
      <c r="J153" s="380">
        <v>3</v>
      </c>
      <c r="K153" s="389">
        <f t="shared" si="5"/>
        <v>25480</v>
      </c>
      <c r="L153" s="381">
        <v>45748</v>
      </c>
      <c r="M153" s="381">
        <v>46112</v>
      </c>
      <c r="N153" s="363" t="s">
        <v>19</v>
      </c>
      <c r="O153" s="380" t="s">
        <v>3</v>
      </c>
      <c r="P153" s="380"/>
      <c r="Q153" s="390" t="s">
        <v>357</v>
      </c>
      <c r="R153" s="363" t="s">
        <v>225</v>
      </c>
      <c r="S153" s="390" t="s">
        <v>665</v>
      </c>
      <c r="T153" s="363" t="s">
        <v>791</v>
      </c>
      <c r="U153" s="390" t="s">
        <v>361</v>
      </c>
      <c r="V153" s="363" t="s">
        <v>792</v>
      </c>
      <c r="W153" s="363"/>
      <c r="X153" s="363"/>
      <c r="Y153" s="363"/>
      <c r="Z153" s="363"/>
      <c r="AA153" s="363"/>
      <c r="AB153" s="363"/>
      <c r="AC153" s="363" t="s">
        <v>281</v>
      </c>
      <c r="AD153" s="380" t="s">
        <v>97</v>
      </c>
      <c r="AE153" s="380">
        <v>3</v>
      </c>
      <c r="AF153" s="363" t="s">
        <v>793</v>
      </c>
    </row>
    <row r="154" spans="2:32" ht="14.4" hidden="1" x14ac:dyDescent="0.3">
      <c r="B154" s="380" t="s">
        <v>14</v>
      </c>
      <c r="C154" s="363" t="s">
        <v>195</v>
      </c>
      <c r="D154" s="386" t="s">
        <v>196</v>
      </c>
      <c r="E154" s="393" t="s">
        <v>197</v>
      </c>
      <c r="F154" s="387">
        <v>45210</v>
      </c>
      <c r="G154" s="380" t="s">
        <v>55</v>
      </c>
      <c r="H154" s="380">
        <v>13</v>
      </c>
      <c r="I154" s="388">
        <v>741000</v>
      </c>
      <c r="J154" s="380">
        <v>4</v>
      </c>
      <c r="K154" s="389">
        <f t="shared" si="5"/>
        <v>185250</v>
      </c>
      <c r="L154" s="381">
        <v>45934</v>
      </c>
      <c r="M154" s="381">
        <v>46298</v>
      </c>
      <c r="N154" s="363" t="s">
        <v>520</v>
      </c>
      <c r="O154" s="380" t="s">
        <v>5</v>
      </c>
      <c r="P154" s="380"/>
      <c r="Q154" s="390" t="s">
        <v>794</v>
      </c>
      <c r="R154" s="363" t="s">
        <v>687</v>
      </c>
      <c r="S154" s="394" t="s">
        <v>795</v>
      </c>
      <c r="T154" s="363" t="s">
        <v>666</v>
      </c>
      <c r="U154" s="363" t="s">
        <v>796</v>
      </c>
      <c r="V154" s="363"/>
      <c r="W154" s="363" t="s">
        <v>797</v>
      </c>
      <c r="X154" s="363"/>
      <c r="Y154" s="363"/>
      <c r="Z154" s="363"/>
      <c r="AA154" s="363"/>
      <c r="AB154" s="363"/>
      <c r="AC154" s="363" t="s">
        <v>551</v>
      </c>
      <c r="AD154" s="380" t="s">
        <v>207</v>
      </c>
      <c r="AE154" s="380">
        <v>3</v>
      </c>
      <c r="AF154" s="363"/>
    </row>
    <row r="155" spans="2:32" ht="14.4" hidden="1" x14ac:dyDescent="0.3">
      <c r="B155" s="380" t="s">
        <v>14</v>
      </c>
      <c r="C155" s="409" t="s">
        <v>756</v>
      </c>
      <c r="D155" s="434" t="s">
        <v>757</v>
      </c>
      <c r="E155" s="380">
        <v>2265005504</v>
      </c>
      <c r="F155" s="387">
        <v>45754</v>
      </c>
      <c r="G155" s="380" t="s">
        <v>55</v>
      </c>
      <c r="H155" s="380">
        <v>13</v>
      </c>
      <c r="I155" s="388">
        <v>1067040</v>
      </c>
      <c r="J155" s="380">
        <v>3</v>
      </c>
      <c r="K155" s="389">
        <f t="shared" si="5"/>
        <v>355680</v>
      </c>
      <c r="L155" s="381">
        <v>45748</v>
      </c>
      <c r="M155" s="381">
        <v>46112</v>
      </c>
      <c r="N155" s="363" t="s">
        <v>19</v>
      </c>
      <c r="O155" s="380" t="s">
        <v>5</v>
      </c>
      <c r="P155" s="380"/>
      <c r="Q155" s="390" t="s">
        <v>357</v>
      </c>
      <c r="R155" s="363" t="s">
        <v>777</v>
      </c>
      <c r="S155" s="390" t="s">
        <v>665</v>
      </c>
      <c r="T155" s="363" t="s">
        <v>289</v>
      </c>
      <c r="U155" s="390" t="s">
        <v>361</v>
      </c>
      <c r="V155" s="363" t="s">
        <v>798</v>
      </c>
      <c r="W155" s="363"/>
      <c r="X155" s="363"/>
      <c r="Y155" s="363"/>
      <c r="Z155" s="363"/>
      <c r="AA155" s="363"/>
      <c r="AB155" s="363"/>
      <c r="AC155" s="363" t="s">
        <v>507</v>
      </c>
      <c r="AD155" s="380" t="s">
        <v>63</v>
      </c>
      <c r="AE155" s="380">
        <v>3</v>
      </c>
      <c r="AF155" s="363" t="s">
        <v>799</v>
      </c>
    </row>
    <row r="156" spans="2:32" ht="14.4" hidden="1" x14ac:dyDescent="0.3">
      <c r="B156" s="380" t="s">
        <v>14</v>
      </c>
      <c r="C156" s="409" t="s">
        <v>800</v>
      </c>
      <c r="D156" s="423" t="s">
        <v>801</v>
      </c>
      <c r="E156" s="380">
        <v>3102500128</v>
      </c>
      <c r="F156" s="387">
        <v>45765</v>
      </c>
      <c r="G156" s="380" t="s">
        <v>55</v>
      </c>
      <c r="H156" s="380">
        <v>6</v>
      </c>
      <c r="I156" s="388">
        <v>468000</v>
      </c>
      <c r="J156" s="380">
        <v>2</v>
      </c>
      <c r="K156" s="389">
        <f t="shared" si="5"/>
        <v>234000</v>
      </c>
      <c r="L156" s="381">
        <v>45748</v>
      </c>
      <c r="M156" s="381">
        <v>46112</v>
      </c>
      <c r="N156" s="363" t="s">
        <v>19</v>
      </c>
      <c r="O156" s="380" t="s">
        <v>3</v>
      </c>
      <c r="P156" s="380"/>
      <c r="Q156" s="390" t="s">
        <v>463</v>
      </c>
      <c r="R156" s="363" t="s">
        <v>802</v>
      </c>
      <c r="S156" s="390" t="s">
        <v>465</v>
      </c>
      <c r="T156" s="363" t="s">
        <v>803</v>
      </c>
      <c r="U156" s="363"/>
      <c r="V156" s="363"/>
      <c r="W156" s="363"/>
      <c r="X156" s="363"/>
      <c r="Y156" s="363"/>
      <c r="Z156" s="363"/>
      <c r="AA156" s="363"/>
      <c r="AB156" s="363"/>
      <c r="AC156" s="363" t="s">
        <v>485</v>
      </c>
      <c r="AD156" s="380" t="s">
        <v>63</v>
      </c>
      <c r="AE156" s="380">
        <v>2</v>
      </c>
      <c r="AF156" s="363" t="s">
        <v>804</v>
      </c>
    </row>
    <row r="157" spans="2:32" ht="14.4" hidden="1" x14ac:dyDescent="0.3">
      <c r="B157" s="380" t="s">
        <v>14</v>
      </c>
      <c r="C157" s="409" t="s">
        <v>805</v>
      </c>
      <c r="D157" s="423" t="s">
        <v>86</v>
      </c>
      <c r="E157" s="408">
        <v>7500114971</v>
      </c>
      <c r="F157" s="387">
        <v>45763</v>
      </c>
      <c r="G157" s="380" t="s">
        <v>55</v>
      </c>
      <c r="H157" s="380">
        <v>1</v>
      </c>
      <c r="I157" s="388">
        <v>82000</v>
      </c>
      <c r="J157" s="380">
        <v>3</v>
      </c>
      <c r="K157" s="389">
        <f t="shared" si="5"/>
        <v>27333.333333333332</v>
      </c>
      <c r="L157" s="381">
        <v>45748</v>
      </c>
      <c r="M157" s="381">
        <v>46112</v>
      </c>
      <c r="N157" s="363" t="s">
        <v>19</v>
      </c>
      <c r="O157" s="380" t="s">
        <v>3</v>
      </c>
      <c r="P157" s="380"/>
      <c r="Q157" s="390" t="s">
        <v>357</v>
      </c>
      <c r="R157" s="363" t="s">
        <v>806</v>
      </c>
      <c r="S157" s="390" t="s">
        <v>665</v>
      </c>
      <c r="T157" s="363" t="s">
        <v>807</v>
      </c>
      <c r="U157" s="390" t="s">
        <v>361</v>
      </c>
      <c r="V157" s="363" t="s">
        <v>808</v>
      </c>
      <c r="W157" s="363"/>
      <c r="X157" s="363"/>
      <c r="Y157" s="363"/>
      <c r="Z157" s="363"/>
      <c r="AA157" s="363"/>
      <c r="AB157" s="363"/>
      <c r="AC157" s="363" t="s">
        <v>96</v>
      </c>
      <c r="AD157" s="380" t="s">
        <v>97</v>
      </c>
      <c r="AE157" s="380" t="s">
        <v>494</v>
      </c>
      <c r="AF157" s="363" t="s">
        <v>667</v>
      </c>
    </row>
    <row r="158" spans="2:32" ht="14.4" hidden="1" x14ac:dyDescent="0.3">
      <c r="B158" s="380" t="s">
        <v>14</v>
      </c>
      <c r="C158" s="409" t="s">
        <v>809</v>
      </c>
      <c r="D158" s="423" t="s">
        <v>629</v>
      </c>
      <c r="E158" s="408" t="s">
        <v>810</v>
      </c>
      <c r="F158" s="387">
        <v>45770</v>
      </c>
      <c r="G158" s="380" t="s">
        <v>55</v>
      </c>
      <c r="H158" s="380">
        <v>5</v>
      </c>
      <c r="I158" s="388">
        <v>341250</v>
      </c>
      <c r="J158" s="380">
        <v>2</v>
      </c>
      <c r="K158" s="389">
        <f t="shared" si="5"/>
        <v>170625</v>
      </c>
      <c r="L158" s="381">
        <v>45748</v>
      </c>
      <c r="M158" s="381">
        <v>46112</v>
      </c>
      <c r="N158" s="363" t="s">
        <v>19</v>
      </c>
      <c r="O158" s="380" t="s">
        <v>3</v>
      </c>
      <c r="P158" s="380"/>
      <c r="Q158" s="390" t="s">
        <v>463</v>
      </c>
      <c r="R158" s="363" t="s">
        <v>811</v>
      </c>
      <c r="S158" s="390" t="s">
        <v>465</v>
      </c>
      <c r="T158" s="363" t="s">
        <v>320</v>
      </c>
      <c r="U158" s="363"/>
      <c r="V158" s="363"/>
      <c r="W158" s="363"/>
      <c r="X158" s="363"/>
      <c r="Y158" s="363"/>
      <c r="Z158" s="363"/>
      <c r="AA158" s="363"/>
      <c r="AB158" s="363"/>
      <c r="AC158" s="363" t="s">
        <v>485</v>
      </c>
      <c r="AD158" s="380" t="s">
        <v>97</v>
      </c>
      <c r="AE158" s="380">
        <v>3</v>
      </c>
      <c r="AF158" s="363" t="s">
        <v>667</v>
      </c>
    </row>
    <row r="159" spans="2:32" ht="14.4" hidden="1" x14ac:dyDescent="0.3">
      <c r="B159" s="380" t="s">
        <v>14</v>
      </c>
      <c r="C159" s="409" t="s">
        <v>800</v>
      </c>
      <c r="D159" s="423" t="s">
        <v>812</v>
      </c>
      <c r="E159" s="408">
        <v>2102500018</v>
      </c>
      <c r="F159" s="387">
        <v>45749</v>
      </c>
      <c r="G159" s="380" t="s">
        <v>55</v>
      </c>
      <c r="H159" s="380">
        <v>4</v>
      </c>
      <c r="I159" s="388">
        <v>332800</v>
      </c>
      <c r="J159" s="380">
        <v>2</v>
      </c>
      <c r="K159" s="389">
        <f t="shared" si="5"/>
        <v>166400</v>
      </c>
      <c r="L159" s="381">
        <v>45748</v>
      </c>
      <c r="M159" s="381">
        <v>46112</v>
      </c>
      <c r="N159" s="363" t="s">
        <v>19</v>
      </c>
      <c r="O159" s="380" t="s">
        <v>3</v>
      </c>
      <c r="P159" s="380"/>
      <c r="Q159" s="390" t="s">
        <v>463</v>
      </c>
      <c r="R159" s="363" t="s">
        <v>813</v>
      </c>
      <c r="S159" s="390" t="s">
        <v>465</v>
      </c>
      <c r="T159" s="363" t="s">
        <v>814</v>
      </c>
      <c r="U159" s="363"/>
      <c r="V159" s="363"/>
      <c r="W159" s="363"/>
      <c r="X159" s="363"/>
      <c r="Y159" s="363"/>
      <c r="Z159" s="363"/>
      <c r="AA159" s="363"/>
      <c r="AB159" s="363"/>
      <c r="AC159" s="363" t="s">
        <v>485</v>
      </c>
      <c r="AD159" s="380" t="s">
        <v>63</v>
      </c>
      <c r="AE159" s="380">
        <v>2</v>
      </c>
      <c r="AF159" s="363" t="s">
        <v>667</v>
      </c>
    </row>
    <row r="160" spans="2:32" ht="14.4" hidden="1" x14ac:dyDescent="0.3">
      <c r="B160" s="380" t="s">
        <v>14</v>
      </c>
      <c r="C160" s="409" t="s">
        <v>800</v>
      </c>
      <c r="D160" s="423" t="s">
        <v>812</v>
      </c>
      <c r="E160" s="408">
        <v>2102500206</v>
      </c>
      <c r="F160" s="387">
        <v>45758</v>
      </c>
      <c r="G160" s="380" t="s">
        <v>55</v>
      </c>
      <c r="H160" s="380">
        <v>4</v>
      </c>
      <c r="I160" s="388">
        <v>270400</v>
      </c>
      <c r="J160" s="380">
        <v>2</v>
      </c>
      <c r="K160" s="389">
        <f t="shared" si="5"/>
        <v>135200</v>
      </c>
      <c r="L160" s="381">
        <v>45748</v>
      </c>
      <c r="M160" s="381">
        <v>46112</v>
      </c>
      <c r="N160" s="363" t="s">
        <v>19</v>
      </c>
      <c r="O160" s="380" t="s">
        <v>3</v>
      </c>
      <c r="P160" s="380"/>
      <c r="Q160" s="390" t="s">
        <v>463</v>
      </c>
      <c r="R160" s="363" t="s">
        <v>815</v>
      </c>
      <c r="S160" s="390" t="s">
        <v>465</v>
      </c>
      <c r="T160" s="363" t="s">
        <v>816</v>
      </c>
      <c r="U160" s="363"/>
      <c r="V160" s="363"/>
      <c r="W160" s="363"/>
      <c r="X160" s="363"/>
      <c r="Y160" s="363"/>
      <c r="Z160" s="363"/>
      <c r="AA160" s="363"/>
      <c r="AB160" s="363"/>
      <c r="AC160" s="363" t="s">
        <v>485</v>
      </c>
      <c r="AD160" s="380" t="s">
        <v>63</v>
      </c>
      <c r="AE160" s="380">
        <v>2</v>
      </c>
      <c r="AF160" s="363" t="s">
        <v>667</v>
      </c>
    </row>
    <row r="161" spans="2:32" ht="14.4" hidden="1" x14ac:dyDescent="0.3">
      <c r="B161" s="380" t="s">
        <v>14</v>
      </c>
      <c r="C161" s="409" t="s">
        <v>817</v>
      </c>
      <c r="D161" s="423" t="s">
        <v>818</v>
      </c>
      <c r="E161" s="397">
        <v>242500783</v>
      </c>
      <c r="F161" s="387">
        <v>45756</v>
      </c>
      <c r="G161" s="380" t="s">
        <v>55</v>
      </c>
      <c r="H161" s="380">
        <v>3</v>
      </c>
      <c r="I161" s="388">
        <v>344997</v>
      </c>
      <c r="J161" s="380">
        <v>2</v>
      </c>
      <c r="K161" s="389">
        <f t="shared" si="5"/>
        <v>172498.5</v>
      </c>
      <c r="L161" s="381">
        <v>45778</v>
      </c>
      <c r="M161" s="381">
        <v>46142</v>
      </c>
      <c r="N161" s="363" t="s">
        <v>19</v>
      </c>
      <c r="O161" s="380" t="s">
        <v>5</v>
      </c>
      <c r="P161" s="380"/>
      <c r="Q161" s="390" t="s">
        <v>328</v>
      </c>
      <c r="R161" s="363" t="s">
        <v>819</v>
      </c>
      <c r="S161" s="390" t="s">
        <v>330</v>
      </c>
      <c r="T161" s="363" t="s">
        <v>820</v>
      </c>
      <c r="U161" s="363"/>
      <c r="V161" s="363"/>
      <c r="W161" s="363"/>
      <c r="X161" s="363"/>
      <c r="Y161" s="363"/>
      <c r="Z161" s="363"/>
      <c r="AA161" s="363"/>
      <c r="AB161" s="363"/>
      <c r="AC161" s="363" t="s">
        <v>281</v>
      </c>
      <c r="AD161" s="380" t="s">
        <v>97</v>
      </c>
      <c r="AE161" s="380" t="s">
        <v>494</v>
      </c>
      <c r="AF161" s="363" t="s">
        <v>821</v>
      </c>
    </row>
    <row r="162" spans="2:32" ht="14.4" hidden="1" x14ac:dyDescent="0.3">
      <c r="B162" s="380" t="s">
        <v>14</v>
      </c>
      <c r="C162" s="443" t="s">
        <v>822</v>
      </c>
      <c r="D162" s="444" t="s">
        <v>823</v>
      </c>
      <c r="E162" s="438">
        <v>85397065</v>
      </c>
      <c r="F162" s="415">
        <v>45772</v>
      </c>
      <c r="G162" s="380" t="s">
        <v>55</v>
      </c>
      <c r="H162" s="380">
        <v>1</v>
      </c>
      <c r="I162" s="388">
        <v>98500</v>
      </c>
      <c r="J162" s="380">
        <v>2</v>
      </c>
      <c r="K162" s="389">
        <f t="shared" si="5"/>
        <v>49250</v>
      </c>
      <c r="L162" s="381">
        <v>45763</v>
      </c>
      <c r="M162" s="381">
        <v>46127</v>
      </c>
      <c r="N162" s="363" t="s">
        <v>19</v>
      </c>
      <c r="O162" s="380" t="s">
        <v>5</v>
      </c>
      <c r="P162" s="380" t="s">
        <v>1</v>
      </c>
      <c r="Q162" s="390" t="s">
        <v>825</v>
      </c>
      <c r="R162" s="363" t="s">
        <v>826</v>
      </c>
      <c r="S162" s="390" t="s">
        <v>827</v>
      </c>
      <c r="T162" s="363" t="s">
        <v>828</v>
      </c>
      <c r="U162" s="363"/>
      <c r="V162" s="363"/>
      <c r="W162" s="363"/>
      <c r="X162" s="363"/>
      <c r="Y162" s="363"/>
      <c r="Z162" s="363"/>
      <c r="AA162" s="363"/>
      <c r="AB162" s="363"/>
      <c r="AC162" s="363" t="s">
        <v>183</v>
      </c>
      <c r="AD162" s="380" t="s">
        <v>97</v>
      </c>
      <c r="AE162" s="380">
        <v>2</v>
      </c>
      <c r="AF162" s="363" t="s">
        <v>829</v>
      </c>
    </row>
    <row r="163" spans="2:32" ht="14.4" hidden="1" x14ac:dyDescent="0.3">
      <c r="B163" s="380" t="s">
        <v>14</v>
      </c>
      <c r="C163" s="430" t="s">
        <v>830</v>
      </c>
      <c r="D163" s="445" t="s">
        <v>831</v>
      </c>
      <c r="E163" s="408">
        <v>3500120284</v>
      </c>
      <c r="F163" s="387">
        <v>45756</v>
      </c>
      <c r="G163" s="380" t="s">
        <v>55</v>
      </c>
      <c r="H163" s="380">
        <v>1</v>
      </c>
      <c r="I163" s="388">
        <v>120000</v>
      </c>
      <c r="J163" s="380">
        <v>3</v>
      </c>
      <c r="K163" s="389">
        <f t="shared" si="5"/>
        <v>40000</v>
      </c>
      <c r="L163" s="381">
        <v>45689</v>
      </c>
      <c r="M163" s="381">
        <v>46053</v>
      </c>
      <c r="N163" s="363" t="s">
        <v>19</v>
      </c>
      <c r="O163" s="380" t="s">
        <v>0</v>
      </c>
      <c r="P163" s="380"/>
      <c r="Q163" s="390" t="s">
        <v>832</v>
      </c>
      <c r="R163" s="363" t="s">
        <v>833</v>
      </c>
      <c r="S163" s="390" t="s">
        <v>81</v>
      </c>
      <c r="T163" s="363" t="s">
        <v>287</v>
      </c>
      <c r="U163" s="390" t="s">
        <v>83</v>
      </c>
      <c r="V163" s="363" t="s">
        <v>395</v>
      </c>
      <c r="W163" s="363"/>
      <c r="X163" s="363"/>
      <c r="Y163" s="363"/>
      <c r="Z163" s="363"/>
      <c r="AA163" s="363"/>
      <c r="AB163" s="363"/>
      <c r="AC163" s="363" t="s">
        <v>834</v>
      </c>
      <c r="AD163" s="380" t="s">
        <v>207</v>
      </c>
      <c r="AE163" s="380">
        <v>3</v>
      </c>
      <c r="AF163" s="363" t="s">
        <v>835</v>
      </c>
    </row>
    <row r="164" spans="2:32" ht="14.4" hidden="1" x14ac:dyDescent="0.3">
      <c r="B164" s="380" t="s">
        <v>14</v>
      </c>
      <c r="C164" s="430" t="s">
        <v>836</v>
      </c>
      <c r="D164" s="445" t="s">
        <v>629</v>
      </c>
      <c r="E164" s="408" t="s">
        <v>837</v>
      </c>
      <c r="F164" s="387">
        <v>45773</v>
      </c>
      <c r="G164" s="380" t="s">
        <v>55</v>
      </c>
      <c r="H164" s="380">
        <v>2</v>
      </c>
      <c r="I164" s="388">
        <v>168000</v>
      </c>
      <c r="J164" s="380">
        <v>2</v>
      </c>
      <c r="K164" s="389">
        <f t="shared" si="5"/>
        <v>84000</v>
      </c>
      <c r="L164" s="381">
        <v>45748</v>
      </c>
      <c r="M164" s="381">
        <v>46112</v>
      </c>
      <c r="N164" s="363" t="s">
        <v>19</v>
      </c>
      <c r="O164" s="380" t="s">
        <v>3</v>
      </c>
      <c r="P164" s="380"/>
      <c r="Q164" s="390" t="s">
        <v>838</v>
      </c>
      <c r="R164" s="363" t="s">
        <v>344</v>
      </c>
      <c r="S164" s="390" t="s">
        <v>465</v>
      </c>
      <c r="T164" s="363" t="s">
        <v>839</v>
      </c>
      <c r="U164" s="363"/>
      <c r="V164" s="363"/>
      <c r="W164" s="363"/>
      <c r="X164" s="363"/>
      <c r="Y164" s="363"/>
      <c r="Z164" s="363"/>
      <c r="AA164" s="363"/>
      <c r="AB164" s="363"/>
      <c r="AC164" s="363" t="s">
        <v>485</v>
      </c>
      <c r="AD164" s="380" t="s">
        <v>63</v>
      </c>
      <c r="AE164" s="380">
        <v>2</v>
      </c>
      <c r="AF164" s="363" t="s">
        <v>799</v>
      </c>
    </row>
    <row r="165" spans="2:32" ht="14.4" hidden="1" x14ac:dyDescent="0.3">
      <c r="B165" s="380" t="s">
        <v>14</v>
      </c>
      <c r="C165" s="430" t="s">
        <v>840</v>
      </c>
      <c r="D165" s="445" t="s">
        <v>841</v>
      </c>
      <c r="E165" s="408" t="s">
        <v>842</v>
      </c>
      <c r="F165" s="387">
        <v>45768</v>
      </c>
      <c r="G165" s="380" t="s">
        <v>55</v>
      </c>
      <c r="H165" s="380">
        <v>3</v>
      </c>
      <c r="I165" s="388">
        <v>202500</v>
      </c>
      <c r="J165" s="380">
        <v>3</v>
      </c>
      <c r="K165" s="389">
        <f t="shared" ref="K165:K173" si="6">I165/J165</f>
        <v>67500</v>
      </c>
      <c r="L165" s="381">
        <v>45748</v>
      </c>
      <c r="M165" s="381">
        <v>46112</v>
      </c>
      <c r="N165" s="363" t="s">
        <v>19</v>
      </c>
      <c r="O165" s="380" t="s">
        <v>3</v>
      </c>
      <c r="P165" s="380"/>
      <c r="Q165" s="390" t="s">
        <v>758</v>
      </c>
      <c r="R165" s="363" t="s">
        <v>843</v>
      </c>
      <c r="S165" s="390" t="s">
        <v>665</v>
      </c>
      <c r="T165" s="363" t="s">
        <v>791</v>
      </c>
      <c r="U165" s="390" t="s">
        <v>361</v>
      </c>
      <c r="V165" s="363" t="s">
        <v>844</v>
      </c>
      <c r="W165" s="363"/>
      <c r="X165" s="363"/>
      <c r="Y165" s="363"/>
      <c r="Z165" s="363"/>
      <c r="AA165" s="363"/>
      <c r="AB165" s="363"/>
      <c r="AC165" s="363" t="s">
        <v>485</v>
      </c>
      <c r="AD165" s="380" t="s">
        <v>63</v>
      </c>
      <c r="AE165" s="380">
        <v>2</v>
      </c>
      <c r="AF165" s="363" t="s">
        <v>657</v>
      </c>
    </row>
    <row r="166" spans="2:32" ht="14.4" hidden="1" x14ac:dyDescent="0.3">
      <c r="B166" s="380" t="s">
        <v>14</v>
      </c>
      <c r="C166" s="430" t="s">
        <v>845</v>
      </c>
      <c r="D166" s="445" t="s">
        <v>846</v>
      </c>
      <c r="E166" s="408">
        <v>901965547</v>
      </c>
      <c r="F166" s="387">
        <v>45729</v>
      </c>
      <c r="G166" s="380" t="s">
        <v>55</v>
      </c>
      <c r="H166" s="380">
        <v>1</v>
      </c>
      <c r="I166" s="388">
        <v>139000</v>
      </c>
      <c r="J166" s="380">
        <v>3</v>
      </c>
      <c r="K166" s="389">
        <f t="shared" si="6"/>
        <v>46333.333333333336</v>
      </c>
      <c r="L166" s="381">
        <v>45658</v>
      </c>
      <c r="M166" s="381">
        <v>46022</v>
      </c>
      <c r="N166" s="363" t="s">
        <v>19</v>
      </c>
      <c r="O166" s="380">
        <v>2025</v>
      </c>
      <c r="P166" s="380"/>
      <c r="Q166" s="390" t="s">
        <v>554</v>
      </c>
      <c r="R166" s="363" t="s">
        <v>106</v>
      </c>
      <c r="S166" s="390" t="s">
        <v>847</v>
      </c>
      <c r="T166" s="363" t="s">
        <v>213</v>
      </c>
      <c r="U166" s="390" t="s">
        <v>345</v>
      </c>
      <c r="V166" s="363" t="s">
        <v>848</v>
      </c>
      <c r="W166" s="363"/>
      <c r="X166" s="363"/>
      <c r="Y166" s="363"/>
      <c r="Z166" s="363"/>
      <c r="AA166" s="363"/>
      <c r="AB166" s="363"/>
      <c r="AC166" s="363" t="s">
        <v>834</v>
      </c>
      <c r="AD166" s="380" t="s">
        <v>207</v>
      </c>
      <c r="AE166" s="380">
        <v>3</v>
      </c>
      <c r="AF166" s="446" t="s">
        <v>849</v>
      </c>
    </row>
    <row r="167" spans="2:32" ht="14.4" hidden="1" x14ac:dyDescent="0.3">
      <c r="B167" s="380" t="s">
        <v>14</v>
      </c>
      <c r="C167" s="430" t="s">
        <v>850</v>
      </c>
      <c r="D167" s="445" t="s">
        <v>388</v>
      </c>
      <c r="E167" s="408">
        <v>5000132738</v>
      </c>
      <c r="F167" s="387">
        <v>45769</v>
      </c>
      <c r="G167" s="380" t="s">
        <v>55</v>
      </c>
      <c r="H167" s="380">
        <v>1</v>
      </c>
      <c r="I167" s="388">
        <v>83000</v>
      </c>
      <c r="J167" s="380">
        <v>2</v>
      </c>
      <c r="K167" s="389">
        <f t="shared" si="6"/>
        <v>41500</v>
      </c>
      <c r="L167" s="381">
        <v>45748</v>
      </c>
      <c r="M167" s="381">
        <v>46112</v>
      </c>
      <c r="N167" s="363" t="s">
        <v>19</v>
      </c>
      <c r="O167" s="380" t="s">
        <v>3</v>
      </c>
      <c r="P167" s="380" t="s">
        <v>1</v>
      </c>
      <c r="Q167" s="390" t="s">
        <v>838</v>
      </c>
      <c r="R167" s="363" t="s">
        <v>379</v>
      </c>
      <c r="S167" s="390" t="s">
        <v>465</v>
      </c>
      <c r="T167" s="363" t="s">
        <v>851</v>
      </c>
      <c r="U167" s="363"/>
      <c r="V167" s="363"/>
      <c r="W167" s="363"/>
      <c r="X167" s="363"/>
      <c r="Y167" s="363"/>
      <c r="Z167" s="363"/>
      <c r="AA167" s="363"/>
      <c r="AB167" s="363"/>
      <c r="AC167" s="363" t="s">
        <v>619</v>
      </c>
      <c r="AD167" s="380" t="s">
        <v>63</v>
      </c>
      <c r="AE167" s="380">
        <v>3</v>
      </c>
      <c r="AF167" s="446">
        <v>1</v>
      </c>
    </row>
    <row r="168" spans="2:32" ht="14.4" hidden="1" x14ac:dyDescent="0.3">
      <c r="B168" s="380" t="s">
        <v>14</v>
      </c>
      <c r="C168" s="430" t="s">
        <v>775</v>
      </c>
      <c r="D168" s="445" t="s">
        <v>852</v>
      </c>
      <c r="E168" s="408">
        <v>2710000809</v>
      </c>
      <c r="F168" s="387">
        <v>45763</v>
      </c>
      <c r="G168" s="380" t="s">
        <v>55</v>
      </c>
      <c r="H168" s="380">
        <v>2</v>
      </c>
      <c r="I168" s="388">
        <v>170000</v>
      </c>
      <c r="J168" s="380">
        <v>3</v>
      </c>
      <c r="K168" s="389">
        <f t="shared" si="6"/>
        <v>56666.666666666664</v>
      </c>
      <c r="L168" s="381">
        <v>45748</v>
      </c>
      <c r="M168" s="381">
        <v>46112</v>
      </c>
      <c r="N168" s="363" t="s">
        <v>19</v>
      </c>
      <c r="O168" s="380" t="s">
        <v>3</v>
      </c>
      <c r="P168" s="380"/>
      <c r="Q168" s="390" t="s">
        <v>758</v>
      </c>
      <c r="R168" s="363" t="s">
        <v>853</v>
      </c>
      <c r="S168" s="390" t="s">
        <v>665</v>
      </c>
      <c r="T168" s="363" t="s">
        <v>854</v>
      </c>
      <c r="U168" s="390" t="s">
        <v>361</v>
      </c>
      <c r="V168" s="363" t="s">
        <v>855</v>
      </c>
      <c r="W168" s="363"/>
      <c r="X168" s="363"/>
      <c r="Y168" s="363"/>
      <c r="Z168" s="363"/>
      <c r="AA168" s="363"/>
      <c r="AB168" s="363"/>
      <c r="AC168" s="363" t="s">
        <v>551</v>
      </c>
      <c r="AD168" s="380" t="s">
        <v>207</v>
      </c>
      <c r="AE168" s="380">
        <v>3</v>
      </c>
      <c r="AF168" s="446" t="s">
        <v>856</v>
      </c>
    </row>
    <row r="169" spans="2:32" ht="14.4" hidden="1" x14ac:dyDescent="0.3">
      <c r="B169" s="380" t="s">
        <v>14</v>
      </c>
      <c r="C169" s="363" t="s">
        <v>857</v>
      </c>
      <c r="D169" s="386" t="s">
        <v>858</v>
      </c>
      <c r="E169" s="419" t="s">
        <v>859</v>
      </c>
      <c r="F169" s="387">
        <v>45747</v>
      </c>
      <c r="G169" s="380" t="s">
        <v>55</v>
      </c>
      <c r="H169" s="380">
        <v>2</v>
      </c>
      <c r="I169" s="388">
        <v>370000</v>
      </c>
      <c r="J169" s="380">
        <v>4</v>
      </c>
      <c r="K169" s="389">
        <f t="shared" si="6"/>
        <v>92500</v>
      </c>
      <c r="L169" s="381">
        <v>45748</v>
      </c>
      <c r="M169" s="381">
        <v>46112</v>
      </c>
      <c r="N169" s="363" t="s">
        <v>19</v>
      </c>
      <c r="O169" s="380" t="s">
        <v>3</v>
      </c>
      <c r="P169" s="380"/>
      <c r="Q169" s="390" t="s">
        <v>391</v>
      </c>
      <c r="R169" s="363" t="s">
        <v>860</v>
      </c>
      <c r="S169" s="390" t="s">
        <v>168</v>
      </c>
      <c r="T169" s="363" t="s">
        <v>505</v>
      </c>
      <c r="U169" s="390" t="s">
        <v>228</v>
      </c>
      <c r="V169" s="363" t="s">
        <v>417</v>
      </c>
      <c r="W169" s="363" t="s">
        <v>396</v>
      </c>
      <c r="X169" s="363"/>
      <c r="Y169" s="363"/>
      <c r="Z169" s="363"/>
      <c r="AA169" s="363"/>
      <c r="AB169" s="363"/>
      <c r="AC169" s="363" t="s">
        <v>551</v>
      </c>
      <c r="AD169" s="380" t="s">
        <v>207</v>
      </c>
      <c r="AE169" s="380" t="s">
        <v>861</v>
      </c>
      <c r="AF169" s="363" t="s">
        <v>862</v>
      </c>
    </row>
    <row r="170" spans="2:32" ht="14.4" x14ac:dyDescent="0.3">
      <c r="B170" s="380" t="s">
        <v>14</v>
      </c>
      <c r="C170" s="409" t="s">
        <v>863</v>
      </c>
      <c r="D170" s="423" t="s">
        <v>864</v>
      </c>
      <c r="E170" s="424">
        <v>4504578229</v>
      </c>
      <c r="F170" s="387">
        <v>45779</v>
      </c>
      <c r="G170" s="380" t="s">
        <v>55</v>
      </c>
      <c r="H170" s="380">
        <v>1</v>
      </c>
      <c r="I170" s="388">
        <v>67000</v>
      </c>
      <c r="J170" s="380">
        <v>2</v>
      </c>
      <c r="K170" s="389">
        <f t="shared" si="6"/>
        <v>33500</v>
      </c>
      <c r="L170" s="381">
        <v>45839</v>
      </c>
      <c r="M170" s="381">
        <v>46203</v>
      </c>
      <c r="N170" s="363" t="s">
        <v>19</v>
      </c>
      <c r="O170" s="380" t="s">
        <v>9</v>
      </c>
      <c r="P170" s="380"/>
      <c r="Q170" s="390" t="s">
        <v>483</v>
      </c>
      <c r="R170" s="363" t="s">
        <v>865</v>
      </c>
      <c r="S170" s="390" t="s">
        <v>607</v>
      </c>
      <c r="T170" s="363" t="s">
        <v>1850</v>
      </c>
      <c r="U170" s="363"/>
      <c r="V170" s="363"/>
      <c r="W170" s="363"/>
      <c r="X170" s="363"/>
      <c r="Y170" s="363"/>
      <c r="Z170" s="363"/>
      <c r="AA170" s="363"/>
      <c r="AB170" s="363"/>
      <c r="AC170" s="363" t="s">
        <v>507</v>
      </c>
      <c r="AD170" s="380" t="s">
        <v>63</v>
      </c>
      <c r="AE170" s="380">
        <v>2</v>
      </c>
      <c r="AF170" s="363" t="s">
        <v>743</v>
      </c>
    </row>
    <row r="171" spans="2:32" ht="14.4" hidden="1" x14ac:dyDescent="0.3">
      <c r="B171" s="380" t="s">
        <v>14</v>
      </c>
      <c r="C171" s="412" t="s">
        <v>508</v>
      </c>
      <c r="D171" s="437" t="s">
        <v>866</v>
      </c>
      <c r="E171" s="438" t="s">
        <v>867</v>
      </c>
      <c r="F171" s="415">
        <v>45777</v>
      </c>
      <c r="G171" s="380" t="s">
        <v>55</v>
      </c>
      <c r="H171" s="380">
        <v>2</v>
      </c>
      <c r="I171" s="388">
        <v>178000</v>
      </c>
      <c r="J171" s="380">
        <v>3</v>
      </c>
      <c r="K171" s="389">
        <f t="shared" si="6"/>
        <v>59333.333333333336</v>
      </c>
      <c r="L171" s="381">
        <v>45778</v>
      </c>
      <c r="M171" s="381">
        <v>46142</v>
      </c>
      <c r="N171" s="363" t="s">
        <v>19</v>
      </c>
      <c r="O171" s="380" t="s">
        <v>5</v>
      </c>
      <c r="P171" s="380"/>
      <c r="Q171" s="390" t="s">
        <v>343</v>
      </c>
      <c r="R171" s="363" t="s">
        <v>868</v>
      </c>
      <c r="S171" s="390" t="s">
        <v>345</v>
      </c>
      <c r="T171" s="390" t="s">
        <v>673</v>
      </c>
      <c r="U171" s="390" t="s">
        <v>347</v>
      </c>
      <c r="V171" s="363" t="s">
        <v>869</v>
      </c>
      <c r="W171" s="363"/>
      <c r="X171" s="363"/>
      <c r="Y171" s="363"/>
      <c r="Z171" s="363"/>
      <c r="AA171" s="363"/>
      <c r="AB171" s="363"/>
      <c r="AC171" s="363" t="s">
        <v>96</v>
      </c>
      <c r="AD171" s="380" t="s">
        <v>97</v>
      </c>
      <c r="AE171" s="380" t="s">
        <v>494</v>
      </c>
      <c r="AF171" s="431" t="s">
        <v>870</v>
      </c>
    </row>
    <row r="172" spans="2:32" ht="14.4" hidden="1" x14ac:dyDescent="0.3">
      <c r="B172" s="380" t="s">
        <v>14</v>
      </c>
      <c r="C172" s="412" t="s">
        <v>508</v>
      </c>
      <c r="D172" s="437" t="s">
        <v>866</v>
      </c>
      <c r="E172" s="438" t="s">
        <v>871</v>
      </c>
      <c r="F172" s="415">
        <v>45777</v>
      </c>
      <c r="G172" s="380" t="s">
        <v>55</v>
      </c>
      <c r="H172" s="380">
        <v>2</v>
      </c>
      <c r="I172" s="388">
        <v>178000</v>
      </c>
      <c r="J172" s="380">
        <v>3</v>
      </c>
      <c r="K172" s="389">
        <f t="shared" si="6"/>
        <v>59333.333333333336</v>
      </c>
      <c r="L172" s="381">
        <v>45778</v>
      </c>
      <c r="M172" s="381">
        <v>46142</v>
      </c>
      <c r="N172" s="363" t="s">
        <v>19</v>
      </c>
      <c r="O172" s="380" t="s">
        <v>5</v>
      </c>
      <c r="P172" s="380"/>
      <c r="Q172" s="390" t="s">
        <v>343</v>
      </c>
      <c r="R172" s="363" t="s">
        <v>872</v>
      </c>
      <c r="S172" s="390" t="s">
        <v>345</v>
      </c>
      <c r="T172" s="363" t="s">
        <v>873</v>
      </c>
      <c r="U172" s="390" t="s">
        <v>347</v>
      </c>
      <c r="V172" s="363" t="s">
        <v>874</v>
      </c>
      <c r="W172" s="363"/>
      <c r="X172" s="363"/>
      <c r="Y172" s="363"/>
      <c r="Z172" s="363"/>
      <c r="AA172" s="363"/>
      <c r="AB172" s="363"/>
      <c r="AC172" s="363" t="s">
        <v>96</v>
      </c>
      <c r="AD172" s="380" t="s">
        <v>97</v>
      </c>
      <c r="AE172" s="380" t="s">
        <v>494</v>
      </c>
      <c r="AF172" s="431" t="s">
        <v>870</v>
      </c>
    </row>
    <row r="173" spans="2:32" ht="14.4" hidden="1" x14ac:dyDescent="0.3">
      <c r="B173" s="380" t="s">
        <v>14</v>
      </c>
      <c r="C173" s="423" t="s">
        <v>875</v>
      </c>
      <c r="D173" s="423" t="s">
        <v>876</v>
      </c>
      <c r="E173" s="408" t="s">
        <v>877</v>
      </c>
      <c r="F173" s="387">
        <v>45772</v>
      </c>
      <c r="G173" s="380" t="s">
        <v>55</v>
      </c>
      <c r="H173" s="380">
        <v>3</v>
      </c>
      <c r="I173" s="388">
        <v>435000</v>
      </c>
      <c r="J173" s="380">
        <v>3</v>
      </c>
      <c r="K173" s="389">
        <f t="shared" si="6"/>
        <v>145000</v>
      </c>
      <c r="L173" s="381">
        <v>45770</v>
      </c>
      <c r="M173" s="381">
        <v>46134</v>
      </c>
      <c r="N173" s="363" t="s">
        <v>19</v>
      </c>
      <c r="O173" s="380" t="s">
        <v>5</v>
      </c>
      <c r="P173" s="380" t="s">
        <v>1</v>
      </c>
      <c r="Q173" s="390" t="s">
        <v>878</v>
      </c>
      <c r="R173" s="363" t="s">
        <v>108</v>
      </c>
      <c r="S173" s="390" t="s">
        <v>879</v>
      </c>
      <c r="T173" s="363" t="s">
        <v>880</v>
      </c>
      <c r="U173" s="390" t="s">
        <v>881</v>
      </c>
      <c r="V173" s="363" t="s">
        <v>882</v>
      </c>
      <c r="W173" s="363"/>
      <c r="X173" s="363"/>
      <c r="Y173" s="363"/>
      <c r="Z173" s="363"/>
      <c r="AA173" s="363"/>
      <c r="AB173" s="363"/>
      <c r="AC173" s="363" t="s">
        <v>281</v>
      </c>
      <c r="AD173" s="380" t="s">
        <v>97</v>
      </c>
      <c r="AE173" s="380">
        <v>3</v>
      </c>
      <c r="AF173" s="363" t="s">
        <v>883</v>
      </c>
    </row>
    <row r="174" spans="2:32" ht="14.4" hidden="1" x14ac:dyDescent="0.3">
      <c r="B174" s="380" t="s">
        <v>14</v>
      </c>
      <c r="C174" s="437" t="s">
        <v>614</v>
      </c>
      <c r="D174" s="437" t="s">
        <v>884</v>
      </c>
      <c r="E174" s="447" t="s">
        <v>885</v>
      </c>
      <c r="F174" s="387">
        <v>45782</v>
      </c>
      <c r="G174" s="380" t="s">
        <v>55</v>
      </c>
      <c r="H174" s="380">
        <v>1</v>
      </c>
      <c r="I174" s="388">
        <v>76440</v>
      </c>
      <c r="J174" s="380">
        <v>3</v>
      </c>
      <c r="K174" s="389"/>
      <c r="L174" s="381">
        <v>45809</v>
      </c>
      <c r="M174" s="381">
        <v>46173</v>
      </c>
      <c r="N174" s="363" t="s">
        <v>520</v>
      </c>
      <c r="O174" s="380" t="s">
        <v>6</v>
      </c>
      <c r="P174" s="380"/>
      <c r="Q174" s="390" t="s">
        <v>81</v>
      </c>
      <c r="R174" s="363" t="s">
        <v>886</v>
      </c>
      <c r="S174" s="422" t="s">
        <v>83</v>
      </c>
      <c r="T174" s="363" t="s">
        <v>1716</v>
      </c>
      <c r="U174" s="422" t="s">
        <v>887</v>
      </c>
      <c r="V174" s="363" t="s">
        <v>1716</v>
      </c>
      <c r="W174" s="363"/>
      <c r="X174" s="363"/>
      <c r="Y174" s="363"/>
      <c r="Z174" s="363"/>
      <c r="AA174" s="363"/>
      <c r="AB174" s="363"/>
      <c r="AC174" s="363" t="s">
        <v>281</v>
      </c>
      <c r="AD174" s="380" t="s">
        <v>97</v>
      </c>
      <c r="AE174" s="380">
        <v>3</v>
      </c>
      <c r="AF174" s="363" t="s">
        <v>888</v>
      </c>
    </row>
    <row r="175" spans="2:32" ht="14.4" hidden="1" x14ac:dyDescent="0.3">
      <c r="B175" s="380" t="s">
        <v>14</v>
      </c>
      <c r="C175" s="409" t="s">
        <v>889</v>
      </c>
      <c r="D175" s="423" t="s">
        <v>890</v>
      </c>
      <c r="E175" s="419">
        <v>4500008676</v>
      </c>
      <c r="F175" s="387">
        <v>45734</v>
      </c>
      <c r="G175" s="380" t="s">
        <v>55</v>
      </c>
      <c r="H175" s="380">
        <v>2</v>
      </c>
      <c r="I175" s="388">
        <v>191000</v>
      </c>
      <c r="J175" s="380">
        <v>2</v>
      </c>
      <c r="K175" s="389">
        <f t="shared" ref="K175:K199" si="7">I175/J175</f>
        <v>95500</v>
      </c>
      <c r="L175" s="381">
        <v>45689</v>
      </c>
      <c r="M175" s="381">
        <v>46053</v>
      </c>
      <c r="N175" s="363" t="s">
        <v>19</v>
      </c>
      <c r="O175" s="380" t="s">
        <v>0</v>
      </c>
      <c r="P175" s="380" t="s">
        <v>1</v>
      </c>
      <c r="Q175" s="390" t="s">
        <v>422</v>
      </c>
      <c r="R175" s="363" t="s">
        <v>413</v>
      </c>
      <c r="S175" s="390" t="s">
        <v>424</v>
      </c>
      <c r="T175" s="363" t="s">
        <v>707</v>
      </c>
      <c r="U175" s="363"/>
      <c r="V175" s="363"/>
      <c r="W175" s="363"/>
      <c r="X175" s="363"/>
      <c r="Y175" s="363"/>
      <c r="Z175" s="363"/>
      <c r="AA175" s="363"/>
      <c r="AB175" s="363"/>
      <c r="AC175" s="363" t="s">
        <v>183</v>
      </c>
      <c r="AD175" s="380" t="s">
        <v>97</v>
      </c>
      <c r="AE175" s="380">
        <v>2</v>
      </c>
      <c r="AF175" s="446">
        <v>1</v>
      </c>
    </row>
    <row r="176" spans="2:32" ht="14.4" hidden="1" x14ac:dyDescent="0.3">
      <c r="B176" s="380" t="s">
        <v>14</v>
      </c>
      <c r="C176" s="409" t="s">
        <v>195</v>
      </c>
      <c r="D176" s="423" t="s">
        <v>447</v>
      </c>
      <c r="E176" s="380" t="s">
        <v>891</v>
      </c>
      <c r="F176" s="387">
        <v>45789</v>
      </c>
      <c r="G176" s="380" t="s">
        <v>55</v>
      </c>
      <c r="H176" s="380">
        <v>3</v>
      </c>
      <c r="I176" s="388">
        <v>179550</v>
      </c>
      <c r="J176" s="380">
        <v>4</v>
      </c>
      <c r="K176" s="389">
        <f t="shared" si="7"/>
        <v>44887.5</v>
      </c>
      <c r="L176" s="381">
        <v>45778</v>
      </c>
      <c r="M176" s="381">
        <v>46142</v>
      </c>
      <c r="N176" s="363" t="s">
        <v>520</v>
      </c>
      <c r="O176" s="380" t="s">
        <v>6</v>
      </c>
      <c r="P176" s="380"/>
      <c r="Q176" s="390" t="s">
        <v>266</v>
      </c>
      <c r="R176" s="363" t="s">
        <v>806</v>
      </c>
      <c r="S176" s="390" t="s">
        <v>892</v>
      </c>
      <c r="T176" s="363" t="s">
        <v>723</v>
      </c>
      <c r="U176" s="390" t="s">
        <v>269</v>
      </c>
      <c r="V176" s="363" t="s">
        <v>171</v>
      </c>
      <c r="W176" s="390" t="s">
        <v>442</v>
      </c>
      <c r="X176" s="363" t="s">
        <v>882</v>
      </c>
      <c r="Y176" s="363"/>
      <c r="Z176" s="363"/>
      <c r="AA176" s="363"/>
      <c r="AB176" s="363"/>
      <c r="AC176" s="363" t="s">
        <v>96</v>
      </c>
      <c r="AD176" s="380" t="s">
        <v>97</v>
      </c>
      <c r="AE176" s="380" t="s">
        <v>494</v>
      </c>
      <c r="AF176" s="363" t="s">
        <v>667</v>
      </c>
    </row>
    <row r="177" spans="2:32" ht="14.4" hidden="1" x14ac:dyDescent="0.3">
      <c r="B177" s="380" t="s">
        <v>14</v>
      </c>
      <c r="C177" s="409" t="s">
        <v>195</v>
      </c>
      <c r="D177" s="423" t="s">
        <v>447</v>
      </c>
      <c r="E177" s="380" t="s">
        <v>891</v>
      </c>
      <c r="F177" s="387">
        <v>45789</v>
      </c>
      <c r="G177" s="380"/>
      <c r="H177" s="380"/>
      <c r="I177" s="388">
        <v>188535</v>
      </c>
      <c r="J177" s="380">
        <v>4</v>
      </c>
      <c r="K177" s="389">
        <f t="shared" si="7"/>
        <v>47133.75</v>
      </c>
      <c r="L177" s="381">
        <v>46143</v>
      </c>
      <c r="M177" s="381">
        <v>46507</v>
      </c>
      <c r="N177" s="363" t="s">
        <v>520</v>
      </c>
      <c r="O177" s="380" t="s">
        <v>6</v>
      </c>
      <c r="P177" s="380"/>
      <c r="Q177" s="363" t="s">
        <v>444</v>
      </c>
      <c r="R177" s="363"/>
      <c r="S177" s="363" t="s">
        <v>445</v>
      </c>
      <c r="T177" s="363"/>
      <c r="U177" s="381" t="s">
        <v>456</v>
      </c>
      <c r="V177" s="363"/>
      <c r="W177" s="363" t="s">
        <v>457</v>
      </c>
      <c r="X177" s="363"/>
      <c r="Y177" s="363"/>
      <c r="Z177" s="363"/>
      <c r="AA177" s="363"/>
      <c r="AB177" s="363"/>
      <c r="AC177" s="363"/>
      <c r="AD177" s="380"/>
      <c r="AE177" s="380"/>
      <c r="AF177" s="363"/>
    </row>
    <row r="178" spans="2:32" ht="14.4" hidden="1" x14ac:dyDescent="0.3">
      <c r="B178" s="380" t="s">
        <v>14</v>
      </c>
      <c r="C178" s="409" t="s">
        <v>195</v>
      </c>
      <c r="D178" s="423" t="s">
        <v>447</v>
      </c>
      <c r="E178" s="380" t="s">
        <v>891</v>
      </c>
      <c r="F178" s="387">
        <v>45789</v>
      </c>
      <c r="G178" s="380"/>
      <c r="H178" s="380"/>
      <c r="I178" s="388">
        <v>197955</v>
      </c>
      <c r="J178" s="380">
        <v>4</v>
      </c>
      <c r="K178" s="389">
        <f t="shared" si="7"/>
        <v>49488.75</v>
      </c>
      <c r="L178" s="381">
        <v>46508</v>
      </c>
      <c r="M178" s="381">
        <v>46873</v>
      </c>
      <c r="N178" s="363" t="s">
        <v>520</v>
      </c>
      <c r="O178" s="380" t="s">
        <v>6</v>
      </c>
      <c r="P178" s="380"/>
      <c r="Q178" s="363" t="s">
        <v>458</v>
      </c>
      <c r="R178" s="363"/>
      <c r="S178" s="363" t="s">
        <v>459</v>
      </c>
      <c r="T178" s="363"/>
      <c r="U178" s="363" t="s">
        <v>893</v>
      </c>
      <c r="V178" s="363"/>
      <c r="W178" s="363" t="s">
        <v>894</v>
      </c>
      <c r="X178" s="363"/>
      <c r="Y178" s="363"/>
      <c r="Z178" s="363"/>
      <c r="AA178" s="363"/>
      <c r="AB178" s="363"/>
      <c r="AC178" s="363"/>
      <c r="AD178" s="380"/>
      <c r="AE178" s="380"/>
      <c r="AF178" s="363"/>
    </row>
    <row r="179" spans="2:32" ht="14.4" hidden="1" x14ac:dyDescent="0.3">
      <c r="B179" s="380" t="s">
        <v>14</v>
      </c>
      <c r="C179" s="363" t="s">
        <v>895</v>
      </c>
      <c r="D179" s="386" t="s">
        <v>896</v>
      </c>
      <c r="E179" s="380" t="s">
        <v>897</v>
      </c>
      <c r="F179" s="387">
        <v>45789</v>
      </c>
      <c r="G179" s="380" t="s">
        <v>55</v>
      </c>
      <c r="H179" s="380">
        <v>1</v>
      </c>
      <c r="I179" s="388">
        <v>90000</v>
      </c>
      <c r="J179" s="380">
        <v>2</v>
      </c>
      <c r="K179" s="389">
        <f t="shared" si="7"/>
        <v>45000</v>
      </c>
      <c r="L179" s="381">
        <v>45748</v>
      </c>
      <c r="M179" s="381">
        <v>46112</v>
      </c>
      <c r="N179" s="363" t="s">
        <v>19</v>
      </c>
      <c r="O179" s="380" t="s">
        <v>3</v>
      </c>
      <c r="P179" s="380"/>
      <c r="Q179" s="390" t="s">
        <v>463</v>
      </c>
      <c r="R179" s="363" t="s">
        <v>898</v>
      </c>
      <c r="S179" s="390" t="s">
        <v>465</v>
      </c>
      <c r="T179" s="363" t="s">
        <v>899</v>
      </c>
      <c r="U179" s="363"/>
      <c r="V179" s="363"/>
      <c r="W179" s="363"/>
      <c r="X179" s="363"/>
      <c r="Y179" s="363"/>
      <c r="Z179" s="363"/>
      <c r="AA179" s="363"/>
      <c r="AB179" s="363"/>
      <c r="AC179" s="363" t="s">
        <v>96</v>
      </c>
      <c r="AD179" s="380" t="s">
        <v>97</v>
      </c>
      <c r="AE179" s="380">
        <v>3</v>
      </c>
      <c r="AF179" s="363" t="s">
        <v>774</v>
      </c>
    </row>
    <row r="180" spans="2:32" ht="14.4" hidden="1" x14ac:dyDescent="0.3">
      <c r="B180" s="380" t="s">
        <v>14</v>
      </c>
      <c r="C180" s="409" t="s">
        <v>775</v>
      </c>
      <c r="D180" s="423" t="s">
        <v>900</v>
      </c>
      <c r="E180" s="408">
        <v>2710000789</v>
      </c>
      <c r="F180" s="387">
        <v>45762</v>
      </c>
      <c r="G180" s="380" t="s">
        <v>55</v>
      </c>
      <c r="H180" s="380">
        <v>4</v>
      </c>
      <c r="I180" s="388">
        <v>320000</v>
      </c>
      <c r="J180" s="380">
        <v>3</v>
      </c>
      <c r="K180" s="389">
        <f t="shared" si="7"/>
        <v>106666.66666666667</v>
      </c>
      <c r="L180" s="381">
        <v>45748</v>
      </c>
      <c r="M180" s="381">
        <v>46112</v>
      </c>
      <c r="N180" s="363" t="s">
        <v>19</v>
      </c>
      <c r="O180" s="380" t="s">
        <v>3</v>
      </c>
      <c r="P180" s="380"/>
      <c r="Q180" s="390" t="s">
        <v>758</v>
      </c>
      <c r="R180" s="363" t="s">
        <v>504</v>
      </c>
      <c r="S180" s="390" t="s">
        <v>901</v>
      </c>
      <c r="T180" s="363" t="s">
        <v>902</v>
      </c>
      <c r="U180" s="390" t="s">
        <v>361</v>
      </c>
      <c r="V180" s="363" t="s">
        <v>903</v>
      </c>
      <c r="W180" s="363"/>
      <c r="X180" s="363"/>
      <c r="Y180" s="363"/>
      <c r="Z180" s="363"/>
      <c r="AA180" s="363"/>
      <c r="AB180" s="363"/>
      <c r="AC180" s="363" t="s">
        <v>551</v>
      </c>
      <c r="AD180" s="380" t="s">
        <v>207</v>
      </c>
      <c r="AE180" s="380">
        <v>3</v>
      </c>
      <c r="AF180" s="431" t="s">
        <v>904</v>
      </c>
    </row>
    <row r="181" spans="2:32" ht="14.4" hidden="1" x14ac:dyDescent="0.3">
      <c r="B181" s="380" t="s">
        <v>14</v>
      </c>
      <c r="C181" s="409" t="s">
        <v>905</v>
      </c>
      <c r="D181" s="423" t="s">
        <v>906</v>
      </c>
      <c r="E181" s="408">
        <v>1100033763</v>
      </c>
      <c r="F181" s="419" t="s">
        <v>907</v>
      </c>
      <c r="G181" s="380" t="s">
        <v>55</v>
      </c>
      <c r="H181" s="380">
        <v>4</v>
      </c>
      <c r="I181" s="388">
        <v>280000</v>
      </c>
      <c r="J181" s="380">
        <v>2</v>
      </c>
      <c r="K181" s="389">
        <f t="shared" si="7"/>
        <v>140000</v>
      </c>
      <c r="L181" s="381">
        <v>45809</v>
      </c>
      <c r="M181" s="381">
        <v>46173</v>
      </c>
      <c r="N181" s="363" t="s">
        <v>19</v>
      </c>
      <c r="O181" s="380" t="s">
        <v>6</v>
      </c>
      <c r="P181" s="380"/>
      <c r="Q181" s="390" t="s">
        <v>125</v>
      </c>
      <c r="R181" s="363" t="s">
        <v>908</v>
      </c>
      <c r="S181" s="390" t="s">
        <v>127</v>
      </c>
      <c r="T181" s="363" t="s">
        <v>909</v>
      </c>
      <c r="U181" s="363"/>
      <c r="V181" s="363"/>
      <c r="W181" s="363"/>
      <c r="X181" s="363"/>
      <c r="Y181" s="363"/>
      <c r="Z181" s="363"/>
      <c r="AA181" s="363"/>
      <c r="AB181" s="363"/>
      <c r="AC181" s="363" t="s">
        <v>551</v>
      </c>
      <c r="AD181" s="380" t="s">
        <v>207</v>
      </c>
      <c r="AE181" s="380">
        <v>3</v>
      </c>
      <c r="AF181" s="363" t="s">
        <v>667</v>
      </c>
    </row>
    <row r="182" spans="2:32" ht="14.4" hidden="1" x14ac:dyDescent="0.3">
      <c r="B182" s="380" t="s">
        <v>14</v>
      </c>
      <c r="C182" s="412" t="s">
        <v>628</v>
      </c>
      <c r="D182" s="437" t="s">
        <v>910</v>
      </c>
      <c r="E182" s="438" t="s">
        <v>911</v>
      </c>
      <c r="F182" s="415">
        <v>45792</v>
      </c>
      <c r="G182" s="380" t="s">
        <v>55</v>
      </c>
      <c r="H182" s="380">
        <v>3</v>
      </c>
      <c r="I182" s="388">
        <v>156000</v>
      </c>
      <c r="J182" s="380">
        <v>1</v>
      </c>
      <c r="K182" s="389">
        <f t="shared" si="7"/>
        <v>156000</v>
      </c>
      <c r="L182" s="381">
        <v>45748</v>
      </c>
      <c r="M182" s="381">
        <v>46112</v>
      </c>
      <c r="N182" s="363" t="s">
        <v>19</v>
      </c>
      <c r="O182" s="380" t="s">
        <v>3</v>
      </c>
      <c r="P182" s="380"/>
      <c r="Q182" s="390" t="s">
        <v>631</v>
      </c>
      <c r="R182" s="363" t="s">
        <v>909</v>
      </c>
      <c r="S182" s="363"/>
      <c r="T182" s="363"/>
      <c r="U182" s="363"/>
      <c r="V182" s="363"/>
      <c r="W182" s="363"/>
      <c r="X182" s="363"/>
      <c r="Y182" s="363"/>
      <c r="Z182" s="363"/>
      <c r="AA182" s="363"/>
      <c r="AB182" s="363"/>
      <c r="AC182" s="363" t="s">
        <v>485</v>
      </c>
      <c r="AD182" s="380" t="s">
        <v>63</v>
      </c>
      <c r="AE182" s="380">
        <v>2</v>
      </c>
      <c r="AF182" s="363" t="s">
        <v>912</v>
      </c>
    </row>
    <row r="183" spans="2:32" ht="14.4" hidden="1" x14ac:dyDescent="0.3">
      <c r="B183" s="380" t="s">
        <v>14</v>
      </c>
      <c r="C183" s="412" t="s">
        <v>508</v>
      </c>
      <c r="D183" s="437" t="s">
        <v>866</v>
      </c>
      <c r="E183" s="438" t="s">
        <v>913</v>
      </c>
      <c r="F183" s="415">
        <v>45779</v>
      </c>
      <c r="G183" s="380" t="s">
        <v>55</v>
      </c>
      <c r="H183" s="380">
        <v>2</v>
      </c>
      <c r="I183" s="388">
        <v>178000</v>
      </c>
      <c r="J183" s="380">
        <v>3</v>
      </c>
      <c r="K183" s="389">
        <f t="shared" si="7"/>
        <v>59333.333333333336</v>
      </c>
      <c r="L183" s="381">
        <v>45792</v>
      </c>
      <c r="M183" s="381">
        <v>46156</v>
      </c>
      <c r="N183" s="363" t="s">
        <v>19</v>
      </c>
      <c r="O183" s="380" t="s">
        <v>6</v>
      </c>
      <c r="P183" s="380"/>
      <c r="Q183" s="390" t="s">
        <v>914</v>
      </c>
      <c r="R183" s="363" t="s">
        <v>915</v>
      </c>
      <c r="S183" s="390" t="s">
        <v>916</v>
      </c>
      <c r="T183" s="363" t="s">
        <v>917</v>
      </c>
      <c r="U183" s="390" t="s">
        <v>918</v>
      </c>
      <c r="V183" s="363" t="s">
        <v>919</v>
      </c>
      <c r="W183" s="363"/>
      <c r="X183" s="363"/>
      <c r="Y183" s="363"/>
      <c r="Z183" s="363"/>
      <c r="AA183" s="363"/>
      <c r="AB183" s="363"/>
      <c r="AC183" s="363" t="s">
        <v>96</v>
      </c>
      <c r="AD183" s="380" t="s">
        <v>97</v>
      </c>
      <c r="AE183" s="380" t="s">
        <v>494</v>
      </c>
      <c r="AF183" s="363" t="s">
        <v>920</v>
      </c>
    </row>
    <row r="184" spans="2:32" ht="14.4" hidden="1" x14ac:dyDescent="0.3">
      <c r="B184" s="380" t="s">
        <v>14</v>
      </c>
      <c r="C184" s="409" t="s">
        <v>921</v>
      </c>
      <c r="D184" s="445" t="s">
        <v>922</v>
      </c>
      <c r="E184" s="408">
        <v>4510868028</v>
      </c>
      <c r="F184" s="387">
        <v>45797</v>
      </c>
      <c r="G184" s="380" t="s">
        <v>55</v>
      </c>
      <c r="H184" s="380">
        <v>4</v>
      </c>
      <c r="I184" s="388">
        <v>340000</v>
      </c>
      <c r="J184" s="380">
        <v>3</v>
      </c>
      <c r="K184" s="389">
        <f t="shared" si="7"/>
        <v>113333.33333333333</v>
      </c>
      <c r="L184" s="381">
        <v>45778</v>
      </c>
      <c r="M184" s="381">
        <v>46142</v>
      </c>
      <c r="N184" s="363" t="s">
        <v>520</v>
      </c>
      <c r="O184" s="380" t="s">
        <v>6</v>
      </c>
      <c r="P184" s="380" t="s">
        <v>1</v>
      </c>
      <c r="Q184" s="390" t="s">
        <v>343</v>
      </c>
      <c r="R184" s="363" t="s">
        <v>923</v>
      </c>
      <c r="S184" s="390" t="s">
        <v>345</v>
      </c>
      <c r="T184" s="363" t="s">
        <v>687</v>
      </c>
      <c r="U184" s="390" t="s">
        <v>347</v>
      </c>
      <c r="V184" s="363" t="s">
        <v>924</v>
      </c>
      <c r="W184" s="363"/>
      <c r="X184" s="363"/>
      <c r="Y184" s="363"/>
      <c r="Z184" s="363"/>
      <c r="AA184" s="363"/>
      <c r="AB184" s="363"/>
      <c r="AC184" s="363" t="s">
        <v>507</v>
      </c>
      <c r="AD184" s="380" t="s">
        <v>63</v>
      </c>
      <c r="AE184" s="380">
        <v>3</v>
      </c>
      <c r="AF184" s="363" t="s">
        <v>925</v>
      </c>
    </row>
    <row r="185" spans="2:32" ht="14.4" hidden="1" x14ac:dyDescent="0.3">
      <c r="B185" s="380" t="s">
        <v>14</v>
      </c>
      <c r="C185" s="409" t="s">
        <v>921</v>
      </c>
      <c r="D185" s="445" t="s">
        <v>922</v>
      </c>
      <c r="E185" s="408">
        <v>4510868028</v>
      </c>
      <c r="F185" s="387">
        <v>45797</v>
      </c>
      <c r="G185" s="380" t="s">
        <v>55</v>
      </c>
      <c r="H185" s="380"/>
      <c r="I185" s="388">
        <v>340000</v>
      </c>
      <c r="J185" s="380">
        <v>3</v>
      </c>
      <c r="K185" s="389">
        <f t="shared" si="7"/>
        <v>113333.33333333333</v>
      </c>
      <c r="L185" s="381">
        <v>46143</v>
      </c>
      <c r="M185" s="381">
        <v>46507</v>
      </c>
      <c r="N185" s="363" t="s">
        <v>520</v>
      </c>
      <c r="O185" s="380" t="s">
        <v>6</v>
      </c>
      <c r="P185" s="380" t="s">
        <v>1</v>
      </c>
      <c r="Q185" s="363" t="s">
        <v>348</v>
      </c>
      <c r="R185" s="363"/>
      <c r="S185" s="363" t="s">
        <v>349</v>
      </c>
      <c r="T185" s="363"/>
      <c r="U185" s="363" t="s">
        <v>738</v>
      </c>
      <c r="V185" s="363"/>
      <c r="W185" s="363"/>
      <c r="X185" s="363"/>
      <c r="Y185" s="363"/>
      <c r="Z185" s="363"/>
      <c r="AA185" s="363"/>
      <c r="AB185" s="363"/>
      <c r="AC185" s="363" t="s">
        <v>507</v>
      </c>
      <c r="AD185" s="380" t="s">
        <v>63</v>
      </c>
      <c r="AE185" s="380">
        <v>3</v>
      </c>
      <c r="AF185" s="363"/>
    </row>
    <row r="186" spans="2:32" ht="14.4" hidden="1" x14ac:dyDescent="0.3">
      <c r="B186" s="380" t="s">
        <v>14</v>
      </c>
      <c r="C186" s="409" t="s">
        <v>926</v>
      </c>
      <c r="D186" s="434" t="s">
        <v>151</v>
      </c>
      <c r="E186" s="380" t="s">
        <v>927</v>
      </c>
      <c r="F186" s="387">
        <v>45798</v>
      </c>
      <c r="G186" s="380" t="s">
        <v>55</v>
      </c>
      <c r="H186" s="380">
        <v>1</v>
      </c>
      <c r="I186" s="388">
        <v>78000</v>
      </c>
      <c r="J186" s="380">
        <v>3</v>
      </c>
      <c r="K186" s="389">
        <f t="shared" si="7"/>
        <v>26000</v>
      </c>
      <c r="L186" s="381">
        <v>45809</v>
      </c>
      <c r="M186" s="381">
        <v>46173</v>
      </c>
      <c r="N186" s="363" t="s">
        <v>19</v>
      </c>
      <c r="O186" s="380" t="s">
        <v>6</v>
      </c>
      <c r="P186" s="380"/>
      <c r="Q186" s="390" t="s">
        <v>81</v>
      </c>
      <c r="R186" s="363" t="s">
        <v>928</v>
      </c>
      <c r="S186" s="390" t="s">
        <v>83</v>
      </c>
      <c r="T186" s="363" t="s">
        <v>929</v>
      </c>
      <c r="U186" s="390" t="s">
        <v>404</v>
      </c>
      <c r="V186" s="363" t="s">
        <v>930</v>
      </c>
      <c r="W186" s="363"/>
      <c r="X186" s="363"/>
      <c r="Y186" s="363"/>
      <c r="Z186" s="363"/>
      <c r="AA186" s="363"/>
      <c r="AB186" s="363"/>
      <c r="AC186" s="363" t="s">
        <v>507</v>
      </c>
      <c r="AD186" s="380" t="s">
        <v>63</v>
      </c>
      <c r="AE186" s="380">
        <v>3</v>
      </c>
      <c r="AF186" s="363" t="s">
        <v>931</v>
      </c>
    </row>
    <row r="187" spans="2:32" ht="14.4" hidden="1" x14ac:dyDescent="0.3">
      <c r="B187" s="380" t="s">
        <v>14</v>
      </c>
      <c r="C187" s="409" t="s">
        <v>926</v>
      </c>
      <c r="D187" s="434" t="s">
        <v>932</v>
      </c>
      <c r="E187" s="419" t="s">
        <v>933</v>
      </c>
      <c r="F187" s="387">
        <v>45798</v>
      </c>
      <c r="G187" s="380" t="s">
        <v>55</v>
      </c>
      <c r="H187" s="380">
        <v>1</v>
      </c>
      <c r="I187" s="388">
        <v>78000</v>
      </c>
      <c r="J187" s="380">
        <v>3</v>
      </c>
      <c r="K187" s="389">
        <f t="shared" si="7"/>
        <v>26000</v>
      </c>
      <c r="L187" s="381">
        <v>45748</v>
      </c>
      <c r="M187" s="381">
        <v>46112</v>
      </c>
      <c r="N187" s="363" t="s">
        <v>19</v>
      </c>
      <c r="O187" s="380" t="s">
        <v>3</v>
      </c>
      <c r="P187" s="380"/>
      <c r="Q187" s="390" t="s">
        <v>357</v>
      </c>
      <c r="R187" s="363" t="s">
        <v>934</v>
      </c>
      <c r="S187" s="390" t="s">
        <v>665</v>
      </c>
      <c r="T187" s="363" t="s">
        <v>929</v>
      </c>
      <c r="U187" s="390" t="s">
        <v>361</v>
      </c>
      <c r="V187" s="363" t="s">
        <v>732</v>
      </c>
      <c r="W187" s="363"/>
      <c r="X187" s="363"/>
      <c r="Y187" s="363"/>
      <c r="Z187" s="363"/>
      <c r="AA187" s="363"/>
      <c r="AB187" s="363"/>
      <c r="AC187" s="363" t="s">
        <v>507</v>
      </c>
      <c r="AD187" s="380" t="s">
        <v>63</v>
      </c>
      <c r="AE187" s="380">
        <v>3</v>
      </c>
      <c r="AF187" s="363" t="s">
        <v>931</v>
      </c>
    </row>
    <row r="188" spans="2:32" ht="14.4" hidden="1" x14ac:dyDescent="0.3">
      <c r="B188" s="380" t="s">
        <v>14</v>
      </c>
      <c r="C188" s="412" t="s">
        <v>935</v>
      </c>
      <c r="D188" s="437" t="s">
        <v>176</v>
      </c>
      <c r="E188" s="438" t="s">
        <v>936</v>
      </c>
      <c r="F188" s="415">
        <v>45794</v>
      </c>
      <c r="G188" s="380" t="s">
        <v>55</v>
      </c>
      <c r="H188" s="380">
        <v>1</v>
      </c>
      <c r="I188" s="388">
        <v>94500</v>
      </c>
      <c r="J188" s="380">
        <v>2</v>
      </c>
      <c r="K188" s="389">
        <f t="shared" si="7"/>
        <v>47250</v>
      </c>
      <c r="L188" s="381">
        <v>45753</v>
      </c>
      <c r="M188" s="381">
        <v>46117</v>
      </c>
      <c r="N188" s="363" t="s">
        <v>19</v>
      </c>
      <c r="O188" s="380" t="s">
        <v>5</v>
      </c>
      <c r="P188" s="380" t="s">
        <v>1</v>
      </c>
      <c r="Q188" s="390" t="s">
        <v>937</v>
      </c>
      <c r="R188" s="363" t="s">
        <v>807</v>
      </c>
      <c r="S188" s="390" t="s">
        <v>938</v>
      </c>
      <c r="T188" s="363" t="s">
        <v>939</v>
      </c>
      <c r="U188" s="363"/>
      <c r="V188" s="363"/>
      <c r="W188" s="363"/>
      <c r="X188" s="363"/>
      <c r="Y188" s="363"/>
      <c r="Z188" s="363"/>
      <c r="AA188" s="363"/>
      <c r="AB188" s="363"/>
      <c r="AC188" s="363" t="s">
        <v>183</v>
      </c>
      <c r="AD188" s="380" t="s">
        <v>97</v>
      </c>
      <c r="AE188" s="380">
        <v>2</v>
      </c>
      <c r="AF188" s="363" t="s">
        <v>861</v>
      </c>
    </row>
    <row r="189" spans="2:32" ht="14.4" hidden="1" x14ac:dyDescent="0.3">
      <c r="B189" s="380" t="s">
        <v>14</v>
      </c>
      <c r="C189" s="409" t="s">
        <v>130</v>
      </c>
      <c r="D189" s="423" t="s">
        <v>940</v>
      </c>
      <c r="E189" s="419">
        <v>6800046962</v>
      </c>
      <c r="F189" s="387">
        <v>45786</v>
      </c>
      <c r="G189" s="380" t="s">
        <v>55</v>
      </c>
      <c r="H189" s="380">
        <v>1</v>
      </c>
      <c r="I189" s="388">
        <v>85000</v>
      </c>
      <c r="J189" s="380">
        <v>3</v>
      </c>
      <c r="K189" s="389">
        <f t="shared" si="7"/>
        <v>28333.333333333332</v>
      </c>
      <c r="L189" s="381">
        <v>45753</v>
      </c>
      <c r="M189" s="381">
        <v>46117</v>
      </c>
      <c r="N189" s="363" t="s">
        <v>19</v>
      </c>
      <c r="O189" s="380" t="s">
        <v>5</v>
      </c>
      <c r="P189" s="380" t="s">
        <v>1</v>
      </c>
      <c r="Q189" s="390" t="s">
        <v>941</v>
      </c>
      <c r="R189" s="363" t="s">
        <v>942</v>
      </c>
      <c r="S189" s="390" t="s">
        <v>943</v>
      </c>
      <c r="T189" s="363" t="s">
        <v>944</v>
      </c>
      <c r="U189" s="390" t="s">
        <v>945</v>
      </c>
      <c r="V189" s="363" t="s">
        <v>946</v>
      </c>
      <c r="W189" s="363"/>
      <c r="X189" s="363"/>
      <c r="Y189" s="363"/>
      <c r="Z189" s="363"/>
      <c r="AA189" s="363"/>
      <c r="AB189" s="363"/>
      <c r="AC189" s="363" t="s">
        <v>183</v>
      </c>
      <c r="AD189" s="380" t="s">
        <v>97</v>
      </c>
      <c r="AE189" s="380">
        <v>2</v>
      </c>
      <c r="AF189" s="363" t="s">
        <v>947</v>
      </c>
    </row>
    <row r="190" spans="2:32" ht="14.4" hidden="1" x14ac:dyDescent="0.3">
      <c r="B190" s="380" t="s">
        <v>14</v>
      </c>
      <c r="C190" s="409" t="s">
        <v>130</v>
      </c>
      <c r="D190" s="423" t="s">
        <v>940</v>
      </c>
      <c r="E190" s="419">
        <v>6800046959</v>
      </c>
      <c r="F190" s="387"/>
      <c r="G190" s="380" t="s">
        <v>55</v>
      </c>
      <c r="H190" s="380">
        <v>5</v>
      </c>
      <c r="I190" s="388">
        <v>425000</v>
      </c>
      <c r="J190" s="380">
        <v>3</v>
      </c>
      <c r="K190" s="389">
        <f t="shared" si="7"/>
        <v>141666.66666666666</v>
      </c>
      <c r="L190" s="381">
        <v>45753</v>
      </c>
      <c r="M190" s="381">
        <v>46117</v>
      </c>
      <c r="N190" s="363" t="s">
        <v>19</v>
      </c>
      <c r="O190" s="380" t="s">
        <v>5</v>
      </c>
      <c r="P190" s="380" t="s">
        <v>1</v>
      </c>
      <c r="Q190" s="390" t="s">
        <v>941</v>
      </c>
      <c r="R190" s="363" t="s">
        <v>942</v>
      </c>
      <c r="S190" s="390" t="s">
        <v>943</v>
      </c>
      <c r="T190" s="363" t="s">
        <v>944</v>
      </c>
      <c r="U190" s="390" t="s">
        <v>945</v>
      </c>
      <c r="V190" s="363" t="s">
        <v>946</v>
      </c>
      <c r="W190" s="363"/>
      <c r="X190" s="363"/>
      <c r="Y190" s="363"/>
      <c r="Z190" s="363"/>
      <c r="AA190" s="363"/>
      <c r="AB190" s="363"/>
      <c r="AC190" s="363" t="s">
        <v>183</v>
      </c>
      <c r="AD190" s="380" t="s">
        <v>97</v>
      </c>
      <c r="AE190" s="380">
        <v>2</v>
      </c>
      <c r="AF190" s="363" t="s">
        <v>947</v>
      </c>
    </row>
    <row r="191" spans="2:32" ht="14.4" hidden="1" x14ac:dyDescent="0.3">
      <c r="B191" s="380" t="s">
        <v>14</v>
      </c>
      <c r="C191" s="409" t="s">
        <v>948</v>
      </c>
      <c r="D191" s="423" t="s">
        <v>949</v>
      </c>
      <c r="E191" s="380">
        <v>916184</v>
      </c>
      <c r="F191" s="387">
        <v>45722</v>
      </c>
      <c r="G191" s="380" t="s">
        <v>55</v>
      </c>
      <c r="H191" s="380">
        <v>4</v>
      </c>
      <c r="I191" s="388">
        <v>297920</v>
      </c>
      <c r="J191" s="380">
        <v>4</v>
      </c>
      <c r="K191" s="389">
        <f t="shared" si="7"/>
        <v>74480</v>
      </c>
      <c r="L191" s="381">
        <v>45778</v>
      </c>
      <c r="M191" s="381">
        <v>46142</v>
      </c>
      <c r="N191" s="363" t="s">
        <v>19</v>
      </c>
      <c r="O191" s="380" t="s">
        <v>5</v>
      </c>
      <c r="P191" s="380"/>
      <c r="Q191" s="390" t="s">
        <v>266</v>
      </c>
      <c r="R191" s="363" t="s">
        <v>676</v>
      </c>
      <c r="S191" s="390" t="s">
        <v>267</v>
      </c>
      <c r="T191" s="363" t="s">
        <v>492</v>
      </c>
      <c r="U191" s="390" t="s">
        <v>269</v>
      </c>
      <c r="V191" s="363" t="s">
        <v>709</v>
      </c>
      <c r="W191" s="390" t="s">
        <v>442</v>
      </c>
      <c r="X191" s="363" t="s">
        <v>820</v>
      </c>
      <c r="Y191" s="363"/>
      <c r="Z191" s="363"/>
      <c r="AA191" s="363"/>
      <c r="AB191" s="363"/>
      <c r="AC191" s="363" t="s">
        <v>551</v>
      </c>
      <c r="AD191" s="380" t="s">
        <v>207</v>
      </c>
      <c r="AE191" s="380">
        <v>3</v>
      </c>
      <c r="AF191" s="363" t="s">
        <v>736</v>
      </c>
    </row>
    <row r="192" spans="2:32" ht="14.4" hidden="1" x14ac:dyDescent="0.3">
      <c r="B192" s="380" t="s">
        <v>14</v>
      </c>
      <c r="C192" s="409" t="s">
        <v>663</v>
      </c>
      <c r="D192" s="434" t="s">
        <v>950</v>
      </c>
      <c r="E192" s="380">
        <v>4507494931</v>
      </c>
      <c r="F192" s="387">
        <v>45771</v>
      </c>
      <c r="G192" s="380" t="s">
        <v>55</v>
      </c>
      <c r="H192" s="380">
        <v>6</v>
      </c>
      <c r="I192" s="388">
        <v>371999.98</v>
      </c>
      <c r="J192" s="380">
        <v>3</v>
      </c>
      <c r="K192" s="389">
        <f t="shared" si="7"/>
        <v>123999.99333333333</v>
      </c>
      <c r="L192" s="381">
        <v>45748</v>
      </c>
      <c r="M192" s="381">
        <v>46112</v>
      </c>
      <c r="N192" s="363" t="s">
        <v>19</v>
      </c>
      <c r="O192" s="380" t="s">
        <v>3</v>
      </c>
      <c r="P192" s="380"/>
      <c r="Q192" s="390" t="s">
        <v>357</v>
      </c>
      <c r="R192" s="363" t="s">
        <v>951</v>
      </c>
      <c r="S192" s="390" t="s">
        <v>665</v>
      </c>
      <c r="T192" s="363" t="s">
        <v>707</v>
      </c>
      <c r="U192" s="390" t="s">
        <v>361</v>
      </c>
      <c r="V192" s="363" t="s">
        <v>952</v>
      </c>
      <c r="W192" s="363"/>
      <c r="X192" s="363"/>
      <c r="Y192" s="363"/>
      <c r="Z192" s="363"/>
      <c r="AA192" s="363"/>
      <c r="AB192" s="363"/>
      <c r="AC192" s="363" t="s">
        <v>478</v>
      </c>
      <c r="AD192" s="380" t="s">
        <v>63</v>
      </c>
      <c r="AE192" s="380">
        <v>3</v>
      </c>
      <c r="AF192" s="403" t="s">
        <v>953</v>
      </c>
    </row>
    <row r="193" spans="2:32" ht="14.4" hidden="1" x14ac:dyDescent="0.3">
      <c r="B193" s="380" t="s">
        <v>14</v>
      </c>
      <c r="C193" s="409" t="s">
        <v>954</v>
      </c>
      <c r="D193" s="423" t="s">
        <v>151</v>
      </c>
      <c r="E193" s="380">
        <v>4601450532</v>
      </c>
      <c r="F193" s="387">
        <v>45796</v>
      </c>
      <c r="G193" s="380" t="s">
        <v>55</v>
      </c>
      <c r="H193" s="380">
        <v>1</v>
      </c>
      <c r="I193" s="388">
        <v>75000</v>
      </c>
      <c r="J193" s="380">
        <v>3</v>
      </c>
      <c r="K193" s="389">
        <f t="shared" si="7"/>
        <v>25000</v>
      </c>
      <c r="L193" s="381">
        <v>45748</v>
      </c>
      <c r="M193" s="381">
        <v>46112</v>
      </c>
      <c r="N193" s="363" t="s">
        <v>19</v>
      </c>
      <c r="O193" s="380" t="s">
        <v>3</v>
      </c>
      <c r="P193" s="380"/>
      <c r="Q193" s="390" t="s">
        <v>357</v>
      </c>
      <c r="R193" s="363" t="s">
        <v>955</v>
      </c>
      <c r="S193" s="390" t="s">
        <v>665</v>
      </c>
      <c r="T193" s="363" t="s">
        <v>956</v>
      </c>
      <c r="U193" s="390" t="s">
        <v>361</v>
      </c>
      <c r="V193" s="363" t="s">
        <v>957</v>
      </c>
      <c r="W193" s="363"/>
      <c r="X193" s="363"/>
      <c r="Y193" s="363"/>
      <c r="Z193" s="363"/>
      <c r="AA193" s="363"/>
      <c r="AB193" s="363"/>
      <c r="AC193" s="363" t="s">
        <v>478</v>
      </c>
      <c r="AD193" s="380" t="s">
        <v>63</v>
      </c>
      <c r="AE193" s="380">
        <v>3</v>
      </c>
      <c r="AF193" s="363" t="s">
        <v>736</v>
      </c>
    </row>
    <row r="194" spans="2:32" ht="14.4" hidden="1" x14ac:dyDescent="0.3">
      <c r="B194" s="380" t="s">
        <v>14</v>
      </c>
      <c r="C194" s="409" t="s">
        <v>905</v>
      </c>
      <c r="D194" s="423" t="s">
        <v>801</v>
      </c>
      <c r="E194" s="380">
        <v>1100033993</v>
      </c>
      <c r="F194" s="387">
        <v>45780</v>
      </c>
      <c r="G194" s="380" t="s">
        <v>55</v>
      </c>
      <c r="H194" s="380">
        <v>1</v>
      </c>
      <c r="I194" s="388">
        <v>75000</v>
      </c>
      <c r="J194" s="380">
        <v>2</v>
      </c>
      <c r="K194" s="389">
        <f t="shared" si="7"/>
        <v>37500</v>
      </c>
      <c r="L194" s="381">
        <v>45778</v>
      </c>
      <c r="M194" s="381">
        <v>46142</v>
      </c>
      <c r="N194" s="363" t="s">
        <v>19</v>
      </c>
      <c r="O194" s="380" t="s">
        <v>5</v>
      </c>
      <c r="P194" s="380"/>
      <c r="Q194" s="390" t="s">
        <v>328</v>
      </c>
      <c r="R194" s="363" t="s">
        <v>958</v>
      </c>
      <c r="S194" s="390" t="s">
        <v>330</v>
      </c>
      <c r="T194" s="363" t="s">
        <v>173</v>
      </c>
      <c r="U194" s="363"/>
      <c r="V194" s="363"/>
      <c r="W194" s="363"/>
      <c r="X194" s="363"/>
      <c r="Y194" s="363"/>
      <c r="Z194" s="363"/>
      <c r="AA194" s="363"/>
      <c r="AB194" s="363"/>
      <c r="AC194" s="363" t="s">
        <v>485</v>
      </c>
      <c r="AD194" s="380" t="s">
        <v>63</v>
      </c>
      <c r="AE194" s="380">
        <v>3</v>
      </c>
      <c r="AF194" s="363" t="s">
        <v>736</v>
      </c>
    </row>
    <row r="195" spans="2:32" ht="14.4" x14ac:dyDescent="0.3">
      <c r="B195" s="380" t="s">
        <v>14</v>
      </c>
      <c r="C195" s="430" t="s">
        <v>959</v>
      </c>
      <c r="D195" s="445" t="s">
        <v>151</v>
      </c>
      <c r="E195" s="419">
        <v>4521013686</v>
      </c>
      <c r="F195" s="387">
        <v>45801</v>
      </c>
      <c r="G195" s="380" t="s">
        <v>55</v>
      </c>
      <c r="H195" s="380">
        <v>1</v>
      </c>
      <c r="I195" s="388">
        <v>70000</v>
      </c>
      <c r="J195" s="380">
        <v>3</v>
      </c>
      <c r="K195" s="391">
        <f t="shared" si="7"/>
        <v>23333.333333333332</v>
      </c>
      <c r="L195" s="381">
        <v>45801</v>
      </c>
      <c r="M195" s="381">
        <v>46165</v>
      </c>
      <c r="N195" s="363" t="s">
        <v>19</v>
      </c>
      <c r="O195" s="380" t="s">
        <v>9</v>
      </c>
      <c r="P195" s="380"/>
      <c r="Q195" s="390" t="s">
        <v>960</v>
      </c>
      <c r="R195" s="363" t="s">
        <v>961</v>
      </c>
      <c r="S195" s="390" t="s">
        <v>962</v>
      </c>
      <c r="T195" s="363" t="s">
        <v>606</v>
      </c>
      <c r="U195" s="390" t="s">
        <v>963</v>
      </c>
      <c r="V195" s="363" t="s">
        <v>1852</v>
      </c>
      <c r="W195" s="363"/>
      <c r="X195" s="363"/>
      <c r="Y195" s="363"/>
      <c r="Z195" s="363"/>
      <c r="AA195" s="363"/>
      <c r="AB195" s="363"/>
      <c r="AC195" s="363" t="s">
        <v>964</v>
      </c>
      <c r="AD195" s="380" t="s">
        <v>63</v>
      </c>
      <c r="AE195" s="380">
        <v>3</v>
      </c>
      <c r="AF195" s="363" t="s">
        <v>736</v>
      </c>
    </row>
    <row r="196" spans="2:32" ht="14.4" hidden="1" x14ac:dyDescent="0.3">
      <c r="B196" s="380" t="s">
        <v>14</v>
      </c>
      <c r="C196" s="430" t="s">
        <v>965</v>
      </c>
      <c r="D196" s="445" t="s">
        <v>447</v>
      </c>
      <c r="E196" s="419">
        <v>5400057119</v>
      </c>
      <c r="F196" s="387">
        <v>45801</v>
      </c>
      <c r="G196" s="380" t="s">
        <v>55</v>
      </c>
      <c r="H196" s="380">
        <v>1</v>
      </c>
      <c r="I196" s="388">
        <v>107040</v>
      </c>
      <c r="J196" s="380">
        <v>4</v>
      </c>
      <c r="K196" s="389">
        <f t="shared" si="7"/>
        <v>26760</v>
      </c>
      <c r="L196" s="381">
        <v>45748</v>
      </c>
      <c r="M196" s="381">
        <v>46112</v>
      </c>
      <c r="N196" s="363" t="s">
        <v>19</v>
      </c>
      <c r="O196" s="380" t="s">
        <v>3</v>
      </c>
      <c r="P196" s="380"/>
      <c r="Q196" s="390" t="s">
        <v>391</v>
      </c>
      <c r="R196" s="363" t="s">
        <v>722</v>
      </c>
      <c r="S196" s="390" t="s">
        <v>168</v>
      </c>
      <c r="T196" s="363" t="s">
        <v>966</v>
      </c>
      <c r="U196" s="390" t="s">
        <v>228</v>
      </c>
      <c r="V196" s="363" t="s">
        <v>967</v>
      </c>
      <c r="W196" s="390" t="s">
        <v>396</v>
      </c>
      <c r="X196" s="363" t="s">
        <v>526</v>
      </c>
      <c r="Y196" s="363"/>
      <c r="Z196" s="363"/>
      <c r="AA196" s="363"/>
      <c r="AB196" s="363"/>
      <c r="AC196" s="363" t="s">
        <v>96</v>
      </c>
      <c r="AD196" s="380" t="s">
        <v>968</v>
      </c>
      <c r="AE196" s="380" t="s">
        <v>494</v>
      </c>
      <c r="AF196" s="430" t="s">
        <v>969</v>
      </c>
    </row>
    <row r="197" spans="2:32" ht="14.4" hidden="1" x14ac:dyDescent="0.3">
      <c r="B197" s="380" t="s">
        <v>14</v>
      </c>
      <c r="C197" s="412" t="s">
        <v>614</v>
      </c>
      <c r="D197" s="444" t="s">
        <v>970</v>
      </c>
      <c r="E197" s="425">
        <v>4500049503</v>
      </c>
      <c r="F197" s="448">
        <v>45796</v>
      </c>
      <c r="G197" s="380" t="s">
        <v>55</v>
      </c>
      <c r="H197" s="380">
        <v>2</v>
      </c>
      <c r="I197" s="388">
        <v>152880</v>
      </c>
      <c r="J197" s="380">
        <v>3</v>
      </c>
      <c r="K197" s="389">
        <f t="shared" si="7"/>
        <v>50960</v>
      </c>
      <c r="L197" s="381">
        <v>45797</v>
      </c>
      <c r="M197" s="381">
        <v>46161</v>
      </c>
      <c r="N197" s="363" t="s">
        <v>19</v>
      </c>
      <c r="O197" s="380" t="s">
        <v>6</v>
      </c>
      <c r="P197" s="380"/>
      <c r="Q197" s="390" t="s">
        <v>971</v>
      </c>
      <c r="R197" s="363" t="s">
        <v>439</v>
      </c>
      <c r="S197" s="390" t="s">
        <v>972</v>
      </c>
      <c r="T197" s="363" t="s">
        <v>673</v>
      </c>
      <c r="U197" s="390" t="s">
        <v>973</v>
      </c>
      <c r="V197" s="363" t="s">
        <v>782</v>
      </c>
      <c r="W197" s="363"/>
      <c r="X197" s="363"/>
      <c r="Y197" s="363"/>
      <c r="Z197" s="363"/>
      <c r="AA197" s="363"/>
      <c r="AB197" s="363"/>
      <c r="AC197" s="363" t="s">
        <v>281</v>
      </c>
      <c r="AD197" s="380" t="s">
        <v>97</v>
      </c>
      <c r="AE197" s="380">
        <v>3</v>
      </c>
      <c r="AF197" s="363" t="s">
        <v>974</v>
      </c>
    </row>
    <row r="198" spans="2:32" ht="14.4" hidden="1" x14ac:dyDescent="0.3">
      <c r="B198" s="380" t="s">
        <v>14</v>
      </c>
      <c r="C198" s="409" t="s">
        <v>975</v>
      </c>
      <c r="D198" s="445" t="s">
        <v>976</v>
      </c>
      <c r="E198" s="380">
        <v>6100008808</v>
      </c>
      <c r="F198" s="387">
        <v>45799</v>
      </c>
      <c r="G198" s="380" t="s">
        <v>55</v>
      </c>
      <c r="H198" s="380">
        <v>3</v>
      </c>
      <c r="I198" s="388">
        <v>360000</v>
      </c>
      <c r="J198" s="380">
        <v>3</v>
      </c>
      <c r="K198" s="389">
        <f t="shared" si="7"/>
        <v>120000</v>
      </c>
      <c r="L198" s="381">
        <v>45709</v>
      </c>
      <c r="M198" s="381">
        <v>46073</v>
      </c>
      <c r="N198" s="363" t="s">
        <v>19</v>
      </c>
      <c r="O198" s="380" t="s">
        <v>2</v>
      </c>
      <c r="P198" s="380"/>
      <c r="Q198" s="390" t="s">
        <v>977</v>
      </c>
      <c r="R198" s="363" t="s">
        <v>722</v>
      </c>
      <c r="S198" s="390" t="s">
        <v>978</v>
      </c>
      <c r="T198" s="363" t="s">
        <v>791</v>
      </c>
      <c r="U198" s="390" t="s">
        <v>979</v>
      </c>
      <c r="V198" s="363" t="s">
        <v>980</v>
      </c>
      <c r="W198" s="363"/>
      <c r="X198" s="363"/>
      <c r="Y198" s="363"/>
      <c r="Z198" s="363"/>
      <c r="AA198" s="363"/>
      <c r="AB198" s="363"/>
      <c r="AC198" s="363" t="s">
        <v>551</v>
      </c>
      <c r="AD198" s="380" t="s">
        <v>207</v>
      </c>
      <c r="AE198" s="380">
        <v>3</v>
      </c>
      <c r="AF198" s="430" t="s">
        <v>981</v>
      </c>
    </row>
    <row r="199" spans="2:32" ht="14.4" hidden="1" x14ac:dyDescent="0.3">
      <c r="B199" s="380" t="s">
        <v>14</v>
      </c>
      <c r="C199" s="409" t="s">
        <v>982</v>
      </c>
      <c r="D199" s="423" t="s">
        <v>801</v>
      </c>
      <c r="E199" s="380" t="s">
        <v>983</v>
      </c>
      <c r="F199" s="387">
        <v>45761</v>
      </c>
      <c r="G199" s="380" t="s">
        <v>55</v>
      </c>
      <c r="H199" s="380">
        <v>1</v>
      </c>
      <c r="I199" s="388">
        <v>90000</v>
      </c>
      <c r="J199" s="380">
        <v>2</v>
      </c>
      <c r="K199" s="389">
        <f t="shared" si="7"/>
        <v>45000</v>
      </c>
      <c r="L199" s="381">
        <v>45809</v>
      </c>
      <c r="M199" s="381">
        <v>46173</v>
      </c>
      <c r="N199" s="363" t="s">
        <v>19</v>
      </c>
      <c r="O199" s="380" t="s">
        <v>6</v>
      </c>
      <c r="P199" s="380"/>
      <c r="Q199" s="390" t="s">
        <v>125</v>
      </c>
      <c r="R199" s="363" t="s">
        <v>423</v>
      </c>
      <c r="S199" s="390" t="s">
        <v>127</v>
      </c>
      <c r="T199" s="363" t="s">
        <v>712</v>
      </c>
      <c r="U199" s="363"/>
      <c r="V199" s="363"/>
      <c r="W199" s="363"/>
      <c r="X199" s="363"/>
      <c r="Y199" s="363"/>
      <c r="Z199" s="363"/>
      <c r="AA199" s="363"/>
      <c r="AB199" s="363"/>
      <c r="AC199" s="363" t="s">
        <v>485</v>
      </c>
      <c r="AD199" s="380" t="s">
        <v>63</v>
      </c>
      <c r="AE199" s="380">
        <v>2</v>
      </c>
      <c r="AF199" s="363" t="s">
        <v>667</v>
      </c>
    </row>
    <row r="200" spans="2:32" ht="14.4" hidden="1" x14ac:dyDescent="0.3">
      <c r="B200" s="380" t="s">
        <v>14</v>
      </c>
      <c r="C200" s="412" t="s">
        <v>727</v>
      </c>
      <c r="D200" s="437" t="s">
        <v>984</v>
      </c>
      <c r="E200" s="438">
        <v>4100031856</v>
      </c>
      <c r="F200" s="387">
        <v>45804</v>
      </c>
      <c r="G200" s="380" t="s">
        <v>55</v>
      </c>
      <c r="H200" s="380">
        <v>4</v>
      </c>
      <c r="I200" s="388">
        <v>608328</v>
      </c>
      <c r="J200" s="380">
        <v>3</v>
      </c>
      <c r="K200" s="389"/>
      <c r="L200" s="381">
        <v>45809</v>
      </c>
      <c r="M200" s="381">
        <v>46173</v>
      </c>
      <c r="N200" s="363" t="s">
        <v>19</v>
      </c>
      <c r="O200" s="380" t="s">
        <v>6</v>
      </c>
      <c r="P200" s="380"/>
      <c r="Q200" s="390" t="s">
        <v>81</v>
      </c>
      <c r="R200" s="363" t="s">
        <v>637</v>
      </c>
      <c r="S200" s="390" t="s">
        <v>83</v>
      </c>
      <c r="T200" s="363" t="s">
        <v>985</v>
      </c>
      <c r="U200" s="390" t="s">
        <v>887</v>
      </c>
      <c r="V200" s="363" t="s">
        <v>986</v>
      </c>
      <c r="W200" s="363"/>
      <c r="X200" s="363"/>
      <c r="Y200" s="363"/>
      <c r="Z200" s="363"/>
      <c r="AA200" s="363"/>
      <c r="AB200" s="363"/>
      <c r="AC200" s="363" t="s">
        <v>281</v>
      </c>
      <c r="AD200" s="380" t="s">
        <v>97</v>
      </c>
      <c r="AE200" s="380">
        <v>3</v>
      </c>
      <c r="AF200" s="363" t="s">
        <v>774</v>
      </c>
    </row>
    <row r="201" spans="2:32" ht="14.4" hidden="1" x14ac:dyDescent="0.3">
      <c r="B201" s="380" t="s">
        <v>14</v>
      </c>
      <c r="C201" s="449" t="s">
        <v>948</v>
      </c>
      <c r="D201" s="450" t="s">
        <v>987</v>
      </c>
      <c r="E201" s="451">
        <v>918126</v>
      </c>
      <c r="F201" s="387">
        <v>45804</v>
      </c>
      <c r="G201" s="380" t="s">
        <v>55</v>
      </c>
      <c r="H201" s="380">
        <v>1</v>
      </c>
      <c r="I201" s="388">
        <v>18620</v>
      </c>
      <c r="J201" s="380">
        <v>1</v>
      </c>
      <c r="K201" s="389">
        <f>I201/J201</f>
        <v>18620</v>
      </c>
      <c r="L201" s="381">
        <v>45748</v>
      </c>
      <c r="M201" s="381">
        <v>45838</v>
      </c>
      <c r="N201" s="363" t="s">
        <v>19</v>
      </c>
      <c r="O201" s="380">
        <v>2025</v>
      </c>
      <c r="P201" s="380"/>
      <c r="Q201" s="390" t="s">
        <v>391</v>
      </c>
      <c r="R201" s="363" t="s">
        <v>989</v>
      </c>
      <c r="S201" s="363"/>
      <c r="T201" s="363"/>
      <c r="U201" s="363"/>
      <c r="V201" s="363"/>
      <c r="W201" s="363"/>
      <c r="X201" s="363"/>
      <c r="Y201" s="363"/>
      <c r="Z201" s="363"/>
      <c r="AA201" s="363"/>
      <c r="AB201" s="363"/>
      <c r="AC201" s="363" t="s">
        <v>551</v>
      </c>
      <c r="AD201" s="380" t="s">
        <v>207</v>
      </c>
      <c r="AE201" s="380">
        <v>0</v>
      </c>
      <c r="AF201" s="363"/>
    </row>
    <row r="202" spans="2:32" ht="14.4" hidden="1" x14ac:dyDescent="0.3">
      <c r="B202" s="380" t="s">
        <v>14</v>
      </c>
      <c r="C202" s="443" t="s">
        <v>990</v>
      </c>
      <c r="D202" s="444" t="s">
        <v>991</v>
      </c>
      <c r="E202" s="426">
        <v>115487274</v>
      </c>
      <c r="F202" s="387">
        <v>45807</v>
      </c>
      <c r="G202" s="380" t="s">
        <v>55</v>
      </c>
      <c r="H202" s="380">
        <v>3</v>
      </c>
      <c r="I202" s="388">
        <f>81600*3</f>
        <v>244800</v>
      </c>
      <c r="J202" s="380">
        <v>2</v>
      </c>
      <c r="K202" s="389"/>
      <c r="L202" s="381">
        <v>45809</v>
      </c>
      <c r="M202" s="381">
        <v>46173</v>
      </c>
      <c r="N202" s="363" t="s">
        <v>19</v>
      </c>
      <c r="O202" s="380" t="s">
        <v>6</v>
      </c>
      <c r="P202" s="380"/>
      <c r="Q202" s="390" t="s">
        <v>125</v>
      </c>
      <c r="R202" s="363" t="s">
        <v>289</v>
      </c>
      <c r="S202" s="390" t="s">
        <v>127</v>
      </c>
      <c r="T202" s="363" t="s">
        <v>1712</v>
      </c>
      <c r="U202" s="363"/>
      <c r="V202" s="363"/>
      <c r="W202" s="363"/>
      <c r="X202" s="363"/>
      <c r="Y202" s="363"/>
      <c r="Z202" s="363"/>
      <c r="AA202" s="363"/>
      <c r="AB202" s="363"/>
      <c r="AC202" s="363" t="s">
        <v>485</v>
      </c>
      <c r="AD202" s="380" t="s">
        <v>63</v>
      </c>
      <c r="AE202" s="380">
        <v>2</v>
      </c>
      <c r="AF202" s="363" t="s">
        <v>992</v>
      </c>
    </row>
    <row r="203" spans="2:32" ht="14.4" hidden="1" x14ac:dyDescent="0.3">
      <c r="B203" s="380" t="s">
        <v>14</v>
      </c>
      <c r="C203" s="443" t="s">
        <v>508</v>
      </c>
      <c r="D203" s="444" t="s">
        <v>866</v>
      </c>
      <c r="E203" s="426" t="s">
        <v>993</v>
      </c>
      <c r="F203" s="387">
        <v>45806</v>
      </c>
      <c r="G203" s="380" t="s">
        <v>55</v>
      </c>
      <c r="H203" s="380">
        <v>2</v>
      </c>
      <c r="I203" s="452">
        <v>178000</v>
      </c>
      <c r="J203" s="380">
        <v>3</v>
      </c>
      <c r="K203" s="389"/>
      <c r="L203" s="381">
        <v>45809</v>
      </c>
      <c r="M203" s="381">
        <v>46173</v>
      </c>
      <c r="N203" s="363" t="s">
        <v>19</v>
      </c>
      <c r="O203" s="380" t="s">
        <v>6</v>
      </c>
      <c r="P203" s="380"/>
      <c r="Q203" s="390" t="s">
        <v>81</v>
      </c>
      <c r="R203" s="363" t="s">
        <v>562</v>
      </c>
      <c r="S203" s="390" t="s">
        <v>83</v>
      </c>
      <c r="T203" s="363" t="s">
        <v>994</v>
      </c>
      <c r="U203" s="390" t="s">
        <v>404</v>
      </c>
      <c r="V203" s="363" t="s">
        <v>995</v>
      </c>
      <c r="W203" s="363"/>
      <c r="X203" s="363"/>
      <c r="Y203" s="363"/>
      <c r="Z203" s="363"/>
      <c r="AA203" s="363"/>
      <c r="AB203" s="363"/>
      <c r="AC203" s="363" t="s">
        <v>96</v>
      </c>
      <c r="AD203" s="380" t="s">
        <v>97</v>
      </c>
      <c r="AE203" s="380" t="s">
        <v>494</v>
      </c>
      <c r="AF203" s="453" t="s">
        <v>996</v>
      </c>
    </row>
    <row r="204" spans="2:32" ht="14.4" hidden="1" x14ac:dyDescent="0.3">
      <c r="B204" s="380" t="s">
        <v>14</v>
      </c>
      <c r="C204" s="409" t="s">
        <v>634</v>
      </c>
      <c r="D204" s="445" t="s">
        <v>997</v>
      </c>
      <c r="E204" s="419">
        <v>4500268257</v>
      </c>
      <c r="F204" s="387">
        <v>45806</v>
      </c>
      <c r="G204" s="380" t="s">
        <v>55</v>
      </c>
      <c r="H204" s="380">
        <v>1</v>
      </c>
      <c r="I204" s="388">
        <f>24875*4</f>
        <v>99500</v>
      </c>
      <c r="J204" s="380">
        <v>4</v>
      </c>
      <c r="K204" s="389">
        <f t="shared" ref="K204:K214" si="8">I204/J204</f>
        <v>24875</v>
      </c>
      <c r="L204" s="381">
        <v>45748</v>
      </c>
      <c r="M204" s="381">
        <v>46112</v>
      </c>
      <c r="N204" s="363" t="s">
        <v>998</v>
      </c>
      <c r="O204" s="380" t="s">
        <v>9</v>
      </c>
      <c r="P204" s="380"/>
      <c r="Q204" s="390" t="s">
        <v>391</v>
      </c>
      <c r="R204" s="363" t="s">
        <v>636</v>
      </c>
      <c r="S204" s="390" t="s">
        <v>168</v>
      </c>
      <c r="T204" s="363" t="s">
        <v>637</v>
      </c>
      <c r="U204" s="390" t="s">
        <v>228</v>
      </c>
      <c r="V204" s="363" t="s">
        <v>493</v>
      </c>
      <c r="W204" s="390" t="s">
        <v>396</v>
      </c>
      <c r="X204" s="363" t="s">
        <v>639</v>
      </c>
      <c r="Y204" s="363"/>
      <c r="Z204" s="363"/>
      <c r="AA204" s="363"/>
      <c r="AB204" s="363"/>
      <c r="AC204" s="363" t="s">
        <v>96</v>
      </c>
      <c r="AD204" s="380" t="s">
        <v>97</v>
      </c>
      <c r="AE204" s="380" t="s">
        <v>494</v>
      </c>
      <c r="AF204" s="363"/>
    </row>
    <row r="205" spans="2:32" ht="14.4" hidden="1" x14ac:dyDescent="0.3">
      <c r="B205" s="380" t="s">
        <v>14</v>
      </c>
      <c r="C205" s="409" t="s">
        <v>634</v>
      </c>
      <c r="D205" s="445" t="s">
        <v>997</v>
      </c>
      <c r="E205" s="419">
        <v>4500268257</v>
      </c>
      <c r="F205" s="387">
        <v>45806</v>
      </c>
      <c r="G205" s="380" t="s">
        <v>55</v>
      </c>
      <c r="H205" s="380"/>
      <c r="I205" s="388">
        <f>24875*4</f>
        <v>99500</v>
      </c>
      <c r="J205" s="380">
        <v>4</v>
      </c>
      <c r="K205" s="389">
        <f t="shared" si="8"/>
        <v>24875</v>
      </c>
      <c r="L205" s="381">
        <v>46113</v>
      </c>
      <c r="M205" s="381">
        <v>46477</v>
      </c>
      <c r="N205" s="363" t="s">
        <v>998</v>
      </c>
      <c r="O205" s="380" t="s">
        <v>9</v>
      </c>
      <c r="P205" s="380"/>
      <c r="Q205" s="390" t="s">
        <v>397</v>
      </c>
      <c r="R205" s="363" t="s">
        <v>1715</v>
      </c>
      <c r="S205" s="363" t="s">
        <v>496</v>
      </c>
      <c r="T205" s="363"/>
      <c r="U205" s="363" t="s">
        <v>497</v>
      </c>
      <c r="V205" s="363"/>
      <c r="W205" s="363" t="s">
        <v>498</v>
      </c>
      <c r="X205" s="363"/>
      <c r="Y205" s="363"/>
      <c r="Z205" s="363"/>
      <c r="AA205" s="363"/>
      <c r="AB205" s="363"/>
      <c r="AC205" s="363" t="s">
        <v>96</v>
      </c>
      <c r="AD205" s="380" t="s">
        <v>97</v>
      </c>
      <c r="AE205" s="380"/>
      <c r="AF205" s="363"/>
    </row>
    <row r="206" spans="2:32" ht="14.4" hidden="1" x14ac:dyDescent="0.3">
      <c r="B206" s="380" t="s">
        <v>14</v>
      </c>
      <c r="C206" s="409" t="s">
        <v>634</v>
      </c>
      <c r="D206" s="445" t="s">
        <v>997</v>
      </c>
      <c r="E206" s="419">
        <v>4500268257</v>
      </c>
      <c r="F206" s="387">
        <v>45806</v>
      </c>
      <c r="G206" s="380" t="s">
        <v>55</v>
      </c>
      <c r="H206" s="380"/>
      <c r="I206" s="388">
        <f>24875*3</f>
        <v>74625</v>
      </c>
      <c r="J206" s="380">
        <v>3</v>
      </c>
      <c r="K206" s="389">
        <f t="shared" si="8"/>
        <v>24875</v>
      </c>
      <c r="L206" s="381">
        <v>46478</v>
      </c>
      <c r="M206" s="381">
        <v>46752</v>
      </c>
      <c r="N206" s="363" t="s">
        <v>998</v>
      </c>
      <c r="O206" s="380" t="s">
        <v>9</v>
      </c>
      <c r="P206" s="380"/>
      <c r="Q206" s="363" t="s">
        <v>499</v>
      </c>
      <c r="R206" s="363"/>
      <c r="S206" s="363" t="s">
        <v>500</v>
      </c>
      <c r="T206" s="363"/>
      <c r="U206" s="363" t="s">
        <v>501</v>
      </c>
      <c r="V206" s="363"/>
      <c r="W206" s="363"/>
      <c r="X206" s="363"/>
      <c r="Y206" s="363"/>
      <c r="Z206" s="363"/>
      <c r="AA206" s="363"/>
      <c r="AB206" s="363"/>
      <c r="AC206" s="363" t="s">
        <v>96</v>
      </c>
      <c r="AD206" s="380" t="s">
        <v>97</v>
      </c>
      <c r="AE206" s="380"/>
      <c r="AF206" s="363"/>
    </row>
    <row r="207" spans="2:32" ht="14.4" hidden="1" x14ac:dyDescent="0.3">
      <c r="B207" s="380" t="s">
        <v>14</v>
      </c>
      <c r="C207" s="409" t="s">
        <v>751</v>
      </c>
      <c r="D207" s="423" t="s">
        <v>151</v>
      </c>
      <c r="E207" s="408">
        <v>307000194</v>
      </c>
      <c r="F207" s="387">
        <v>45799</v>
      </c>
      <c r="G207" s="380" t="s">
        <v>55</v>
      </c>
      <c r="H207" s="380">
        <v>1</v>
      </c>
      <c r="I207" s="388">
        <v>124440</v>
      </c>
      <c r="J207" s="380">
        <v>4</v>
      </c>
      <c r="K207" s="389">
        <f t="shared" si="8"/>
        <v>31110</v>
      </c>
      <c r="L207" s="381">
        <v>45748</v>
      </c>
      <c r="M207" s="381">
        <v>46112</v>
      </c>
      <c r="N207" s="363" t="s">
        <v>19</v>
      </c>
      <c r="O207" s="380" t="s">
        <v>3</v>
      </c>
      <c r="P207" s="380"/>
      <c r="Q207" s="390" t="s">
        <v>391</v>
      </c>
      <c r="R207" s="363" t="s">
        <v>725</v>
      </c>
      <c r="S207" s="390" t="s">
        <v>168</v>
      </c>
      <c r="T207" s="363" t="s">
        <v>169</v>
      </c>
      <c r="U207" s="390" t="s">
        <v>228</v>
      </c>
      <c r="V207" s="363" t="s">
        <v>687</v>
      </c>
      <c r="W207" s="390" t="s">
        <v>396</v>
      </c>
      <c r="X207" s="363" t="s">
        <v>999</v>
      </c>
      <c r="Y207" s="363"/>
      <c r="Z207" s="363"/>
      <c r="AA207" s="363"/>
      <c r="AB207" s="363"/>
      <c r="AC207" s="363" t="s">
        <v>507</v>
      </c>
      <c r="AD207" s="380" t="s">
        <v>63</v>
      </c>
      <c r="AE207" s="380">
        <v>4</v>
      </c>
      <c r="AF207" s="363" t="s">
        <v>667</v>
      </c>
    </row>
    <row r="208" spans="2:32" ht="14.4" hidden="1" x14ac:dyDescent="0.3">
      <c r="B208" s="380" t="s">
        <v>14</v>
      </c>
      <c r="C208" s="409" t="s">
        <v>595</v>
      </c>
      <c r="D208" s="418" t="s">
        <v>1000</v>
      </c>
      <c r="E208" s="454">
        <v>3110015195</v>
      </c>
      <c r="F208" s="387">
        <v>45807</v>
      </c>
      <c r="G208" s="380" t="s">
        <v>55</v>
      </c>
      <c r="H208" s="380">
        <v>1</v>
      </c>
      <c r="I208" s="388">
        <v>75999.990000000005</v>
      </c>
      <c r="J208" s="380">
        <v>3</v>
      </c>
      <c r="K208" s="389">
        <f t="shared" si="8"/>
        <v>25333.33</v>
      </c>
      <c r="L208" s="381">
        <v>45778</v>
      </c>
      <c r="M208" s="381">
        <v>46142</v>
      </c>
      <c r="N208" s="363" t="s">
        <v>19</v>
      </c>
      <c r="O208" s="380" t="s">
        <v>6</v>
      </c>
      <c r="P208" s="380" t="s">
        <v>437</v>
      </c>
      <c r="Q208" s="390" t="s">
        <v>343</v>
      </c>
      <c r="R208" s="363" t="s">
        <v>394</v>
      </c>
      <c r="S208" s="390" t="s">
        <v>345</v>
      </c>
      <c r="T208" s="363" t="s">
        <v>1001</v>
      </c>
      <c r="U208" s="390" t="s">
        <v>347</v>
      </c>
      <c r="V208" s="363" t="s">
        <v>1717</v>
      </c>
      <c r="W208" s="363"/>
      <c r="X208" s="363"/>
      <c r="Y208" s="363"/>
      <c r="Z208" s="363"/>
      <c r="AA208" s="363"/>
      <c r="AB208" s="363"/>
      <c r="AC208" s="363" t="s">
        <v>507</v>
      </c>
      <c r="AD208" s="380" t="s">
        <v>63</v>
      </c>
      <c r="AE208" s="380">
        <v>3</v>
      </c>
      <c r="AF208" s="363" t="s">
        <v>799</v>
      </c>
    </row>
    <row r="209" spans="2:32" ht="14.4" hidden="1" x14ac:dyDescent="0.3">
      <c r="B209" s="380" t="s">
        <v>14</v>
      </c>
      <c r="C209" s="409" t="s">
        <v>1002</v>
      </c>
      <c r="D209" s="418" t="s">
        <v>151</v>
      </c>
      <c r="E209" s="419">
        <v>4518004947</v>
      </c>
      <c r="F209" s="387">
        <v>45812</v>
      </c>
      <c r="G209" s="380" t="s">
        <v>55</v>
      </c>
      <c r="H209" s="380">
        <v>4</v>
      </c>
      <c r="I209" s="388">
        <v>186000</v>
      </c>
      <c r="J209" s="380">
        <v>1</v>
      </c>
      <c r="K209" s="389">
        <f t="shared" si="8"/>
        <v>186000</v>
      </c>
      <c r="L209" s="381">
        <v>45748</v>
      </c>
      <c r="M209" s="381">
        <v>46112</v>
      </c>
      <c r="N209" s="363" t="s">
        <v>19</v>
      </c>
      <c r="O209" s="380" t="s">
        <v>3</v>
      </c>
      <c r="P209" s="380" t="s">
        <v>437</v>
      </c>
      <c r="Q209" s="390" t="s">
        <v>631</v>
      </c>
      <c r="R209" s="363" t="s">
        <v>1003</v>
      </c>
      <c r="S209" s="363"/>
      <c r="T209" s="363"/>
      <c r="U209" s="363"/>
      <c r="V209" s="363"/>
      <c r="W209" s="363"/>
      <c r="X209" s="363"/>
      <c r="Y209" s="363"/>
      <c r="Z209" s="363"/>
      <c r="AA209" s="363"/>
      <c r="AB209" s="363"/>
      <c r="AC209" s="363" t="s">
        <v>507</v>
      </c>
      <c r="AD209" s="380" t="s">
        <v>63</v>
      </c>
      <c r="AE209" s="380">
        <v>2</v>
      </c>
      <c r="AF209" s="363" t="s">
        <v>667</v>
      </c>
    </row>
    <row r="210" spans="2:32" ht="14.4" x14ac:dyDescent="0.3">
      <c r="B210" s="380" t="s">
        <v>14</v>
      </c>
      <c r="C210" s="412" t="s">
        <v>614</v>
      </c>
      <c r="D210" s="437" t="s">
        <v>970</v>
      </c>
      <c r="E210" s="426">
        <v>4500049533</v>
      </c>
      <c r="F210" s="387">
        <v>45810</v>
      </c>
      <c r="G210" s="380" t="s">
        <v>55</v>
      </c>
      <c r="H210" s="380">
        <v>2</v>
      </c>
      <c r="I210" s="388">
        <v>152880</v>
      </c>
      <c r="J210" s="380">
        <v>3</v>
      </c>
      <c r="K210" s="389">
        <f t="shared" si="8"/>
        <v>50960</v>
      </c>
      <c r="L210" s="381">
        <v>45818</v>
      </c>
      <c r="M210" s="381">
        <v>46182</v>
      </c>
      <c r="N210" s="363" t="s">
        <v>19</v>
      </c>
      <c r="O210" s="380" t="s">
        <v>9</v>
      </c>
      <c r="P210" s="380"/>
      <c r="Q210" s="390" t="s">
        <v>592</v>
      </c>
      <c r="R210" s="363"/>
      <c r="S210" s="390" t="s">
        <v>593</v>
      </c>
      <c r="T210" s="363" t="s">
        <v>84</v>
      </c>
      <c r="U210" s="390" t="s">
        <v>1004</v>
      </c>
      <c r="V210" s="363" t="s">
        <v>1710</v>
      </c>
      <c r="W210" s="363"/>
      <c r="X210" s="363"/>
      <c r="Y210" s="363"/>
      <c r="Z210" s="363"/>
      <c r="AA210" s="363"/>
      <c r="AB210" s="363"/>
      <c r="AC210" s="363" t="s">
        <v>281</v>
      </c>
      <c r="AD210" s="380" t="s">
        <v>97</v>
      </c>
      <c r="AE210" s="380">
        <v>3</v>
      </c>
      <c r="AF210" s="455" t="s">
        <v>1005</v>
      </c>
    </row>
    <row r="211" spans="2:32" ht="14.4" x14ac:dyDescent="0.3">
      <c r="B211" s="380" t="s">
        <v>14</v>
      </c>
      <c r="C211" s="409" t="s">
        <v>433</v>
      </c>
      <c r="D211" s="386" t="s">
        <v>388</v>
      </c>
      <c r="E211" s="419" t="s">
        <v>1006</v>
      </c>
      <c r="F211" s="387">
        <v>45804</v>
      </c>
      <c r="G211" s="380" t="s">
        <v>55</v>
      </c>
      <c r="H211" s="380">
        <v>16</v>
      </c>
      <c r="I211" s="388">
        <f>3746500
/1.18</f>
        <v>3175000</v>
      </c>
      <c r="J211" s="380">
        <v>4</v>
      </c>
      <c r="K211" s="391">
        <f t="shared" si="8"/>
        <v>793750</v>
      </c>
      <c r="L211" s="381">
        <v>45807</v>
      </c>
      <c r="M211" s="381">
        <v>46171</v>
      </c>
      <c r="N211" s="363" t="s">
        <v>19</v>
      </c>
      <c r="O211" s="380" t="s">
        <v>9</v>
      </c>
      <c r="P211" s="380"/>
      <c r="Q211" s="390" t="s">
        <v>286</v>
      </c>
      <c r="R211" s="363" t="s">
        <v>505</v>
      </c>
      <c r="S211" s="390" t="s">
        <v>1007</v>
      </c>
      <c r="T211" s="363" t="s">
        <v>1008</v>
      </c>
      <c r="U211" s="390" t="s">
        <v>290</v>
      </c>
      <c r="V211" s="363" t="s">
        <v>1009</v>
      </c>
      <c r="W211" s="390" t="s">
        <v>1010</v>
      </c>
      <c r="X211" s="363" t="s">
        <v>251</v>
      </c>
      <c r="Y211" s="363"/>
      <c r="Z211" s="363"/>
      <c r="AA211" s="363"/>
      <c r="AB211" s="363"/>
      <c r="AC211" s="363" t="s">
        <v>478</v>
      </c>
      <c r="AD211" s="380" t="s">
        <v>63</v>
      </c>
      <c r="AE211" s="380"/>
      <c r="AF211" s="363" t="s">
        <v>667</v>
      </c>
    </row>
    <row r="212" spans="2:32" ht="14.4" hidden="1" x14ac:dyDescent="0.3">
      <c r="B212" s="380" t="s">
        <v>14</v>
      </c>
      <c r="C212" s="456" t="s">
        <v>1011</v>
      </c>
      <c r="D212" s="418" t="s">
        <v>1012</v>
      </c>
      <c r="E212" s="457" t="s">
        <v>1013</v>
      </c>
      <c r="F212" s="387">
        <v>46000</v>
      </c>
      <c r="G212" s="380" t="s">
        <v>55</v>
      </c>
      <c r="H212" s="380"/>
      <c r="I212" s="388"/>
      <c r="J212" s="380"/>
      <c r="K212" s="389" t="e">
        <f t="shared" si="8"/>
        <v>#DIV/0!</v>
      </c>
      <c r="L212" s="381"/>
      <c r="M212" s="381"/>
      <c r="N212" s="363"/>
      <c r="O212" s="380"/>
      <c r="P212" s="380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  <c r="AA212" s="363"/>
      <c r="AB212" s="363"/>
      <c r="AC212" s="363"/>
      <c r="AD212" s="380"/>
      <c r="AE212" s="380"/>
      <c r="AF212" s="363"/>
    </row>
    <row r="213" spans="2:32" ht="14.4" hidden="1" x14ac:dyDescent="0.3">
      <c r="B213" s="380" t="s">
        <v>14</v>
      </c>
      <c r="C213" s="409" t="s">
        <v>1014</v>
      </c>
      <c r="D213" s="418" t="s">
        <v>151</v>
      </c>
      <c r="E213" s="419">
        <v>4500539790</v>
      </c>
      <c r="F213" s="387">
        <v>45818</v>
      </c>
      <c r="G213" s="380" t="s">
        <v>55</v>
      </c>
      <c r="H213" s="380">
        <v>2</v>
      </c>
      <c r="I213" s="388">
        <f>3*60000</f>
        <v>180000</v>
      </c>
      <c r="J213" s="380">
        <v>3</v>
      </c>
      <c r="K213" s="389">
        <f t="shared" si="8"/>
        <v>60000</v>
      </c>
      <c r="L213" s="381">
        <v>45809</v>
      </c>
      <c r="M213" s="381">
        <v>46173</v>
      </c>
      <c r="N213" s="363" t="s">
        <v>19</v>
      </c>
      <c r="O213" s="380" t="s">
        <v>6</v>
      </c>
      <c r="P213" s="380"/>
      <c r="Q213" s="390" t="s">
        <v>81</v>
      </c>
      <c r="R213" s="363" t="s">
        <v>1015</v>
      </c>
      <c r="S213" s="390" t="s">
        <v>83</v>
      </c>
      <c r="T213" s="363" t="s">
        <v>191</v>
      </c>
      <c r="U213" s="390" t="s">
        <v>404</v>
      </c>
      <c r="V213" s="363" t="s">
        <v>291</v>
      </c>
      <c r="W213" s="363"/>
      <c r="X213" s="363"/>
      <c r="Y213" s="363"/>
      <c r="Z213" s="363"/>
      <c r="AA213" s="363"/>
      <c r="AB213" s="363"/>
      <c r="AC213" s="363" t="s">
        <v>507</v>
      </c>
      <c r="AD213" s="380" t="s">
        <v>63</v>
      </c>
      <c r="AE213" s="380">
        <v>3</v>
      </c>
      <c r="AF213" s="363" t="s">
        <v>667</v>
      </c>
    </row>
    <row r="214" spans="2:32" ht="14.4" hidden="1" x14ac:dyDescent="0.3">
      <c r="B214" s="380" t="s">
        <v>14</v>
      </c>
      <c r="C214" s="429" t="s">
        <v>609</v>
      </c>
      <c r="D214" s="418" t="s">
        <v>1016</v>
      </c>
      <c r="E214" s="419">
        <v>3791227950</v>
      </c>
      <c r="F214" s="387">
        <v>45770</v>
      </c>
      <c r="G214" s="380" t="s">
        <v>55</v>
      </c>
      <c r="H214" s="380">
        <v>1</v>
      </c>
      <c r="I214" s="388">
        <v>61500</v>
      </c>
      <c r="J214" s="380">
        <v>3</v>
      </c>
      <c r="K214" s="389">
        <f t="shared" si="8"/>
        <v>20500</v>
      </c>
      <c r="L214" s="381">
        <v>45748</v>
      </c>
      <c r="M214" s="381">
        <v>46112</v>
      </c>
      <c r="N214" s="363" t="s">
        <v>19</v>
      </c>
      <c r="O214" s="380" t="s">
        <v>5</v>
      </c>
      <c r="P214" s="380"/>
      <c r="Q214" s="390" t="s">
        <v>357</v>
      </c>
      <c r="R214" s="363" t="s">
        <v>1017</v>
      </c>
      <c r="S214" s="390" t="s">
        <v>665</v>
      </c>
      <c r="T214" s="363" t="s">
        <v>967</v>
      </c>
      <c r="U214" s="390" t="s">
        <v>361</v>
      </c>
      <c r="V214" s="363" t="s">
        <v>455</v>
      </c>
      <c r="W214" s="363"/>
      <c r="X214" s="363"/>
      <c r="Y214" s="363"/>
      <c r="Z214" s="363"/>
      <c r="AA214" s="363"/>
      <c r="AB214" s="363"/>
      <c r="AC214" s="363" t="s">
        <v>619</v>
      </c>
      <c r="AD214" s="380" t="s">
        <v>63</v>
      </c>
      <c r="AE214" s="380">
        <v>3</v>
      </c>
      <c r="AF214" s="363" t="s">
        <v>667</v>
      </c>
    </row>
    <row r="215" spans="2:32" ht="14.4" hidden="1" x14ac:dyDescent="0.3">
      <c r="B215" s="380" t="s">
        <v>14</v>
      </c>
      <c r="C215" s="429" t="s">
        <v>614</v>
      </c>
      <c r="D215" s="458" t="s">
        <v>447</v>
      </c>
      <c r="E215" s="459" t="s">
        <v>1018</v>
      </c>
      <c r="F215" s="387">
        <v>45806</v>
      </c>
      <c r="G215" s="380" t="s">
        <v>55</v>
      </c>
      <c r="H215" s="380">
        <v>1</v>
      </c>
      <c r="I215" s="388">
        <v>76440</v>
      </c>
      <c r="J215" s="380">
        <v>3</v>
      </c>
      <c r="K215" s="389"/>
      <c r="L215" s="381">
        <v>45778</v>
      </c>
      <c r="M215" s="381">
        <v>46142</v>
      </c>
      <c r="N215" s="363" t="s">
        <v>19</v>
      </c>
      <c r="O215" s="380" t="s">
        <v>5</v>
      </c>
      <c r="P215" s="380"/>
      <c r="Q215" s="390" t="s">
        <v>343</v>
      </c>
      <c r="R215" s="363" t="s">
        <v>759</v>
      </c>
      <c r="S215" s="390" t="s">
        <v>345</v>
      </c>
      <c r="T215" s="363" t="s">
        <v>781</v>
      </c>
      <c r="U215" s="390" t="s">
        <v>347</v>
      </c>
      <c r="V215" s="363" t="s">
        <v>1019</v>
      </c>
      <c r="W215" s="363"/>
      <c r="X215" s="363"/>
      <c r="Y215" s="363"/>
      <c r="Z215" s="363"/>
      <c r="AA215" s="363"/>
      <c r="AB215" s="363"/>
      <c r="AC215" s="363" t="s">
        <v>281</v>
      </c>
      <c r="AD215" s="380" t="s">
        <v>97</v>
      </c>
      <c r="AE215" s="380">
        <v>3</v>
      </c>
      <c r="AF215" s="363" t="s">
        <v>1020</v>
      </c>
    </row>
    <row r="216" spans="2:32" ht="14.4" hidden="1" x14ac:dyDescent="0.3">
      <c r="B216" s="380" t="s">
        <v>14</v>
      </c>
      <c r="C216" s="460" t="s">
        <v>1021</v>
      </c>
      <c r="D216" s="461" t="s">
        <v>1022</v>
      </c>
      <c r="E216" s="426">
        <v>1421076377</v>
      </c>
      <c r="F216" s="387">
        <v>45812</v>
      </c>
      <c r="G216" s="380" t="s">
        <v>55</v>
      </c>
      <c r="H216" s="380">
        <v>1</v>
      </c>
      <c r="I216" s="388">
        <v>84480</v>
      </c>
      <c r="J216" s="380">
        <v>2</v>
      </c>
      <c r="K216" s="389">
        <f t="shared" ref="K216:K223" si="9">I216/J216</f>
        <v>42240</v>
      </c>
      <c r="L216" s="381">
        <v>45809</v>
      </c>
      <c r="M216" s="381">
        <v>46173</v>
      </c>
      <c r="N216" s="363" t="s">
        <v>19</v>
      </c>
      <c r="O216" s="380" t="s">
        <v>6</v>
      </c>
      <c r="P216" s="380"/>
      <c r="Q216" s="390" t="s">
        <v>125</v>
      </c>
      <c r="R216" s="363" t="s">
        <v>287</v>
      </c>
      <c r="S216" s="390" t="s">
        <v>127</v>
      </c>
      <c r="T216" s="363" t="s">
        <v>939</v>
      </c>
      <c r="U216" s="363"/>
      <c r="V216" s="363"/>
      <c r="W216" s="363"/>
      <c r="X216" s="363"/>
      <c r="Y216" s="363"/>
      <c r="Z216" s="363"/>
      <c r="AA216" s="363"/>
      <c r="AB216" s="363"/>
      <c r="AC216" s="363" t="s">
        <v>485</v>
      </c>
      <c r="AD216" s="380" t="s">
        <v>63</v>
      </c>
      <c r="AE216" s="380">
        <v>2</v>
      </c>
      <c r="AF216" s="363" t="s">
        <v>1023</v>
      </c>
    </row>
    <row r="217" spans="2:32" ht="14.4" hidden="1" x14ac:dyDescent="0.3">
      <c r="B217" s="380" t="s">
        <v>14</v>
      </c>
      <c r="C217" s="429" t="s">
        <v>1024</v>
      </c>
      <c r="D217" s="458" t="s">
        <v>1025</v>
      </c>
      <c r="E217" s="419">
        <v>7026010733</v>
      </c>
      <c r="F217" s="387">
        <v>45819</v>
      </c>
      <c r="G217" s="380" t="s">
        <v>55</v>
      </c>
      <c r="H217" s="380">
        <v>8</v>
      </c>
      <c r="I217" s="388">
        <v>512000</v>
      </c>
      <c r="J217" s="380">
        <v>2</v>
      </c>
      <c r="K217" s="389">
        <f t="shared" si="9"/>
        <v>256000</v>
      </c>
      <c r="L217" s="381">
        <v>45748</v>
      </c>
      <c r="M217" s="381">
        <v>46112</v>
      </c>
      <c r="N217" s="363" t="s">
        <v>520</v>
      </c>
      <c r="O217" s="380" t="s">
        <v>9</v>
      </c>
      <c r="P217" s="380"/>
      <c r="Q217" s="390" t="s">
        <v>463</v>
      </c>
      <c r="R217" s="363" t="s">
        <v>1026</v>
      </c>
      <c r="S217" s="390" t="s">
        <v>465</v>
      </c>
      <c r="T217" s="363" t="s">
        <v>1853</v>
      </c>
      <c r="U217" s="363"/>
      <c r="V217" s="363"/>
      <c r="W217" s="363"/>
      <c r="X217" s="363"/>
      <c r="Y217" s="363"/>
      <c r="Z217" s="363"/>
      <c r="AA217" s="363"/>
      <c r="AB217" s="363"/>
      <c r="AC217" s="363" t="s">
        <v>507</v>
      </c>
      <c r="AD217" s="380" t="s">
        <v>63</v>
      </c>
      <c r="AE217" s="380">
        <v>2</v>
      </c>
      <c r="AF217" s="363" t="s">
        <v>1027</v>
      </c>
    </row>
    <row r="218" spans="2:32" ht="14.4" hidden="1" x14ac:dyDescent="0.3">
      <c r="B218" s="380" t="s">
        <v>14</v>
      </c>
      <c r="C218" s="429" t="s">
        <v>658</v>
      </c>
      <c r="D218" s="458" t="s">
        <v>151</v>
      </c>
      <c r="E218" s="419">
        <v>6500007595</v>
      </c>
      <c r="F218" s="387">
        <v>45820</v>
      </c>
      <c r="G218" s="380" t="s">
        <v>55</v>
      </c>
      <c r="H218" s="380">
        <v>8</v>
      </c>
      <c r="I218" s="388">
        <v>448000</v>
      </c>
      <c r="J218" s="380">
        <v>1</v>
      </c>
      <c r="K218" s="389">
        <f t="shared" si="9"/>
        <v>448000</v>
      </c>
      <c r="L218" s="381">
        <v>45748</v>
      </c>
      <c r="M218" s="381">
        <v>46112</v>
      </c>
      <c r="N218" s="363" t="s">
        <v>19</v>
      </c>
      <c r="O218" s="380" t="s">
        <v>3</v>
      </c>
      <c r="P218" s="380"/>
      <c r="Q218" s="390" t="s">
        <v>631</v>
      </c>
      <c r="R218" s="363" t="s">
        <v>939</v>
      </c>
      <c r="S218" s="363"/>
      <c r="T218" s="363"/>
      <c r="U218" s="363"/>
      <c r="V218" s="363"/>
      <c r="W218" s="363"/>
      <c r="X218" s="363"/>
      <c r="Y218" s="363"/>
      <c r="Z218" s="363"/>
      <c r="AA218" s="363"/>
      <c r="AB218" s="363"/>
      <c r="AC218" s="363" t="s">
        <v>507</v>
      </c>
      <c r="AD218" s="380" t="s">
        <v>63</v>
      </c>
      <c r="AE218" s="380">
        <v>2</v>
      </c>
      <c r="AF218" s="363" t="s">
        <v>1028</v>
      </c>
    </row>
    <row r="219" spans="2:32" ht="14.4" hidden="1" x14ac:dyDescent="0.3">
      <c r="B219" s="380" t="s">
        <v>14</v>
      </c>
      <c r="C219" s="429" t="s">
        <v>544</v>
      </c>
      <c r="D219" s="458" t="s">
        <v>1029</v>
      </c>
      <c r="E219" s="419">
        <v>1250008989</v>
      </c>
      <c r="F219" s="387">
        <v>45798</v>
      </c>
      <c r="G219" s="380" t="s">
        <v>55</v>
      </c>
      <c r="H219" s="380">
        <v>1</v>
      </c>
      <c r="I219" s="388">
        <v>130002</v>
      </c>
      <c r="J219" s="380">
        <v>3</v>
      </c>
      <c r="K219" s="389">
        <f t="shared" si="9"/>
        <v>43334</v>
      </c>
      <c r="L219" s="381">
        <v>45778</v>
      </c>
      <c r="M219" s="381">
        <v>46142</v>
      </c>
      <c r="N219" s="363" t="s">
        <v>19</v>
      </c>
      <c r="O219" s="380" t="s">
        <v>5</v>
      </c>
      <c r="P219" s="380"/>
      <c r="Q219" s="390" t="s">
        <v>343</v>
      </c>
      <c r="R219" s="363" t="s">
        <v>1030</v>
      </c>
      <c r="S219" s="390" t="s">
        <v>345</v>
      </c>
      <c r="T219" s="363" t="s">
        <v>395</v>
      </c>
      <c r="U219" s="390" t="s">
        <v>347</v>
      </c>
      <c r="V219" s="363" t="s">
        <v>443</v>
      </c>
      <c r="W219" s="363"/>
      <c r="X219" s="363"/>
      <c r="Y219" s="363"/>
      <c r="Z219" s="363"/>
      <c r="AA219" s="363"/>
      <c r="AB219" s="363"/>
      <c r="AC219" s="363" t="s">
        <v>551</v>
      </c>
      <c r="AD219" s="380" t="s">
        <v>207</v>
      </c>
      <c r="AE219" s="380">
        <v>3</v>
      </c>
      <c r="AF219" s="363" t="s">
        <v>667</v>
      </c>
    </row>
    <row r="220" spans="2:32" ht="14.4" hidden="1" x14ac:dyDescent="0.3">
      <c r="B220" s="380" t="s">
        <v>14</v>
      </c>
      <c r="C220" s="429" t="s">
        <v>685</v>
      </c>
      <c r="D220" s="458" t="s">
        <v>1031</v>
      </c>
      <c r="E220" s="419">
        <v>4512760492</v>
      </c>
      <c r="F220" s="387">
        <v>45826</v>
      </c>
      <c r="G220" s="380" t="s">
        <v>55</v>
      </c>
      <c r="H220" s="380">
        <v>2</v>
      </c>
      <c r="I220" s="388">
        <v>92000</v>
      </c>
      <c r="J220" s="380">
        <v>3</v>
      </c>
      <c r="K220" s="391">
        <f t="shared" si="9"/>
        <v>30666.666666666668</v>
      </c>
      <c r="L220" s="381">
        <v>45809</v>
      </c>
      <c r="M220" s="381">
        <v>46173</v>
      </c>
      <c r="N220" s="363" t="s">
        <v>19</v>
      </c>
      <c r="O220" s="380" t="s">
        <v>6</v>
      </c>
      <c r="P220" s="380"/>
      <c r="Q220" s="390" t="s">
        <v>81</v>
      </c>
      <c r="R220" s="363" t="s">
        <v>582</v>
      </c>
      <c r="S220" s="390" t="s">
        <v>83</v>
      </c>
      <c r="T220" s="363" t="s">
        <v>432</v>
      </c>
      <c r="U220" s="390" t="s">
        <v>404</v>
      </c>
      <c r="V220" s="363" t="s">
        <v>1718</v>
      </c>
      <c r="W220" s="363"/>
      <c r="X220" s="363"/>
      <c r="Y220" s="363"/>
      <c r="Z220" s="363"/>
      <c r="AA220" s="363"/>
      <c r="AB220" s="363"/>
      <c r="AC220" s="363" t="s">
        <v>478</v>
      </c>
      <c r="AD220" s="380" t="s">
        <v>63</v>
      </c>
      <c r="AE220" s="380">
        <v>3</v>
      </c>
      <c r="AF220" s="363" t="s">
        <v>667</v>
      </c>
    </row>
    <row r="221" spans="2:32" ht="14.4" hidden="1" x14ac:dyDescent="0.3">
      <c r="B221" s="380" t="s">
        <v>14</v>
      </c>
      <c r="C221" s="429" t="s">
        <v>1032</v>
      </c>
      <c r="D221" s="458" t="s">
        <v>693</v>
      </c>
      <c r="E221" s="419">
        <v>3430061224</v>
      </c>
      <c r="F221" s="387">
        <v>45800</v>
      </c>
      <c r="G221" s="380" t="s">
        <v>55</v>
      </c>
      <c r="H221" s="380">
        <v>10</v>
      </c>
      <c r="I221" s="388">
        <v>582120</v>
      </c>
      <c r="J221" s="380">
        <v>3</v>
      </c>
      <c r="K221" s="389">
        <f t="shared" si="9"/>
        <v>194040</v>
      </c>
      <c r="L221" s="381">
        <v>45748</v>
      </c>
      <c r="M221" s="381">
        <v>46112</v>
      </c>
      <c r="N221" s="363" t="s">
        <v>19</v>
      </c>
      <c r="O221" s="380" t="s">
        <v>5</v>
      </c>
      <c r="P221" s="380"/>
      <c r="Q221" s="394" t="s">
        <v>357</v>
      </c>
      <c r="R221" s="363" t="s">
        <v>1033</v>
      </c>
      <c r="S221" s="390" t="s">
        <v>665</v>
      </c>
      <c r="T221" s="363" t="s">
        <v>1034</v>
      </c>
      <c r="U221" s="390" t="s">
        <v>361</v>
      </c>
      <c r="V221" s="363" t="s">
        <v>782</v>
      </c>
      <c r="W221" s="363"/>
      <c r="X221" s="363"/>
      <c r="Y221" s="363"/>
      <c r="Z221" s="363"/>
      <c r="AA221" s="363"/>
      <c r="AB221" s="363"/>
      <c r="AC221" s="363" t="s">
        <v>128</v>
      </c>
      <c r="AD221" s="380" t="s">
        <v>129</v>
      </c>
      <c r="AE221" s="380">
        <v>2</v>
      </c>
      <c r="AF221" s="430" t="s">
        <v>1035</v>
      </c>
    </row>
    <row r="222" spans="2:32" ht="14.4" x14ac:dyDescent="0.3">
      <c r="B222" s="380" t="s">
        <v>14</v>
      </c>
      <c r="C222" s="429" t="s">
        <v>1032</v>
      </c>
      <c r="D222" s="458" t="s">
        <v>1036</v>
      </c>
      <c r="E222" s="419">
        <v>4430017625</v>
      </c>
      <c r="F222" s="387">
        <v>45829</v>
      </c>
      <c r="G222" s="380" t="s">
        <v>55</v>
      </c>
      <c r="H222" s="380">
        <v>3</v>
      </c>
      <c r="I222" s="388">
        <v>350000</v>
      </c>
      <c r="J222" s="380">
        <v>2</v>
      </c>
      <c r="K222" s="389">
        <f t="shared" si="9"/>
        <v>175000</v>
      </c>
      <c r="L222" s="381">
        <v>45839</v>
      </c>
      <c r="M222" s="381">
        <v>46203</v>
      </c>
      <c r="N222" s="363" t="s">
        <v>19</v>
      </c>
      <c r="O222" s="380" t="s">
        <v>9</v>
      </c>
      <c r="P222" s="380"/>
      <c r="Q222" s="390" t="s">
        <v>483</v>
      </c>
      <c r="R222" s="363" t="s">
        <v>423</v>
      </c>
      <c r="S222" s="390" t="s">
        <v>607</v>
      </c>
      <c r="T222" s="363" t="s">
        <v>1850</v>
      </c>
      <c r="U222" s="363"/>
      <c r="V222" s="363"/>
      <c r="W222" s="363"/>
      <c r="X222" s="363"/>
      <c r="Y222" s="363"/>
      <c r="Z222" s="363"/>
      <c r="AA222" s="363"/>
      <c r="AB222" s="363"/>
      <c r="AC222" s="363" t="s">
        <v>834</v>
      </c>
      <c r="AD222" s="380" t="s">
        <v>207</v>
      </c>
      <c r="AE222" s="380">
        <v>2</v>
      </c>
      <c r="AF222" s="430" t="s">
        <v>1035</v>
      </c>
    </row>
    <row r="223" spans="2:32" ht="14.4" hidden="1" x14ac:dyDescent="0.3">
      <c r="B223" s="380" t="s">
        <v>14</v>
      </c>
      <c r="C223" s="423" t="s">
        <v>595</v>
      </c>
      <c r="D223" s="418" t="s">
        <v>1000</v>
      </c>
      <c r="E223" s="462">
        <v>3110015090</v>
      </c>
      <c r="F223" s="387">
        <v>45792</v>
      </c>
      <c r="G223" s="380" t="s">
        <v>55</v>
      </c>
      <c r="H223" s="380">
        <v>10</v>
      </c>
      <c r="I223" s="388">
        <v>600000</v>
      </c>
      <c r="J223" s="380">
        <v>3</v>
      </c>
      <c r="K223" s="389">
        <f t="shared" si="9"/>
        <v>200000</v>
      </c>
      <c r="L223" s="381">
        <v>45778</v>
      </c>
      <c r="M223" s="381">
        <v>46142</v>
      </c>
      <c r="N223" s="363" t="s">
        <v>19</v>
      </c>
      <c r="O223" s="380" t="s">
        <v>6</v>
      </c>
      <c r="P223" s="380"/>
      <c r="Q223" s="390" t="s">
        <v>343</v>
      </c>
      <c r="R223" s="363" t="s">
        <v>394</v>
      </c>
      <c r="S223" s="390" t="s">
        <v>345</v>
      </c>
      <c r="T223" s="363" t="s">
        <v>1001</v>
      </c>
      <c r="U223" s="390" t="s">
        <v>347</v>
      </c>
      <c r="V223" s="363" t="s">
        <v>114</v>
      </c>
      <c r="W223" s="363"/>
      <c r="X223" s="363"/>
      <c r="Y223" s="363"/>
      <c r="Z223" s="363"/>
      <c r="AA223" s="363"/>
      <c r="AB223" s="363"/>
      <c r="AC223" s="363" t="s">
        <v>507</v>
      </c>
      <c r="AD223" s="380" t="s">
        <v>63</v>
      </c>
      <c r="AE223" s="380">
        <v>3</v>
      </c>
      <c r="AF223" s="363" t="s">
        <v>1037</v>
      </c>
    </row>
    <row r="224" spans="2:32" ht="14.4" hidden="1" x14ac:dyDescent="0.3">
      <c r="B224" s="380" t="s">
        <v>14</v>
      </c>
      <c r="C224" s="412" t="s">
        <v>614</v>
      </c>
      <c r="D224" s="463" t="s">
        <v>1016</v>
      </c>
      <c r="E224" s="414" t="s">
        <v>1038</v>
      </c>
      <c r="F224" s="415">
        <v>45810</v>
      </c>
      <c r="G224" s="380" t="s">
        <v>55</v>
      </c>
      <c r="H224" s="380">
        <v>12</v>
      </c>
      <c r="I224" s="388">
        <f>76440*12</f>
        <v>917280</v>
      </c>
      <c r="J224" s="380">
        <v>3</v>
      </c>
      <c r="K224" s="389"/>
      <c r="L224" s="381">
        <v>45809</v>
      </c>
      <c r="M224" s="381">
        <v>46173</v>
      </c>
      <c r="N224" s="363" t="s">
        <v>520</v>
      </c>
      <c r="O224" s="380" t="s">
        <v>9</v>
      </c>
      <c r="P224" s="380"/>
      <c r="Q224" s="390" t="s">
        <v>81</v>
      </c>
      <c r="R224" s="363" t="s">
        <v>1039</v>
      </c>
      <c r="S224" s="390" t="s">
        <v>83</v>
      </c>
      <c r="T224" s="363" t="s">
        <v>441</v>
      </c>
      <c r="U224" s="390" t="s">
        <v>404</v>
      </c>
      <c r="V224" s="363" t="s">
        <v>1849</v>
      </c>
      <c r="W224" s="363"/>
      <c r="X224" s="363"/>
      <c r="Y224" s="363"/>
      <c r="Z224" s="363"/>
      <c r="AA224" s="363"/>
      <c r="AB224" s="363"/>
      <c r="AC224" s="363" t="s">
        <v>619</v>
      </c>
      <c r="AD224" s="380" t="s">
        <v>63</v>
      </c>
      <c r="AE224" s="380">
        <v>3</v>
      </c>
      <c r="AF224" s="431" t="s">
        <v>1040</v>
      </c>
    </row>
    <row r="225" spans="2:32" ht="14.4" hidden="1" x14ac:dyDescent="0.3">
      <c r="B225" s="380" t="s">
        <v>14</v>
      </c>
      <c r="C225" s="409" t="s">
        <v>1041</v>
      </c>
      <c r="D225" s="434" t="s">
        <v>1016</v>
      </c>
      <c r="E225" s="419">
        <v>4220019956</v>
      </c>
      <c r="F225" s="387">
        <v>45802</v>
      </c>
      <c r="G225" s="380" t="s">
        <v>55</v>
      </c>
      <c r="H225" s="380">
        <v>3</v>
      </c>
      <c r="I225" s="388">
        <v>218592</v>
      </c>
      <c r="J225" s="380">
        <v>3</v>
      </c>
      <c r="K225" s="389">
        <f>I225/J225</f>
        <v>72864</v>
      </c>
      <c r="L225" s="381">
        <v>45748</v>
      </c>
      <c r="M225" s="381">
        <v>46112</v>
      </c>
      <c r="N225" s="363" t="s">
        <v>19</v>
      </c>
      <c r="O225" s="380" t="s">
        <v>3</v>
      </c>
      <c r="P225" s="380"/>
      <c r="Q225" s="390" t="s">
        <v>357</v>
      </c>
      <c r="R225" s="363" t="s">
        <v>806</v>
      </c>
      <c r="S225" s="390" t="s">
        <v>665</v>
      </c>
      <c r="T225" s="363" t="s">
        <v>191</v>
      </c>
      <c r="U225" s="390" t="s">
        <v>361</v>
      </c>
      <c r="V225" s="363" t="s">
        <v>1042</v>
      </c>
      <c r="W225" s="363"/>
      <c r="X225" s="363"/>
      <c r="Y225" s="363"/>
      <c r="Z225" s="363"/>
      <c r="AA225" s="363"/>
      <c r="AB225" s="363"/>
      <c r="AC225" s="363" t="s">
        <v>619</v>
      </c>
      <c r="AD225" s="380" t="s">
        <v>63</v>
      </c>
      <c r="AE225" s="380">
        <v>3</v>
      </c>
      <c r="AF225" s="363" t="s">
        <v>667</v>
      </c>
    </row>
    <row r="226" spans="2:32" ht="14.4" hidden="1" x14ac:dyDescent="0.3">
      <c r="B226" s="380" t="s">
        <v>14</v>
      </c>
      <c r="C226" s="430" t="s">
        <v>1043</v>
      </c>
      <c r="D226" s="445" t="s">
        <v>151</v>
      </c>
      <c r="E226" s="419">
        <v>8176740</v>
      </c>
      <c r="F226" s="387">
        <v>45832</v>
      </c>
      <c r="G226" s="380" t="s">
        <v>55</v>
      </c>
      <c r="H226" s="380">
        <v>2</v>
      </c>
      <c r="I226" s="388">
        <v>155000</v>
      </c>
      <c r="J226" s="380">
        <v>3</v>
      </c>
      <c r="K226" s="389">
        <f>I226/J226</f>
        <v>51666.666666666664</v>
      </c>
      <c r="L226" s="381">
        <v>45901</v>
      </c>
      <c r="M226" s="381">
        <v>46265</v>
      </c>
      <c r="N226" s="363" t="s">
        <v>520</v>
      </c>
      <c r="O226" s="380" t="s">
        <v>9</v>
      </c>
      <c r="P226" s="380"/>
      <c r="Q226" s="390" t="s">
        <v>345</v>
      </c>
      <c r="R226" s="363" t="s">
        <v>147</v>
      </c>
      <c r="S226" s="390" t="s">
        <v>347</v>
      </c>
      <c r="T226" s="363" t="s">
        <v>1044</v>
      </c>
      <c r="U226" s="363" t="s">
        <v>348</v>
      </c>
      <c r="V226" s="363" t="s">
        <v>1045</v>
      </c>
      <c r="W226" s="363"/>
      <c r="X226" s="363"/>
      <c r="Y226" s="363"/>
      <c r="Z226" s="363"/>
      <c r="AA226" s="363"/>
      <c r="AB226" s="363"/>
      <c r="AC226" s="363" t="s">
        <v>478</v>
      </c>
      <c r="AD226" s="380" t="s">
        <v>63</v>
      </c>
      <c r="AE226" s="380">
        <v>3</v>
      </c>
      <c r="AF226" s="430" t="s">
        <v>1046</v>
      </c>
    </row>
    <row r="227" spans="2:32" ht="14.4" x14ac:dyDescent="0.3">
      <c r="B227" s="380" t="s">
        <v>14</v>
      </c>
      <c r="C227" s="412" t="s">
        <v>614</v>
      </c>
      <c r="D227" s="463" t="s">
        <v>1016</v>
      </c>
      <c r="E227" s="414" t="s">
        <v>1047</v>
      </c>
      <c r="F227" s="415">
        <v>45831</v>
      </c>
      <c r="G227" s="380" t="s">
        <v>55</v>
      </c>
      <c r="H227" s="380">
        <v>7</v>
      </c>
      <c r="I227" s="388">
        <v>535080</v>
      </c>
      <c r="J227" s="380">
        <v>3</v>
      </c>
      <c r="K227" s="389"/>
      <c r="L227" s="381">
        <v>45809</v>
      </c>
      <c r="M227" s="381">
        <v>46173</v>
      </c>
      <c r="N227" s="363" t="s">
        <v>19</v>
      </c>
      <c r="O227" s="380" t="s">
        <v>9</v>
      </c>
      <c r="P227" s="380"/>
      <c r="Q227" s="390" t="s">
        <v>81</v>
      </c>
      <c r="R227" s="363" t="s">
        <v>819</v>
      </c>
      <c r="S227" s="390" t="s">
        <v>83</v>
      </c>
      <c r="T227" s="363" t="s">
        <v>903</v>
      </c>
      <c r="U227" s="390" t="s">
        <v>404</v>
      </c>
      <c r="V227" s="363" t="s">
        <v>1854</v>
      </c>
      <c r="W227" s="363"/>
      <c r="X227" s="363"/>
      <c r="Y227" s="363"/>
      <c r="Z227" s="363"/>
      <c r="AA227" s="363"/>
      <c r="AB227" s="363"/>
      <c r="AC227" s="363" t="s">
        <v>619</v>
      </c>
      <c r="AD227" s="380" t="s">
        <v>63</v>
      </c>
      <c r="AE227" s="380">
        <v>3</v>
      </c>
      <c r="AF227" s="363" t="s">
        <v>1048</v>
      </c>
    </row>
    <row r="228" spans="2:32" ht="14.4" hidden="1" x14ac:dyDescent="0.3">
      <c r="B228" s="380" t="s">
        <v>14</v>
      </c>
      <c r="C228" s="409" t="s">
        <v>1049</v>
      </c>
      <c r="D228" s="423" t="s">
        <v>447</v>
      </c>
      <c r="E228" s="464">
        <v>3300013521</v>
      </c>
      <c r="F228" s="387">
        <v>45832</v>
      </c>
      <c r="G228" s="380" t="s">
        <v>55</v>
      </c>
      <c r="H228" s="380">
        <v>1</v>
      </c>
      <c r="I228" s="388">
        <v>109500</v>
      </c>
      <c r="J228" s="380">
        <v>4</v>
      </c>
      <c r="K228" s="389">
        <f>I228/J228</f>
        <v>27375</v>
      </c>
      <c r="L228" s="381">
        <v>45778</v>
      </c>
      <c r="M228" s="381">
        <v>46142</v>
      </c>
      <c r="N228" s="363" t="s">
        <v>19</v>
      </c>
      <c r="O228" s="380" t="s">
        <v>5</v>
      </c>
      <c r="P228" s="380"/>
      <c r="Q228" s="390" t="s">
        <v>266</v>
      </c>
      <c r="R228" s="363" t="s">
        <v>145</v>
      </c>
      <c r="S228" s="390" t="s">
        <v>267</v>
      </c>
      <c r="T228" s="363" t="s">
        <v>452</v>
      </c>
      <c r="U228" s="390" t="s">
        <v>269</v>
      </c>
      <c r="V228" s="363" t="s">
        <v>320</v>
      </c>
      <c r="W228" s="390" t="s">
        <v>442</v>
      </c>
      <c r="X228" s="363" t="s">
        <v>1050</v>
      </c>
      <c r="Y228" s="363"/>
      <c r="Z228" s="363"/>
      <c r="AA228" s="363"/>
      <c r="AB228" s="363"/>
      <c r="AC228" s="363" t="s">
        <v>281</v>
      </c>
      <c r="AD228" s="380" t="s">
        <v>97</v>
      </c>
      <c r="AE228" s="380" t="s">
        <v>494</v>
      </c>
      <c r="AF228" s="363" t="s">
        <v>667</v>
      </c>
    </row>
    <row r="229" spans="2:32" ht="14.4" x14ac:dyDescent="0.3">
      <c r="B229" s="380" t="s">
        <v>14</v>
      </c>
      <c r="C229" s="409" t="s">
        <v>195</v>
      </c>
      <c r="D229" s="423" t="s">
        <v>1051</v>
      </c>
      <c r="E229" s="464" t="s">
        <v>1052</v>
      </c>
      <c r="F229" s="387">
        <v>45834</v>
      </c>
      <c r="G229" s="380" t="s">
        <v>55</v>
      </c>
      <c r="H229" s="380">
        <v>6</v>
      </c>
      <c r="I229" s="388">
        <v>497859.84000000003</v>
      </c>
      <c r="J229" s="380">
        <v>3</v>
      </c>
      <c r="K229" s="389">
        <f>I229/J229</f>
        <v>165953.28</v>
      </c>
      <c r="L229" s="381">
        <v>45834</v>
      </c>
      <c r="M229" s="381">
        <v>46198</v>
      </c>
      <c r="N229" s="363" t="s">
        <v>19</v>
      </c>
      <c r="O229" s="380" t="s">
        <v>9</v>
      </c>
      <c r="P229" s="380"/>
      <c r="Q229" s="390" t="s">
        <v>1053</v>
      </c>
      <c r="R229" s="363" t="s">
        <v>1054</v>
      </c>
      <c r="S229" s="390" t="s">
        <v>1055</v>
      </c>
      <c r="T229" s="363" t="s">
        <v>1056</v>
      </c>
      <c r="U229" s="390" t="s">
        <v>1057</v>
      </c>
      <c r="V229" s="363" t="s">
        <v>1855</v>
      </c>
      <c r="W229" s="363"/>
      <c r="X229" s="363"/>
      <c r="Y229" s="363"/>
      <c r="Z229" s="363"/>
      <c r="AA229" s="363"/>
      <c r="AB229" s="363"/>
      <c r="AC229" s="363" t="s">
        <v>281</v>
      </c>
      <c r="AD229" s="380" t="s">
        <v>97</v>
      </c>
      <c r="AE229" s="380">
        <v>3</v>
      </c>
      <c r="AF229" s="363" t="s">
        <v>667</v>
      </c>
    </row>
    <row r="230" spans="2:32" ht="14.4" hidden="1" x14ac:dyDescent="0.3">
      <c r="B230" s="380" t="s">
        <v>14</v>
      </c>
      <c r="C230" s="412" t="s">
        <v>614</v>
      </c>
      <c r="D230" s="437" t="s">
        <v>447</v>
      </c>
      <c r="E230" s="465" t="s">
        <v>1058</v>
      </c>
      <c r="F230" s="387">
        <v>45821</v>
      </c>
      <c r="G230" s="380" t="s">
        <v>55</v>
      </c>
      <c r="H230" s="380">
        <v>15</v>
      </c>
      <c r="I230" s="388">
        <v>1146600</v>
      </c>
      <c r="J230" s="380">
        <v>3</v>
      </c>
      <c r="K230" s="389"/>
      <c r="L230" s="381">
        <v>45809</v>
      </c>
      <c r="M230" s="381">
        <v>46173</v>
      </c>
      <c r="N230" s="363" t="s">
        <v>520</v>
      </c>
      <c r="O230" s="380" t="s">
        <v>9</v>
      </c>
      <c r="P230" s="380"/>
      <c r="Q230" s="390" t="s">
        <v>81</v>
      </c>
      <c r="R230" s="363" t="s">
        <v>811</v>
      </c>
      <c r="S230" s="390" t="s">
        <v>83</v>
      </c>
      <c r="T230" s="363" t="s">
        <v>1059</v>
      </c>
      <c r="U230" s="363" t="s">
        <v>404</v>
      </c>
      <c r="V230" s="363"/>
      <c r="W230" s="363"/>
      <c r="X230" s="363"/>
      <c r="Y230" s="363"/>
      <c r="Z230" s="363"/>
      <c r="AA230" s="363"/>
      <c r="AB230" s="363"/>
      <c r="AC230" s="363" t="s">
        <v>281</v>
      </c>
      <c r="AD230" s="380" t="s">
        <v>97</v>
      </c>
      <c r="AE230" s="380">
        <v>3</v>
      </c>
      <c r="AF230" s="363" t="s">
        <v>1060</v>
      </c>
    </row>
    <row r="231" spans="2:32" ht="15" hidden="1" customHeight="1" x14ac:dyDescent="0.3">
      <c r="B231" s="380" t="s">
        <v>14</v>
      </c>
      <c r="C231" s="412" t="s">
        <v>789</v>
      </c>
      <c r="D231" s="437" t="s">
        <v>629</v>
      </c>
      <c r="E231" s="426">
        <v>8480224138</v>
      </c>
      <c r="F231" s="387">
        <v>45818</v>
      </c>
      <c r="G231" s="380" t="s">
        <v>55</v>
      </c>
      <c r="H231" s="380">
        <v>10</v>
      </c>
      <c r="I231" s="388">
        <v>764400</v>
      </c>
      <c r="J231" s="380">
        <v>3</v>
      </c>
      <c r="K231" s="389"/>
      <c r="L231" s="381">
        <v>45809</v>
      </c>
      <c r="M231" s="381">
        <v>46173</v>
      </c>
      <c r="N231" s="363" t="s">
        <v>19</v>
      </c>
      <c r="O231" s="380" t="s">
        <v>6</v>
      </c>
      <c r="P231" s="380"/>
      <c r="Q231" s="390" t="s">
        <v>81</v>
      </c>
      <c r="R231" s="363" t="s">
        <v>492</v>
      </c>
      <c r="S231" s="390" t="s">
        <v>83</v>
      </c>
      <c r="T231" s="363" t="s">
        <v>346</v>
      </c>
      <c r="U231" s="390" t="s">
        <v>404</v>
      </c>
      <c r="V231" s="363" t="s">
        <v>1719</v>
      </c>
      <c r="W231" s="363"/>
      <c r="X231" s="363"/>
      <c r="Y231" s="363"/>
      <c r="Z231" s="363"/>
      <c r="AA231" s="363"/>
      <c r="AB231" s="363"/>
      <c r="AC231" s="363" t="s">
        <v>485</v>
      </c>
      <c r="AD231" s="380" t="s">
        <v>63</v>
      </c>
      <c r="AE231" s="380">
        <v>3</v>
      </c>
      <c r="AF231" s="363" t="s">
        <v>1060</v>
      </c>
    </row>
    <row r="232" spans="2:32" ht="14.4" hidden="1" x14ac:dyDescent="0.3">
      <c r="B232" s="380" t="s">
        <v>14</v>
      </c>
      <c r="C232" s="409" t="s">
        <v>1061</v>
      </c>
      <c r="D232" s="423" t="s">
        <v>841</v>
      </c>
      <c r="E232" s="464">
        <v>326050136</v>
      </c>
      <c r="F232" s="387">
        <v>45831</v>
      </c>
      <c r="G232" s="380" t="s">
        <v>55</v>
      </c>
      <c r="H232" s="380">
        <v>1</v>
      </c>
      <c r="I232" s="388">
        <v>90000</v>
      </c>
      <c r="J232" s="380">
        <v>3</v>
      </c>
      <c r="K232" s="389">
        <f t="shared" ref="K232:K239" si="10">I232/J232</f>
        <v>30000</v>
      </c>
      <c r="L232" s="381">
        <v>45809</v>
      </c>
      <c r="M232" s="381">
        <v>46173</v>
      </c>
      <c r="N232" s="363" t="s">
        <v>19</v>
      </c>
      <c r="O232" s="380" t="s">
        <v>6</v>
      </c>
      <c r="P232" s="380" t="s">
        <v>1</v>
      </c>
      <c r="Q232" s="390" t="s">
        <v>81</v>
      </c>
      <c r="R232" s="363" t="s">
        <v>431</v>
      </c>
      <c r="S232" s="390" t="s">
        <v>83</v>
      </c>
      <c r="T232" s="363" t="s">
        <v>765</v>
      </c>
      <c r="U232" s="390" t="s">
        <v>404</v>
      </c>
      <c r="V232" s="363" t="s">
        <v>820</v>
      </c>
      <c r="W232" s="363"/>
      <c r="X232" s="363"/>
      <c r="Y232" s="363"/>
      <c r="Z232" s="363"/>
      <c r="AA232" s="363"/>
      <c r="AB232" s="363"/>
      <c r="AC232" s="363" t="s">
        <v>485</v>
      </c>
      <c r="AD232" s="380" t="s">
        <v>63</v>
      </c>
      <c r="AE232" s="380">
        <v>3</v>
      </c>
      <c r="AF232" s="363" t="s">
        <v>667</v>
      </c>
    </row>
    <row r="233" spans="2:32" ht="14.4" x14ac:dyDescent="0.3">
      <c r="B233" s="380" t="s">
        <v>14</v>
      </c>
      <c r="C233" s="409" t="s">
        <v>1062</v>
      </c>
      <c r="D233" s="434" t="s">
        <v>388</v>
      </c>
      <c r="E233" s="419">
        <v>3006483602</v>
      </c>
      <c r="F233" s="387">
        <v>45840</v>
      </c>
      <c r="G233" s="380" t="s">
        <v>55</v>
      </c>
      <c r="H233" s="380">
        <v>1</v>
      </c>
      <c r="I233" s="388">
        <v>87500</v>
      </c>
      <c r="J233" s="380">
        <v>2</v>
      </c>
      <c r="K233" s="389">
        <f t="shared" si="10"/>
        <v>43750</v>
      </c>
      <c r="L233" s="381">
        <v>45839</v>
      </c>
      <c r="M233" s="466">
        <v>46203</v>
      </c>
      <c r="N233" s="363" t="s">
        <v>19</v>
      </c>
      <c r="O233" s="380" t="s">
        <v>9</v>
      </c>
      <c r="P233" s="380"/>
      <c r="Q233" s="390" t="s">
        <v>483</v>
      </c>
      <c r="R233" s="363" t="s">
        <v>709</v>
      </c>
      <c r="S233" s="390" t="s">
        <v>607</v>
      </c>
      <c r="T233" s="363" t="s">
        <v>1856</v>
      </c>
      <c r="U233" s="363"/>
      <c r="V233" s="363"/>
      <c r="W233" s="363"/>
      <c r="X233" s="363"/>
      <c r="Y233" s="363"/>
      <c r="Z233" s="363"/>
      <c r="AA233" s="363"/>
      <c r="AB233" s="363"/>
      <c r="AC233" s="363" t="s">
        <v>619</v>
      </c>
      <c r="AD233" s="380" t="s">
        <v>63</v>
      </c>
      <c r="AE233" s="380">
        <v>2</v>
      </c>
      <c r="AF233" s="363" t="s">
        <v>799</v>
      </c>
    </row>
    <row r="234" spans="2:32" ht="14.4" hidden="1" x14ac:dyDescent="0.3">
      <c r="B234" s="380" t="s">
        <v>14</v>
      </c>
      <c r="C234" s="430" t="s">
        <v>1063</v>
      </c>
      <c r="D234" s="445" t="s">
        <v>151</v>
      </c>
      <c r="E234" s="419" t="s">
        <v>1064</v>
      </c>
      <c r="F234" s="387">
        <v>45723</v>
      </c>
      <c r="G234" s="380" t="s">
        <v>55</v>
      </c>
      <c r="H234" s="380">
        <v>4</v>
      </c>
      <c r="I234" s="388">
        <v>340000</v>
      </c>
      <c r="J234" s="380">
        <v>3</v>
      </c>
      <c r="K234" s="389">
        <f t="shared" si="10"/>
        <v>113333.33333333333</v>
      </c>
      <c r="L234" s="381">
        <v>45839</v>
      </c>
      <c r="M234" s="466">
        <v>46203</v>
      </c>
      <c r="N234" s="363" t="s">
        <v>520</v>
      </c>
      <c r="O234" s="380" t="s">
        <v>11</v>
      </c>
      <c r="P234" s="380" t="s">
        <v>1</v>
      </c>
      <c r="Q234" s="390" t="s">
        <v>190</v>
      </c>
      <c r="R234" s="363" t="s">
        <v>886</v>
      </c>
      <c r="S234" s="390" t="s">
        <v>192</v>
      </c>
      <c r="T234" s="363" t="s">
        <v>1065</v>
      </c>
      <c r="U234" s="363" t="s">
        <v>194</v>
      </c>
      <c r="V234" s="363"/>
      <c r="W234" s="363"/>
      <c r="X234" s="363"/>
      <c r="Y234" s="363"/>
      <c r="Z234" s="363"/>
      <c r="AA234" s="363"/>
      <c r="AB234" s="363"/>
      <c r="AC234" s="363" t="s">
        <v>507</v>
      </c>
      <c r="AD234" s="380" t="s">
        <v>63</v>
      </c>
      <c r="AE234" s="380">
        <v>3</v>
      </c>
      <c r="AF234" s="363" t="s">
        <v>1066</v>
      </c>
    </row>
    <row r="235" spans="2:32" ht="14.4" hidden="1" x14ac:dyDescent="0.3">
      <c r="B235" s="380" t="s">
        <v>14</v>
      </c>
      <c r="C235" s="412" t="s">
        <v>614</v>
      </c>
      <c r="D235" s="444" t="s">
        <v>447</v>
      </c>
      <c r="E235" s="467" t="s">
        <v>1067</v>
      </c>
      <c r="F235" s="387">
        <v>45827</v>
      </c>
      <c r="G235" s="380" t="s">
        <v>55</v>
      </c>
      <c r="H235" s="380">
        <v>1</v>
      </c>
      <c r="I235" s="388">
        <v>76440</v>
      </c>
      <c r="J235" s="380">
        <v>3</v>
      </c>
      <c r="K235" s="389">
        <f t="shared" si="10"/>
        <v>25480</v>
      </c>
      <c r="L235" s="381">
        <v>45809</v>
      </c>
      <c r="M235" s="466">
        <v>46173</v>
      </c>
      <c r="N235" s="363" t="s">
        <v>19</v>
      </c>
      <c r="O235" s="380" t="s">
        <v>6</v>
      </c>
      <c r="P235" s="380"/>
      <c r="Q235" s="394" t="s">
        <v>81</v>
      </c>
      <c r="R235" s="363" t="s">
        <v>431</v>
      </c>
      <c r="S235" s="390" t="s">
        <v>83</v>
      </c>
      <c r="T235" s="363" t="s">
        <v>1059</v>
      </c>
      <c r="U235" s="390" t="s">
        <v>887</v>
      </c>
      <c r="V235" s="363" t="s">
        <v>712</v>
      </c>
      <c r="W235" s="363"/>
      <c r="X235" s="363"/>
      <c r="Y235" s="363"/>
      <c r="Z235" s="363"/>
      <c r="AA235" s="363"/>
      <c r="AB235" s="363"/>
      <c r="AC235" s="363" t="s">
        <v>281</v>
      </c>
      <c r="AD235" s="380" t="s">
        <v>97</v>
      </c>
      <c r="AE235" s="380">
        <v>3</v>
      </c>
      <c r="AF235" s="363" t="s">
        <v>1068</v>
      </c>
    </row>
    <row r="236" spans="2:32" ht="14.4" x14ac:dyDescent="0.3">
      <c r="B236" s="380" t="s">
        <v>14</v>
      </c>
      <c r="C236" s="409" t="s">
        <v>1069</v>
      </c>
      <c r="D236" s="445" t="s">
        <v>151</v>
      </c>
      <c r="E236" s="419">
        <v>4400012768</v>
      </c>
      <c r="F236" s="387">
        <v>45845</v>
      </c>
      <c r="G236" s="380" t="s">
        <v>55</v>
      </c>
      <c r="H236" s="380">
        <v>1</v>
      </c>
      <c r="I236" s="388">
        <v>46000</v>
      </c>
      <c r="J236" s="380">
        <v>3</v>
      </c>
      <c r="K236" s="389">
        <f t="shared" si="10"/>
        <v>15333.333333333334</v>
      </c>
      <c r="L236" s="381">
        <v>45839</v>
      </c>
      <c r="M236" s="381">
        <v>46203</v>
      </c>
      <c r="N236" s="363" t="s">
        <v>19</v>
      </c>
      <c r="O236" s="380" t="s">
        <v>9</v>
      </c>
      <c r="P236" s="380"/>
      <c r="Q236" s="390" t="s">
        <v>190</v>
      </c>
      <c r="R236" s="363" t="s">
        <v>611</v>
      </c>
      <c r="S236" s="390" t="s">
        <v>192</v>
      </c>
      <c r="T236" s="363" t="s">
        <v>430</v>
      </c>
      <c r="U236" s="390" t="s">
        <v>194</v>
      </c>
      <c r="V236" s="363" t="s">
        <v>1712</v>
      </c>
      <c r="W236" s="363"/>
      <c r="X236" s="363"/>
      <c r="Y236" s="363"/>
      <c r="Z236" s="363"/>
      <c r="AA236" s="363"/>
      <c r="AB236" s="363"/>
      <c r="AC236" s="363" t="s">
        <v>478</v>
      </c>
      <c r="AD236" s="380" t="s">
        <v>63</v>
      </c>
      <c r="AE236" s="380">
        <v>5</v>
      </c>
      <c r="AF236" s="363" t="s">
        <v>667</v>
      </c>
    </row>
    <row r="237" spans="2:32" ht="14.4" x14ac:dyDescent="0.3">
      <c r="B237" s="380" t="s">
        <v>14</v>
      </c>
      <c r="C237" s="409" t="s">
        <v>954</v>
      </c>
      <c r="D237" s="423" t="s">
        <v>1070</v>
      </c>
      <c r="E237" s="419">
        <v>4601465628</v>
      </c>
      <c r="F237" s="387">
        <v>45845</v>
      </c>
      <c r="G237" s="380" t="s">
        <v>55</v>
      </c>
      <c r="H237" s="380">
        <v>1</v>
      </c>
      <c r="I237" s="388">
        <v>85000</v>
      </c>
      <c r="J237" s="380">
        <v>1</v>
      </c>
      <c r="K237" s="389">
        <f t="shared" si="10"/>
        <v>85000</v>
      </c>
      <c r="L237" s="381">
        <v>45839</v>
      </c>
      <c r="M237" s="381">
        <v>46203</v>
      </c>
      <c r="N237" s="363" t="s">
        <v>19</v>
      </c>
      <c r="O237" s="380" t="s">
        <v>9</v>
      </c>
      <c r="P237" s="380"/>
      <c r="Q237" s="390" t="s">
        <v>1071</v>
      </c>
      <c r="R237" s="363" t="s">
        <v>618</v>
      </c>
      <c r="S237" s="363"/>
      <c r="T237" s="363"/>
      <c r="U237" s="363"/>
      <c r="V237" s="363"/>
      <c r="W237" s="363"/>
      <c r="X237" s="363"/>
      <c r="Y237" s="363"/>
      <c r="Z237" s="363"/>
      <c r="AA237" s="363"/>
      <c r="AB237" s="363"/>
      <c r="AC237" s="363" t="s">
        <v>478</v>
      </c>
      <c r="AD237" s="380" t="s">
        <v>63</v>
      </c>
      <c r="AE237" s="380">
        <v>3</v>
      </c>
      <c r="AF237" s="363" t="s">
        <v>667</v>
      </c>
    </row>
    <row r="238" spans="2:32" ht="14.4" x14ac:dyDescent="0.3">
      <c r="B238" s="380" t="s">
        <v>14</v>
      </c>
      <c r="C238" s="409" t="s">
        <v>954</v>
      </c>
      <c r="D238" s="423" t="s">
        <v>1072</v>
      </c>
      <c r="E238" s="419">
        <v>4601465566</v>
      </c>
      <c r="F238" s="387">
        <v>45845</v>
      </c>
      <c r="G238" s="380" t="s">
        <v>55</v>
      </c>
      <c r="H238" s="380">
        <v>1</v>
      </c>
      <c r="I238" s="388">
        <v>85000</v>
      </c>
      <c r="J238" s="380">
        <v>1</v>
      </c>
      <c r="K238" s="389">
        <f t="shared" si="10"/>
        <v>85000</v>
      </c>
      <c r="L238" s="381">
        <v>45839</v>
      </c>
      <c r="M238" s="381">
        <v>46203</v>
      </c>
      <c r="N238" s="363" t="s">
        <v>19</v>
      </c>
      <c r="O238" s="380" t="s">
        <v>9</v>
      </c>
      <c r="P238" s="380"/>
      <c r="Q238" s="390" t="s">
        <v>1071</v>
      </c>
      <c r="R238" s="363" t="s">
        <v>618</v>
      </c>
      <c r="S238" s="363"/>
      <c r="T238" s="363"/>
      <c r="U238" s="363"/>
      <c r="V238" s="363"/>
      <c r="W238" s="363"/>
      <c r="X238" s="363"/>
      <c r="Y238" s="363"/>
      <c r="Z238" s="363"/>
      <c r="AA238" s="363"/>
      <c r="AB238" s="363"/>
      <c r="AC238" s="363" t="s">
        <v>478</v>
      </c>
      <c r="AD238" s="380" t="s">
        <v>63</v>
      </c>
      <c r="AE238" s="380">
        <v>3</v>
      </c>
      <c r="AF238" s="363" t="s">
        <v>667</v>
      </c>
    </row>
    <row r="239" spans="2:32" ht="14.4" hidden="1" x14ac:dyDescent="0.3">
      <c r="B239" s="380" t="s">
        <v>14</v>
      </c>
      <c r="C239" s="409" t="s">
        <v>1073</v>
      </c>
      <c r="D239" s="423" t="s">
        <v>1074</v>
      </c>
      <c r="E239" s="468">
        <v>440000458</v>
      </c>
      <c r="F239" s="387">
        <v>45834</v>
      </c>
      <c r="G239" s="380" t="s">
        <v>55</v>
      </c>
      <c r="H239" s="380">
        <v>3</v>
      </c>
      <c r="I239" s="452">
        <v>243000</v>
      </c>
      <c r="J239" s="380">
        <v>2</v>
      </c>
      <c r="K239" s="389">
        <f t="shared" si="10"/>
        <v>121500</v>
      </c>
      <c r="L239" s="381">
        <v>45839</v>
      </c>
      <c r="M239" s="381">
        <v>46022</v>
      </c>
      <c r="N239" s="363" t="s">
        <v>520</v>
      </c>
      <c r="O239" s="380" t="s">
        <v>11</v>
      </c>
      <c r="P239" s="380" t="s">
        <v>1</v>
      </c>
      <c r="Q239" s="390" t="s">
        <v>168</v>
      </c>
      <c r="R239" s="363" t="s">
        <v>505</v>
      </c>
      <c r="S239" s="390" t="s">
        <v>228</v>
      </c>
      <c r="T239" s="363" t="s">
        <v>1075</v>
      </c>
      <c r="U239" s="363"/>
      <c r="V239" s="363"/>
      <c r="W239" s="363"/>
      <c r="X239" s="363"/>
      <c r="Y239" s="363"/>
      <c r="Z239" s="363"/>
      <c r="AA239" s="363"/>
      <c r="AB239" s="363"/>
      <c r="AC239" s="363" t="s">
        <v>551</v>
      </c>
      <c r="AD239" s="380" t="s">
        <v>207</v>
      </c>
      <c r="AE239" s="380">
        <v>2</v>
      </c>
      <c r="AF239" s="363" t="s">
        <v>1076</v>
      </c>
    </row>
    <row r="240" spans="2:32" ht="14.4" hidden="1" x14ac:dyDescent="0.3">
      <c r="B240" s="380" t="s">
        <v>14</v>
      </c>
      <c r="C240" s="409" t="s">
        <v>1073</v>
      </c>
      <c r="D240" s="423" t="s">
        <v>1074</v>
      </c>
      <c r="E240" s="468">
        <v>440000458</v>
      </c>
      <c r="F240" s="387">
        <v>45834</v>
      </c>
      <c r="G240" s="380" t="s">
        <v>55</v>
      </c>
      <c r="H240" s="380"/>
      <c r="I240" s="452">
        <v>518700</v>
      </c>
      <c r="J240" s="380">
        <v>3</v>
      </c>
      <c r="K240" s="389">
        <f>I240/2</f>
        <v>259350</v>
      </c>
      <c r="L240" s="381">
        <v>46023</v>
      </c>
      <c r="M240" s="381">
        <v>46387</v>
      </c>
      <c r="N240" s="363" t="s">
        <v>520</v>
      </c>
      <c r="O240" s="380" t="s">
        <v>11</v>
      </c>
      <c r="P240" s="380" t="s">
        <v>1</v>
      </c>
      <c r="Q240" s="390" t="s">
        <v>347</v>
      </c>
      <c r="R240" s="363" t="s">
        <v>1056</v>
      </c>
      <c r="S240" s="390" t="s">
        <v>348</v>
      </c>
      <c r="T240" s="363" t="s">
        <v>1857</v>
      </c>
      <c r="U240" s="363" t="s">
        <v>349</v>
      </c>
      <c r="V240" s="363"/>
      <c r="W240" s="363"/>
      <c r="X240" s="363"/>
      <c r="Y240" s="363"/>
      <c r="Z240" s="363"/>
      <c r="AA240" s="363"/>
      <c r="AB240" s="363"/>
      <c r="AC240" s="363" t="s">
        <v>551</v>
      </c>
      <c r="AD240" s="380" t="s">
        <v>207</v>
      </c>
      <c r="AE240" s="380">
        <v>3</v>
      </c>
      <c r="AF240" s="363" t="s">
        <v>1076</v>
      </c>
    </row>
    <row r="241" spans="1:32" ht="14.4" hidden="1" x14ac:dyDescent="0.3">
      <c r="B241" s="380" t="s">
        <v>14</v>
      </c>
      <c r="C241" s="409" t="s">
        <v>1073</v>
      </c>
      <c r="D241" s="423" t="s">
        <v>1074</v>
      </c>
      <c r="E241" s="468">
        <v>440000458</v>
      </c>
      <c r="F241" s="387">
        <v>45834</v>
      </c>
      <c r="G241" s="380" t="s">
        <v>55</v>
      </c>
      <c r="H241" s="380"/>
      <c r="I241" s="452">
        <v>518700</v>
      </c>
      <c r="J241" s="380">
        <v>3</v>
      </c>
      <c r="K241" s="389">
        <f>I241/2</f>
        <v>259350</v>
      </c>
      <c r="L241" s="381">
        <v>46388</v>
      </c>
      <c r="M241" s="381">
        <v>46752</v>
      </c>
      <c r="N241" s="363" t="s">
        <v>520</v>
      </c>
      <c r="O241" s="380" t="s">
        <v>11</v>
      </c>
      <c r="P241" s="380" t="s">
        <v>1</v>
      </c>
      <c r="Q241" s="363" t="s">
        <v>738</v>
      </c>
      <c r="R241" s="363"/>
      <c r="S241" s="363" t="s">
        <v>1077</v>
      </c>
      <c r="T241" s="363"/>
      <c r="U241" s="363" t="s">
        <v>1078</v>
      </c>
      <c r="V241" s="363"/>
      <c r="W241" s="363"/>
      <c r="X241" s="363"/>
      <c r="Y241" s="363"/>
      <c r="Z241" s="363"/>
      <c r="AA241" s="363"/>
      <c r="AB241" s="363"/>
      <c r="AC241" s="363" t="s">
        <v>551</v>
      </c>
      <c r="AD241" s="380" t="s">
        <v>207</v>
      </c>
      <c r="AE241" s="380">
        <v>3</v>
      </c>
      <c r="AF241" s="363" t="s">
        <v>1076</v>
      </c>
    </row>
    <row r="242" spans="1:32" ht="14.4" hidden="1" x14ac:dyDescent="0.3">
      <c r="B242" s="380" t="s">
        <v>14</v>
      </c>
      <c r="C242" s="409" t="s">
        <v>775</v>
      </c>
      <c r="D242" s="423" t="s">
        <v>1079</v>
      </c>
      <c r="E242" s="419">
        <v>2700033067</v>
      </c>
      <c r="F242" s="387">
        <v>45848</v>
      </c>
      <c r="G242" s="380" t="s">
        <v>55</v>
      </c>
      <c r="H242" s="380">
        <v>2</v>
      </c>
      <c r="I242" s="388">
        <v>160000</v>
      </c>
      <c r="J242" s="380">
        <v>3</v>
      </c>
      <c r="K242" s="389">
        <f>I242/J242</f>
        <v>53333.333333333336</v>
      </c>
      <c r="L242" s="381">
        <v>45870</v>
      </c>
      <c r="M242" s="381">
        <v>46234</v>
      </c>
      <c r="N242" s="363" t="s">
        <v>19</v>
      </c>
      <c r="O242" s="380" t="s">
        <v>11</v>
      </c>
      <c r="P242" s="380"/>
      <c r="Q242" s="390" t="s">
        <v>665</v>
      </c>
      <c r="R242" s="363" t="s">
        <v>966</v>
      </c>
      <c r="S242" s="390" t="s">
        <v>361</v>
      </c>
      <c r="T242" s="363" t="s">
        <v>193</v>
      </c>
      <c r="U242" s="390" t="s">
        <v>1080</v>
      </c>
      <c r="V242" s="363" t="s">
        <v>1858</v>
      </c>
      <c r="W242" s="363"/>
      <c r="X242" s="363"/>
      <c r="Y242" s="363"/>
      <c r="Z242" s="363"/>
      <c r="AA242" s="363"/>
      <c r="AB242" s="363"/>
      <c r="AC242" s="363" t="s">
        <v>551</v>
      </c>
      <c r="AD242" s="380" t="s">
        <v>207</v>
      </c>
      <c r="AE242" s="380">
        <v>3</v>
      </c>
      <c r="AF242" s="446">
        <v>1</v>
      </c>
    </row>
    <row r="243" spans="1:32" ht="15" hidden="1" customHeight="1" x14ac:dyDescent="0.3">
      <c r="B243" s="380" t="s">
        <v>14</v>
      </c>
      <c r="C243" s="409" t="s">
        <v>195</v>
      </c>
      <c r="D243" s="423" t="s">
        <v>447</v>
      </c>
      <c r="E243" s="464" t="s">
        <v>1081</v>
      </c>
      <c r="F243" s="387">
        <v>45852</v>
      </c>
      <c r="G243" s="380" t="s">
        <v>55</v>
      </c>
      <c r="H243" s="380">
        <v>1</v>
      </c>
      <c r="I243" s="388">
        <v>65500</v>
      </c>
      <c r="J243" s="380">
        <v>4</v>
      </c>
      <c r="K243" s="389">
        <f>I243/J243</f>
        <v>16375</v>
      </c>
      <c r="L243" s="381">
        <v>45853</v>
      </c>
      <c r="M243" s="381">
        <v>46217</v>
      </c>
      <c r="N243" s="363" t="s">
        <v>520</v>
      </c>
      <c r="O243" s="380" t="s">
        <v>11</v>
      </c>
      <c r="P243" s="380"/>
      <c r="Q243" s="390" t="s">
        <v>1082</v>
      </c>
      <c r="R243" s="363" t="s">
        <v>623</v>
      </c>
      <c r="S243" s="390" t="s">
        <v>1083</v>
      </c>
      <c r="T243" s="363" t="s">
        <v>865</v>
      </c>
      <c r="U243" s="390" t="s">
        <v>1084</v>
      </c>
      <c r="V243" s="363" t="s">
        <v>1085</v>
      </c>
      <c r="W243" s="363" t="s">
        <v>1086</v>
      </c>
      <c r="X243" s="363"/>
      <c r="Y243" s="363"/>
      <c r="Z243" s="363"/>
      <c r="AA243" s="363"/>
      <c r="AB243" s="363"/>
      <c r="AC243" s="363" t="s">
        <v>96</v>
      </c>
      <c r="AD243" s="380" t="s">
        <v>97</v>
      </c>
      <c r="AE243" s="380" t="s">
        <v>494</v>
      </c>
      <c r="AF243" s="363" t="s">
        <v>667</v>
      </c>
    </row>
    <row r="244" spans="1:32" ht="14.4" hidden="1" x14ac:dyDescent="0.3">
      <c r="B244" s="380" t="s">
        <v>14</v>
      </c>
      <c r="C244" s="409" t="s">
        <v>1087</v>
      </c>
      <c r="D244" s="423" t="s">
        <v>1088</v>
      </c>
      <c r="E244" s="464" t="s">
        <v>1089</v>
      </c>
      <c r="F244" s="387">
        <v>45854</v>
      </c>
      <c r="G244" s="380" t="s">
        <v>55</v>
      </c>
      <c r="H244" s="380">
        <v>2</v>
      </c>
      <c r="I244" s="388">
        <v>240000</v>
      </c>
      <c r="J244" s="380">
        <v>3</v>
      </c>
      <c r="K244" s="389">
        <f>I244/J244</f>
        <v>80000</v>
      </c>
      <c r="L244" s="381">
        <v>45870</v>
      </c>
      <c r="M244" s="381">
        <v>46234</v>
      </c>
      <c r="N244" s="363" t="s">
        <v>520</v>
      </c>
      <c r="O244" s="380" t="s">
        <v>11</v>
      </c>
      <c r="P244" s="380"/>
      <c r="Q244" s="390" t="s">
        <v>665</v>
      </c>
      <c r="R244" s="363" t="s">
        <v>1003</v>
      </c>
      <c r="S244" s="390" t="s">
        <v>361</v>
      </c>
      <c r="T244" s="363" t="s">
        <v>844</v>
      </c>
      <c r="U244" s="363" t="s">
        <v>1080</v>
      </c>
      <c r="V244" s="363"/>
      <c r="W244" s="363"/>
      <c r="X244" s="363"/>
      <c r="Y244" s="363"/>
      <c r="Z244" s="363"/>
      <c r="AA244" s="363"/>
      <c r="AB244" s="363"/>
      <c r="AC244" s="363" t="s">
        <v>96</v>
      </c>
      <c r="AD244" s="380" t="s">
        <v>97</v>
      </c>
      <c r="AE244" s="380">
        <v>4</v>
      </c>
      <c r="AF244" s="363" t="s">
        <v>667</v>
      </c>
    </row>
    <row r="245" spans="1:32" ht="14.4" hidden="1" x14ac:dyDescent="0.3">
      <c r="B245" s="380" t="s">
        <v>14</v>
      </c>
      <c r="C245" s="409" t="s">
        <v>845</v>
      </c>
      <c r="D245" s="423" t="s">
        <v>846</v>
      </c>
      <c r="E245" s="464">
        <v>901968953</v>
      </c>
      <c r="F245" s="387">
        <v>45804</v>
      </c>
      <c r="G245" s="380" t="s">
        <v>55</v>
      </c>
      <c r="H245" s="380">
        <v>1</v>
      </c>
      <c r="I245" s="388">
        <v>98000</v>
      </c>
      <c r="J245" s="380">
        <v>3</v>
      </c>
      <c r="K245" s="389">
        <f>98000/2</f>
        <v>49000</v>
      </c>
      <c r="L245" s="381">
        <v>45848</v>
      </c>
      <c r="M245" s="381">
        <v>46212</v>
      </c>
      <c r="N245" s="363" t="s">
        <v>19</v>
      </c>
      <c r="O245" s="380" t="s">
        <v>11</v>
      </c>
      <c r="P245" s="380"/>
      <c r="Q245" s="390" t="s">
        <v>729</v>
      </c>
      <c r="R245" s="363" t="s">
        <v>1090</v>
      </c>
      <c r="S245" s="390" t="s">
        <v>731</v>
      </c>
      <c r="T245" s="363" t="s">
        <v>1091</v>
      </c>
      <c r="U245" s="390" t="s">
        <v>1092</v>
      </c>
      <c r="V245" s="363" t="s">
        <v>1093</v>
      </c>
      <c r="W245" s="363"/>
      <c r="X245" s="363"/>
      <c r="Y245" s="363"/>
      <c r="Z245" s="363"/>
      <c r="AA245" s="363"/>
      <c r="AB245" s="363"/>
      <c r="AC245" s="363" t="s">
        <v>834</v>
      </c>
      <c r="AD245" s="380" t="s">
        <v>207</v>
      </c>
      <c r="AE245" s="380">
        <v>3</v>
      </c>
      <c r="AF245" s="363" t="s">
        <v>1094</v>
      </c>
    </row>
    <row r="246" spans="1:32" ht="14.4" x14ac:dyDescent="0.3">
      <c r="B246" s="380" t="s">
        <v>14</v>
      </c>
      <c r="C246" s="409" t="s">
        <v>1095</v>
      </c>
      <c r="D246" s="423" t="s">
        <v>1016</v>
      </c>
      <c r="E246" s="464">
        <v>9709257840</v>
      </c>
      <c r="F246" s="387">
        <v>45854</v>
      </c>
      <c r="G246" s="380" t="s">
        <v>55</v>
      </c>
      <c r="H246" s="380">
        <v>13</v>
      </c>
      <c r="I246" s="388">
        <v>949819</v>
      </c>
      <c r="J246" s="380">
        <v>4</v>
      </c>
      <c r="K246" s="389">
        <f t="shared" ref="K246:K257" si="11">I246/J246</f>
        <v>237454.75</v>
      </c>
      <c r="L246" s="381">
        <v>45839</v>
      </c>
      <c r="M246" s="381">
        <v>46203</v>
      </c>
      <c r="N246" s="363" t="s">
        <v>19</v>
      </c>
      <c r="O246" s="380" t="s">
        <v>9</v>
      </c>
      <c r="P246" s="380"/>
      <c r="Q246" s="390" t="s">
        <v>168</v>
      </c>
      <c r="R246" s="363" t="s">
        <v>1096</v>
      </c>
      <c r="S246" s="394" t="s">
        <v>228</v>
      </c>
      <c r="T246" s="363" t="s">
        <v>1097</v>
      </c>
      <c r="U246" s="390" t="s">
        <v>396</v>
      </c>
      <c r="V246" s="363" t="s">
        <v>454</v>
      </c>
      <c r="W246" s="390" t="s">
        <v>397</v>
      </c>
      <c r="X246" s="363" t="s">
        <v>556</v>
      </c>
      <c r="Y246" s="363"/>
      <c r="Z246" s="363"/>
      <c r="AA246" s="363"/>
      <c r="AB246" s="363"/>
      <c r="AC246" s="363" t="s">
        <v>619</v>
      </c>
      <c r="AD246" s="380" t="s">
        <v>63</v>
      </c>
      <c r="AE246" s="380">
        <v>4</v>
      </c>
      <c r="AF246" s="430" t="s">
        <v>1098</v>
      </c>
    </row>
    <row r="247" spans="1:32" ht="14.4" hidden="1" x14ac:dyDescent="0.3">
      <c r="B247" s="380" t="s">
        <v>14</v>
      </c>
      <c r="C247" s="409" t="s">
        <v>595</v>
      </c>
      <c r="D247" s="418" t="s">
        <v>1012</v>
      </c>
      <c r="E247" s="454" t="s">
        <v>1099</v>
      </c>
      <c r="F247" s="387">
        <v>45843</v>
      </c>
      <c r="G247" s="380" t="s">
        <v>55</v>
      </c>
      <c r="H247" s="380">
        <v>1</v>
      </c>
      <c r="I247" s="388">
        <v>93312</v>
      </c>
      <c r="J247" s="380">
        <v>3</v>
      </c>
      <c r="K247" s="389">
        <f t="shared" si="11"/>
        <v>31104</v>
      </c>
      <c r="L247" s="381">
        <v>45870</v>
      </c>
      <c r="M247" s="381">
        <v>46234</v>
      </c>
      <c r="N247" s="363" t="s">
        <v>520</v>
      </c>
      <c r="O247" s="380" t="s">
        <v>11</v>
      </c>
      <c r="P247" s="380"/>
      <c r="Q247" s="390" t="s">
        <v>665</v>
      </c>
      <c r="R247" s="363" t="s">
        <v>1091</v>
      </c>
      <c r="S247" s="390" t="s">
        <v>361</v>
      </c>
      <c r="T247" s="363" t="s">
        <v>1100</v>
      </c>
      <c r="U247" s="363" t="s">
        <v>1080</v>
      </c>
      <c r="V247" s="363"/>
      <c r="W247" s="363"/>
      <c r="X247" s="363"/>
      <c r="Y247" s="363"/>
      <c r="Z247" s="363"/>
      <c r="AA247" s="363"/>
      <c r="AB247" s="363"/>
      <c r="AC247" s="363" t="s">
        <v>619</v>
      </c>
      <c r="AD247" s="380" t="s">
        <v>63</v>
      </c>
      <c r="AE247" s="380">
        <v>3</v>
      </c>
      <c r="AF247" s="363" t="s">
        <v>799</v>
      </c>
    </row>
    <row r="248" spans="1:32" ht="15" customHeight="1" x14ac:dyDescent="0.3">
      <c r="B248" s="380" t="s">
        <v>14</v>
      </c>
      <c r="C248" s="409" t="s">
        <v>1101</v>
      </c>
      <c r="D248" s="434" t="s">
        <v>1012</v>
      </c>
      <c r="E248" s="419" t="s">
        <v>1102</v>
      </c>
      <c r="F248" s="387">
        <v>45846</v>
      </c>
      <c r="G248" s="380" t="s">
        <v>55</v>
      </c>
      <c r="H248" s="380">
        <v>7</v>
      </c>
      <c r="I248" s="388">
        <v>455000</v>
      </c>
      <c r="J248" s="380">
        <v>2</v>
      </c>
      <c r="K248" s="391">
        <f t="shared" si="11"/>
        <v>227500</v>
      </c>
      <c r="L248" s="381">
        <v>45809</v>
      </c>
      <c r="M248" s="381">
        <v>46173</v>
      </c>
      <c r="N248" s="363" t="s">
        <v>19</v>
      </c>
      <c r="O248" s="380" t="s">
        <v>9</v>
      </c>
      <c r="P248" s="380"/>
      <c r="Q248" s="390" t="s">
        <v>125</v>
      </c>
      <c r="R248" s="363" t="s">
        <v>807</v>
      </c>
      <c r="S248" s="390" t="s">
        <v>127</v>
      </c>
      <c r="T248" s="363" t="s">
        <v>1852</v>
      </c>
      <c r="U248" s="363"/>
      <c r="V248" s="363"/>
      <c r="W248" s="363"/>
      <c r="X248" s="363"/>
      <c r="Y248" s="363"/>
      <c r="Z248" s="363"/>
      <c r="AA248" s="363"/>
      <c r="AB248" s="363"/>
      <c r="AC248" s="363" t="s">
        <v>619</v>
      </c>
      <c r="AD248" s="380" t="s">
        <v>63</v>
      </c>
      <c r="AE248" s="380">
        <v>2</v>
      </c>
      <c r="AF248" s="363" t="s">
        <v>667</v>
      </c>
    </row>
    <row r="249" spans="1:32" ht="15" hidden="1" customHeight="1" x14ac:dyDescent="0.3">
      <c r="B249" s="380" t="s">
        <v>14</v>
      </c>
      <c r="C249" s="434" t="s">
        <v>1103</v>
      </c>
      <c r="D249" s="434" t="s">
        <v>1088</v>
      </c>
      <c r="E249" s="419" t="s">
        <v>1104</v>
      </c>
      <c r="F249" s="387">
        <v>45855</v>
      </c>
      <c r="G249" s="380" t="s">
        <v>55</v>
      </c>
      <c r="H249" s="380">
        <v>1</v>
      </c>
      <c r="I249" s="388">
        <v>62000</v>
      </c>
      <c r="J249" s="380">
        <v>4</v>
      </c>
      <c r="K249" s="389">
        <f t="shared" si="11"/>
        <v>15500</v>
      </c>
      <c r="L249" s="381">
        <v>45870</v>
      </c>
      <c r="M249" s="381">
        <v>46234</v>
      </c>
      <c r="N249" s="363" t="s">
        <v>520</v>
      </c>
      <c r="O249" s="380" t="s">
        <v>11</v>
      </c>
      <c r="P249" s="380"/>
      <c r="Q249" s="390" t="s">
        <v>267</v>
      </c>
      <c r="R249" s="363" t="s">
        <v>623</v>
      </c>
      <c r="S249" s="390" t="s">
        <v>269</v>
      </c>
      <c r="T249" s="363" t="s">
        <v>1105</v>
      </c>
      <c r="U249" s="390" t="s">
        <v>442</v>
      </c>
      <c r="V249" s="363" t="s">
        <v>782</v>
      </c>
      <c r="W249" s="363" t="s">
        <v>444</v>
      </c>
      <c r="X249" s="363"/>
      <c r="Y249" s="363"/>
      <c r="Z249" s="363"/>
      <c r="AA249" s="363"/>
      <c r="AB249" s="363"/>
      <c r="AC249" s="363" t="s">
        <v>96</v>
      </c>
      <c r="AD249" s="380" t="s">
        <v>97</v>
      </c>
      <c r="AE249" s="380" t="s">
        <v>494</v>
      </c>
      <c r="AF249" s="363" t="s">
        <v>667</v>
      </c>
    </row>
    <row r="250" spans="1:32" ht="15" hidden="1" customHeight="1" x14ac:dyDescent="0.3">
      <c r="B250" s="380" t="s">
        <v>14</v>
      </c>
      <c r="C250" s="409" t="s">
        <v>1106</v>
      </c>
      <c r="D250" s="423" t="s">
        <v>1107</v>
      </c>
      <c r="E250" s="419">
        <v>4502348009</v>
      </c>
      <c r="F250" s="387">
        <v>45853</v>
      </c>
      <c r="G250" s="380" t="s">
        <v>55</v>
      </c>
      <c r="H250" s="380">
        <v>2</v>
      </c>
      <c r="I250" s="388">
        <f>432000/3</f>
        <v>144000</v>
      </c>
      <c r="J250" s="380">
        <v>3</v>
      </c>
      <c r="K250" s="389">
        <f t="shared" si="11"/>
        <v>48000</v>
      </c>
      <c r="L250" s="381">
        <v>45748</v>
      </c>
      <c r="M250" s="381">
        <v>46112</v>
      </c>
      <c r="N250" s="363" t="s">
        <v>520</v>
      </c>
      <c r="O250" s="380" t="s">
        <v>11</v>
      </c>
      <c r="P250" s="380"/>
      <c r="Q250" s="390" t="s">
        <v>357</v>
      </c>
      <c r="R250" s="363" t="s">
        <v>811</v>
      </c>
      <c r="S250" s="390" t="s">
        <v>901</v>
      </c>
      <c r="T250" s="363" t="s">
        <v>1091</v>
      </c>
      <c r="U250" s="390" t="s">
        <v>361</v>
      </c>
      <c r="V250" s="363" t="s">
        <v>1100</v>
      </c>
      <c r="W250" s="363"/>
      <c r="X250" s="363"/>
      <c r="Y250" s="363"/>
      <c r="Z250" s="363"/>
      <c r="AA250" s="363"/>
      <c r="AB250" s="363"/>
      <c r="AC250" s="363" t="s">
        <v>478</v>
      </c>
      <c r="AD250" s="380" t="s">
        <v>63</v>
      </c>
      <c r="AE250" s="380">
        <v>5</v>
      </c>
      <c r="AF250" s="363" t="s">
        <v>667</v>
      </c>
    </row>
    <row r="251" spans="1:32" ht="15" hidden="1" customHeight="1" x14ac:dyDescent="0.3">
      <c r="B251" s="380" t="s">
        <v>14</v>
      </c>
      <c r="C251" s="409" t="s">
        <v>1106</v>
      </c>
      <c r="D251" s="423" t="s">
        <v>1107</v>
      </c>
      <c r="E251" s="419">
        <v>4502348009</v>
      </c>
      <c r="F251" s="387">
        <v>45853</v>
      </c>
      <c r="G251" s="380" t="s">
        <v>55</v>
      </c>
      <c r="H251" s="380"/>
      <c r="I251" s="388">
        <f>432000/3</f>
        <v>144000</v>
      </c>
      <c r="J251" s="380">
        <v>3</v>
      </c>
      <c r="K251" s="389">
        <f t="shared" si="11"/>
        <v>48000</v>
      </c>
      <c r="L251" s="381">
        <v>46113</v>
      </c>
      <c r="M251" s="381">
        <v>46477</v>
      </c>
      <c r="N251" s="363" t="s">
        <v>520</v>
      </c>
      <c r="O251" s="380" t="s">
        <v>11</v>
      </c>
      <c r="P251" s="380"/>
      <c r="Q251" s="363" t="s">
        <v>1080</v>
      </c>
      <c r="R251" s="363"/>
      <c r="S251" s="363" t="s">
        <v>1108</v>
      </c>
      <c r="T251" s="363"/>
      <c r="U251" s="363" t="s">
        <v>1109</v>
      </c>
      <c r="V251" s="363"/>
      <c r="W251" s="363"/>
      <c r="X251" s="363"/>
      <c r="Y251" s="363"/>
      <c r="Z251" s="363"/>
      <c r="AA251" s="363"/>
      <c r="AB251" s="363"/>
      <c r="AC251" s="363" t="s">
        <v>478</v>
      </c>
      <c r="AD251" s="380" t="s">
        <v>63</v>
      </c>
      <c r="AE251" s="380">
        <v>5</v>
      </c>
      <c r="AF251" s="363" t="s">
        <v>667</v>
      </c>
    </row>
    <row r="252" spans="1:32" ht="15" hidden="1" customHeight="1" x14ac:dyDescent="0.3">
      <c r="B252" s="380" t="s">
        <v>14</v>
      </c>
      <c r="C252" s="409" t="s">
        <v>1106</v>
      </c>
      <c r="D252" s="423" t="s">
        <v>1107</v>
      </c>
      <c r="E252" s="419">
        <v>4502348009</v>
      </c>
      <c r="F252" s="387">
        <v>45853</v>
      </c>
      <c r="G252" s="380" t="s">
        <v>55</v>
      </c>
      <c r="H252" s="380"/>
      <c r="I252" s="417">
        <f>432000/3</f>
        <v>144000</v>
      </c>
      <c r="J252" s="380">
        <v>3</v>
      </c>
      <c r="K252" s="389">
        <f t="shared" si="11"/>
        <v>48000</v>
      </c>
      <c r="L252" s="381">
        <v>46478</v>
      </c>
      <c r="M252" s="381">
        <v>46843</v>
      </c>
      <c r="N252" s="363" t="s">
        <v>520</v>
      </c>
      <c r="O252" s="380" t="s">
        <v>11</v>
      </c>
      <c r="P252" s="380"/>
      <c r="Q252" s="363" t="s">
        <v>1110</v>
      </c>
      <c r="R252" s="363"/>
      <c r="S252" s="363" t="s">
        <v>1111</v>
      </c>
      <c r="T252" s="363"/>
      <c r="U252" s="363" t="s">
        <v>1112</v>
      </c>
      <c r="V252" s="363"/>
      <c r="W252" s="363"/>
      <c r="X252" s="363"/>
      <c r="Y252" s="363"/>
      <c r="Z252" s="363"/>
      <c r="AA252" s="363"/>
      <c r="AB252" s="363"/>
      <c r="AC252" s="363" t="s">
        <v>478</v>
      </c>
      <c r="AD252" s="380" t="s">
        <v>63</v>
      </c>
      <c r="AE252" s="380">
        <v>5</v>
      </c>
      <c r="AF252" s="363" t="s">
        <v>667</v>
      </c>
    </row>
    <row r="253" spans="1:32" ht="15" hidden="1" customHeight="1" x14ac:dyDescent="0.3">
      <c r="B253" s="380" t="s">
        <v>14</v>
      </c>
      <c r="C253" s="409" t="s">
        <v>1113</v>
      </c>
      <c r="D253" s="423" t="s">
        <v>1114</v>
      </c>
      <c r="E253" s="464">
        <v>700005514</v>
      </c>
      <c r="F253" s="387">
        <v>45800</v>
      </c>
      <c r="G253" s="380" t="s">
        <v>55</v>
      </c>
      <c r="H253" s="380">
        <v>2</v>
      </c>
      <c r="I253" s="388">
        <v>175970</v>
      </c>
      <c r="J253" s="380">
        <v>3</v>
      </c>
      <c r="K253" s="389">
        <f t="shared" si="11"/>
        <v>58656.666666666664</v>
      </c>
      <c r="L253" s="381">
        <v>45748</v>
      </c>
      <c r="M253" s="381">
        <v>46112</v>
      </c>
      <c r="N253" s="363" t="s">
        <v>19</v>
      </c>
      <c r="O253" s="380" t="s">
        <v>3</v>
      </c>
      <c r="P253" s="380"/>
      <c r="Q253" s="390" t="s">
        <v>357</v>
      </c>
      <c r="R253" s="363" t="s">
        <v>451</v>
      </c>
      <c r="S253" s="390" t="s">
        <v>665</v>
      </c>
      <c r="T253" s="363" t="s">
        <v>848</v>
      </c>
      <c r="U253" s="390" t="s">
        <v>361</v>
      </c>
      <c r="V253" s="363" t="s">
        <v>1115</v>
      </c>
      <c r="W253" s="363"/>
      <c r="X253" s="363"/>
      <c r="Y253" s="363"/>
      <c r="Z253" s="363"/>
      <c r="AA253" s="363"/>
      <c r="AB253" s="363"/>
      <c r="AC253" s="363" t="s">
        <v>183</v>
      </c>
      <c r="AD253" s="380" t="s">
        <v>97</v>
      </c>
      <c r="AE253" s="380">
        <v>1</v>
      </c>
      <c r="AF253" s="363" t="s">
        <v>1116</v>
      </c>
    </row>
    <row r="254" spans="1:32" ht="15" hidden="1" customHeight="1" x14ac:dyDescent="0.3">
      <c r="A254" s="469"/>
      <c r="B254" s="380" t="s">
        <v>14</v>
      </c>
      <c r="C254" s="409" t="s">
        <v>1117</v>
      </c>
      <c r="D254" s="423" t="s">
        <v>1118</v>
      </c>
      <c r="E254" s="419">
        <v>8200197699</v>
      </c>
      <c r="F254" s="387">
        <v>45855</v>
      </c>
      <c r="G254" s="380" t="s">
        <v>55</v>
      </c>
      <c r="H254" s="380">
        <v>1</v>
      </c>
      <c r="I254" s="388">
        <v>91060</v>
      </c>
      <c r="J254" s="380">
        <v>2</v>
      </c>
      <c r="K254" s="389">
        <f t="shared" si="11"/>
        <v>45530</v>
      </c>
      <c r="L254" s="381">
        <v>45839</v>
      </c>
      <c r="M254" s="381">
        <v>46203</v>
      </c>
      <c r="N254" s="363" t="s">
        <v>520</v>
      </c>
      <c r="O254" s="380" t="s">
        <v>11</v>
      </c>
      <c r="P254" s="380"/>
      <c r="Q254" s="390" t="s">
        <v>483</v>
      </c>
      <c r="R254" s="363" t="s">
        <v>1009</v>
      </c>
      <c r="S254" s="363" t="s">
        <v>607</v>
      </c>
      <c r="T254" s="363"/>
      <c r="U254" s="363"/>
      <c r="V254" s="363"/>
      <c r="W254" s="363"/>
      <c r="X254" s="363"/>
      <c r="Y254" s="363"/>
      <c r="Z254" s="363"/>
      <c r="AA254" s="363"/>
      <c r="AB254" s="363"/>
      <c r="AC254" s="363" t="s">
        <v>128</v>
      </c>
      <c r="AD254" s="380" t="s">
        <v>129</v>
      </c>
      <c r="AE254" s="380">
        <v>2</v>
      </c>
      <c r="AF254" s="363" t="s">
        <v>667</v>
      </c>
    </row>
    <row r="255" spans="1:32" ht="15" hidden="1" customHeight="1" x14ac:dyDescent="0.3">
      <c r="A255" s="469"/>
      <c r="B255" s="380" t="s">
        <v>14</v>
      </c>
      <c r="C255" s="409" t="s">
        <v>1117</v>
      </c>
      <c r="D255" s="423" t="s">
        <v>1118</v>
      </c>
      <c r="E255" s="419">
        <v>8200197699</v>
      </c>
      <c r="F255" s="387">
        <v>45855</v>
      </c>
      <c r="G255" s="380" t="s">
        <v>55</v>
      </c>
      <c r="H255" s="380"/>
      <c r="I255" s="388">
        <v>91060</v>
      </c>
      <c r="J255" s="380">
        <v>2</v>
      </c>
      <c r="K255" s="389">
        <f t="shared" si="11"/>
        <v>45530</v>
      </c>
      <c r="L255" s="381">
        <v>46204</v>
      </c>
      <c r="M255" s="381">
        <v>46568</v>
      </c>
      <c r="N255" s="363" t="s">
        <v>520</v>
      </c>
      <c r="O255" s="380" t="s">
        <v>11</v>
      </c>
      <c r="P255" s="380"/>
      <c r="Q255" s="363" t="s">
        <v>608</v>
      </c>
      <c r="R255" s="363"/>
      <c r="S255" s="363" t="s">
        <v>1119</v>
      </c>
      <c r="T255" s="363"/>
      <c r="U255" s="363"/>
      <c r="V255" s="363"/>
      <c r="W255" s="363"/>
      <c r="X255" s="363"/>
      <c r="Y255" s="363"/>
      <c r="Z255" s="363"/>
      <c r="AA255" s="363"/>
      <c r="AB255" s="363"/>
      <c r="AC255" s="363" t="s">
        <v>128</v>
      </c>
      <c r="AD255" s="380" t="s">
        <v>129</v>
      </c>
      <c r="AE255" s="380">
        <v>2</v>
      </c>
      <c r="AF255" s="363" t="s">
        <v>667</v>
      </c>
    </row>
    <row r="256" spans="1:32" ht="15" hidden="1" customHeight="1" x14ac:dyDescent="0.3">
      <c r="B256" s="380" t="s">
        <v>14</v>
      </c>
      <c r="C256" s="363" t="s">
        <v>1120</v>
      </c>
      <c r="D256" s="423" t="s">
        <v>447</v>
      </c>
      <c r="E256" s="419">
        <v>5891136624</v>
      </c>
      <c r="F256" s="387">
        <v>45856</v>
      </c>
      <c r="G256" s="380" t="s">
        <v>55</v>
      </c>
      <c r="H256" s="380">
        <v>3</v>
      </c>
      <c r="I256" s="388">
        <v>307691.73</v>
      </c>
      <c r="J256" s="380">
        <v>3</v>
      </c>
      <c r="K256" s="389">
        <f t="shared" si="11"/>
        <v>102563.90999999999</v>
      </c>
      <c r="L256" s="381">
        <v>45870</v>
      </c>
      <c r="M256" s="381">
        <v>46234</v>
      </c>
      <c r="N256" s="363" t="s">
        <v>520</v>
      </c>
      <c r="O256" s="380" t="s">
        <v>11</v>
      </c>
      <c r="P256" s="380"/>
      <c r="Q256" s="390" t="s">
        <v>665</v>
      </c>
      <c r="R256" s="363" t="s">
        <v>229</v>
      </c>
      <c r="S256" s="390" t="s">
        <v>361</v>
      </c>
      <c r="T256" s="363" t="s">
        <v>495</v>
      </c>
      <c r="U256" s="363" t="s">
        <v>1080</v>
      </c>
      <c r="V256" s="363"/>
      <c r="W256" s="363"/>
      <c r="X256" s="363"/>
      <c r="Y256" s="363"/>
      <c r="Z256" s="363"/>
      <c r="AA256" s="363"/>
      <c r="AB256" s="363"/>
      <c r="AC256" s="363" t="s">
        <v>96</v>
      </c>
      <c r="AD256" s="380" t="s">
        <v>97</v>
      </c>
      <c r="AE256" s="380" t="s">
        <v>494</v>
      </c>
      <c r="AF256" s="363" t="s">
        <v>1121</v>
      </c>
    </row>
    <row r="257" spans="2:32" ht="15" hidden="1" customHeight="1" x14ac:dyDescent="0.3">
      <c r="B257" s="380" t="s">
        <v>14</v>
      </c>
      <c r="C257" s="412" t="s">
        <v>845</v>
      </c>
      <c r="D257" s="437" t="s">
        <v>846</v>
      </c>
      <c r="E257" s="426">
        <v>901971263</v>
      </c>
      <c r="F257" s="415">
        <v>45856</v>
      </c>
      <c r="G257" s="425" t="s">
        <v>55</v>
      </c>
      <c r="H257" s="380">
        <v>2</v>
      </c>
      <c r="I257" s="388">
        <v>196000</v>
      </c>
      <c r="J257" s="380">
        <v>3</v>
      </c>
      <c r="K257" s="389">
        <f t="shared" si="11"/>
        <v>65333.333333333336</v>
      </c>
      <c r="L257" s="381">
        <v>45848</v>
      </c>
      <c r="M257" s="381">
        <v>46212</v>
      </c>
      <c r="N257" s="363" t="s">
        <v>19</v>
      </c>
      <c r="O257" s="380" t="s">
        <v>11</v>
      </c>
      <c r="P257" s="380"/>
      <c r="Q257" s="390" t="s">
        <v>729</v>
      </c>
      <c r="R257" s="363" t="s">
        <v>777</v>
      </c>
      <c r="S257" s="390" t="s">
        <v>731</v>
      </c>
      <c r="T257" s="363" t="s">
        <v>1122</v>
      </c>
      <c r="U257" s="390" t="s">
        <v>1092</v>
      </c>
      <c r="V257" s="363" t="s">
        <v>828</v>
      </c>
      <c r="W257" s="363"/>
      <c r="X257" s="363"/>
      <c r="Y257" s="363"/>
      <c r="Z257" s="363"/>
      <c r="AA257" s="363"/>
      <c r="AB257" s="363"/>
      <c r="AC257" s="363" t="s">
        <v>834</v>
      </c>
      <c r="AD257" s="380" t="s">
        <v>207</v>
      </c>
      <c r="AE257" s="380">
        <v>6</v>
      </c>
      <c r="AF257" s="363" t="s">
        <v>1123</v>
      </c>
    </row>
    <row r="258" spans="2:32" ht="15" hidden="1" customHeight="1" x14ac:dyDescent="0.3">
      <c r="B258" s="380" t="s">
        <v>14</v>
      </c>
      <c r="C258" s="463" t="s">
        <v>614</v>
      </c>
      <c r="D258" s="463" t="s">
        <v>1016</v>
      </c>
      <c r="E258" s="470">
        <v>85411668</v>
      </c>
      <c r="F258" s="415">
        <v>45849</v>
      </c>
      <c r="G258" s="380" t="s">
        <v>55</v>
      </c>
      <c r="H258" s="380">
        <v>1</v>
      </c>
      <c r="I258" s="388">
        <v>76440</v>
      </c>
      <c r="J258" s="380">
        <v>3</v>
      </c>
      <c r="K258" s="389"/>
      <c r="L258" s="381">
        <v>45809</v>
      </c>
      <c r="M258" s="381">
        <v>46173</v>
      </c>
      <c r="N258" s="363" t="s">
        <v>19</v>
      </c>
      <c r="O258" s="380" t="s">
        <v>6</v>
      </c>
      <c r="P258" s="380"/>
      <c r="Q258" s="390" t="s">
        <v>1125</v>
      </c>
      <c r="R258" s="363" t="s">
        <v>1126</v>
      </c>
      <c r="S258" s="390" t="s">
        <v>83</v>
      </c>
      <c r="T258" s="363" t="s">
        <v>270</v>
      </c>
      <c r="U258" s="390" t="s">
        <v>404</v>
      </c>
      <c r="V258" s="363" t="s">
        <v>1711</v>
      </c>
      <c r="W258" s="363"/>
      <c r="X258" s="363"/>
      <c r="Y258" s="363"/>
      <c r="Z258" s="363"/>
      <c r="AA258" s="363"/>
      <c r="AB258" s="363"/>
      <c r="AC258" s="363" t="s">
        <v>619</v>
      </c>
      <c r="AD258" s="380" t="s">
        <v>63</v>
      </c>
      <c r="AE258" s="380">
        <v>3</v>
      </c>
      <c r="AF258" s="363" t="s">
        <v>1127</v>
      </c>
    </row>
    <row r="259" spans="2:32" ht="15" hidden="1" customHeight="1" x14ac:dyDescent="0.3">
      <c r="B259" s="380" t="s">
        <v>14</v>
      </c>
      <c r="C259" s="418" t="s">
        <v>1128</v>
      </c>
      <c r="D259" s="418" t="s">
        <v>1129</v>
      </c>
      <c r="E259" s="471">
        <v>4503060756</v>
      </c>
      <c r="F259" s="387">
        <v>45853</v>
      </c>
      <c r="G259" s="380" t="s">
        <v>55</v>
      </c>
      <c r="H259" s="380">
        <v>4</v>
      </c>
      <c r="I259" s="388">
        <v>271864</v>
      </c>
      <c r="J259" s="380">
        <v>4</v>
      </c>
      <c r="K259" s="391">
        <f>I259/J259</f>
        <v>67966</v>
      </c>
      <c r="L259" s="381">
        <v>45809</v>
      </c>
      <c r="M259" s="381">
        <v>46173</v>
      </c>
      <c r="N259" s="363" t="s">
        <v>19</v>
      </c>
      <c r="O259" s="380" t="s">
        <v>6</v>
      </c>
      <c r="P259" s="380"/>
      <c r="Q259" s="390" t="s">
        <v>1130</v>
      </c>
      <c r="R259" s="363" t="s">
        <v>611</v>
      </c>
      <c r="S259" s="390" t="s">
        <v>1131</v>
      </c>
      <c r="T259" s="363" t="s">
        <v>1132</v>
      </c>
      <c r="U259" s="390" t="s">
        <v>1133</v>
      </c>
      <c r="V259" s="363" t="s">
        <v>403</v>
      </c>
      <c r="W259" s="390" t="s">
        <v>1134</v>
      </c>
      <c r="X259" s="363" t="s">
        <v>1720</v>
      </c>
      <c r="Y259" s="363"/>
      <c r="Z259" s="363"/>
      <c r="AA259" s="363"/>
      <c r="AB259" s="363"/>
      <c r="AC259" s="363" t="s">
        <v>281</v>
      </c>
      <c r="AD259" s="380" t="s">
        <v>97</v>
      </c>
      <c r="AE259" s="380" t="s">
        <v>494</v>
      </c>
      <c r="AF259" s="363" t="s">
        <v>1135</v>
      </c>
    </row>
    <row r="260" spans="2:32" ht="15" hidden="1" customHeight="1" x14ac:dyDescent="0.3">
      <c r="B260" s="380" t="s">
        <v>14</v>
      </c>
      <c r="C260" s="409" t="s">
        <v>975</v>
      </c>
      <c r="D260" s="423" t="s">
        <v>1136</v>
      </c>
      <c r="E260" s="419">
        <v>6100009693</v>
      </c>
      <c r="F260" s="387">
        <v>45849</v>
      </c>
      <c r="G260" s="380" t="s">
        <v>55</v>
      </c>
      <c r="H260" s="380">
        <v>2</v>
      </c>
      <c r="I260" s="388">
        <v>240000</v>
      </c>
      <c r="J260" s="380">
        <v>3</v>
      </c>
      <c r="K260" s="389">
        <f>I260/2</f>
        <v>120000</v>
      </c>
      <c r="L260" s="381">
        <v>45870</v>
      </c>
      <c r="M260" s="381">
        <v>46234</v>
      </c>
      <c r="N260" s="363" t="s">
        <v>19</v>
      </c>
      <c r="O260" s="380" t="s">
        <v>11</v>
      </c>
      <c r="P260" s="380"/>
      <c r="Q260" s="390" t="s">
        <v>665</v>
      </c>
      <c r="R260" s="363" t="s">
        <v>464</v>
      </c>
      <c r="S260" s="390" t="s">
        <v>361</v>
      </c>
      <c r="T260" s="363" t="s">
        <v>750</v>
      </c>
      <c r="U260" s="390" t="s">
        <v>1080</v>
      </c>
      <c r="V260" s="363" t="s">
        <v>1843</v>
      </c>
      <c r="W260" s="363"/>
      <c r="X260" s="363"/>
      <c r="Y260" s="363"/>
      <c r="Z260" s="363"/>
      <c r="AA260" s="363"/>
      <c r="AB260" s="363"/>
      <c r="AC260" s="363" t="s">
        <v>551</v>
      </c>
      <c r="AD260" s="380" t="s">
        <v>207</v>
      </c>
      <c r="AE260" s="380">
        <v>3</v>
      </c>
      <c r="AF260" s="430" t="s">
        <v>981</v>
      </c>
    </row>
    <row r="261" spans="2:32" ht="15" hidden="1" customHeight="1" x14ac:dyDescent="0.3">
      <c r="B261" s="380" t="s">
        <v>14</v>
      </c>
      <c r="C261" s="409" t="s">
        <v>195</v>
      </c>
      <c r="D261" s="418" t="s">
        <v>1137</v>
      </c>
      <c r="E261" s="472" t="s">
        <v>1138</v>
      </c>
      <c r="F261" s="387">
        <v>45854</v>
      </c>
      <c r="G261" s="380" t="s">
        <v>55</v>
      </c>
      <c r="H261" s="380">
        <v>9</v>
      </c>
      <c r="I261" s="388">
        <f>58000*9</f>
        <v>522000</v>
      </c>
      <c r="J261" s="380">
        <v>4</v>
      </c>
      <c r="K261" s="389">
        <f t="shared" ref="K261:K277" si="12">I261/J261</f>
        <v>130500</v>
      </c>
      <c r="L261" s="381">
        <v>45762</v>
      </c>
      <c r="M261" s="381">
        <v>46156</v>
      </c>
      <c r="N261" s="363" t="s">
        <v>19</v>
      </c>
      <c r="O261" s="380" t="s">
        <v>6</v>
      </c>
      <c r="P261" s="380"/>
      <c r="Q261" s="390" t="s">
        <v>1139</v>
      </c>
      <c r="R261" s="363" t="s">
        <v>1140</v>
      </c>
      <c r="S261" s="390" t="s">
        <v>1082</v>
      </c>
      <c r="T261" s="363" t="s">
        <v>1054</v>
      </c>
      <c r="U261" s="390" t="s">
        <v>1083</v>
      </c>
      <c r="V261" s="363" t="s">
        <v>1122</v>
      </c>
      <c r="W261" s="390" t="s">
        <v>1084</v>
      </c>
      <c r="X261" s="363" t="s">
        <v>1141</v>
      </c>
      <c r="Y261" s="363"/>
      <c r="Z261" s="363"/>
      <c r="AA261" s="363"/>
      <c r="AB261" s="363"/>
      <c r="AC261" s="363" t="s">
        <v>478</v>
      </c>
      <c r="AD261" s="380" t="s">
        <v>63</v>
      </c>
      <c r="AE261" s="380">
        <v>3</v>
      </c>
      <c r="AF261" s="363" t="s">
        <v>657</v>
      </c>
    </row>
    <row r="262" spans="2:32" ht="15" hidden="1" customHeight="1" x14ac:dyDescent="0.3">
      <c r="B262" s="380" t="s">
        <v>14</v>
      </c>
      <c r="C262" s="409" t="s">
        <v>195</v>
      </c>
      <c r="D262" s="418" t="s">
        <v>388</v>
      </c>
      <c r="E262" s="419" t="s">
        <v>1142</v>
      </c>
      <c r="F262" s="387">
        <v>45862</v>
      </c>
      <c r="G262" s="380" t="s">
        <v>55</v>
      </c>
      <c r="H262" s="380">
        <v>4</v>
      </c>
      <c r="I262" s="388">
        <f>439992/2</f>
        <v>219996</v>
      </c>
      <c r="J262" s="380">
        <v>3</v>
      </c>
      <c r="K262" s="389">
        <f t="shared" si="12"/>
        <v>73332</v>
      </c>
      <c r="L262" s="381">
        <v>45862</v>
      </c>
      <c r="M262" s="381">
        <v>46226</v>
      </c>
      <c r="N262" s="363" t="s">
        <v>520</v>
      </c>
      <c r="O262" s="380" t="s">
        <v>11</v>
      </c>
      <c r="P262" s="380"/>
      <c r="Q262" s="390" t="s">
        <v>1143</v>
      </c>
      <c r="R262" s="363" t="s">
        <v>1144</v>
      </c>
      <c r="S262" s="390" t="s">
        <v>1145</v>
      </c>
      <c r="T262" s="363" t="s">
        <v>1146</v>
      </c>
      <c r="U262" s="363" t="s">
        <v>1147</v>
      </c>
      <c r="V262" s="363"/>
      <c r="W262" s="363"/>
      <c r="X262" s="363"/>
      <c r="Y262" s="363"/>
      <c r="Z262" s="363"/>
      <c r="AA262" s="363"/>
      <c r="AB262" s="363"/>
      <c r="AC262" s="363" t="s">
        <v>478</v>
      </c>
      <c r="AD262" s="380" t="s">
        <v>63</v>
      </c>
      <c r="AE262" s="380">
        <v>3</v>
      </c>
      <c r="AF262" s="363" t="s">
        <v>657</v>
      </c>
    </row>
    <row r="263" spans="2:32" ht="15" hidden="1" customHeight="1" x14ac:dyDescent="0.3">
      <c r="B263" s="380" t="s">
        <v>14</v>
      </c>
      <c r="C263" s="409" t="s">
        <v>195</v>
      </c>
      <c r="D263" s="418" t="s">
        <v>388</v>
      </c>
      <c r="E263" s="419" t="s">
        <v>1142</v>
      </c>
      <c r="F263" s="387">
        <v>45862</v>
      </c>
      <c r="G263" s="380"/>
      <c r="H263" s="380"/>
      <c r="I263" s="388">
        <f>439992/2</f>
        <v>219996</v>
      </c>
      <c r="J263" s="380">
        <v>3</v>
      </c>
      <c r="K263" s="389">
        <f t="shared" si="12"/>
        <v>73332</v>
      </c>
      <c r="L263" s="381">
        <v>46227</v>
      </c>
      <c r="M263" s="381">
        <v>46591</v>
      </c>
      <c r="N263" s="363" t="s">
        <v>520</v>
      </c>
      <c r="O263" s="380" t="s">
        <v>11</v>
      </c>
      <c r="P263" s="380"/>
      <c r="Q263" s="363" t="s">
        <v>1148</v>
      </c>
      <c r="R263" s="363"/>
      <c r="S263" s="363" t="s">
        <v>1149</v>
      </c>
      <c r="T263" s="363"/>
      <c r="U263" s="363" t="s">
        <v>1150</v>
      </c>
      <c r="V263" s="363"/>
      <c r="W263" s="363"/>
      <c r="X263" s="363"/>
      <c r="Y263" s="363"/>
      <c r="Z263" s="363"/>
      <c r="AA263" s="363"/>
      <c r="AB263" s="363"/>
      <c r="AC263" s="363" t="s">
        <v>478</v>
      </c>
      <c r="AD263" s="380" t="s">
        <v>63</v>
      </c>
      <c r="AE263" s="380">
        <v>3</v>
      </c>
      <c r="AF263" s="363" t="s">
        <v>657</v>
      </c>
    </row>
    <row r="264" spans="2:32" ht="15" customHeight="1" x14ac:dyDescent="0.3">
      <c r="B264" s="380" t="s">
        <v>14</v>
      </c>
      <c r="C264" s="409" t="s">
        <v>1151</v>
      </c>
      <c r="D264" s="418" t="s">
        <v>151</v>
      </c>
      <c r="E264" s="419">
        <v>4512862106</v>
      </c>
      <c r="F264" s="387">
        <v>45852</v>
      </c>
      <c r="G264" s="380" t="s">
        <v>55</v>
      </c>
      <c r="H264" s="380">
        <v>10</v>
      </c>
      <c r="I264" s="388">
        <v>460000</v>
      </c>
      <c r="J264" s="380">
        <v>3</v>
      </c>
      <c r="K264" s="391">
        <f t="shared" si="12"/>
        <v>153333.33333333334</v>
      </c>
      <c r="L264" s="381">
        <v>45809</v>
      </c>
      <c r="M264" s="381">
        <v>46173</v>
      </c>
      <c r="N264" s="363" t="s">
        <v>19</v>
      </c>
      <c r="O264" s="380" t="s">
        <v>9</v>
      </c>
      <c r="P264" s="380"/>
      <c r="Q264" s="390" t="s">
        <v>81</v>
      </c>
      <c r="R264" s="363" t="s">
        <v>898</v>
      </c>
      <c r="S264" s="390" t="s">
        <v>83</v>
      </c>
      <c r="T264" s="363" t="s">
        <v>320</v>
      </c>
      <c r="U264" s="390" t="s">
        <v>404</v>
      </c>
      <c r="V264" s="363" t="s">
        <v>1844</v>
      </c>
      <c r="W264" s="363"/>
      <c r="X264" s="363"/>
      <c r="Y264" s="363"/>
      <c r="Z264" s="363"/>
      <c r="AA264" s="363"/>
      <c r="AB264" s="363"/>
      <c r="AC264" s="363" t="s">
        <v>1152</v>
      </c>
      <c r="AD264" s="380" t="s">
        <v>63</v>
      </c>
      <c r="AE264" s="380">
        <v>3</v>
      </c>
      <c r="AF264" s="363" t="s">
        <v>667</v>
      </c>
    </row>
    <row r="265" spans="2:32" ht="15" hidden="1" customHeight="1" x14ac:dyDescent="0.3">
      <c r="B265" s="380" t="s">
        <v>14</v>
      </c>
      <c r="C265" s="409" t="s">
        <v>975</v>
      </c>
      <c r="D265" s="423" t="s">
        <v>1153</v>
      </c>
      <c r="E265" s="419">
        <v>6100009808</v>
      </c>
      <c r="F265" s="387">
        <v>45855</v>
      </c>
      <c r="G265" s="380" t="s">
        <v>55</v>
      </c>
      <c r="H265" s="380">
        <v>2</v>
      </c>
      <c r="I265" s="388">
        <v>240000</v>
      </c>
      <c r="J265" s="380">
        <v>3</v>
      </c>
      <c r="K265" s="389">
        <f t="shared" si="12"/>
        <v>80000</v>
      </c>
      <c r="L265" s="381">
        <v>45870</v>
      </c>
      <c r="M265" s="381">
        <v>46234</v>
      </c>
      <c r="N265" s="363" t="s">
        <v>19</v>
      </c>
      <c r="O265" s="380" t="s">
        <v>11</v>
      </c>
      <c r="P265" s="380"/>
      <c r="Q265" s="390" t="s">
        <v>1154</v>
      </c>
      <c r="R265" s="363" t="s">
        <v>169</v>
      </c>
      <c r="S265" s="390" t="s">
        <v>361</v>
      </c>
      <c r="T265" s="363" t="s">
        <v>639</v>
      </c>
      <c r="U265" s="390" t="s">
        <v>1080</v>
      </c>
      <c r="V265" s="363" t="s">
        <v>1856</v>
      </c>
      <c r="W265" s="363"/>
      <c r="X265" s="363"/>
      <c r="Y265" s="363"/>
      <c r="Z265" s="363"/>
      <c r="AA265" s="363"/>
      <c r="AB265" s="363"/>
      <c r="AC265" s="363" t="s">
        <v>551</v>
      </c>
      <c r="AD265" s="380" t="s">
        <v>207</v>
      </c>
      <c r="AE265" s="380">
        <v>3</v>
      </c>
      <c r="AF265" s="363" t="s">
        <v>26</v>
      </c>
    </row>
    <row r="266" spans="2:32" ht="15" hidden="1" customHeight="1" x14ac:dyDescent="0.3">
      <c r="B266" s="380" t="s">
        <v>14</v>
      </c>
      <c r="C266" s="409" t="s">
        <v>1155</v>
      </c>
      <c r="D266" s="423" t="s">
        <v>151</v>
      </c>
      <c r="E266" s="419">
        <v>4300495205</v>
      </c>
      <c r="F266" s="387">
        <v>45848</v>
      </c>
      <c r="G266" s="380" t="s">
        <v>55</v>
      </c>
      <c r="H266" s="380">
        <v>4</v>
      </c>
      <c r="I266" s="388">
        <v>295998</v>
      </c>
      <c r="J266" s="380">
        <v>3</v>
      </c>
      <c r="K266" s="389">
        <f t="shared" si="12"/>
        <v>98666</v>
      </c>
      <c r="L266" s="381">
        <v>45778</v>
      </c>
      <c r="M266" s="381">
        <v>46142</v>
      </c>
      <c r="N266" s="363" t="s">
        <v>19</v>
      </c>
      <c r="O266" s="380" t="s">
        <v>5</v>
      </c>
      <c r="P266" s="380"/>
      <c r="Q266" s="390" t="s">
        <v>343</v>
      </c>
      <c r="R266" s="363" t="s">
        <v>753</v>
      </c>
      <c r="S266" s="390" t="s">
        <v>345</v>
      </c>
      <c r="T266" s="363" t="s">
        <v>1001</v>
      </c>
      <c r="U266" s="390" t="s">
        <v>347</v>
      </c>
      <c r="V266" s="363" t="s">
        <v>1044</v>
      </c>
      <c r="W266" s="363"/>
      <c r="X266" s="363"/>
      <c r="Y266" s="363"/>
      <c r="Z266" s="363"/>
      <c r="AA266" s="363"/>
      <c r="AB266" s="363"/>
      <c r="AC266" s="363" t="s">
        <v>507</v>
      </c>
      <c r="AD266" s="380" t="s">
        <v>63</v>
      </c>
      <c r="AE266" s="380">
        <v>3</v>
      </c>
      <c r="AF266" s="363" t="s">
        <v>667</v>
      </c>
    </row>
    <row r="267" spans="2:32" ht="15" hidden="1" customHeight="1" x14ac:dyDescent="0.3">
      <c r="B267" s="380" t="s">
        <v>14</v>
      </c>
      <c r="C267" s="363" t="s">
        <v>1156</v>
      </c>
      <c r="D267" s="434" t="s">
        <v>151</v>
      </c>
      <c r="E267" s="468" t="s">
        <v>1157</v>
      </c>
      <c r="F267" s="387">
        <v>45866</v>
      </c>
      <c r="G267" s="380" t="s">
        <v>55</v>
      </c>
      <c r="H267" s="380">
        <v>3</v>
      </c>
      <c r="I267" s="388">
        <v>75000</v>
      </c>
      <c r="J267" s="380">
        <v>3</v>
      </c>
      <c r="K267" s="389">
        <f t="shared" si="12"/>
        <v>25000</v>
      </c>
      <c r="L267" s="381">
        <v>45870</v>
      </c>
      <c r="M267" s="381">
        <v>46234</v>
      </c>
      <c r="N267" s="363" t="s">
        <v>19</v>
      </c>
      <c r="O267" s="380" t="s">
        <v>11</v>
      </c>
      <c r="P267" s="380"/>
      <c r="Q267" s="390" t="s">
        <v>665</v>
      </c>
      <c r="R267" s="363" t="s">
        <v>360</v>
      </c>
      <c r="S267" s="390" t="s">
        <v>361</v>
      </c>
      <c r="T267" s="363" t="s">
        <v>874</v>
      </c>
      <c r="U267" s="390" t="s">
        <v>1080</v>
      </c>
      <c r="V267" s="363" t="s">
        <v>1843</v>
      </c>
      <c r="W267" s="363"/>
      <c r="X267" s="363"/>
      <c r="Y267" s="363"/>
      <c r="Z267" s="363"/>
      <c r="AA267" s="363"/>
      <c r="AB267" s="363"/>
      <c r="AC267" s="363" t="s">
        <v>478</v>
      </c>
      <c r="AD267" s="380" t="s">
        <v>63</v>
      </c>
      <c r="AE267" s="380">
        <v>3</v>
      </c>
      <c r="AF267" s="363" t="s">
        <v>667</v>
      </c>
    </row>
    <row r="268" spans="2:32" ht="15" customHeight="1" x14ac:dyDescent="0.3">
      <c r="B268" s="380" t="s">
        <v>14</v>
      </c>
      <c r="C268" s="473" t="s">
        <v>150</v>
      </c>
      <c r="D268" s="434" t="s">
        <v>447</v>
      </c>
      <c r="E268" s="419">
        <v>4200342890</v>
      </c>
      <c r="F268" s="387">
        <v>45817</v>
      </c>
      <c r="G268" s="380" t="s">
        <v>55</v>
      </c>
      <c r="H268" s="380">
        <v>3</v>
      </c>
      <c r="I268" s="388">
        <v>180000</v>
      </c>
      <c r="J268" s="380">
        <v>2</v>
      </c>
      <c r="K268" s="389">
        <f t="shared" si="12"/>
        <v>90000</v>
      </c>
      <c r="L268" s="381">
        <v>45839</v>
      </c>
      <c r="M268" s="381">
        <v>46203</v>
      </c>
      <c r="N268" s="363" t="s">
        <v>19</v>
      </c>
      <c r="O268" s="380" t="s">
        <v>9</v>
      </c>
      <c r="P268" s="380"/>
      <c r="Q268" s="390" t="s">
        <v>483</v>
      </c>
      <c r="R268" s="363" t="s">
        <v>588</v>
      </c>
      <c r="S268" s="390" t="s">
        <v>607</v>
      </c>
      <c r="T268" s="363" t="s">
        <v>1852</v>
      </c>
      <c r="U268" s="363"/>
      <c r="V268" s="363"/>
      <c r="W268" s="363"/>
      <c r="X268" s="363"/>
      <c r="Y268" s="363"/>
      <c r="Z268" s="363"/>
      <c r="AA268" s="363"/>
      <c r="AB268" s="363"/>
      <c r="AC268" s="363" t="s">
        <v>96</v>
      </c>
      <c r="AD268" s="380" t="s">
        <v>97</v>
      </c>
      <c r="AE268" s="380" t="s">
        <v>494</v>
      </c>
      <c r="AF268" s="363" t="s">
        <v>667</v>
      </c>
    </row>
    <row r="269" spans="2:32" ht="15" hidden="1" customHeight="1" x14ac:dyDescent="0.3">
      <c r="B269" s="380" t="s">
        <v>14</v>
      </c>
      <c r="C269" s="434" t="s">
        <v>1158</v>
      </c>
      <c r="D269" s="434" t="s">
        <v>1159</v>
      </c>
      <c r="E269" s="419">
        <v>1600034060</v>
      </c>
      <c r="F269" s="387">
        <v>45867</v>
      </c>
      <c r="G269" s="380" t="s">
        <v>55</v>
      </c>
      <c r="H269" s="380">
        <v>2</v>
      </c>
      <c r="I269" s="388">
        <v>159080</v>
      </c>
      <c r="J269" s="380">
        <v>2</v>
      </c>
      <c r="K269" s="389">
        <f t="shared" si="12"/>
        <v>79540</v>
      </c>
      <c r="L269" s="381">
        <v>45839</v>
      </c>
      <c r="M269" s="381">
        <v>46203</v>
      </c>
      <c r="N269" s="363" t="s">
        <v>520</v>
      </c>
      <c r="O269" s="380" t="s">
        <v>11</v>
      </c>
      <c r="P269" s="380"/>
      <c r="Q269" s="390" t="s">
        <v>483</v>
      </c>
      <c r="R269" s="363" t="s">
        <v>1034</v>
      </c>
      <c r="S269" s="363" t="s">
        <v>607</v>
      </c>
      <c r="T269" s="363"/>
      <c r="U269" s="363"/>
      <c r="V269" s="363"/>
      <c r="W269" s="363"/>
      <c r="X269" s="363"/>
      <c r="Y269" s="363"/>
      <c r="Z269" s="363"/>
      <c r="AA269" s="363"/>
      <c r="AB269" s="363"/>
      <c r="AC269" s="363" t="s">
        <v>478</v>
      </c>
      <c r="AD269" s="380" t="s">
        <v>63</v>
      </c>
      <c r="AE269" s="380">
        <v>3</v>
      </c>
      <c r="AF269" s="363" t="s">
        <v>667</v>
      </c>
    </row>
    <row r="270" spans="2:32" ht="15" customHeight="1" x14ac:dyDescent="0.3">
      <c r="B270" s="380" t="s">
        <v>14</v>
      </c>
      <c r="C270" s="409" t="s">
        <v>1160</v>
      </c>
      <c r="D270" s="434" t="s">
        <v>151</v>
      </c>
      <c r="E270" s="380" t="s">
        <v>1161</v>
      </c>
      <c r="F270" s="387">
        <v>45852</v>
      </c>
      <c r="G270" s="380" t="s">
        <v>55</v>
      </c>
      <c r="H270" s="380">
        <v>2</v>
      </c>
      <c r="I270" s="388">
        <v>156000</v>
      </c>
      <c r="J270" s="380">
        <v>3</v>
      </c>
      <c r="K270" s="389">
        <f t="shared" si="12"/>
        <v>52000</v>
      </c>
      <c r="L270" s="381">
        <v>45839</v>
      </c>
      <c r="M270" s="381">
        <v>46203</v>
      </c>
      <c r="N270" s="363" t="s">
        <v>19</v>
      </c>
      <c r="O270" s="380" t="s">
        <v>9</v>
      </c>
      <c r="P270" s="380"/>
      <c r="Q270" s="390" t="s">
        <v>190</v>
      </c>
      <c r="R270" s="363" t="s">
        <v>791</v>
      </c>
      <c r="S270" s="390" t="s">
        <v>192</v>
      </c>
      <c r="T270" s="363" t="s">
        <v>1162</v>
      </c>
      <c r="U270" s="390" t="s">
        <v>1163</v>
      </c>
      <c r="V270" s="363" t="s">
        <v>1844</v>
      </c>
      <c r="W270" s="363"/>
      <c r="X270" s="363"/>
      <c r="Y270" s="363"/>
      <c r="Z270" s="363"/>
      <c r="AA270" s="363"/>
      <c r="AB270" s="363"/>
      <c r="AC270" s="363" t="s">
        <v>478</v>
      </c>
      <c r="AD270" s="380" t="s">
        <v>63</v>
      </c>
      <c r="AE270" s="380">
        <v>3</v>
      </c>
      <c r="AF270" s="363" t="s">
        <v>667</v>
      </c>
    </row>
    <row r="271" spans="2:32" ht="15" customHeight="1" x14ac:dyDescent="0.3">
      <c r="B271" s="380" t="s">
        <v>14</v>
      </c>
      <c r="C271" s="409" t="s">
        <v>954</v>
      </c>
      <c r="D271" s="423" t="s">
        <v>1164</v>
      </c>
      <c r="E271" s="419">
        <v>4601465639</v>
      </c>
      <c r="F271" s="387">
        <v>45845</v>
      </c>
      <c r="G271" s="380" t="s">
        <v>55</v>
      </c>
      <c r="H271" s="380">
        <v>1</v>
      </c>
      <c r="I271" s="388">
        <v>85000</v>
      </c>
      <c r="J271" s="380">
        <v>1</v>
      </c>
      <c r="K271" s="389">
        <f t="shared" si="12"/>
        <v>85000</v>
      </c>
      <c r="L271" s="381">
        <v>45839</v>
      </c>
      <c r="M271" s="381">
        <v>46203</v>
      </c>
      <c r="N271" s="363" t="s">
        <v>19</v>
      </c>
      <c r="O271" s="380" t="s">
        <v>9</v>
      </c>
      <c r="P271" s="380"/>
      <c r="Q271" s="390" t="s">
        <v>1071</v>
      </c>
      <c r="R271" s="363" t="s">
        <v>618</v>
      </c>
      <c r="S271" s="363"/>
      <c r="T271" s="363"/>
      <c r="U271" s="363"/>
      <c r="V271" s="363"/>
      <c r="W271" s="363"/>
      <c r="X271" s="363"/>
      <c r="Y271" s="363"/>
      <c r="Z271" s="363"/>
      <c r="AA271" s="363"/>
      <c r="AB271" s="363"/>
      <c r="AC271" s="363" t="s">
        <v>478</v>
      </c>
      <c r="AD271" s="380" t="s">
        <v>63</v>
      </c>
      <c r="AE271" s="380">
        <v>3</v>
      </c>
      <c r="AF271" s="363" t="s">
        <v>667</v>
      </c>
    </row>
    <row r="272" spans="2:32" ht="15" hidden="1" customHeight="1" x14ac:dyDescent="0.3">
      <c r="B272" s="380" t="s">
        <v>14</v>
      </c>
      <c r="C272" s="409" t="s">
        <v>756</v>
      </c>
      <c r="D272" s="423" t="s">
        <v>757</v>
      </c>
      <c r="E272" s="419">
        <v>2265006145</v>
      </c>
      <c r="F272" s="387">
        <v>45868</v>
      </c>
      <c r="G272" s="380" t="s">
        <v>55</v>
      </c>
      <c r="H272" s="380">
        <v>2</v>
      </c>
      <c r="I272" s="388">
        <v>164160</v>
      </c>
      <c r="J272" s="380">
        <v>3</v>
      </c>
      <c r="K272" s="389">
        <f t="shared" si="12"/>
        <v>54720</v>
      </c>
      <c r="L272" s="381">
        <v>45748</v>
      </c>
      <c r="M272" s="381">
        <v>46112</v>
      </c>
      <c r="N272" s="363" t="s">
        <v>19</v>
      </c>
      <c r="O272" s="380" t="s">
        <v>5</v>
      </c>
      <c r="P272" s="380"/>
      <c r="Q272" s="390" t="s">
        <v>357</v>
      </c>
      <c r="R272" s="363" t="s">
        <v>872</v>
      </c>
      <c r="S272" s="390" t="s">
        <v>665</v>
      </c>
      <c r="T272" s="363" t="s">
        <v>967</v>
      </c>
      <c r="U272" s="390" t="s">
        <v>361</v>
      </c>
      <c r="V272" s="363" t="s">
        <v>882</v>
      </c>
      <c r="W272" s="363"/>
      <c r="X272" s="363"/>
      <c r="Y272" s="363"/>
      <c r="Z272" s="363"/>
      <c r="AA272" s="363"/>
      <c r="AB272" s="363"/>
      <c r="AC272" s="363" t="s">
        <v>507</v>
      </c>
      <c r="AD272" s="380" t="s">
        <v>63</v>
      </c>
      <c r="AE272" s="380">
        <v>3</v>
      </c>
      <c r="AF272" s="363" t="s">
        <v>799</v>
      </c>
    </row>
    <row r="273" spans="2:32" ht="15" hidden="1" customHeight="1" x14ac:dyDescent="0.3">
      <c r="B273" s="380" t="s">
        <v>14</v>
      </c>
      <c r="C273" s="409" t="s">
        <v>195</v>
      </c>
      <c r="D273" s="423" t="s">
        <v>447</v>
      </c>
      <c r="E273" s="464" t="s">
        <v>1165</v>
      </c>
      <c r="F273" s="387">
        <v>45864</v>
      </c>
      <c r="G273" s="380" t="s">
        <v>55</v>
      </c>
      <c r="H273" s="380">
        <v>8</v>
      </c>
      <c r="I273" s="388">
        <v>513520</v>
      </c>
      <c r="J273" s="380">
        <v>4</v>
      </c>
      <c r="K273" s="389">
        <f t="shared" si="12"/>
        <v>128380</v>
      </c>
      <c r="L273" s="381">
        <v>45877</v>
      </c>
      <c r="M273" s="381">
        <v>46241</v>
      </c>
      <c r="N273" s="363" t="s">
        <v>520</v>
      </c>
      <c r="O273" s="380" t="s">
        <v>13</v>
      </c>
      <c r="P273" s="380"/>
      <c r="Q273" s="390" t="s">
        <v>1166</v>
      </c>
      <c r="R273" s="363" t="s">
        <v>707</v>
      </c>
      <c r="S273" s="390" t="s">
        <v>1167</v>
      </c>
      <c r="T273" s="363" t="s">
        <v>653</v>
      </c>
      <c r="U273" s="390" t="s">
        <v>1168</v>
      </c>
      <c r="V273" s="363" t="s">
        <v>1169</v>
      </c>
      <c r="W273" s="363" t="s">
        <v>1170</v>
      </c>
      <c r="X273" s="363"/>
      <c r="Y273" s="363"/>
      <c r="Z273" s="363"/>
      <c r="AA273" s="363"/>
      <c r="AB273" s="363"/>
      <c r="AC273" s="363" t="s">
        <v>96</v>
      </c>
      <c r="AD273" s="380" t="s">
        <v>1171</v>
      </c>
      <c r="AE273" s="380" t="s">
        <v>494</v>
      </c>
      <c r="AF273" s="363" t="s">
        <v>667</v>
      </c>
    </row>
    <row r="274" spans="2:32" ht="15" customHeight="1" x14ac:dyDescent="0.3">
      <c r="B274" s="380" t="s">
        <v>14</v>
      </c>
      <c r="C274" s="409" t="s">
        <v>1172</v>
      </c>
      <c r="D274" s="423" t="s">
        <v>1016</v>
      </c>
      <c r="E274" s="419">
        <v>7100090208</v>
      </c>
      <c r="F274" s="387">
        <v>45874</v>
      </c>
      <c r="G274" s="380" t="s">
        <v>55</v>
      </c>
      <c r="H274" s="380">
        <v>1</v>
      </c>
      <c r="I274" s="388">
        <v>81000</v>
      </c>
      <c r="J274" s="380">
        <v>3</v>
      </c>
      <c r="K274" s="389">
        <f t="shared" si="12"/>
        <v>27000</v>
      </c>
      <c r="L274" s="381">
        <v>45839</v>
      </c>
      <c r="M274" s="381">
        <v>46203</v>
      </c>
      <c r="N274" s="363" t="s">
        <v>19</v>
      </c>
      <c r="O274" s="380" t="s">
        <v>9</v>
      </c>
      <c r="P274" s="380"/>
      <c r="Q274" s="390" t="s">
        <v>190</v>
      </c>
      <c r="R274" s="363" t="s">
        <v>760</v>
      </c>
      <c r="S274" s="390" t="s">
        <v>192</v>
      </c>
      <c r="T274" s="363" t="s">
        <v>1173</v>
      </c>
      <c r="U274" s="390" t="s">
        <v>194</v>
      </c>
      <c r="V274" s="363" t="s">
        <v>1855</v>
      </c>
      <c r="W274" s="363"/>
      <c r="X274" s="363"/>
      <c r="Y274" s="363"/>
      <c r="Z274" s="363"/>
      <c r="AA274" s="363"/>
      <c r="AB274" s="363"/>
      <c r="AC274" s="363" t="s">
        <v>619</v>
      </c>
      <c r="AD274" s="380" t="s">
        <v>63</v>
      </c>
      <c r="AE274" s="380">
        <v>3</v>
      </c>
      <c r="AF274" s="363" t="s">
        <v>667</v>
      </c>
    </row>
    <row r="275" spans="2:32" ht="15" hidden="1" customHeight="1" x14ac:dyDescent="0.3">
      <c r="B275" s="380" t="s">
        <v>14</v>
      </c>
      <c r="C275" s="409" t="s">
        <v>1174</v>
      </c>
      <c r="D275" s="423" t="s">
        <v>447</v>
      </c>
      <c r="E275" s="397" t="s">
        <v>1175</v>
      </c>
      <c r="F275" s="387">
        <v>45869</v>
      </c>
      <c r="G275" s="380" t="s">
        <v>55</v>
      </c>
      <c r="H275" s="380">
        <v>4</v>
      </c>
      <c r="I275" s="388">
        <v>236252</v>
      </c>
      <c r="J275" s="380">
        <v>3</v>
      </c>
      <c r="K275" s="389">
        <f t="shared" si="12"/>
        <v>78750.666666666672</v>
      </c>
      <c r="L275" s="381">
        <v>45853</v>
      </c>
      <c r="M275" s="381">
        <v>46217</v>
      </c>
      <c r="N275" s="363" t="s">
        <v>19</v>
      </c>
      <c r="O275" s="380" t="s">
        <v>11</v>
      </c>
      <c r="P275" s="380"/>
      <c r="Q275" s="390" t="s">
        <v>1176</v>
      </c>
      <c r="R275" s="363" t="s">
        <v>1177</v>
      </c>
      <c r="S275" s="390" t="s">
        <v>1178</v>
      </c>
      <c r="T275" s="363" t="s">
        <v>1179</v>
      </c>
      <c r="U275" s="390" t="s">
        <v>1180</v>
      </c>
      <c r="V275" s="363" t="s">
        <v>1843</v>
      </c>
      <c r="W275" s="363"/>
      <c r="X275" s="363"/>
      <c r="Y275" s="363"/>
      <c r="Z275" s="363"/>
      <c r="AA275" s="363"/>
      <c r="AB275" s="363"/>
      <c r="AC275" s="363" t="s">
        <v>281</v>
      </c>
      <c r="AD275" s="380" t="s">
        <v>97</v>
      </c>
      <c r="AE275" s="380">
        <v>3</v>
      </c>
      <c r="AF275" s="363" t="s">
        <v>667</v>
      </c>
    </row>
    <row r="276" spans="2:32" ht="15" hidden="1" customHeight="1" x14ac:dyDescent="0.3">
      <c r="B276" s="380" t="s">
        <v>14</v>
      </c>
      <c r="C276" s="409" t="s">
        <v>195</v>
      </c>
      <c r="D276" s="423" t="s">
        <v>447</v>
      </c>
      <c r="E276" s="397" t="s">
        <v>1181</v>
      </c>
      <c r="F276" s="387">
        <v>45868</v>
      </c>
      <c r="G276" s="380" t="s">
        <v>55</v>
      </c>
      <c r="H276" s="380">
        <v>1</v>
      </c>
      <c r="I276" s="388">
        <v>61000</v>
      </c>
      <c r="J276" s="380">
        <v>4</v>
      </c>
      <c r="K276" s="389">
        <f t="shared" si="12"/>
        <v>15250</v>
      </c>
      <c r="L276" s="381">
        <v>45874</v>
      </c>
      <c r="M276" s="381">
        <v>46238</v>
      </c>
      <c r="N276" s="363" t="s">
        <v>520</v>
      </c>
      <c r="O276" s="380" t="s">
        <v>13</v>
      </c>
      <c r="P276" s="380"/>
      <c r="Q276" s="390" t="s">
        <v>1182</v>
      </c>
      <c r="R276" s="363" t="s">
        <v>110</v>
      </c>
      <c r="S276" s="390" t="s">
        <v>1183</v>
      </c>
      <c r="T276" s="363" t="s">
        <v>270</v>
      </c>
      <c r="U276" s="390" t="s">
        <v>1184</v>
      </c>
      <c r="V276" s="363" t="s">
        <v>443</v>
      </c>
      <c r="W276" s="363" t="s">
        <v>1185</v>
      </c>
      <c r="X276" s="363"/>
      <c r="Y276" s="363"/>
      <c r="Z276" s="363"/>
      <c r="AA276" s="363"/>
      <c r="AB276" s="363"/>
      <c r="AC276" s="363" t="s">
        <v>96</v>
      </c>
      <c r="AD276" s="380" t="s">
        <v>97</v>
      </c>
      <c r="AE276" s="380" t="s">
        <v>494</v>
      </c>
      <c r="AF276" s="363" t="s">
        <v>667</v>
      </c>
    </row>
    <row r="277" spans="2:32" ht="15" hidden="1" customHeight="1" x14ac:dyDescent="0.3">
      <c r="B277" s="380" t="s">
        <v>14</v>
      </c>
      <c r="C277" s="474" t="s">
        <v>1186</v>
      </c>
      <c r="D277" s="423" t="s">
        <v>841</v>
      </c>
      <c r="E277" s="464">
        <v>470072615</v>
      </c>
      <c r="F277" s="387">
        <v>45864</v>
      </c>
      <c r="G277" s="380" t="s">
        <v>55</v>
      </c>
      <c r="H277" s="380">
        <v>2</v>
      </c>
      <c r="I277" s="388">
        <v>40000</v>
      </c>
      <c r="J277" s="380">
        <v>2</v>
      </c>
      <c r="K277" s="389">
        <f t="shared" si="12"/>
        <v>20000</v>
      </c>
      <c r="L277" s="381">
        <v>45839</v>
      </c>
      <c r="M277" s="381">
        <v>46203</v>
      </c>
      <c r="N277" s="363" t="s">
        <v>520</v>
      </c>
      <c r="O277" s="380" t="s">
        <v>13</v>
      </c>
      <c r="P277" s="380" t="s">
        <v>1</v>
      </c>
      <c r="Q277" s="390" t="s">
        <v>483</v>
      </c>
      <c r="R277" s="363" t="s">
        <v>1187</v>
      </c>
      <c r="S277" s="363" t="s">
        <v>607</v>
      </c>
      <c r="T277" s="363"/>
      <c r="U277" s="363"/>
      <c r="V277" s="363"/>
      <c r="W277" s="363"/>
      <c r="X277" s="363"/>
      <c r="Y277" s="363"/>
      <c r="Z277" s="363"/>
      <c r="AA277" s="363"/>
      <c r="AB277" s="363"/>
      <c r="AC277" s="363" t="s">
        <v>1188</v>
      </c>
      <c r="AD277" s="380" t="s">
        <v>63</v>
      </c>
      <c r="AE277" s="380"/>
      <c r="AF277" s="363"/>
    </row>
    <row r="278" spans="2:32" ht="15" hidden="1" customHeight="1" x14ac:dyDescent="0.3">
      <c r="B278" s="380" t="s">
        <v>14</v>
      </c>
      <c r="C278" s="412" t="s">
        <v>508</v>
      </c>
      <c r="D278" s="437" t="s">
        <v>866</v>
      </c>
      <c r="E278" s="475" t="s">
        <v>1189</v>
      </c>
      <c r="F278" s="415">
        <v>45873</v>
      </c>
      <c r="G278" s="380" t="s">
        <v>55</v>
      </c>
      <c r="H278" s="380">
        <v>2</v>
      </c>
      <c r="I278" s="388">
        <f>89000*2</f>
        <v>178000</v>
      </c>
      <c r="J278" s="380">
        <v>3</v>
      </c>
      <c r="K278" s="389">
        <f>I278/2</f>
        <v>89000</v>
      </c>
      <c r="L278" s="381">
        <v>45878</v>
      </c>
      <c r="M278" s="381">
        <v>46242</v>
      </c>
      <c r="N278" s="363" t="s">
        <v>520</v>
      </c>
      <c r="O278" s="380" t="s">
        <v>13</v>
      </c>
      <c r="P278" s="380"/>
      <c r="Q278" s="390" t="s">
        <v>1190</v>
      </c>
      <c r="R278" s="363" t="s">
        <v>1191</v>
      </c>
      <c r="S278" s="390" t="s">
        <v>1192</v>
      </c>
      <c r="T278" s="363" t="s">
        <v>656</v>
      </c>
      <c r="U278" s="363" t="s">
        <v>1193</v>
      </c>
      <c r="V278" s="363" t="s">
        <v>1045</v>
      </c>
      <c r="W278" s="363"/>
      <c r="X278" s="363"/>
      <c r="Y278" s="363"/>
      <c r="Z278" s="363"/>
      <c r="AA278" s="363"/>
      <c r="AB278" s="363"/>
      <c r="AC278" s="363" t="s">
        <v>96</v>
      </c>
      <c r="AD278" s="380" t="s">
        <v>97</v>
      </c>
      <c r="AE278" s="380" t="s">
        <v>494</v>
      </c>
      <c r="AF278" s="453" t="s">
        <v>1194</v>
      </c>
    </row>
    <row r="279" spans="2:32" ht="15" hidden="1" customHeight="1" x14ac:dyDescent="0.3">
      <c r="B279" s="380" t="s">
        <v>14</v>
      </c>
      <c r="C279" s="409" t="s">
        <v>1195</v>
      </c>
      <c r="D279" s="423" t="s">
        <v>1196</v>
      </c>
      <c r="E279" s="472">
        <v>4601464540</v>
      </c>
      <c r="F279" s="387">
        <v>45841</v>
      </c>
      <c r="G279" s="380" t="s">
        <v>55</v>
      </c>
      <c r="H279" s="380">
        <v>2</v>
      </c>
      <c r="I279" s="388">
        <f>81900*2</f>
        <v>163800</v>
      </c>
      <c r="J279" s="380">
        <v>3</v>
      </c>
      <c r="K279" s="389">
        <f t="shared" ref="K279:K288" si="13">I279/J279</f>
        <v>54600</v>
      </c>
      <c r="L279" s="381">
        <v>45748</v>
      </c>
      <c r="M279" s="381">
        <v>46112</v>
      </c>
      <c r="N279" s="363" t="s">
        <v>19</v>
      </c>
      <c r="O279" s="380" t="s">
        <v>3</v>
      </c>
      <c r="P279" s="380"/>
      <c r="Q279" s="390" t="s">
        <v>357</v>
      </c>
      <c r="R279" s="363" t="s">
        <v>1197</v>
      </c>
      <c r="S279" s="390" t="s">
        <v>665</v>
      </c>
      <c r="T279" s="363" t="s">
        <v>1198</v>
      </c>
      <c r="U279" s="390" t="s">
        <v>361</v>
      </c>
      <c r="V279" s="363" t="s">
        <v>899</v>
      </c>
      <c r="W279" s="363"/>
      <c r="X279" s="363"/>
      <c r="Y279" s="363"/>
      <c r="Z279" s="363"/>
      <c r="AA279" s="363"/>
      <c r="AB279" s="363"/>
      <c r="AC279" s="363" t="s">
        <v>478</v>
      </c>
      <c r="AD279" s="380" t="s">
        <v>63</v>
      </c>
      <c r="AE279" s="380">
        <v>3</v>
      </c>
      <c r="AF279" s="363" t="s">
        <v>667</v>
      </c>
    </row>
    <row r="280" spans="2:32" ht="15" hidden="1" customHeight="1" x14ac:dyDescent="0.3">
      <c r="B280" s="380" t="s">
        <v>14</v>
      </c>
      <c r="C280" s="409" t="s">
        <v>1199</v>
      </c>
      <c r="D280" s="434" t="s">
        <v>151</v>
      </c>
      <c r="E280" s="380">
        <v>66981</v>
      </c>
      <c r="F280" s="387">
        <v>45881</v>
      </c>
      <c r="G280" s="380" t="s">
        <v>55</v>
      </c>
      <c r="H280" s="380">
        <v>2</v>
      </c>
      <c r="I280" s="388">
        <v>130000</v>
      </c>
      <c r="J280" s="380">
        <v>2</v>
      </c>
      <c r="K280" s="389">
        <f t="shared" si="13"/>
        <v>65000</v>
      </c>
      <c r="L280" s="381">
        <v>45839</v>
      </c>
      <c r="M280" s="381">
        <v>46203</v>
      </c>
      <c r="N280" s="363" t="s">
        <v>520</v>
      </c>
      <c r="O280" s="380" t="s">
        <v>13</v>
      </c>
      <c r="P280" s="380"/>
      <c r="Q280" s="390" t="s">
        <v>483</v>
      </c>
      <c r="R280" s="363" t="s">
        <v>1034</v>
      </c>
      <c r="S280" s="363" t="s">
        <v>607</v>
      </c>
      <c r="T280" s="363"/>
      <c r="U280" s="363"/>
      <c r="V280" s="363"/>
      <c r="W280" s="363"/>
      <c r="X280" s="363"/>
      <c r="Y280" s="363"/>
      <c r="Z280" s="363"/>
      <c r="AA280" s="363"/>
      <c r="AB280" s="363"/>
      <c r="AC280" s="363" t="s">
        <v>478</v>
      </c>
      <c r="AD280" s="380" t="s">
        <v>63</v>
      </c>
      <c r="AE280" s="380">
        <v>3</v>
      </c>
      <c r="AF280" s="363" t="s">
        <v>667</v>
      </c>
    </row>
    <row r="281" spans="2:32" ht="15" customHeight="1" x14ac:dyDescent="0.3">
      <c r="B281" s="380" t="s">
        <v>14</v>
      </c>
      <c r="C281" s="409" t="s">
        <v>663</v>
      </c>
      <c r="D281" s="423" t="s">
        <v>1016</v>
      </c>
      <c r="E281" s="419">
        <v>4507651363</v>
      </c>
      <c r="F281" s="387">
        <v>45883</v>
      </c>
      <c r="G281" s="380" t="s">
        <v>55</v>
      </c>
      <c r="H281" s="380">
        <v>5</v>
      </c>
      <c r="I281" s="388">
        <f>462000-77000</f>
        <v>385000</v>
      </c>
      <c r="J281" s="380">
        <v>3</v>
      </c>
      <c r="K281" s="389">
        <f t="shared" si="13"/>
        <v>128333.33333333333</v>
      </c>
      <c r="L281" s="381">
        <v>45839</v>
      </c>
      <c r="M281" s="381">
        <v>46203</v>
      </c>
      <c r="N281" s="363" t="s">
        <v>19</v>
      </c>
      <c r="O281" s="380" t="s">
        <v>9</v>
      </c>
      <c r="P281" s="380"/>
      <c r="Q281" s="390" t="s">
        <v>190</v>
      </c>
      <c r="R281" s="363" t="s">
        <v>1026</v>
      </c>
      <c r="S281" s="390" t="s">
        <v>192</v>
      </c>
      <c r="T281" s="363" t="s">
        <v>193</v>
      </c>
      <c r="U281" s="390" t="s">
        <v>1200</v>
      </c>
      <c r="V281" s="363" t="s">
        <v>1843</v>
      </c>
      <c r="W281" s="363"/>
      <c r="X281" s="363"/>
      <c r="Y281" s="363"/>
      <c r="Z281" s="363"/>
      <c r="AA281" s="363"/>
      <c r="AB281" s="363"/>
      <c r="AC281" s="363" t="s">
        <v>619</v>
      </c>
      <c r="AD281" s="380" t="s">
        <v>63</v>
      </c>
      <c r="AE281" s="380">
        <v>3</v>
      </c>
      <c r="AF281" s="363" t="s">
        <v>667</v>
      </c>
    </row>
    <row r="282" spans="2:32" ht="15" customHeight="1" x14ac:dyDescent="0.3">
      <c r="B282" s="380" t="s">
        <v>14</v>
      </c>
      <c r="C282" s="409" t="s">
        <v>663</v>
      </c>
      <c r="D282" s="423" t="s">
        <v>1016</v>
      </c>
      <c r="E282" s="419">
        <v>4507651363</v>
      </c>
      <c r="F282" s="387">
        <v>45883</v>
      </c>
      <c r="G282" s="380" t="s">
        <v>55</v>
      </c>
      <c r="H282" s="380">
        <v>1</v>
      </c>
      <c r="I282" s="388">
        <v>77000</v>
      </c>
      <c r="J282" s="380">
        <v>2</v>
      </c>
      <c r="K282" s="389">
        <f t="shared" si="13"/>
        <v>38500</v>
      </c>
      <c r="L282" s="381">
        <v>45839</v>
      </c>
      <c r="M282" s="381">
        <v>46203</v>
      </c>
      <c r="N282" s="363" t="s">
        <v>19</v>
      </c>
      <c r="O282" s="380" t="s">
        <v>9</v>
      </c>
      <c r="P282" s="380"/>
      <c r="Q282" s="390" t="s">
        <v>483</v>
      </c>
      <c r="R282" s="363" t="s">
        <v>1026</v>
      </c>
      <c r="S282" s="390" t="s">
        <v>607</v>
      </c>
      <c r="T282" s="363" t="s">
        <v>193</v>
      </c>
      <c r="U282" s="363"/>
      <c r="V282" s="363"/>
      <c r="W282" s="363"/>
      <c r="X282" s="363"/>
      <c r="Y282" s="363"/>
      <c r="Z282" s="363"/>
      <c r="AA282" s="363"/>
      <c r="AB282" s="363"/>
      <c r="AC282" s="363" t="s">
        <v>619</v>
      </c>
      <c r="AD282" s="380" t="s">
        <v>63</v>
      </c>
      <c r="AE282" s="380">
        <v>3</v>
      </c>
      <c r="AF282" s="363" t="s">
        <v>667</v>
      </c>
    </row>
    <row r="283" spans="2:32" ht="15" hidden="1" customHeight="1" x14ac:dyDescent="0.3">
      <c r="B283" s="380" t="s">
        <v>14</v>
      </c>
      <c r="C283" s="409" t="s">
        <v>655</v>
      </c>
      <c r="D283" s="423" t="s">
        <v>151</v>
      </c>
      <c r="E283" s="464">
        <v>2009800</v>
      </c>
      <c r="F283" s="387">
        <v>45874</v>
      </c>
      <c r="G283" s="380" t="s">
        <v>55</v>
      </c>
      <c r="H283" s="380">
        <v>1</v>
      </c>
      <c r="I283" s="388">
        <v>40000</v>
      </c>
      <c r="J283" s="380">
        <v>2</v>
      </c>
      <c r="K283" s="389">
        <f t="shared" si="13"/>
        <v>20000</v>
      </c>
      <c r="L283" s="381">
        <v>45874</v>
      </c>
      <c r="M283" s="381">
        <v>46238</v>
      </c>
      <c r="N283" s="363" t="s">
        <v>520</v>
      </c>
      <c r="O283" s="380" t="s">
        <v>13</v>
      </c>
      <c r="P283" s="380" t="s">
        <v>1</v>
      </c>
      <c r="Q283" s="390" t="s">
        <v>1201</v>
      </c>
      <c r="R283" s="363" t="s">
        <v>556</v>
      </c>
      <c r="S283" s="363" t="s">
        <v>1202</v>
      </c>
      <c r="T283" s="363"/>
      <c r="U283" s="363"/>
      <c r="V283" s="363"/>
      <c r="W283" s="363"/>
      <c r="X283" s="363"/>
      <c r="Y283" s="363"/>
      <c r="Z283" s="363"/>
      <c r="AA283" s="363"/>
      <c r="AB283" s="363"/>
      <c r="AC283" s="363" t="s">
        <v>1188</v>
      </c>
      <c r="AD283" s="380" t="s">
        <v>63</v>
      </c>
      <c r="AE283" s="380"/>
      <c r="AF283" s="363"/>
    </row>
    <row r="284" spans="2:32" ht="15" customHeight="1" x14ac:dyDescent="0.3">
      <c r="B284" s="380" t="s">
        <v>14</v>
      </c>
      <c r="C284" s="409" t="s">
        <v>1203</v>
      </c>
      <c r="D284" s="423" t="s">
        <v>997</v>
      </c>
      <c r="E284" s="464" t="s">
        <v>1204</v>
      </c>
      <c r="F284" s="387">
        <v>45882</v>
      </c>
      <c r="G284" s="380" t="s">
        <v>55</v>
      </c>
      <c r="H284" s="380">
        <v>1</v>
      </c>
      <c r="I284" s="388">
        <v>84000</v>
      </c>
      <c r="J284" s="380">
        <v>3</v>
      </c>
      <c r="K284" s="389">
        <f t="shared" si="13"/>
        <v>28000</v>
      </c>
      <c r="L284" s="381">
        <v>45839</v>
      </c>
      <c r="M284" s="381">
        <v>46203</v>
      </c>
      <c r="N284" s="363" t="s">
        <v>19</v>
      </c>
      <c r="O284" s="380" t="s">
        <v>9</v>
      </c>
      <c r="P284" s="380"/>
      <c r="Q284" s="390" t="s">
        <v>190</v>
      </c>
      <c r="R284" s="363" t="s">
        <v>807</v>
      </c>
      <c r="S284" s="390" t="s">
        <v>192</v>
      </c>
      <c r="T284" s="363" t="s">
        <v>1205</v>
      </c>
      <c r="U284" s="390" t="s">
        <v>1200</v>
      </c>
      <c r="V284" s="363" t="s">
        <v>1721</v>
      </c>
      <c r="W284" s="363"/>
      <c r="X284" s="363"/>
      <c r="Y284" s="363"/>
      <c r="Z284" s="363"/>
      <c r="AA284" s="363"/>
      <c r="AB284" s="363"/>
      <c r="AC284" s="363" t="s">
        <v>96</v>
      </c>
      <c r="AD284" s="380" t="s">
        <v>97</v>
      </c>
      <c r="AE284" s="380" t="s">
        <v>494</v>
      </c>
      <c r="AF284" s="363" t="s">
        <v>667</v>
      </c>
    </row>
    <row r="285" spans="2:32" ht="15" customHeight="1" x14ac:dyDescent="0.3">
      <c r="B285" s="380" t="s">
        <v>14</v>
      </c>
      <c r="C285" s="409" t="s">
        <v>1206</v>
      </c>
      <c r="D285" s="423" t="s">
        <v>1207</v>
      </c>
      <c r="E285" s="419">
        <v>401230020</v>
      </c>
      <c r="F285" s="387">
        <v>45878</v>
      </c>
      <c r="G285" s="380" t="s">
        <v>55</v>
      </c>
      <c r="H285" s="380">
        <v>1</v>
      </c>
      <c r="I285" s="388">
        <v>76000</v>
      </c>
      <c r="J285" s="380">
        <v>2</v>
      </c>
      <c r="K285" s="389">
        <f t="shared" si="13"/>
        <v>38000</v>
      </c>
      <c r="L285" s="381">
        <v>45839</v>
      </c>
      <c r="M285" s="381">
        <v>46203</v>
      </c>
      <c r="N285" s="363" t="s">
        <v>19</v>
      </c>
      <c r="O285" s="380" t="s">
        <v>9</v>
      </c>
      <c r="P285" s="380"/>
      <c r="Q285" s="390" t="s">
        <v>483</v>
      </c>
      <c r="R285" s="363" t="s">
        <v>1208</v>
      </c>
      <c r="S285" s="390" t="s">
        <v>607</v>
      </c>
      <c r="T285" s="363" t="s">
        <v>1844</v>
      </c>
      <c r="U285" s="363"/>
      <c r="V285" s="363"/>
      <c r="W285" s="363"/>
      <c r="X285" s="363"/>
      <c r="Y285" s="363"/>
      <c r="Z285" s="363"/>
      <c r="AA285" s="363"/>
      <c r="AB285" s="363"/>
      <c r="AC285" s="363" t="s">
        <v>96</v>
      </c>
      <c r="AD285" s="380" t="s">
        <v>97</v>
      </c>
      <c r="AE285" s="380"/>
      <c r="AF285" s="363" t="s">
        <v>667</v>
      </c>
    </row>
    <row r="286" spans="2:32" ht="15" customHeight="1" x14ac:dyDescent="0.3">
      <c r="B286" s="380" t="s">
        <v>14</v>
      </c>
      <c r="C286" s="409" t="s">
        <v>1206</v>
      </c>
      <c r="D286" s="423" t="s">
        <v>1207</v>
      </c>
      <c r="E286" s="419">
        <v>401230026</v>
      </c>
      <c r="F286" s="387">
        <v>45878</v>
      </c>
      <c r="G286" s="380" t="s">
        <v>55</v>
      </c>
      <c r="H286" s="380">
        <v>4</v>
      </c>
      <c r="I286" s="388">
        <f>76000*4</f>
        <v>304000</v>
      </c>
      <c r="J286" s="380">
        <v>2</v>
      </c>
      <c r="K286" s="389">
        <f t="shared" si="13"/>
        <v>152000</v>
      </c>
      <c r="L286" s="381">
        <v>45839</v>
      </c>
      <c r="M286" s="381">
        <v>46203</v>
      </c>
      <c r="N286" s="363" t="s">
        <v>19</v>
      </c>
      <c r="O286" s="380" t="s">
        <v>9</v>
      </c>
      <c r="P286" s="380"/>
      <c r="Q286" s="390" t="s">
        <v>483</v>
      </c>
      <c r="R286" s="363" t="s">
        <v>147</v>
      </c>
      <c r="S286" s="390" t="s">
        <v>607</v>
      </c>
      <c r="T286" s="363" t="s">
        <v>1850</v>
      </c>
      <c r="U286" s="363"/>
      <c r="V286" s="363"/>
      <c r="W286" s="363"/>
      <c r="X286" s="363"/>
      <c r="Y286" s="363"/>
      <c r="Z286" s="363"/>
      <c r="AA286" s="363"/>
      <c r="AB286" s="363"/>
      <c r="AC286" s="363" t="s">
        <v>96</v>
      </c>
      <c r="AD286" s="380" t="s">
        <v>97</v>
      </c>
      <c r="AE286" s="380"/>
      <c r="AF286" s="363" t="s">
        <v>667</v>
      </c>
    </row>
    <row r="287" spans="2:32" ht="15" hidden="1" customHeight="1" x14ac:dyDescent="0.3">
      <c r="B287" s="380" t="s">
        <v>14</v>
      </c>
      <c r="C287" s="449" t="s">
        <v>948</v>
      </c>
      <c r="D287" s="450" t="s">
        <v>987</v>
      </c>
      <c r="E287" s="451">
        <v>931669</v>
      </c>
      <c r="F287" s="387">
        <v>45871</v>
      </c>
      <c r="G287" s="380" t="s">
        <v>55</v>
      </c>
      <c r="H287" s="380">
        <v>1</v>
      </c>
      <c r="I287" s="388">
        <v>18620</v>
      </c>
      <c r="J287" s="380">
        <v>1</v>
      </c>
      <c r="K287" s="389">
        <f t="shared" si="13"/>
        <v>18620</v>
      </c>
      <c r="L287" s="381">
        <v>45839</v>
      </c>
      <c r="M287" s="381">
        <v>45930</v>
      </c>
      <c r="N287" s="363" t="s">
        <v>19</v>
      </c>
      <c r="O287" s="380">
        <v>2025</v>
      </c>
      <c r="P287" s="380"/>
      <c r="Q287" s="390" t="s">
        <v>168</v>
      </c>
      <c r="R287" s="363" t="s">
        <v>1210</v>
      </c>
      <c r="S287" s="363"/>
      <c r="T287" s="363"/>
      <c r="U287" s="363"/>
      <c r="V287" s="363"/>
      <c r="W287" s="363"/>
      <c r="X287" s="363"/>
      <c r="Y287" s="363"/>
      <c r="Z287" s="363"/>
      <c r="AA287" s="363"/>
      <c r="AB287" s="363"/>
      <c r="AC287" s="363" t="s">
        <v>551</v>
      </c>
      <c r="AD287" s="380" t="s">
        <v>207</v>
      </c>
      <c r="AE287" s="380">
        <v>0</v>
      </c>
      <c r="AF287" s="363"/>
    </row>
    <row r="288" spans="2:32" ht="15" hidden="1" customHeight="1" x14ac:dyDescent="0.3">
      <c r="B288" s="380" t="s">
        <v>14</v>
      </c>
      <c r="C288" s="430" t="s">
        <v>1211</v>
      </c>
      <c r="D288" s="445" t="s">
        <v>906</v>
      </c>
      <c r="E288" s="419">
        <v>4800001110</v>
      </c>
      <c r="F288" s="387">
        <v>45887</v>
      </c>
      <c r="G288" s="407" t="s">
        <v>703</v>
      </c>
      <c r="H288" s="380">
        <v>1</v>
      </c>
      <c r="I288" s="388">
        <v>356250</v>
      </c>
      <c r="J288" s="380">
        <v>3</v>
      </c>
      <c r="K288" s="389">
        <f t="shared" si="13"/>
        <v>118750</v>
      </c>
      <c r="L288" s="381">
        <v>45958</v>
      </c>
      <c r="M288" s="381">
        <v>46322</v>
      </c>
      <c r="N288" s="363" t="s">
        <v>520</v>
      </c>
      <c r="O288" s="380" t="s">
        <v>13</v>
      </c>
      <c r="P288" s="380"/>
      <c r="Q288" s="390" t="s">
        <v>1212</v>
      </c>
      <c r="R288" s="363" t="s">
        <v>653</v>
      </c>
      <c r="S288" s="390" t="s">
        <v>1213</v>
      </c>
      <c r="T288" s="363" t="s">
        <v>1722</v>
      </c>
      <c r="U288" s="363" t="s">
        <v>1214</v>
      </c>
      <c r="V288" s="363"/>
      <c r="W288" s="363"/>
      <c r="X288" s="363"/>
      <c r="Y288" s="363"/>
      <c r="Z288" s="363"/>
      <c r="AA288" s="363"/>
      <c r="AB288" s="363"/>
      <c r="AC288" s="363" t="s">
        <v>834</v>
      </c>
      <c r="AD288" s="380" t="s">
        <v>207</v>
      </c>
      <c r="AE288" s="380" t="s">
        <v>494</v>
      </c>
      <c r="AF288" s="363" t="s">
        <v>1215</v>
      </c>
    </row>
    <row r="289" spans="2:32" ht="15" hidden="1" customHeight="1" x14ac:dyDescent="0.3">
      <c r="B289" s="380" t="s">
        <v>14</v>
      </c>
      <c r="C289" s="443" t="s">
        <v>1216</v>
      </c>
      <c r="D289" s="444" t="s">
        <v>176</v>
      </c>
      <c r="E289" s="426">
        <v>1500003169</v>
      </c>
      <c r="F289" s="415">
        <v>45860</v>
      </c>
      <c r="G289" s="380" t="s">
        <v>55</v>
      </c>
      <c r="H289" s="380">
        <v>1</v>
      </c>
      <c r="I289" s="388">
        <v>98900</v>
      </c>
      <c r="J289" s="380">
        <v>3</v>
      </c>
      <c r="K289" s="389"/>
      <c r="L289" s="381">
        <v>45853</v>
      </c>
      <c r="M289" s="381">
        <v>46217</v>
      </c>
      <c r="N289" s="363" t="s">
        <v>19</v>
      </c>
      <c r="O289" s="380" t="s">
        <v>11</v>
      </c>
      <c r="P289" s="380" t="s">
        <v>1</v>
      </c>
      <c r="Q289" s="390" t="s">
        <v>1176</v>
      </c>
      <c r="R289" s="363" t="s">
        <v>1217</v>
      </c>
      <c r="S289" s="390" t="s">
        <v>1178</v>
      </c>
      <c r="T289" s="363" t="s">
        <v>1100</v>
      </c>
      <c r="U289" s="390" t="s">
        <v>1180</v>
      </c>
      <c r="V289" s="363" t="s">
        <v>1715</v>
      </c>
      <c r="W289" s="363"/>
      <c r="X289" s="363"/>
      <c r="Y289" s="363"/>
      <c r="Z289" s="363"/>
      <c r="AA289" s="363"/>
      <c r="AB289" s="363"/>
      <c r="AC289" s="363" t="s">
        <v>183</v>
      </c>
      <c r="AD289" s="380" t="s">
        <v>97</v>
      </c>
      <c r="AE289" s="380">
        <v>2</v>
      </c>
      <c r="AF289" s="363" t="s">
        <v>1218</v>
      </c>
    </row>
    <row r="290" spans="2:32" ht="15" hidden="1" customHeight="1" x14ac:dyDescent="0.3">
      <c r="B290" s="380" t="s">
        <v>14</v>
      </c>
      <c r="C290" s="443" t="s">
        <v>779</v>
      </c>
      <c r="D290" s="444" t="s">
        <v>558</v>
      </c>
      <c r="E290" s="426">
        <v>2500252147</v>
      </c>
      <c r="F290" s="387">
        <v>45883</v>
      </c>
      <c r="G290" s="380" t="s">
        <v>55</v>
      </c>
      <c r="H290" s="380">
        <v>1</v>
      </c>
      <c r="I290" s="388">
        <v>148435</v>
      </c>
      <c r="J290" s="380">
        <v>3</v>
      </c>
      <c r="K290" s="389">
        <f t="shared" ref="K290:K324" si="14">I290/J290</f>
        <v>49478.333333333336</v>
      </c>
      <c r="L290" s="381">
        <v>45870</v>
      </c>
      <c r="M290" s="381">
        <v>46234</v>
      </c>
      <c r="N290" s="363" t="s">
        <v>520</v>
      </c>
      <c r="O290" s="380" t="s">
        <v>13</v>
      </c>
      <c r="P290" s="380" t="s">
        <v>1</v>
      </c>
      <c r="Q290" s="390" t="s">
        <v>665</v>
      </c>
      <c r="R290" s="363" t="s">
        <v>1219</v>
      </c>
      <c r="S290" s="390" t="s">
        <v>361</v>
      </c>
      <c r="T290" s="363" t="s">
        <v>597</v>
      </c>
      <c r="U290" s="363" t="s">
        <v>1080</v>
      </c>
      <c r="V290" s="363"/>
      <c r="W290" s="363"/>
      <c r="X290" s="363"/>
      <c r="Y290" s="363"/>
      <c r="Z290" s="363"/>
      <c r="AA290" s="363"/>
      <c r="AB290" s="363"/>
      <c r="AC290" s="363" t="s">
        <v>281</v>
      </c>
      <c r="AD290" s="380" t="s">
        <v>97</v>
      </c>
      <c r="AE290" s="380">
        <v>3</v>
      </c>
      <c r="AF290" s="446">
        <v>1</v>
      </c>
    </row>
    <row r="291" spans="2:32" ht="15" customHeight="1" x14ac:dyDescent="0.3">
      <c r="B291" s="380" t="s">
        <v>14</v>
      </c>
      <c r="C291" s="430" t="s">
        <v>1172</v>
      </c>
      <c r="D291" s="445" t="s">
        <v>1016</v>
      </c>
      <c r="E291" s="419">
        <v>7100081242</v>
      </c>
      <c r="F291" s="387">
        <v>45895</v>
      </c>
      <c r="G291" s="380" t="s">
        <v>55</v>
      </c>
      <c r="H291" s="380">
        <v>1</v>
      </c>
      <c r="I291" s="388">
        <v>81000</v>
      </c>
      <c r="J291" s="380">
        <v>3</v>
      </c>
      <c r="K291" s="391">
        <f t="shared" si="14"/>
        <v>27000</v>
      </c>
      <c r="L291" s="381">
        <v>45809</v>
      </c>
      <c r="M291" s="381">
        <v>46173</v>
      </c>
      <c r="N291" s="363" t="s">
        <v>19</v>
      </c>
      <c r="O291" s="380" t="s">
        <v>9</v>
      </c>
      <c r="P291" s="380"/>
      <c r="Q291" s="390" t="s">
        <v>81</v>
      </c>
      <c r="R291" s="363" t="s">
        <v>82</v>
      </c>
      <c r="S291" s="390" t="s">
        <v>83</v>
      </c>
      <c r="T291" s="363" t="s">
        <v>1056</v>
      </c>
      <c r="U291" s="390" t="s">
        <v>404</v>
      </c>
      <c r="V291" s="363" t="s">
        <v>1847</v>
      </c>
      <c r="W291" s="363"/>
      <c r="X291" s="363"/>
      <c r="Y291" s="363"/>
      <c r="Z291" s="363"/>
      <c r="AA291" s="363"/>
      <c r="AB291" s="363"/>
      <c r="AC291" s="363" t="s">
        <v>1220</v>
      </c>
      <c r="AD291" s="380" t="s">
        <v>63</v>
      </c>
      <c r="AE291" s="380">
        <v>3</v>
      </c>
      <c r="AF291" s="363" t="s">
        <v>667</v>
      </c>
    </row>
    <row r="292" spans="2:32" ht="15" hidden="1" customHeight="1" x14ac:dyDescent="0.3">
      <c r="B292" s="380" t="s">
        <v>14</v>
      </c>
      <c r="C292" s="409" t="s">
        <v>1221</v>
      </c>
      <c r="D292" s="423" t="s">
        <v>1159</v>
      </c>
      <c r="E292" s="419">
        <v>3300005366</v>
      </c>
      <c r="F292" s="387">
        <v>45881</v>
      </c>
      <c r="G292" s="380" t="s">
        <v>55</v>
      </c>
      <c r="H292" s="380">
        <v>7</v>
      </c>
      <c r="I292" s="388">
        <v>418222</v>
      </c>
      <c r="J292" s="380">
        <v>2</v>
      </c>
      <c r="K292" s="389">
        <f t="shared" si="14"/>
        <v>209111</v>
      </c>
      <c r="L292" s="381">
        <v>45870</v>
      </c>
      <c r="M292" s="381">
        <v>46234</v>
      </c>
      <c r="N292" s="363" t="s">
        <v>520</v>
      </c>
      <c r="O292" s="380" t="s">
        <v>13</v>
      </c>
      <c r="P292" s="380"/>
      <c r="Q292" s="390" t="s">
        <v>424</v>
      </c>
      <c r="R292" s="363" t="s">
        <v>443</v>
      </c>
      <c r="S292" s="363" t="s">
        <v>426</v>
      </c>
      <c r="T292" s="363"/>
      <c r="U292" s="363"/>
      <c r="V292" s="363"/>
      <c r="W292" s="363"/>
      <c r="X292" s="363"/>
      <c r="Y292" s="363"/>
      <c r="Z292" s="363"/>
      <c r="AA292" s="363"/>
      <c r="AB292" s="363"/>
      <c r="AC292" s="363" t="s">
        <v>507</v>
      </c>
      <c r="AD292" s="380" t="s">
        <v>63</v>
      </c>
      <c r="AE292" s="380">
        <v>2</v>
      </c>
      <c r="AF292" s="363" t="s">
        <v>667</v>
      </c>
    </row>
    <row r="293" spans="2:32" ht="15" hidden="1" customHeight="1" x14ac:dyDescent="0.3">
      <c r="B293" s="380" t="s">
        <v>14</v>
      </c>
      <c r="C293" s="409" t="s">
        <v>1222</v>
      </c>
      <c r="D293" s="423" t="s">
        <v>1223</v>
      </c>
      <c r="E293" s="464" t="s">
        <v>1224</v>
      </c>
      <c r="F293" s="387">
        <v>45897</v>
      </c>
      <c r="G293" s="380" t="s">
        <v>55</v>
      </c>
      <c r="H293" s="380">
        <v>1</v>
      </c>
      <c r="I293" s="388">
        <v>85500</v>
      </c>
      <c r="J293" s="380">
        <v>3</v>
      </c>
      <c r="K293" s="389">
        <f t="shared" si="14"/>
        <v>28500</v>
      </c>
      <c r="L293" s="381">
        <v>45748</v>
      </c>
      <c r="M293" s="381">
        <v>46112</v>
      </c>
      <c r="N293" s="363" t="s">
        <v>19</v>
      </c>
      <c r="O293" s="380" t="s">
        <v>5</v>
      </c>
      <c r="P293" s="380"/>
      <c r="Q293" s="390" t="s">
        <v>357</v>
      </c>
      <c r="R293" s="363" t="s">
        <v>753</v>
      </c>
      <c r="S293" s="390" t="s">
        <v>665</v>
      </c>
      <c r="T293" s="363" t="s">
        <v>944</v>
      </c>
      <c r="U293" s="390" t="s">
        <v>361</v>
      </c>
      <c r="V293" s="363" t="s">
        <v>556</v>
      </c>
      <c r="W293" s="363"/>
      <c r="X293" s="363"/>
      <c r="Y293" s="363"/>
      <c r="Z293" s="363"/>
      <c r="AA293" s="363"/>
      <c r="AB293" s="363"/>
      <c r="AC293" s="363" t="s">
        <v>507</v>
      </c>
      <c r="AD293" s="380" t="s">
        <v>63</v>
      </c>
      <c r="AE293" s="380">
        <v>3</v>
      </c>
      <c r="AF293" s="363" t="s">
        <v>667</v>
      </c>
    </row>
    <row r="294" spans="2:32" ht="15" hidden="1" customHeight="1" x14ac:dyDescent="0.3">
      <c r="B294" s="380" t="s">
        <v>14</v>
      </c>
      <c r="C294" s="423" t="s">
        <v>1225</v>
      </c>
      <c r="D294" s="434" t="s">
        <v>1031</v>
      </c>
      <c r="E294" s="419">
        <v>4513032914</v>
      </c>
      <c r="F294" s="387">
        <v>45895</v>
      </c>
      <c r="G294" s="380" t="s">
        <v>55</v>
      </c>
      <c r="H294" s="380">
        <v>11</v>
      </c>
      <c r="I294" s="388">
        <v>506000</v>
      </c>
      <c r="J294" s="380">
        <v>3</v>
      </c>
      <c r="K294" s="389">
        <f t="shared" si="14"/>
        <v>168666.66666666666</v>
      </c>
      <c r="L294" s="381">
        <v>45870</v>
      </c>
      <c r="M294" s="381">
        <v>46234</v>
      </c>
      <c r="N294" s="363" t="s">
        <v>520</v>
      </c>
      <c r="O294" s="380" t="s">
        <v>13</v>
      </c>
      <c r="P294" s="380"/>
      <c r="Q294" s="390" t="s">
        <v>665</v>
      </c>
      <c r="R294" s="363" t="s">
        <v>1217</v>
      </c>
      <c r="S294" s="390" t="s">
        <v>361</v>
      </c>
      <c r="T294" s="363" t="s">
        <v>1226</v>
      </c>
      <c r="U294" s="363" t="s">
        <v>1080</v>
      </c>
      <c r="V294" s="363"/>
      <c r="W294" s="363"/>
      <c r="X294" s="363"/>
      <c r="Y294" s="363"/>
      <c r="Z294" s="363"/>
      <c r="AA294" s="363"/>
      <c r="AB294" s="363"/>
      <c r="AC294" s="363" t="s">
        <v>478</v>
      </c>
      <c r="AD294" s="380" t="s">
        <v>63</v>
      </c>
      <c r="AE294" s="380">
        <v>5</v>
      </c>
      <c r="AF294" s="363" t="s">
        <v>667</v>
      </c>
    </row>
    <row r="295" spans="2:32" ht="15" hidden="1" customHeight="1" x14ac:dyDescent="0.3">
      <c r="B295" s="380" t="s">
        <v>14</v>
      </c>
      <c r="C295" s="423" t="s">
        <v>663</v>
      </c>
      <c r="D295" s="434" t="s">
        <v>1227</v>
      </c>
      <c r="E295" s="419">
        <v>4507666140</v>
      </c>
      <c r="F295" s="387">
        <v>45895</v>
      </c>
      <c r="G295" s="380" t="s">
        <v>55</v>
      </c>
      <c r="H295" s="380">
        <v>6</v>
      </c>
      <c r="I295" s="388">
        <v>540000</v>
      </c>
      <c r="J295" s="380">
        <v>3</v>
      </c>
      <c r="K295" s="389">
        <f t="shared" si="14"/>
        <v>180000</v>
      </c>
      <c r="L295" s="381">
        <v>45839</v>
      </c>
      <c r="M295" s="381">
        <v>46203</v>
      </c>
      <c r="N295" s="363" t="s">
        <v>520</v>
      </c>
      <c r="O295" s="380" t="s">
        <v>13</v>
      </c>
      <c r="P295" s="380"/>
      <c r="Q295" s="390" t="s">
        <v>190</v>
      </c>
      <c r="R295" s="363" t="s">
        <v>707</v>
      </c>
      <c r="S295" s="390" t="s">
        <v>192</v>
      </c>
      <c r="T295" s="363" t="s">
        <v>1228</v>
      </c>
      <c r="U295" s="363" t="s">
        <v>194</v>
      </c>
      <c r="V295" s="363"/>
      <c r="W295" s="363"/>
      <c r="X295" s="363"/>
      <c r="Y295" s="363"/>
      <c r="Z295" s="363"/>
      <c r="AA295" s="363"/>
      <c r="AB295" s="363"/>
      <c r="AC295" s="363" t="s">
        <v>478</v>
      </c>
      <c r="AD295" s="380" t="s">
        <v>63</v>
      </c>
      <c r="AE295" s="380">
        <v>3</v>
      </c>
      <c r="AF295" s="363" t="s">
        <v>667</v>
      </c>
    </row>
    <row r="296" spans="2:32" ht="15" hidden="1" customHeight="1" x14ac:dyDescent="0.3">
      <c r="B296" s="380" t="s">
        <v>14</v>
      </c>
      <c r="C296" s="423" t="s">
        <v>1229</v>
      </c>
      <c r="D296" s="423" t="s">
        <v>1230</v>
      </c>
      <c r="E296" s="419">
        <v>5500011884</v>
      </c>
      <c r="F296" s="387">
        <v>45898</v>
      </c>
      <c r="G296" s="380" t="s">
        <v>55</v>
      </c>
      <c r="H296" s="380">
        <v>1</v>
      </c>
      <c r="I296" s="388">
        <v>84000</v>
      </c>
      <c r="J296" s="380">
        <v>3</v>
      </c>
      <c r="K296" s="389">
        <f t="shared" si="14"/>
        <v>28000</v>
      </c>
      <c r="L296" s="381">
        <v>45901</v>
      </c>
      <c r="M296" s="381">
        <v>46265</v>
      </c>
      <c r="N296" s="363" t="s">
        <v>520</v>
      </c>
      <c r="O296" s="380" t="s">
        <v>1231</v>
      </c>
      <c r="P296" s="380"/>
      <c r="Q296" s="390" t="s">
        <v>345</v>
      </c>
      <c r="R296" s="363" t="s">
        <v>673</v>
      </c>
      <c r="S296" s="390" t="s">
        <v>347</v>
      </c>
      <c r="T296" s="363" t="s">
        <v>1232</v>
      </c>
      <c r="U296" s="363" t="s">
        <v>348</v>
      </c>
      <c r="V296" s="363"/>
      <c r="W296" s="363"/>
      <c r="X296" s="363"/>
      <c r="Y296" s="363"/>
      <c r="Z296" s="363"/>
      <c r="AA296" s="363"/>
      <c r="AB296" s="363"/>
      <c r="AC296" s="363" t="s">
        <v>96</v>
      </c>
      <c r="AD296" s="380" t="s">
        <v>97</v>
      </c>
      <c r="AE296" s="380">
        <v>2</v>
      </c>
      <c r="AF296" s="363" t="s">
        <v>667</v>
      </c>
    </row>
    <row r="297" spans="2:32" ht="15" hidden="1" customHeight="1" x14ac:dyDescent="0.3">
      <c r="B297" s="380" t="s">
        <v>14</v>
      </c>
      <c r="C297" s="429" t="s">
        <v>1233</v>
      </c>
      <c r="D297" s="434" t="s">
        <v>131</v>
      </c>
      <c r="E297" s="419" t="s">
        <v>1234</v>
      </c>
      <c r="F297" s="387">
        <v>45901</v>
      </c>
      <c r="G297" s="380" t="s">
        <v>55</v>
      </c>
      <c r="H297" s="380">
        <v>1</v>
      </c>
      <c r="I297" s="388">
        <v>84000</v>
      </c>
      <c r="J297" s="380">
        <v>2</v>
      </c>
      <c r="K297" s="389">
        <f t="shared" si="14"/>
        <v>42000</v>
      </c>
      <c r="L297" s="381">
        <v>45901</v>
      </c>
      <c r="M297" s="381">
        <v>46265</v>
      </c>
      <c r="N297" s="363" t="s">
        <v>520</v>
      </c>
      <c r="O297" s="380" t="s">
        <v>1231</v>
      </c>
      <c r="P297" s="380"/>
      <c r="Q297" s="390" t="s">
        <v>625</v>
      </c>
      <c r="R297" s="363" t="s">
        <v>854</v>
      </c>
      <c r="S297" s="363" t="s">
        <v>1235</v>
      </c>
      <c r="T297" s="363"/>
      <c r="U297" s="363"/>
      <c r="V297" s="363"/>
      <c r="W297" s="363"/>
      <c r="X297" s="363"/>
      <c r="Y297" s="363"/>
      <c r="Z297" s="363"/>
      <c r="AA297" s="363"/>
      <c r="AB297" s="363"/>
      <c r="AC297" s="363" t="s">
        <v>485</v>
      </c>
      <c r="AD297" s="380" t="s">
        <v>63</v>
      </c>
      <c r="AE297" s="380">
        <v>2</v>
      </c>
      <c r="AF297" s="386" t="s">
        <v>657</v>
      </c>
    </row>
    <row r="298" spans="2:32" ht="15" hidden="1" customHeight="1" x14ac:dyDescent="0.3">
      <c r="B298" s="380" t="s">
        <v>14</v>
      </c>
      <c r="C298" s="430" t="s">
        <v>1236</v>
      </c>
      <c r="D298" s="445" t="s">
        <v>1237</v>
      </c>
      <c r="E298" s="419">
        <v>4503803719</v>
      </c>
      <c r="F298" s="387">
        <v>45890</v>
      </c>
      <c r="G298" s="380" t="s">
        <v>55</v>
      </c>
      <c r="H298" s="380">
        <v>1</v>
      </c>
      <c r="I298" s="388">
        <v>75000</v>
      </c>
      <c r="J298" s="380">
        <v>3</v>
      </c>
      <c r="K298" s="389">
        <f t="shared" si="14"/>
        <v>25000</v>
      </c>
      <c r="L298" s="381">
        <v>45870</v>
      </c>
      <c r="M298" s="381">
        <v>46234</v>
      </c>
      <c r="N298" s="363" t="s">
        <v>998</v>
      </c>
      <c r="O298" s="380" t="s">
        <v>1231</v>
      </c>
      <c r="P298" s="380"/>
      <c r="Q298" s="390" t="s">
        <v>665</v>
      </c>
      <c r="R298" s="363" t="s">
        <v>1238</v>
      </c>
      <c r="S298" s="390" t="s">
        <v>361</v>
      </c>
      <c r="T298" s="363" t="s">
        <v>1239</v>
      </c>
      <c r="U298" s="363" t="s">
        <v>1080</v>
      </c>
      <c r="V298" s="363"/>
      <c r="W298" s="363"/>
      <c r="X298" s="363"/>
      <c r="Y298" s="363"/>
      <c r="Z298" s="363"/>
      <c r="AA298" s="363"/>
      <c r="AB298" s="363"/>
      <c r="AC298" s="363" t="s">
        <v>478</v>
      </c>
      <c r="AD298" s="380" t="s">
        <v>63</v>
      </c>
      <c r="AE298" s="380">
        <v>2</v>
      </c>
      <c r="AF298" s="386" t="s">
        <v>657</v>
      </c>
    </row>
    <row r="299" spans="2:32" ht="15" hidden="1" customHeight="1" x14ac:dyDescent="0.3">
      <c r="B299" s="380" t="s">
        <v>14</v>
      </c>
      <c r="C299" s="430" t="s">
        <v>1240</v>
      </c>
      <c r="D299" s="445" t="s">
        <v>1241</v>
      </c>
      <c r="E299" s="419" t="s">
        <v>1242</v>
      </c>
      <c r="F299" s="387">
        <v>45905</v>
      </c>
      <c r="G299" s="380" t="s">
        <v>55</v>
      </c>
      <c r="H299" s="380">
        <v>1</v>
      </c>
      <c r="I299" s="388">
        <v>60400</v>
      </c>
      <c r="J299" s="380">
        <v>2</v>
      </c>
      <c r="K299" s="389">
        <f t="shared" si="14"/>
        <v>30200</v>
      </c>
      <c r="L299" s="381">
        <v>45901</v>
      </c>
      <c r="M299" s="381">
        <v>46265</v>
      </c>
      <c r="N299" s="363" t="s">
        <v>520</v>
      </c>
      <c r="O299" s="380" t="s">
        <v>1231</v>
      </c>
      <c r="P299" s="380"/>
      <c r="Q299" s="390" t="s">
        <v>625</v>
      </c>
      <c r="R299" s="363" t="s">
        <v>171</v>
      </c>
      <c r="S299" s="363" t="s">
        <v>1235</v>
      </c>
      <c r="T299" s="363"/>
      <c r="U299" s="363"/>
      <c r="V299" s="363"/>
      <c r="W299" s="363"/>
      <c r="X299" s="363"/>
      <c r="Y299" s="363"/>
      <c r="Z299" s="363"/>
      <c r="AA299" s="363"/>
      <c r="AB299" s="363"/>
      <c r="AC299" s="363" t="s">
        <v>485</v>
      </c>
      <c r="AD299" s="380" t="s">
        <v>63</v>
      </c>
      <c r="AE299" s="380">
        <v>2</v>
      </c>
      <c r="AF299" s="386" t="s">
        <v>657</v>
      </c>
    </row>
    <row r="300" spans="2:32" ht="15" hidden="1" customHeight="1" x14ac:dyDescent="0.3">
      <c r="B300" s="380" t="s">
        <v>14</v>
      </c>
      <c r="C300" s="430" t="s">
        <v>195</v>
      </c>
      <c r="D300" s="445" t="s">
        <v>558</v>
      </c>
      <c r="E300" s="380" t="s">
        <v>1243</v>
      </c>
      <c r="F300" s="387">
        <v>45901</v>
      </c>
      <c r="G300" s="380" t="s">
        <v>55</v>
      </c>
      <c r="H300" s="380">
        <v>9</v>
      </c>
      <c r="I300" s="388">
        <f>1459883.52/2</f>
        <v>729941.76</v>
      </c>
      <c r="J300" s="380">
        <v>4</v>
      </c>
      <c r="K300" s="389">
        <f t="shared" si="14"/>
        <v>182485.44</v>
      </c>
      <c r="L300" s="381">
        <v>45901</v>
      </c>
      <c r="M300" s="381">
        <v>46265</v>
      </c>
      <c r="N300" s="363" t="s">
        <v>520</v>
      </c>
      <c r="O300" s="380" t="s">
        <v>1231</v>
      </c>
      <c r="P300" s="380"/>
      <c r="Q300" s="390" t="s">
        <v>1131</v>
      </c>
      <c r="R300" s="363" t="s">
        <v>1091</v>
      </c>
      <c r="S300" s="390" t="s">
        <v>1133</v>
      </c>
      <c r="T300" s="363" t="s">
        <v>291</v>
      </c>
      <c r="U300" s="390" t="s">
        <v>1134</v>
      </c>
      <c r="V300" s="363" t="s">
        <v>1711</v>
      </c>
      <c r="W300" s="363" t="s">
        <v>1244</v>
      </c>
      <c r="X300" s="363"/>
      <c r="Y300" s="363"/>
      <c r="Z300" s="363"/>
      <c r="AA300" s="363"/>
      <c r="AB300" s="363"/>
      <c r="AC300" s="363" t="s">
        <v>281</v>
      </c>
      <c r="AD300" s="380" t="s">
        <v>97</v>
      </c>
      <c r="AE300" s="380" t="s">
        <v>494</v>
      </c>
      <c r="AF300" s="386" t="s">
        <v>657</v>
      </c>
    </row>
    <row r="301" spans="2:32" ht="15" hidden="1" customHeight="1" x14ac:dyDescent="0.3">
      <c r="B301" s="380" t="s">
        <v>14</v>
      </c>
      <c r="C301" s="430" t="s">
        <v>195</v>
      </c>
      <c r="D301" s="445" t="s">
        <v>558</v>
      </c>
      <c r="E301" s="380" t="s">
        <v>1243</v>
      </c>
      <c r="F301" s="387">
        <v>45901</v>
      </c>
      <c r="G301" s="380" t="s">
        <v>55</v>
      </c>
      <c r="H301" s="380"/>
      <c r="I301" s="388">
        <f>1459883.52/2</f>
        <v>729941.76</v>
      </c>
      <c r="J301" s="380">
        <v>4</v>
      </c>
      <c r="K301" s="389">
        <f t="shared" si="14"/>
        <v>182485.44</v>
      </c>
      <c r="L301" s="381">
        <v>46266</v>
      </c>
      <c r="M301" s="381">
        <v>46630</v>
      </c>
      <c r="N301" s="363" t="s">
        <v>520</v>
      </c>
      <c r="O301" s="380" t="s">
        <v>1231</v>
      </c>
      <c r="P301" s="380"/>
      <c r="Q301" s="363" t="s">
        <v>1245</v>
      </c>
      <c r="R301" s="363"/>
      <c r="S301" s="363" t="s">
        <v>1246</v>
      </c>
      <c r="T301" s="363"/>
      <c r="U301" s="363" t="s">
        <v>1247</v>
      </c>
      <c r="V301" s="363"/>
      <c r="W301" s="363" t="s">
        <v>1248</v>
      </c>
      <c r="X301" s="363"/>
      <c r="Y301" s="363"/>
      <c r="Z301" s="363"/>
      <c r="AA301" s="363"/>
      <c r="AB301" s="363"/>
      <c r="AC301" s="363" t="s">
        <v>281</v>
      </c>
      <c r="AD301" s="380" t="s">
        <v>97</v>
      </c>
      <c r="AE301" s="380" t="s">
        <v>494</v>
      </c>
      <c r="AF301" s="386" t="s">
        <v>657</v>
      </c>
    </row>
    <row r="302" spans="2:32" ht="15" hidden="1" customHeight="1" x14ac:dyDescent="0.3">
      <c r="B302" s="380" t="s">
        <v>14</v>
      </c>
      <c r="C302" s="430" t="s">
        <v>1249</v>
      </c>
      <c r="D302" s="445" t="s">
        <v>151</v>
      </c>
      <c r="E302" s="419">
        <v>4509091008</v>
      </c>
      <c r="F302" s="387">
        <v>45909</v>
      </c>
      <c r="G302" s="380" t="s">
        <v>55</v>
      </c>
      <c r="H302" s="380">
        <v>1</v>
      </c>
      <c r="I302" s="388">
        <f>172000/2</f>
        <v>86000</v>
      </c>
      <c r="J302" s="380">
        <v>2</v>
      </c>
      <c r="K302" s="389">
        <f t="shared" si="14"/>
        <v>43000</v>
      </c>
      <c r="L302" s="381">
        <v>45870</v>
      </c>
      <c r="M302" s="381">
        <v>46234</v>
      </c>
      <c r="N302" s="363" t="s">
        <v>998</v>
      </c>
      <c r="O302" s="380" t="s">
        <v>1231</v>
      </c>
      <c r="P302" s="380" t="s">
        <v>1</v>
      </c>
      <c r="Q302" s="390" t="s">
        <v>424</v>
      </c>
      <c r="R302" s="363" t="s">
        <v>432</v>
      </c>
      <c r="S302" s="363" t="s">
        <v>426</v>
      </c>
      <c r="T302" s="363"/>
      <c r="U302" s="363"/>
      <c r="V302" s="363"/>
      <c r="W302" s="363"/>
      <c r="X302" s="363"/>
      <c r="Y302" s="363"/>
      <c r="Z302" s="363"/>
      <c r="AA302" s="363"/>
      <c r="AB302" s="363"/>
      <c r="AC302" s="363" t="s">
        <v>478</v>
      </c>
      <c r="AD302" s="380" t="s">
        <v>63</v>
      </c>
      <c r="AE302" s="380">
        <v>3</v>
      </c>
      <c r="AF302" s="363" t="s">
        <v>1250</v>
      </c>
    </row>
    <row r="303" spans="2:32" ht="15" hidden="1" customHeight="1" x14ac:dyDescent="0.3">
      <c r="B303" s="380" t="s">
        <v>14</v>
      </c>
      <c r="C303" s="430" t="s">
        <v>1249</v>
      </c>
      <c r="D303" s="445" t="s">
        <v>151</v>
      </c>
      <c r="E303" s="419">
        <v>4509091008</v>
      </c>
      <c r="F303" s="387">
        <v>45909</v>
      </c>
      <c r="G303" s="380" t="s">
        <v>55</v>
      </c>
      <c r="H303" s="380"/>
      <c r="I303" s="388">
        <f>172000/2</f>
        <v>86000</v>
      </c>
      <c r="J303" s="380">
        <v>2</v>
      </c>
      <c r="K303" s="389">
        <f t="shared" si="14"/>
        <v>43000</v>
      </c>
      <c r="L303" s="381">
        <v>46235</v>
      </c>
      <c r="M303" s="381">
        <v>46599</v>
      </c>
      <c r="N303" s="363" t="s">
        <v>998</v>
      </c>
      <c r="O303" s="380" t="s">
        <v>1231</v>
      </c>
      <c r="P303" s="380" t="s">
        <v>1</v>
      </c>
      <c r="Q303" s="363" t="s">
        <v>427</v>
      </c>
      <c r="R303" s="363"/>
      <c r="S303" s="363" t="s">
        <v>428</v>
      </c>
      <c r="T303" s="363"/>
      <c r="U303" s="363"/>
      <c r="V303" s="363"/>
      <c r="W303" s="363"/>
      <c r="X303" s="363"/>
      <c r="Y303" s="363"/>
      <c r="Z303" s="363"/>
      <c r="AA303" s="363"/>
      <c r="AB303" s="363"/>
      <c r="AC303" s="363" t="s">
        <v>478</v>
      </c>
      <c r="AD303" s="380" t="s">
        <v>63</v>
      </c>
      <c r="AE303" s="380">
        <v>3</v>
      </c>
      <c r="AF303" s="363" t="s">
        <v>1250</v>
      </c>
    </row>
    <row r="304" spans="2:32" ht="15" hidden="1" customHeight="1" x14ac:dyDescent="0.3">
      <c r="B304" s="380" t="s">
        <v>14</v>
      </c>
      <c r="C304" s="430" t="s">
        <v>1002</v>
      </c>
      <c r="D304" s="445" t="s">
        <v>151</v>
      </c>
      <c r="E304" s="419">
        <v>4501010798</v>
      </c>
      <c r="F304" s="387">
        <v>45868</v>
      </c>
      <c r="G304" s="380" t="s">
        <v>55</v>
      </c>
      <c r="H304" s="380">
        <v>1</v>
      </c>
      <c r="I304" s="388">
        <v>90000</v>
      </c>
      <c r="J304" s="380">
        <v>3</v>
      </c>
      <c r="K304" s="389">
        <f t="shared" si="14"/>
        <v>30000</v>
      </c>
      <c r="L304" s="381">
        <v>45748</v>
      </c>
      <c r="M304" s="381">
        <v>46112</v>
      </c>
      <c r="N304" s="363" t="s">
        <v>19</v>
      </c>
      <c r="O304" s="380" t="s">
        <v>3</v>
      </c>
      <c r="P304" s="380"/>
      <c r="Q304" s="390" t="s">
        <v>357</v>
      </c>
      <c r="R304" s="363" t="s">
        <v>898</v>
      </c>
      <c r="S304" s="390" t="s">
        <v>665</v>
      </c>
      <c r="T304" s="363" t="s">
        <v>1251</v>
      </c>
      <c r="U304" s="390" t="s">
        <v>361</v>
      </c>
      <c r="V304" s="363" t="s">
        <v>1252</v>
      </c>
      <c r="W304" s="363"/>
      <c r="X304" s="363"/>
      <c r="Y304" s="363"/>
      <c r="Z304" s="363"/>
      <c r="AA304" s="363"/>
      <c r="AB304" s="363"/>
      <c r="AC304" s="363" t="s">
        <v>478</v>
      </c>
      <c r="AD304" s="380" t="s">
        <v>63</v>
      </c>
      <c r="AE304" s="380">
        <v>3</v>
      </c>
      <c r="AF304" s="363" t="s">
        <v>1253</v>
      </c>
    </row>
    <row r="305" spans="2:32" ht="15" hidden="1" customHeight="1" x14ac:dyDescent="0.3">
      <c r="B305" s="380" t="s">
        <v>14</v>
      </c>
      <c r="C305" s="409" t="s">
        <v>527</v>
      </c>
      <c r="D305" s="423" t="s">
        <v>151</v>
      </c>
      <c r="E305" s="419" t="s">
        <v>1254</v>
      </c>
      <c r="F305" s="387">
        <v>45916</v>
      </c>
      <c r="G305" s="380" t="s">
        <v>55</v>
      </c>
      <c r="H305" s="380">
        <v>3</v>
      </c>
      <c r="I305" s="388">
        <v>266976</v>
      </c>
      <c r="J305" s="380">
        <v>3</v>
      </c>
      <c r="K305" s="389">
        <f t="shared" si="14"/>
        <v>88992</v>
      </c>
      <c r="L305" s="381">
        <v>45901</v>
      </c>
      <c r="M305" s="381">
        <v>46265</v>
      </c>
      <c r="N305" s="363" t="s">
        <v>520</v>
      </c>
      <c r="O305" s="380" t="s">
        <v>1231</v>
      </c>
      <c r="P305" s="380"/>
      <c r="Q305" s="390" t="s">
        <v>345</v>
      </c>
      <c r="R305" s="363" t="s">
        <v>985</v>
      </c>
      <c r="S305" s="390" t="s">
        <v>347</v>
      </c>
      <c r="T305" s="363" t="s">
        <v>1859</v>
      </c>
      <c r="U305" s="363" t="s">
        <v>348</v>
      </c>
      <c r="V305" s="363" t="s">
        <v>1860</v>
      </c>
      <c r="W305" s="363"/>
      <c r="X305" s="363"/>
      <c r="Y305" s="363"/>
      <c r="Z305" s="363"/>
      <c r="AA305" s="363"/>
      <c r="AB305" s="363"/>
      <c r="AC305" s="363" t="s">
        <v>507</v>
      </c>
      <c r="AD305" s="380" t="s">
        <v>63</v>
      </c>
      <c r="AE305" s="380">
        <v>3</v>
      </c>
      <c r="AF305" s="430" t="s">
        <v>1255</v>
      </c>
    </row>
    <row r="306" spans="2:32" ht="15" hidden="1" customHeight="1" x14ac:dyDescent="0.3">
      <c r="B306" s="380" t="s">
        <v>14</v>
      </c>
      <c r="C306" s="430" t="s">
        <v>685</v>
      </c>
      <c r="D306" s="445" t="s">
        <v>151</v>
      </c>
      <c r="E306" s="419">
        <v>4513115639</v>
      </c>
      <c r="F306" s="387">
        <v>45915</v>
      </c>
      <c r="G306" s="380" t="s">
        <v>55</v>
      </c>
      <c r="H306" s="380">
        <v>1</v>
      </c>
      <c r="I306" s="388">
        <v>46000</v>
      </c>
      <c r="J306" s="380">
        <v>3</v>
      </c>
      <c r="K306" s="389">
        <f t="shared" si="14"/>
        <v>15333.333333333334</v>
      </c>
      <c r="L306" s="381">
        <v>45870</v>
      </c>
      <c r="M306" s="381">
        <v>46234</v>
      </c>
      <c r="N306" s="363" t="s">
        <v>520</v>
      </c>
      <c r="O306" s="380" t="s">
        <v>1231</v>
      </c>
      <c r="P306" s="380"/>
      <c r="Q306" s="390" t="s">
        <v>901</v>
      </c>
      <c r="R306" s="363" t="s">
        <v>1256</v>
      </c>
      <c r="S306" s="390" t="s">
        <v>361</v>
      </c>
      <c r="T306" s="363" t="s">
        <v>688</v>
      </c>
      <c r="U306" s="363" t="s">
        <v>1257</v>
      </c>
      <c r="V306" s="363"/>
      <c r="W306" s="363"/>
      <c r="X306" s="363"/>
      <c r="Y306" s="363"/>
      <c r="Z306" s="363"/>
      <c r="AA306" s="363"/>
      <c r="AB306" s="363"/>
      <c r="AC306" s="363" t="s">
        <v>478</v>
      </c>
      <c r="AD306" s="380" t="s">
        <v>63</v>
      </c>
      <c r="AE306" s="380">
        <v>5</v>
      </c>
      <c r="AF306" s="363" t="s">
        <v>667</v>
      </c>
    </row>
    <row r="307" spans="2:32" ht="15" hidden="1" customHeight="1" x14ac:dyDescent="0.3">
      <c r="B307" s="380" t="s">
        <v>14</v>
      </c>
      <c r="C307" s="409" t="s">
        <v>1095</v>
      </c>
      <c r="D307" s="434" t="s">
        <v>1258</v>
      </c>
      <c r="E307" s="419">
        <v>9709372716</v>
      </c>
      <c r="F307" s="387">
        <v>45916</v>
      </c>
      <c r="G307" s="380" t="s">
        <v>55</v>
      </c>
      <c r="H307" s="380">
        <v>2</v>
      </c>
      <c r="I307" s="388">
        <f>480000/3</f>
        <v>160000</v>
      </c>
      <c r="J307" s="380">
        <v>4</v>
      </c>
      <c r="K307" s="389">
        <f t="shared" si="14"/>
        <v>40000</v>
      </c>
      <c r="L307" s="381">
        <v>45870</v>
      </c>
      <c r="M307" s="381">
        <v>46234</v>
      </c>
      <c r="N307" s="363" t="s">
        <v>520</v>
      </c>
      <c r="O307" s="380" t="s">
        <v>1231</v>
      </c>
      <c r="P307" s="380"/>
      <c r="Q307" s="390" t="s">
        <v>267</v>
      </c>
      <c r="R307" s="363" t="s">
        <v>1003</v>
      </c>
      <c r="S307" s="390" t="s">
        <v>269</v>
      </c>
      <c r="T307" s="363" t="s">
        <v>930</v>
      </c>
      <c r="U307" s="390" t="s">
        <v>442</v>
      </c>
      <c r="V307" s="363" t="s">
        <v>1710</v>
      </c>
      <c r="W307" s="363" t="s">
        <v>444</v>
      </c>
      <c r="X307" s="363"/>
      <c r="Y307" s="363"/>
      <c r="Z307" s="363"/>
      <c r="AA307" s="363"/>
      <c r="AB307" s="363"/>
      <c r="AC307" s="363" t="s">
        <v>619</v>
      </c>
      <c r="AD307" s="380" t="s">
        <v>63</v>
      </c>
      <c r="AE307" s="380">
        <v>4</v>
      </c>
      <c r="AF307" s="363" t="s">
        <v>667</v>
      </c>
    </row>
    <row r="308" spans="2:32" ht="15" hidden="1" customHeight="1" x14ac:dyDescent="0.3">
      <c r="B308" s="380" t="s">
        <v>14</v>
      </c>
      <c r="C308" s="409" t="s">
        <v>1095</v>
      </c>
      <c r="D308" s="434" t="s">
        <v>1258</v>
      </c>
      <c r="E308" s="419">
        <v>9709372716</v>
      </c>
      <c r="F308" s="387">
        <v>45916</v>
      </c>
      <c r="G308" s="380" t="s">
        <v>55</v>
      </c>
      <c r="H308" s="380"/>
      <c r="I308" s="388">
        <f>480000/3</f>
        <v>160000</v>
      </c>
      <c r="J308" s="380">
        <v>4</v>
      </c>
      <c r="K308" s="389">
        <f t="shared" si="14"/>
        <v>40000</v>
      </c>
      <c r="L308" s="381">
        <v>46235</v>
      </c>
      <c r="M308" s="381">
        <v>46599</v>
      </c>
      <c r="N308" s="363" t="s">
        <v>520</v>
      </c>
      <c r="O308" s="380" t="s">
        <v>1231</v>
      </c>
      <c r="P308" s="380"/>
      <c r="Q308" s="363" t="s">
        <v>445</v>
      </c>
      <c r="R308" s="363"/>
      <c r="S308" s="363" t="s">
        <v>456</v>
      </c>
      <c r="T308" s="363"/>
      <c r="U308" s="363" t="s">
        <v>457</v>
      </c>
      <c r="V308" s="363"/>
      <c r="W308" s="363" t="s">
        <v>458</v>
      </c>
      <c r="X308" s="363"/>
      <c r="Y308" s="363"/>
      <c r="Z308" s="363"/>
      <c r="AA308" s="363"/>
      <c r="AB308" s="363"/>
      <c r="AC308" s="363" t="s">
        <v>619</v>
      </c>
      <c r="AD308" s="380" t="s">
        <v>63</v>
      </c>
      <c r="AE308" s="380">
        <v>4</v>
      </c>
      <c r="AF308" s="363" t="s">
        <v>667</v>
      </c>
    </row>
    <row r="309" spans="2:32" ht="15" hidden="1" customHeight="1" x14ac:dyDescent="0.3">
      <c r="B309" s="380" t="s">
        <v>14</v>
      </c>
      <c r="C309" s="409" t="s">
        <v>1095</v>
      </c>
      <c r="D309" s="434" t="s">
        <v>1258</v>
      </c>
      <c r="E309" s="419">
        <v>9709372716</v>
      </c>
      <c r="F309" s="387">
        <v>45916</v>
      </c>
      <c r="G309" s="380" t="s">
        <v>55</v>
      </c>
      <c r="H309" s="380"/>
      <c r="I309" s="388">
        <f>480000/3</f>
        <v>160000</v>
      </c>
      <c r="J309" s="380">
        <v>4</v>
      </c>
      <c r="K309" s="389">
        <f t="shared" si="14"/>
        <v>40000</v>
      </c>
      <c r="L309" s="381">
        <v>46600</v>
      </c>
      <c r="M309" s="381">
        <v>46965</v>
      </c>
      <c r="N309" s="363" t="s">
        <v>520</v>
      </c>
      <c r="O309" s="380" t="s">
        <v>1231</v>
      </c>
      <c r="P309" s="380"/>
      <c r="Q309" s="363" t="s">
        <v>459</v>
      </c>
      <c r="R309" s="363"/>
      <c r="S309" s="363" t="s">
        <v>893</v>
      </c>
      <c r="T309" s="363"/>
      <c r="U309" s="363" t="s">
        <v>894</v>
      </c>
      <c r="V309" s="363"/>
      <c r="W309" s="363" t="s">
        <v>1259</v>
      </c>
      <c r="X309" s="363"/>
      <c r="Y309" s="363"/>
      <c r="Z309" s="363"/>
      <c r="AA309" s="363"/>
      <c r="AB309" s="363"/>
      <c r="AC309" s="363" t="s">
        <v>619</v>
      </c>
      <c r="AD309" s="380" t="s">
        <v>63</v>
      </c>
      <c r="AE309" s="380">
        <v>4</v>
      </c>
      <c r="AF309" s="363" t="s">
        <v>667</v>
      </c>
    </row>
    <row r="310" spans="2:32" ht="15" hidden="1" customHeight="1" x14ac:dyDescent="0.3">
      <c r="B310" s="380" t="s">
        <v>14</v>
      </c>
      <c r="C310" s="409" t="s">
        <v>775</v>
      </c>
      <c r="D310" s="423" t="s">
        <v>1260</v>
      </c>
      <c r="E310" s="464">
        <v>2710001257</v>
      </c>
      <c r="F310" s="387">
        <v>45926</v>
      </c>
      <c r="G310" s="380" t="s">
        <v>55</v>
      </c>
      <c r="H310" s="380">
        <v>2</v>
      </c>
      <c r="I310" s="388">
        <v>170000</v>
      </c>
      <c r="J310" s="380">
        <v>2</v>
      </c>
      <c r="K310" s="389">
        <f t="shared" si="14"/>
        <v>85000</v>
      </c>
      <c r="L310" s="381">
        <v>45915</v>
      </c>
      <c r="M310" s="381">
        <v>46279</v>
      </c>
      <c r="N310" s="363" t="s">
        <v>520</v>
      </c>
      <c r="O310" s="380" t="s">
        <v>1231</v>
      </c>
      <c r="P310" s="380"/>
      <c r="Q310" s="390" t="s">
        <v>1261</v>
      </c>
      <c r="R310" s="363" t="s">
        <v>1262</v>
      </c>
      <c r="S310" s="363" t="s">
        <v>1263</v>
      </c>
      <c r="T310" s="363"/>
      <c r="U310" s="363"/>
      <c r="V310" s="363"/>
      <c r="W310" s="363"/>
      <c r="X310" s="363"/>
      <c r="Y310" s="363"/>
      <c r="Z310" s="363"/>
      <c r="AA310" s="363"/>
      <c r="AB310" s="363"/>
      <c r="AC310" s="363" t="s">
        <v>485</v>
      </c>
      <c r="AD310" s="380" t="s">
        <v>63</v>
      </c>
      <c r="AE310" s="380">
        <v>2</v>
      </c>
      <c r="AF310" s="430" t="s">
        <v>1264</v>
      </c>
    </row>
    <row r="311" spans="2:32" ht="15" hidden="1" customHeight="1" x14ac:dyDescent="0.3">
      <c r="B311" s="380" t="s">
        <v>14</v>
      </c>
      <c r="C311" s="409" t="s">
        <v>1172</v>
      </c>
      <c r="D311" s="423" t="s">
        <v>1016</v>
      </c>
      <c r="E311" s="419">
        <v>7100107808</v>
      </c>
      <c r="F311" s="387">
        <v>45904</v>
      </c>
      <c r="G311" s="380" t="s">
        <v>55</v>
      </c>
      <c r="H311" s="380">
        <v>1</v>
      </c>
      <c r="I311" s="388">
        <v>81000</v>
      </c>
      <c r="J311" s="380">
        <v>3</v>
      </c>
      <c r="K311" s="389">
        <f t="shared" si="14"/>
        <v>27000</v>
      </c>
      <c r="L311" s="381">
        <v>45901</v>
      </c>
      <c r="M311" s="381">
        <v>46265</v>
      </c>
      <c r="N311" s="363" t="s">
        <v>19</v>
      </c>
      <c r="O311" s="380" t="s">
        <v>13</v>
      </c>
      <c r="P311" s="380"/>
      <c r="Q311" s="390" t="s">
        <v>345</v>
      </c>
      <c r="R311" s="363" t="s">
        <v>582</v>
      </c>
      <c r="S311" s="390" t="s">
        <v>347</v>
      </c>
      <c r="T311" s="363" t="s">
        <v>1009</v>
      </c>
      <c r="U311" s="390" t="s">
        <v>348</v>
      </c>
      <c r="V311" s="363" t="s">
        <v>1847</v>
      </c>
      <c r="W311" s="363"/>
      <c r="X311" s="363"/>
      <c r="Y311" s="363"/>
      <c r="Z311" s="363"/>
      <c r="AA311" s="363"/>
      <c r="AB311" s="363"/>
      <c r="AC311" s="363" t="s">
        <v>619</v>
      </c>
      <c r="AD311" s="380" t="s">
        <v>63</v>
      </c>
      <c r="AE311" s="380">
        <v>3</v>
      </c>
      <c r="AF311" s="363" t="s">
        <v>667</v>
      </c>
    </row>
    <row r="312" spans="2:32" ht="15" hidden="1" customHeight="1" x14ac:dyDescent="0.3">
      <c r="B312" s="380" t="s">
        <v>14</v>
      </c>
      <c r="C312" s="412" t="s">
        <v>1265</v>
      </c>
      <c r="D312" s="437" t="s">
        <v>388</v>
      </c>
      <c r="E312" s="426">
        <v>3800035834</v>
      </c>
      <c r="F312" s="387">
        <v>45926</v>
      </c>
      <c r="G312" s="380" t="s">
        <v>55</v>
      </c>
      <c r="H312" s="380">
        <v>1</v>
      </c>
      <c r="I312" s="388">
        <v>58000</v>
      </c>
      <c r="J312" s="380">
        <v>2</v>
      </c>
      <c r="K312" s="389">
        <f t="shared" si="14"/>
        <v>29000</v>
      </c>
      <c r="L312" s="381">
        <v>45901</v>
      </c>
      <c r="M312" s="381">
        <v>46265</v>
      </c>
      <c r="N312" s="363" t="s">
        <v>520</v>
      </c>
      <c r="O312" s="380" t="s">
        <v>1231</v>
      </c>
      <c r="P312" s="382"/>
      <c r="Q312" s="390" t="s">
        <v>625</v>
      </c>
      <c r="R312" s="363" t="s">
        <v>1085</v>
      </c>
      <c r="S312" s="363" t="s">
        <v>1235</v>
      </c>
      <c r="T312" s="363"/>
      <c r="U312" s="363"/>
      <c r="V312" s="363"/>
      <c r="W312" s="363"/>
      <c r="X312" s="363"/>
      <c r="Y312" s="363"/>
      <c r="Z312" s="363"/>
      <c r="AA312" s="363"/>
      <c r="AB312" s="363"/>
      <c r="AC312" s="363" t="s">
        <v>478</v>
      </c>
      <c r="AD312" s="380" t="s">
        <v>63</v>
      </c>
      <c r="AE312" s="380">
        <v>2</v>
      </c>
      <c r="AF312" s="363" t="s">
        <v>1266</v>
      </c>
    </row>
    <row r="313" spans="2:32" ht="15" hidden="1" customHeight="1" x14ac:dyDescent="0.3">
      <c r="B313" s="380" t="s">
        <v>14</v>
      </c>
      <c r="C313" s="409" t="s">
        <v>195</v>
      </c>
      <c r="D313" s="423" t="s">
        <v>858</v>
      </c>
      <c r="E313" s="419" t="s">
        <v>1267</v>
      </c>
      <c r="F313" s="387">
        <v>45925</v>
      </c>
      <c r="G313" s="380" t="s">
        <v>55</v>
      </c>
      <c r="H313" s="380">
        <v>9</v>
      </c>
      <c r="I313" s="388">
        <v>506340</v>
      </c>
      <c r="J313" s="380">
        <v>4</v>
      </c>
      <c r="K313" s="389">
        <f t="shared" si="14"/>
        <v>126585</v>
      </c>
      <c r="L313" s="381">
        <v>45940</v>
      </c>
      <c r="M313" s="381">
        <v>46304</v>
      </c>
      <c r="N313" s="363" t="s">
        <v>520</v>
      </c>
      <c r="O313" s="380" t="s">
        <v>1231</v>
      </c>
      <c r="P313" s="476"/>
      <c r="Q313" s="390" t="s">
        <v>1268</v>
      </c>
      <c r="R313" s="363" t="s">
        <v>917</v>
      </c>
      <c r="S313" s="390" t="s">
        <v>1269</v>
      </c>
      <c r="T313" s="363" t="s">
        <v>930</v>
      </c>
      <c r="U313" s="390" t="s">
        <v>1270</v>
      </c>
      <c r="V313" s="363" t="s">
        <v>1852</v>
      </c>
      <c r="W313" s="363" t="s">
        <v>1271</v>
      </c>
      <c r="X313" s="363"/>
      <c r="Y313" s="363"/>
      <c r="Z313" s="363"/>
      <c r="AA313" s="363"/>
      <c r="AB313" s="363"/>
      <c r="AC313" s="363" t="s">
        <v>551</v>
      </c>
      <c r="AD313" s="380" t="s">
        <v>207</v>
      </c>
      <c r="AE313" s="380">
        <v>3</v>
      </c>
      <c r="AF313" s="363" t="s">
        <v>1272</v>
      </c>
    </row>
    <row r="314" spans="2:32" ht="15" hidden="1" customHeight="1" x14ac:dyDescent="0.3">
      <c r="B314" s="380" t="s">
        <v>14</v>
      </c>
      <c r="C314" s="409" t="s">
        <v>195</v>
      </c>
      <c r="D314" s="423" t="s">
        <v>858</v>
      </c>
      <c r="E314" s="419" t="s">
        <v>1267</v>
      </c>
      <c r="F314" s="387">
        <v>45925</v>
      </c>
      <c r="G314" s="380" t="s">
        <v>55</v>
      </c>
      <c r="H314" s="380"/>
      <c r="I314" s="388">
        <v>506340</v>
      </c>
      <c r="J314" s="380">
        <v>4</v>
      </c>
      <c r="K314" s="389">
        <f t="shared" si="14"/>
        <v>126585</v>
      </c>
      <c r="L314" s="381">
        <v>46305</v>
      </c>
      <c r="M314" s="381">
        <v>46669</v>
      </c>
      <c r="N314" s="363" t="s">
        <v>520</v>
      </c>
      <c r="O314" s="380" t="s">
        <v>1231</v>
      </c>
      <c r="P314" s="536"/>
      <c r="Q314" s="363" t="s">
        <v>1273</v>
      </c>
      <c r="R314" s="363"/>
      <c r="S314" s="363" t="s">
        <v>1274</v>
      </c>
      <c r="T314" s="363"/>
      <c r="U314" s="363" t="s">
        <v>1275</v>
      </c>
      <c r="V314" s="363"/>
      <c r="W314" s="363" t="s">
        <v>1276</v>
      </c>
      <c r="X314" s="363"/>
      <c r="Y314" s="363"/>
      <c r="Z314" s="363"/>
      <c r="AA314" s="363"/>
      <c r="AB314" s="363"/>
      <c r="AC314" s="363" t="s">
        <v>551</v>
      </c>
      <c r="AD314" s="380" t="s">
        <v>207</v>
      </c>
      <c r="AE314" s="380">
        <v>3</v>
      </c>
      <c r="AF314" s="363" t="s">
        <v>1272</v>
      </c>
    </row>
    <row r="315" spans="2:32" ht="15" hidden="1" customHeight="1" x14ac:dyDescent="0.3">
      <c r="B315" s="380" t="s">
        <v>14</v>
      </c>
      <c r="C315" s="409" t="s">
        <v>1277</v>
      </c>
      <c r="D315" s="423" t="s">
        <v>858</v>
      </c>
      <c r="E315" s="408" t="s">
        <v>1278</v>
      </c>
      <c r="F315" s="387">
        <v>45924</v>
      </c>
      <c r="G315" s="380" t="s">
        <v>55</v>
      </c>
      <c r="H315" s="380">
        <v>5</v>
      </c>
      <c r="I315" s="388">
        <v>310400</v>
      </c>
      <c r="J315" s="380">
        <v>4</v>
      </c>
      <c r="K315" s="389">
        <f t="shared" si="14"/>
        <v>77600</v>
      </c>
      <c r="L315" s="381">
        <v>45931</v>
      </c>
      <c r="M315" s="381">
        <v>46295</v>
      </c>
      <c r="N315" s="363" t="s">
        <v>520</v>
      </c>
      <c r="O315" s="380" t="s">
        <v>1231</v>
      </c>
      <c r="P315" s="380"/>
      <c r="Q315" s="390" t="s">
        <v>228</v>
      </c>
      <c r="R315" s="363" t="s">
        <v>718</v>
      </c>
      <c r="S315" s="390" t="s">
        <v>396</v>
      </c>
      <c r="T315" s="363" t="s">
        <v>1252</v>
      </c>
      <c r="U315" s="390" t="s">
        <v>397</v>
      </c>
      <c r="V315" s="363" t="s">
        <v>1849</v>
      </c>
      <c r="W315" s="363" t="s">
        <v>496</v>
      </c>
      <c r="X315" s="363"/>
      <c r="Y315" s="363"/>
      <c r="Z315" s="363"/>
      <c r="AA315" s="363"/>
      <c r="AB315" s="363"/>
      <c r="AC315" s="363" t="s">
        <v>551</v>
      </c>
      <c r="AD315" s="380" t="s">
        <v>207</v>
      </c>
      <c r="AE315" s="380">
        <v>3</v>
      </c>
      <c r="AF315" s="363" t="s">
        <v>1272</v>
      </c>
    </row>
    <row r="316" spans="2:32" ht="15" hidden="1" customHeight="1" x14ac:dyDescent="0.3">
      <c r="B316" s="380" t="s">
        <v>14</v>
      </c>
      <c r="C316" s="409" t="s">
        <v>1277</v>
      </c>
      <c r="D316" s="423" t="s">
        <v>858</v>
      </c>
      <c r="E316" s="408" t="s">
        <v>1278</v>
      </c>
      <c r="F316" s="387">
        <v>45924</v>
      </c>
      <c r="G316" s="380" t="s">
        <v>55</v>
      </c>
      <c r="H316" s="380"/>
      <c r="I316" s="388">
        <v>310400</v>
      </c>
      <c r="J316" s="380">
        <v>4</v>
      </c>
      <c r="K316" s="389">
        <f t="shared" si="14"/>
        <v>77600</v>
      </c>
      <c r="L316" s="381">
        <v>46296</v>
      </c>
      <c r="M316" s="381">
        <v>46660</v>
      </c>
      <c r="N316" s="363" t="s">
        <v>520</v>
      </c>
      <c r="O316" s="380" t="s">
        <v>1231</v>
      </c>
      <c r="P316" s="380"/>
      <c r="Q316" s="363" t="s">
        <v>497</v>
      </c>
      <c r="R316" s="363"/>
      <c r="S316" s="363" t="s">
        <v>498</v>
      </c>
      <c r="T316" s="363"/>
      <c r="U316" s="363" t="s">
        <v>499</v>
      </c>
      <c r="V316" s="363"/>
      <c r="W316" s="363" t="s">
        <v>500</v>
      </c>
      <c r="X316" s="363"/>
      <c r="Y316" s="363"/>
      <c r="Z316" s="363"/>
      <c r="AA316" s="363"/>
      <c r="AB316" s="363"/>
      <c r="AC316" s="363" t="s">
        <v>551</v>
      </c>
      <c r="AD316" s="380" t="s">
        <v>207</v>
      </c>
      <c r="AE316" s="380">
        <v>3</v>
      </c>
      <c r="AF316" s="363" t="s">
        <v>1272</v>
      </c>
    </row>
    <row r="317" spans="2:32" ht="15" hidden="1" customHeight="1" x14ac:dyDescent="0.3">
      <c r="B317" s="380" t="s">
        <v>14</v>
      </c>
      <c r="C317" s="409" t="s">
        <v>1277</v>
      </c>
      <c r="D317" s="423" t="s">
        <v>858</v>
      </c>
      <c r="E317" s="408" t="s">
        <v>1278</v>
      </c>
      <c r="F317" s="387">
        <v>45924</v>
      </c>
      <c r="G317" s="380" t="s">
        <v>55</v>
      </c>
      <c r="H317" s="380"/>
      <c r="I317" s="388">
        <v>310400</v>
      </c>
      <c r="J317" s="380">
        <v>4</v>
      </c>
      <c r="K317" s="389">
        <f t="shared" si="14"/>
        <v>77600</v>
      </c>
      <c r="L317" s="381">
        <v>46661</v>
      </c>
      <c r="M317" s="381">
        <v>47026</v>
      </c>
      <c r="N317" s="363" t="s">
        <v>520</v>
      </c>
      <c r="O317" s="380" t="s">
        <v>1231</v>
      </c>
      <c r="P317" s="380"/>
      <c r="Q317" s="381" t="s">
        <v>501</v>
      </c>
      <c r="R317" s="363"/>
      <c r="S317" s="363" t="s">
        <v>674</v>
      </c>
      <c r="T317" s="363"/>
      <c r="U317" s="363" t="s">
        <v>1279</v>
      </c>
      <c r="V317" s="363"/>
      <c r="W317" s="363" t="s">
        <v>1280</v>
      </c>
      <c r="X317" s="363"/>
      <c r="Y317" s="363"/>
      <c r="Z317" s="363"/>
      <c r="AA317" s="363"/>
      <c r="AB317" s="363"/>
      <c r="AC317" s="363" t="s">
        <v>551</v>
      </c>
      <c r="AD317" s="380" t="s">
        <v>207</v>
      </c>
      <c r="AE317" s="380">
        <v>3</v>
      </c>
      <c r="AF317" s="363" t="s">
        <v>1272</v>
      </c>
    </row>
    <row r="318" spans="2:32" ht="15" hidden="1" customHeight="1" x14ac:dyDescent="0.3">
      <c r="B318" s="380" t="s">
        <v>14</v>
      </c>
      <c r="C318" s="363" t="s">
        <v>1281</v>
      </c>
      <c r="D318" s="423" t="s">
        <v>1282</v>
      </c>
      <c r="E318" s="380">
        <v>9200015089</v>
      </c>
      <c r="F318" s="387">
        <v>45912</v>
      </c>
      <c r="G318" s="380"/>
      <c r="H318" s="380">
        <v>1</v>
      </c>
      <c r="I318" s="388">
        <v>145000</v>
      </c>
      <c r="J318" s="380"/>
      <c r="K318" s="389" t="e">
        <f t="shared" si="14"/>
        <v>#DIV/0!</v>
      </c>
      <c r="L318" s="381"/>
      <c r="M318" s="381"/>
      <c r="N318" s="363" t="s">
        <v>998</v>
      </c>
      <c r="O318" s="380" t="s">
        <v>1231</v>
      </c>
      <c r="P318" s="380" t="s">
        <v>1283</v>
      </c>
      <c r="Q318" s="363"/>
      <c r="R318" s="363"/>
      <c r="S318" s="363"/>
      <c r="T318" s="363"/>
      <c r="U318" s="363"/>
      <c r="V318" s="363"/>
      <c r="W318" s="363"/>
      <c r="X318" s="363"/>
      <c r="Y318" s="363"/>
      <c r="Z318" s="363"/>
      <c r="AA318" s="363"/>
      <c r="AB318" s="363"/>
      <c r="AC318" s="363" t="s">
        <v>1188</v>
      </c>
      <c r="AD318" s="380" t="s">
        <v>968</v>
      </c>
      <c r="AE318" s="380"/>
      <c r="AF318" s="363"/>
    </row>
    <row r="319" spans="2:32" ht="15" hidden="1" customHeight="1" x14ac:dyDescent="0.3">
      <c r="B319" s="380" t="s">
        <v>14</v>
      </c>
      <c r="C319" s="409" t="s">
        <v>1103</v>
      </c>
      <c r="D319" s="423" t="s">
        <v>176</v>
      </c>
      <c r="E319" s="477" t="s">
        <v>1284</v>
      </c>
      <c r="F319" s="387">
        <v>45924</v>
      </c>
      <c r="G319" s="380" t="s">
        <v>55</v>
      </c>
      <c r="H319" s="380">
        <v>1</v>
      </c>
      <c r="I319" s="388">
        <v>90000</v>
      </c>
      <c r="J319" s="380">
        <v>3</v>
      </c>
      <c r="K319" s="389">
        <f t="shared" si="14"/>
        <v>30000</v>
      </c>
      <c r="L319" s="381">
        <v>45901</v>
      </c>
      <c r="M319" s="381">
        <v>46265</v>
      </c>
      <c r="N319" s="363" t="s">
        <v>520</v>
      </c>
      <c r="O319" s="380" t="s">
        <v>1285</v>
      </c>
      <c r="P319" s="380"/>
      <c r="Q319" s="390" t="s">
        <v>345</v>
      </c>
      <c r="R319" s="363" t="s">
        <v>1286</v>
      </c>
      <c r="S319" s="390" t="s">
        <v>347</v>
      </c>
      <c r="T319" s="363" t="s">
        <v>1287</v>
      </c>
      <c r="U319" s="363" t="s">
        <v>348</v>
      </c>
      <c r="V319" s="363"/>
      <c r="W319" s="363"/>
      <c r="X319" s="363"/>
      <c r="Y319" s="363"/>
      <c r="Z319" s="363"/>
      <c r="AA319" s="363"/>
      <c r="AB319" s="363"/>
      <c r="AC319" s="363" t="s">
        <v>183</v>
      </c>
      <c r="AD319" s="380" t="s">
        <v>97</v>
      </c>
      <c r="AE319" s="380">
        <v>2</v>
      </c>
      <c r="AF319" s="363" t="s">
        <v>1272</v>
      </c>
    </row>
    <row r="320" spans="2:32" ht="15" hidden="1" customHeight="1" x14ac:dyDescent="0.3">
      <c r="B320" s="380" t="s">
        <v>14</v>
      </c>
      <c r="C320" s="409" t="s">
        <v>1288</v>
      </c>
      <c r="D320" s="423" t="s">
        <v>1114</v>
      </c>
      <c r="E320" s="380">
        <v>4504881247</v>
      </c>
      <c r="F320" s="387">
        <v>45917</v>
      </c>
      <c r="G320" s="380" t="s">
        <v>55</v>
      </c>
      <c r="H320" s="380">
        <v>10</v>
      </c>
      <c r="I320" s="388">
        <v>850000</v>
      </c>
      <c r="J320" s="380">
        <v>4</v>
      </c>
      <c r="K320" s="389">
        <f t="shared" si="14"/>
        <v>212500</v>
      </c>
      <c r="L320" s="381">
        <v>45901</v>
      </c>
      <c r="M320" s="381">
        <v>46265</v>
      </c>
      <c r="N320" s="363" t="s">
        <v>520</v>
      </c>
      <c r="O320" s="380" t="s">
        <v>1285</v>
      </c>
      <c r="P320" s="380"/>
      <c r="Q320" s="390" t="s">
        <v>1131</v>
      </c>
      <c r="R320" s="363" t="s">
        <v>247</v>
      </c>
      <c r="S320" s="390" t="s">
        <v>1133</v>
      </c>
      <c r="T320" s="363" t="s">
        <v>747</v>
      </c>
      <c r="U320" s="390" t="s">
        <v>1134</v>
      </c>
      <c r="V320" s="363" t="s">
        <v>1289</v>
      </c>
      <c r="W320" s="363" t="s">
        <v>1244</v>
      </c>
      <c r="X320" s="363"/>
      <c r="Y320" s="363"/>
      <c r="Z320" s="363"/>
      <c r="AA320" s="363"/>
      <c r="AB320" s="363"/>
      <c r="AC320" s="363" t="s">
        <v>183</v>
      </c>
      <c r="AD320" s="380" t="s">
        <v>97</v>
      </c>
      <c r="AE320" s="380">
        <v>4</v>
      </c>
      <c r="AF320" s="363" t="s">
        <v>1290</v>
      </c>
    </row>
    <row r="321" spans="1:32" ht="15" hidden="1" customHeight="1" x14ac:dyDescent="0.3">
      <c r="B321" s="380" t="s">
        <v>14</v>
      </c>
      <c r="C321" s="409" t="s">
        <v>1291</v>
      </c>
      <c r="D321" s="423" t="s">
        <v>176</v>
      </c>
      <c r="E321" s="380">
        <v>5600003069</v>
      </c>
      <c r="F321" s="387">
        <v>45890</v>
      </c>
      <c r="G321" s="380" t="s">
        <v>55</v>
      </c>
      <c r="H321" s="380">
        <v>1</v>
      </c>
      <c r="I321" s="388">
        <v>94500</v>
      </c>
      <c r="J321" s="380">
        <v>2</v>
      </c>
      <c r="K321" s="389">
        <f t="shared" si="14"/>
        <v>47250</v>
      </c>
      <c r="L321" s="381">
        <v>45901</v>
      </c>
      <c r="M321" s="381">
        <v>46265</v>
      </c>
      <c r="N321" s="363" t="s">
        <v>998</v>
      </c>
      <c r="O321" s="380" t="s">
        <v>1285</v>
      </c>
      <c r="P321" s="380" t="s">
        <v>1</v>
      </c>
      <c r="Q321" s="390" t="s">
        <v>625</v>
      </c>
      <c r="R321" s="363" t="s">
        <v>1091</v>
      </c>
      <c r="S321" s="363" t="s">
        <v>1235</v>
      </c>
      <c r="T321" s="363"/>
      <c r="U321" s="363"/>
      <c r="V321" s="363"/>
      <c r="W321" s="363"/>
      <c r="X321" s="363"/>
      <c r="Y321" s="363"/>
      <c r="Z321" s="363"/>
      <c r="AA321" s="363"/>
      <c r="AB321" s="363"/>
      <c r="AC321" s="363" t="s">
        <v>183</v>
      </c>
      <c r="AD321" s="380" t="s">
        <v>97</v>
      </c>
      <c r="AE321" s="380">
        <v>2</v>
      </c>
      <c r="AF321" s="363" t="s">
        <v>1292</v>
      </c>
    </row>
    <row r="322" spans="1:32" ht="15" hidden="1" customHeight="1" x14ac:dyDescent="0.3">
      <c r="B322" s="380" t="s">
        <v>14</v>
      </c>
      <c r="C322" s="478" t="s">
        <v>508</v>
      </c>
      <c r="D322" s="437" t="s">
        <v>866</v>
      </c>
      <c r="E322" s="425" t="s">
        <v>1293</v>
      </c>
      <c r="F322" s="415">
        <v>45926</v>
      </c>
      <c r="G322" s="380" t="s">
        <v>55</v>
      </c>
      <c r="H322" s="380">
        <v>1</v>
      </c>
      <c r="I322" s="388">
        <v>89000</v>
      </c>
      <c r="J322" s="380">
        <v>3</v>
      </c>
      <c r="K322" s="389">
        <f t="shared" si="14"/>
        <v>29666.666666666668</v>
      </c>
      <c r="L322" s="381">
        <v>45931</v>
      </c>
      <c r="M322" s="381">
        <v>46295</v>
      </c>
      <c r="N322" s="363" t="s">
        <v>520</v>
      </c>
      <c r="O322" s="380" t="s">
        <v>1285</v>
      </c>
      <c r="P322" s="380"/>
      <c r="Q322" s="390" t="s">
        <v>83</v>
      </c>
      <c r="R322" s="363" t="s">
        <v>1294</v>
      </c>
      <c r="S322" s="390" t="s">
        <v>404</v>
      </c>
      <c r="T322" s="363" t="s">
        <v>1295</v>
      </c>
      <c r="U322" s="363" t="s">
        <v>406</v>
      </c>
      <c r="V322" s="363" t="s">
        <v>1045</v>
      </c>
      <c r="W322" s="363"/>
      <c r="X322" s="363"/>
      <c r="Y322" s="363"/>
      <c r="Z322" s="363"/>
      <c r="AA322" s="363"/>
      <c r="AB322" s="363"/>
      <c r="AC322" s="363" t="s">
        <v>96</v>
      </c>
      <c r="AD322" s="380" t="s">
        <v>97</v>
      </c>
      <c r="AE322" s="380" t="s">
        <v>494</v>
      </c>
      <c r="AF322" s="430" t="s">
        <v>1861</v>
      </c>
    </row>
    <row r="323" spans="1:32" ht="15" hidden="1" customHeight="1" x14ac:dyDescent="0.3">
      <c r="B323" s="380" t="s">
        <v>14</v>
      </c>
      <c r="C323" s="412" t="s">
        <v>1297</v>
      </c>
      <c r="D323" s="437" t="s">
        <v>1298</v>
      </c>
      <c r="E323" s="479" t="s">
        <v>1299</v>
      </c>
      <c r="F323" s="415">
        <v>45934</v>
      </c>
      <c r="G323" s="380" t="s">
        <v>55</v>
      </c>
      <c r="H323" s="380">
        <v>3</v>
      </c>
      <c r="I323" s="388">
        <v>303600</v>
      </c>
      <c r="J323" s="380">
        <v>3</v>
      </c>
      <c r="K323" s="389">
        <f t="shared" si="14"/>
        <v>101200</v>
      </c>
      <c r="L323" s="381">
        <v>45931</v>
      </c>
      <c r="M323" s="381">
        <v>46295</v>
      </c>
      <c r="N323" s="363" t="s">
        <v>520</v>
      </c>
      <c r="O323" s="380" t="s">
        <v>1285</v>
      </c>
      <c r="P323" s="380"/>
      <c r="Q323" s="390" t="s">
        <v>83</v>
      </c>
      <c r="R323" s="363" t="s">
        <v>417</v>
      </c>
      <c r="S323" s="390" t="s">
        <v>404</v>
      </c>
      <c r="T323" s="363" t="s">
        <v>1723</v>
      </c>
      <c r="U323" s="363" t="s">
        <v>406</v>
      </c>
      <c r="V323" s="363"/>
      <c r="W323" s="363"/>
      <c r="X323" s="363"/>
      <c r="Y323" s="363"/>
      <c r="Z323" s="363"/>
      <c r="AA323" s="363"/>
      <c r="AB323" s="363"/>
      <c r="AC323" s="363" t="s">
        <v>834</v>
      </c>
      <c r="AD323" s="380" t="s">
        <v>207</v>
      </c>
      <c r="AE323" s="380">
        <v>3</v>
      </c>
      <c r="AF323" s="386" t="s">
        <v>667</v>
      </c>
    </row>
    <row r="324" spans="1:32" ht="15" hidden="1" customHeight="1" x14ac:dyDescent="0.3">
      <c r="B324" s="380" t="s">
        <v>14</v>
      </c>
      <c r="C324" s="478" t="s">
        <v>1300</v>
      </c>
      <c r="D324" s="480" t="s">
        <v>841</v>
      </c>
      <c r="E324" s="481" t="s">
        <v>1301</v>
      </c>
      <c r="F324" s="415">
        <v>45937</v>
      </c>
      <c r="G324" s="380" t="s">
        <v>55</v>
      </c>
      <c r="H324" s="380">
        <v>1</v>
      </c>
      <c r="I324" s="388">
        <v>52800</v>
      </c>
      <c r="J324" s="380">
        <v>1</v>
      </c>
      <c r="K324" s="389">
        <f t="shared" si="14"/>
        <v>52800</v>
      </c>
      <c r="L324" s="381">
        <v>45931</v>
      </c>
      <c r="M324" s="381">
        <v>46295</v>
      </c>
      <c r="N324" s="363" t="s">
        <v>520</v>
      </c>
      <c r="O324" s="380" t="s">
        <v>1285</v>
      </c>
      <c r="P324" s="380"/>
      <c r="Q324" s="363" t="s">
        <v>1302</v>
      </c>
      <c r="R324" s="363"/>
      <c r="S324" s="363"/>
      <c r="T324" s="363"/>
      <c r="U324" s="363"/>
      <c r="V324" s="363"/>
      <c r="W324" s="363"/>
      <c r="X324" s="363"/>
      <c r="Y324" s="363"/>
      <c r="Z324" s="363"/>
      <c r="AA324" s="363"/>
      <c r="AB324" s="363"/>
      <c r="AC324" s="363" t="s">
        <v>485</v>
      </c>
      <c r="AD324" s="380" t="s">
        <v>63</v>
      </c>
      <c r="AE324" s="380">
        <v>2</v>
      </c>
      <c r="AF324" s="386" t="s">
        <v>1303</v>
      </c>
    </row>
    <row r="325" spans="1:32" ht="15" hidden="1" customHeight="1" x14ac:dyDescent="0.3">
      <c r="A325" s="469"/>
      <c r="B325" s="380" t="s">
        <v>14</v>
      </c>
      <c r="C325" s="482" t="s">
        <v>1304</v>
      </c>
      <c r="D325" s="483" t="s">
        <v>906</v>
      </c>
      <c r="E325" s="468">
        <v>2400019724</v>
      </c>
      <c r="F325" s="387">
        <v>45938</v>
      </c>
      <c r="G325" s="407" t="s">
        <v>703</v>
      </c>
      <c r="H325" s="380">
        <v>1</v>
      </c>
      <c r="I325" s="388">
        <v>350000</v>
      </c>
      <c r="J325" s="380">
        <v>3</v>
      </c>
      <c r="K325" s="389">
        <f>I325/2</f>
        <v>175000</v>
      </c>
      <c r="L325" s="381">
        <v>45938</v>
      </c>
      <c r="M325" s="381">
        <v>46302</v>
      </c>
      <c r="N325" s="363" t="s">
        <v>520</v>
      </c>
      <c r="O325" s="380" t="s">
        <v>1285</v>
      </c>
      <c r="P325" s="380"/>
      <c r="Q325" s="390" t="s">
        <v>1305</v>
      </c>
      <c r="R325" s="363" t="s">
        <v>1306</v>
      </c>
      <c r="S325" s="390" t="s">
        <v>1307</v>
      </c>
      <c r="T325" s="363" t="s">
        <v>1308</v>
      </c>
      <c r="U325" s="363" t="s">
        <v>1309</v>
      </c>
      <c r="V325" s="363" t="s">
        <v>1724</v>
      </c>
      <c r="W325" s="363"/>
      <c r="X325" s="363"/>
      <c r="Y325" s="363"/>
      <c r="Z325" s="363"/>
      <c r="AA325" s="363"/>
      <c r="AB325" s="363"/>
      <c r="AC325" s="363" t="s">
        <v>834</v>
      </c>
      <c r="AD325" s="380" t="s">
        <v>207</v>
      </c>
      <c r="AE325" s="380" t="s">
        <v>1310</v>
      </c>
      <c r="AF325" s="363" t="s">
        <v>1311</v>
      </c>
    </row>
    <row r="326" spans="1:32" ht="15" hidden="1" customHeight="1" x14ac:dyDescent="0.3">
      <c r="B326" s="380" t="s">
        <v>14</v>
      </c>
      <c r="C326" s="409" t="s">
        <v>1312</v>
      </c>
      <c r="D326" s="386" t="s">
        <v>1313</v>
      </c>
      <c r="E326" s="397">
        <v>2800095345</v>
      </c>
      <c r="F326" s="387">
        <v>45947</v>
      </c>
      <c r="G326" s="380" t="s">
        <v>643</v>
      </c>
      <c r="H326" s="380">
        <v>2</v>
      </c>
      <c r="I326" s="388">
        <v>172872</v>
      </c>
      <c r="J326" s="380">
        <v>2</v>
      </c>
      <c r="K326" s="389">
        <f t="shared" ref="K326:K338" si="15">I326/J326</f>
        <v>86436</v>
      </c>
      <c r="L326" s="381">
        <v>45931</v>
      </c>
      <c r="M326" s="381">
        <v>46295</v>
      </c>
      <c r="N326" s="363" t="s">
        <v>520</v>
      </c>
      <c r="O326" s="380" t="s">
        <v>1285</v>
      </c>
      <c r="P326" s="380"/>
      <c r="Q326" s="390" t="s">
        <v>465</v>
      </c>
      <c r="R326" s="363" t="s">
        <v>1314</v>
      </c>
      <c r="S326" s="363" t="s">
        <v>467</v>
      </c>
      <c r="T326" s="363"/>
      <c r="U326" s="363"/>
      <c r="V326" s="363"/>
      <c r="W326" s="363"/>
      <c r="X326" s="363"/>
      <c r="Y326" s="363"/>
      <c r="Z326" s="363"/>
      <c r="AA326" s="363"/>
      <c r="AB326" s="363"/>
      <c r="AC326" s="363" t="s">
        <v>96</v>
      </c>
      <c r="AD326" s="380" t="s">
        <v>97</v>
      </c>
      <c r="AE326" s="380">
        <v>6</v>
      </c>
      <c r="AF326" s="363" t="s">
        <v>667</v>
      </c>
    </row>
    <row r="327" spans="1:32" ht="15" hidden="1" customHeight="1" x14ac:dyDescent="0.3">
      <c r="B327" s="380" t="s">
        <v>14</v>
      </c>
      <c r="C327" s="482" t="s">
        <v>905</v>
      </c>
      <c r="D327" s="483" t="s">
        <v>545</v>
      </c>
      <c r="E327" s="468">
        <v>1100035324</v>
      </c>
      <c r="F327" s="387">
        <v>45938</v>
      </c>
      <c r="G327" s="380" t="s">
        <v>643</v>
      </c>
      <c r="H327" s="380">
        <v>2</v>
      </c>
      <c r="I327" s="388">
        <v>142500</v>
      </c>
      <c r="J327" s="380">
        <v>2</v>
      </c>
      <c r="K327" s="389">
        <f t="shared" si="15"/>
        <v>71250</v>
      </c>
      <c r="L327" s="381">
        <v>45962</v>
      </c>
      <c r="M327" s="381">
        <v>46326</v>
      </c>
      <c r="N327" s="363" t="s">
        <v>520</v>
      </c>
      <c r="O327" s="380" t="s">
        <v>1285</v>
      </c>
      <c r="P327" s="380"/>
      <c r="Q327" s="390" t="s">
        <v>330</v>
      </c>
      <c r="R327" s="363" t="s">
        <v>441</v>
      </c>
      <c r="S327" s="363" t="s">
        <v>1315</v>
      </c>
      <c r="T327" s="363"/>
      <c r="U327" s="363"/>
      <c r="V327" s="363"/>
      <c r="W327" s="363"/>
      <c r="X327" s="363"/>
      <c r="Y327" s="363"/>
      <c r="Z327" s="363"/>
      <c r="AA327" s="363"/>
      <c r="AB327" s="363"/>
      <c r="AC327" s="363" t="s">
        <v>551</v>
      </c>
      <c r="AD327" s="380" t="s">
        <v>207</v>
      </c>
      <c r="AE327" s="380">
        <v>3</v>
      </c>
      <c r="AF327" s="363" t="s">
        <v>667</v>
      </c>
    </row>
    <row r="328" spans="1:32" ht="15" hidden="1" customHeight="1" x14ac:dyDescent="0.3">
      <c r="B328" s="380" t="s">
        <v>14</v>
      </c>
      <c r="C328" s="482" t="s">
        <v>1316</v>
      </c>
      <c r="D328" s="483" t="s">
        <v>1317</v>
      </c>
      <c r="E328" s="468" t="s">
        <v>1318</v>
      </c>
      <c r="F328" s="387">
        <v>45918</v>
      </c>
      <c r="G328" s="380" t="s">
        <v>643</v>
      </c>
      <c r="H328" s="380">
        <v>2</v>
      </c>
      <c r="I328" s="388">
        <v>160000</v>
      </c>
      <c r="J328" s="380">
        <v>2</v>
      </c>
      <c r="K328" s="389">
        <f t="shared" si="15"/>
        <v>80000</v>
      </c>
      <c r="L328" s="381">
        <v>45901</v>
      </c>
      <c r="M328" s="381">
        <v>46265</v>
      </c>
      <c r="N328" s="363" t="s">
        <v>19</v>
      </c>
      <c r="O328" s="380" t="s">
        <v>13</v>
      </c>
      <c r="P328" s="380"/>
      <c r="Q328" s="390" t="s">
        <v>625</v>
      </c>
      <c r="R328" s="363" t="s">
        <v>765</v>
      </c>
      <c r="S328" s="390" t="s">
        <v>1235</v>
      </c>
      <c r="T328" s="363" t="s">
        <v>1862</v>
      </c>
      <c r="U328" s="363"/>
      <c r="V328" s="363"/>
      <c r="W328" s="363"/>
      <c r="X328" s="363"/>
      <c r="Y328" s="363"/>
      <c r="Z328" s="363"/>
      <c r="AA328" s="363"/>
      <c r="AB328" s="363"/>
      <c r="AC328" s="363" t="s">
        <v>478</v>
      </c>
      <c r="AD328" s="380" t="s">
        <v>63</v>
      </c>
      <c r="AE328" s="380">
        <v>3</v>
      </c>
      <c r="AF328" s="363" t="s">
        <v>1319</v>
      </c>
    </row>
    <row r="329" spans="1:32" ht="15" hidden="1" customHeight="1" x14ac:dyDescent="0.3">
      <c r="B329" s="380" t="s">
        <v>14</v>
      </c>
      <c r="C329" s="482" t="s">
        <v>658</v>
      </c>
      <c r="D329" s="483" t="s">
        <v>1320</v>
      </c>
      <c r="E329" s="468" t="s">
        <v>1321</v>
      </c>
      <c r="F329" s="387">
        <v>45953</v>
      </c>
      <c r="G329" s="407" t="s">
        <v>703</v>
      </c>
      <c r="H329" s="380">
        <v>1</v>
      </c>
      <c r="I329" s="388">
        <v>460000</v>
      </c>
      <c r="J329" s="380">
        <v>4</v>
      </c>
      <c r="K329" s="389">
        <f t="shared" si="15"/>
        <v>115000</v>
      </c>
      <c r="L329" s="381">
        <v>45962</v>
      </c>
      <c r="M329" s="381">
        <v>46326</v>
      </c>
      <c r="N329" s="363" t="s">
        <v>520</v>
      </c>
      <c r="O329" s="380" t="s">
        <v>1285</v>
      </c>
      <c r="P329" s="380"/>
      <c r="Q329" s="390" t="s">
        <v>269</v>
      </c>
      <c r="R329" s="363" t="s">
        <v>653</v>
      </c>
      <c r="S329" s="390" t="s">
        <v>442</v>
      </c>
      <c r="T329" s="363" t="s">
        <v>1322</v>
      </c>
      <c r="U329" s="363" t="s">
        <v>444</v>
      </c>
      <c r="V329" s="363"/>
      <c r="W329" s="363" t="s">
        <v>445</v>
      </c>
      <c r="X329" s="363"/>
      <c r="Y329" s="363"/>
      <c r="Z329" s="363"/>
      <c r="AA329" s="363"/>
      <c r="AB329" s="363"/>
      <c r="AC329" s="363" t="s">
        <v>183</v>
      </c>
      <c r="AD329" s="380" t="s">
        <v>968</v>
      </c>
      <c r="AE329" s="380" t="s">
        <v>494</v>
      </c>
      <c r="AF329" s="363" t="s">
        <v>1323</v>
      </c>
    </row>
    <row r="330" spans="1:32" ht="15" hidden="1" customHeight="1" x14ac:dyDescent="0.3">
      <c r="B330" s="380" t="s">
        <v>14</v>
      </c>
      <c r="C330" s="482" t="s">
        <v>905</v>
      </c>
      <c r="D330" s="483" t="s">
        <v>151</v>
      </c>
      <c r="E330" s="468">
        <v>1100035470</v>
      </c>
      <c r="F330" s="387">
        <v>45959</v>
      </c>
      <c r="G330" s="380" t="s">
        <v>643</v>
      </c>
      <c r="H330" s="380">
        <v>2</v>
      </c>
      <c r="I330" s="388">
        <v>134000</v>
      </c>
      <c r="J330" s="380">
        <v>2</v>
      </c>
      <c r="K330" s="389">
        <f t="shared" si="15"/>
        <v>67000</v>
      </c>
      <c r="L330" s="381">
        <v>45870</v>
      </c>
      <c r="M330" s="381">
        <v>46234</v>
      </c>
      <c r="N330" s="363" t="s">
        <v>520</v>
      </c>
      <c r="O330" s="380" t="s">
        <v>1285</v>
      </c>
      <c r="P330" s="380"/>
      <c r="Q330" s="390" t="s">
        <v>424</v>
      </c>
      <c r="R330" s="363" t="s">
        <v>1324</v>
      </c>
      <c r="S330" s="363" t="s">
        <v>426</v>
      </c>
      <c r="T330" s="363"/>
      <c r="U330" s="363"/>
      <c r="V330" s="363"/>
      <c r="W330" s="363"/>
      <c r="X330" s="363"/>
      <c r="Y330" s="363"/>
      <c r="Z330" s="363"/>
      <c r="AA330" s="363"/>
      <c r="AB330" s="363"/>
      <c r="AC330" s="363" t="s">
        <v>1325</v>
      </c>
      <c r="AD330" s="380" t="s">
        <v>63</v>
      </c>
      <c r="AE330" s="380">
        <v>3</v>
      </c>
      <c r="AF330" s="363" t="s">
        <v>667</v>
      </c>
    </row>
    <row r="331" spans="1:32" ht="15" hidden="1" customHeight="1" x14ac:dyDescent="0.3">
      <c r="B331" s="380" t="s">
        <v>14</v>
      </c>
      <c r="C331" s="409" t="s">
        <v>1326</v>
      </c>
      <c r="D331" s="423" t="s">
        <v>151</v>
      </c>
      <c r="E331" s="380">
        <v>700672062</v>
      </c>
      <c r="F331" s="387">
        <v>45957</v>
      </c>
      <c r="G331" s="380" t="s">
        <v>643</v>
      </c>
      <c r="H331" s="380">
        <v>3</v>
      </c>
      <c r="I331" s="388">
        <f>96000*3</f>
        <v>288000</v>
      </c>
      <c r="J331" s="380">
        <v>3</v>
      </c>
      <c r="K331" s="389">
        <f t="shared" si="15"/>
        <v>96000</v>
      </c>
      <c r="L331" s="381">
        <v>45870</v>
      </c>
      <c r="M331" s="381">
        <v>46234</v>
      </c>
      <c r="N331" s="363" t="s">
        <v>520</v>
      </c>
      <c r="O331" s="380" t="s">
        <v>1285</v>
      </c>
      <c r="P331" s="380"/>
      <c r="Q331" s="390" t="s">
        <v>665</v>
      </c>
      <c r="R331" s="363" t="s">
        <v>73</v>
      </c>
      <c r="S331" s="390" t="s">
        <v>361</v>
      </c>
      <c r="T331" s="363" t="s">
        <v>1239</v>
      </c>
      <c r="U331" s="363" t="s">
        <v>1080</v>
      </c>
      <c r="V331" s="363"/>
      <c r="W331" s="363"/>
      <c r="X331" s="363"/>
      <c r="Y331" s="363"/>
      <c r="Z331" s="363"/>
      <c r="AA331" s="363"/>
      <c r="AB331" s="363"/>
      <c r="AC331" s="363" t="s">
        <v>507</v>
      </c>
      <c r="AD331" s="380" t="s">
        <v>63</v>
      </c>
      <c r="AE331" s="380">
        <v>3</v>
      </c>
      <c r="AF331" s="363" t="s">
        <v>1327</v>
      </c>
    </row>
    <row r="332" spans="1:32" ht="15" hidden="1" customHeight="1" x14ac:dyDescent="0.3">
      <c r="B332" s="380" t="s">
        <v>14</v>
      </c>
      <c r="C332" s="478" t="s">
        <v>1328</v>
      </c>
      <c r="D332" s="480" t="s">
        <v>841</v>
      </c>
      <c r="E332" s="481">
        <v>470075997</v>
      </c>
      <c r="F332" s="415">
        <v>45936</v>
      </c>
      <c r="G332" s="380" t="s">
        <v>643</v>
      </c>
      <c r="H332" s="380">
        <v>2</v>
      </c>
      <c r="I332" s="388">
        <v>176000</v>
      </c>
      <c r="J332" s="380">
        <v>1</v>
      </c>
      <c r="K332" s="389">
        <f t="shared" si="15"/>
        <v>176000</v>
      </c>
      <c r="L332" s="381">
        <v>45955</v>
      </c>
      <c r="M332" s="381">
        <v>46319</v>
      </c>
      <c r="N332" s="363" t="s">
        <v>520</v>
      </c>
      <c r="O332" s="380" t="s">
        <v>1285</v>
      </c>
      <c r="P332" s="380"/>
      <c r="Q332" s="363" t="s">
        <v>1329</v>
      </c>
      <c r="R332" s="363"/>
      <c r="S332" s="363"/>
      <c r="T332" s="363"/>
      <c r="U332" s="363"/>
      <c r="V332" s="363"/>
      <c r="W332" s="363"/>
      <c r="X332" s="363"/>
      <c r="Y332" s="363"/>
      <c r="Z332" s="363"/>
      <c r="AA332" s="363"/>
      <c r="AB332" s="363"/>
      <c r="AC332" s="363" t="s">
        <v>485</v>
      </c>
      <c r="AD332" s="380" t="s">
        <v>63</v>
      </c>
      <c r="AE332" s="380">
        <v>2</v>
      </c>
      <c r="AF332" s="363" t="s">
        <v>1127</v>
      </c>
    </row>
    <row r="333" spans="1:32" ht="15" hidden="1" customHeight="1" x14ac:dyDescent="0.3">
      <c r="B333" s="380" t="s">
        <v>14</v>
      </c>
      <c r="C333" s="409" t="s">
        <v>1330</v>
      </c>
      <c r="D333" s="423" t="s">
        <v>1230</v>
      </c>
      <c r="E333" s="408" t="s">
        <v>1331</v>
      </c>
      <c r="F333" s="387">
        <v>45955</v>
      </c>
      <c r="G333" s="380" t="s">
        <v>643</v>
      </c>
      <c r="H333" s="380">
        <v>1</v>
      </c>
      <c r="I333" s="388">
        <v>109200</v>
      </c>
      <c r="J333" s="380">
        <v>3</v>
      </c>
      <c r="K333" s="389">
        <f t="shared" si="15"/>
        <v>36400</v>
      </c>
      <c r="L333" s="381">
        <v>45950</v>
      </c>
      <c r="M333" s="381">
        <v>46314</v>
      </c>
      <c r="N333" s="363" t="s">
        <v>520</v>
      </c>
      <c r="O333" s="380" t="s">
        <v>1285</v>
      </c>
      <c r="P333" s="380"/>
      <c r="Q333" s="390" t="s">
        <v>1332</v>
      </c>
      <c r="R333" s="363" t="s">
        <v>1009</v>
      </c>
      <c r="S333" s="390" t="s">
        <v>1333</v>
      </c>
      <c r="T333" s="363" t="s">
        <v>1849</v>
      </c>
      <c r="U333" s="363" t="s">
        <v>1334</v>
      </c>
      <c r="V333" s="363"/>
      <c r="W333" s="363"/>
      <c r="X333" s="363"/>
      <c r="Y333" s="363"/>
      <c r="Z333" s="363"/>
      <c r="AA333" s="363"/>
      <c r="AB333" s="363"/>
      <c r="AC333" s="363" t="s">
        <v>96</v>
      </c>
      <c r="AD333" s="380" t="s">
        <v>968</v>
      </c>
      <c r="AE333" s="380">
        <v>3</v>
      </c>
      <c r="AF333" s="363" t="s">
        <v>1335</v>
      </c>
    </row>
    <row r="334" spans="1:32" ht="15" hidden="1" customHeight="1" x14ac:dyDescent="0.3">
      <c r="B334" s="380" t="s">
        <v>14</v>
      </c>
      <c r="C334" s="412" t="s">
        <v>1336</v>
      </c>
      <c r="D334" s="437" t="s">
        <v>388</v>
      </c>
      <c r="E334" s="425">
        <v>3800044370</v>
      </c>
      <c r="F334" s="415">
        <v>45964</v>
      </c>
      <c r="G334" s="380" t="s">
        <v>643</v>
      </c>
      <c r="H334" s="380">
        <v>2</v>
      </c>
      <c r="I334" s="388">
        <v>148500</v>
      </c>
      <c r="J334" s="380">
        <v>2</v>
      </c>
      <c r="K334" s="389">
        <f t="shared" si="15"/>
        <v>74250</v>
      </c>
      <c r="L334" s="381">
        <v>45870</v>
      </c>
      <c r="M334" s="381">
        <v>46234</v>
      </c>
      <c r="N334" s="363" t="s">
        <v>19</v>
      </c>
      <c r="O334" s="380" t="s">
        <v>11</v>
      </c>
      <c r="P334" s="380"/>
      <c r="Q334" s="390" t="s">
        <v>424</v>
      </c>
      <c r="R334" s="363" t="s">
        <v>626</v>
      </c>
      <c r="S334" s="390" t="s">
        <v>426</v>
      </c>
      <c r="T334" s="363" t="s">
        <v>1855</v>
      </c>
      <c r="U334" s="363"/>
      <c r="V334" s="363"/>
      <c r="W334" s="363"/>
      <c r="X334" s="363"/>
      <c r="Y334" s="363"/>
      <c r="Z334" s="363"/>
      <c r="AA334" s="363"/>
      <c r="AB334" s="363"/>
      <c r="AC334" s="363" t="s">
        <v>478</v>
      </c>
      <c r="AD334" s="380" t="s">
        <v>63</v>
      </c>
      <c r="AE334" s="380">
        <v>2</v>
      </c>
      <c r="AF334" s="363" t="s">
        <v>799</v>
      </c>
    </row>
    <row r="335" spans="1:32" ht="15" hidden="1" customHeight="1" x14ac:dyDescent="0.3">
      <c r="B335" s="380" t="s">
        <v>14</v>
      </c>
      <c r="C335" s="430" t="s">
        <v>527</v>
      </c>
      <c r="D335" s="445" t="s">
        <v>131</v>
      </c>
      <c r="E335" s="419">
        <v>7001113889</v>
      </c>
      <c r="F335" s="387">
        <v>45964</v>
      </c>
      <c r="G335" s="380" t="s">
        <v>643</v>
      </c>
      <c r="H335" s="380">
        <v>1</v>
      </c>
      <c r="I335" s="388">
        <v>78750</v>
      </c>
      <c r="J335" s="380">
        <v>2</v>
      </c>
      <c r="K335" s="389">
        <f t="shared" si="15"/>
        <v>39375</v>
      </c>
      <c r="L335" s="381">
        <v>45962</v>
      </c>
      <c r="M335" s="381">
        <v>46326</v>
      </c>
      <c r="N335" s="363" t="s">
        <v>520</v>
      </c>
      <c r="O335" s="380" t="s">
        <v>1337</v>
      </c>
      <c r="P335" s="380"/>
      <c r="Q335" s="390" t="s">
        <v>330</v>
      </c>
      <c r="R335" s="363" t="s">
        <v>1338</v>
      </c>
      <c r="S335" s="363" t="s">
        <v>1339</v>
      </c>
      <c r="T335" s="363"/>
      <c r="U335" s="363"/>
      <c r="V335" s="363"/>
      <c r="W335" s="363"/>
      <c r="X335" s="363"/>
      <c r="Y335" s="363"/>
      <c r="Z335" s="363"/>
      <c r="AA335" s="363"/>
      <c r="AB335" s="363"/>
      <c r="AC335" s="363" t="s">
        <v>485</v>
      </c>
      <c r="AD335" s="380" t="s">
        <v>63</v>
      </c>
      <c r="AE335" s="380">
        <v>2</v>
      </c>
      <c r="AF335" s="363" t="s">
        <v>799</v>
      </c>
    </row>
    <row r="336" spans="1:32" ht="15" hidden="1" customHeight="1" x14ac:dyDescent="0.3">
      <c r="B336" s="380" t="s">
        <v>14</v>
      </c>
      <c r="C336" s="409" t="s">
        <v>1340</v>
      </c>
      <c r="D336" s="434" t="s">
        <v>1341</v>
      </c>
      <c r="E336" s="380">
        <v>1443021479</v>
      </c>
      <c r="F336" s="387">
        <v>45961</v>
      </c>
      <c r="G336" s="380" t="s">
        <v>643</v>
      </c>
      <c r="H336" s="380">
        <v>1</v>
      </c>
      <c r="I336" s="388">
        <v>70000</v>
      </c>
      <c r="J336" s="380">
        <v>2</v>
      </c>
      <c r="K336" s="389">
        <f t="shared" si="15"/>
        <v>35000</v>
      </c>
      <c r="L336" s="381">
        <v>45962</v>
      </c>
      <c r="M336" s="381">
        <v>46326</v>
      </c>
      <c r="N336" s="363" t="s">
        <v>520</v>
      </c>
      <c r="O336" s="380" t="s">
        <v>1337</v>
      </c>
      <c r="P336" s="380"/>
      <c r="Q336" s="363" t="s">
        <v>330</v>
      </c>
      <c r="R336" s="363"/>
      <c r="S336" s="363" t="s">
        <v>1339</v>
      </c>
      <c r="T336" s="363"/>
      <c r="U336" s="363"/>
      <c r="V336" s="363"/>
      <c r="W336" s="363"/>
      <c r="X336" s="363"/>
      <c r="Y336" s="363"/>
      <c r="Z336" s="363"/>
      <c r="AA336" s="363"/>
      <c r="AB336" s="363"/>
      <c r="AC336" s="363" t="s">
        <v>478</v>
      </c>
      <c r="AD336" s="380" t="s">
        <v>63</v>
      </c>
      <c r="AE336" s="380">
        <v>2</v>
      </c>
      <c r="AF336" s="363" t="s">
        <v>667</v>
      </c>
    </row>
    <row r="337" spans="2:32" ht="15" hidden="1" customHeight="1" x14ac:dyDescent="0.3">
      <c r="B337" s="380" t="s">
        <v>14</v>
      </c>
      <c r="C337" s="409" t="s">
        <v>1340</v>
      </c>
      <c r="D337" s="434" t="s">
        <v>1341</v>
      </c>
      <c r="E337" s="380">
        <v>1443021480</v>
      </c>
      <c r="F337" s="387">
        <v>45961</v>
      </c>
      <c r="G337" s="380" t="s">
        <v>643</v>
      </c>
      <c r="H337" s="380">
        <v>1</v>
      </c>
      <c r="I337" s="388">
        <v>70000</v>
      </c>
      <c r="J337" s="380">
        <v>2</v>
      </c>
      <c r="K337" s="389">
        <f t="shared" si="15"/>
        <v>35000</v>
      </c>
      <c r="L337" s="381">
        <v>45962</v>
      </c>
      <c r="M337" s="381">
        <v>46326</v>
      </c>
      <c r="N337" s="363" t="s">
        <v>520</v>
      </c>
      <c r="O337" s="380" t="s">
        <v>1337</v>
      </c>
      <c r="P337" s="380"/>
      <c r="Q337" s="363" t="s">
        <v>330</v>
      </c>
      <c r="R337" s="363"/>
      <c r="S337" s="363" t="s">
        <v>1339</v>
      </c>
      <c r="T337" s="363"/>
      <c r="U337" s="363"/>
      <c r="V337" s="363"/>
      <c r="W337" s="363"/>
      <c r="X337" s="363"/>
      <c r="Y337" s="363"/>
      <c r="Z337" s="363"/>
      <c r="AA337" s="363"/>
      <c r="AB337" s="363"/>
      <c r="AC337" s="363" t="s">
        <v>478</v>
      </c>
      <c r="AD337" s="380" t="s">
        <v>63</v>
      </c>
      <c r="AE337" s="380">
        <v>2</v>
      </c>
      <c r="AF337" s="363" t="s">
        <v>667</v>
      </c>
    </row>
    <row r="338" spans="2:32" ht="15" hidden="1" customHeight="1" x14ac:dyDescent="0.3">
      <c r="B338" s="380" t="s">
        <v>14</v>
      </c>
      <c r="C338" s="482" t="s">
        <v>1342</v>
      </c>
      <c r="D338" s="483" t="s">
        <v>447</v>
      </c>
      <c r="E338" s="468">
        <v>1000105113</v>
      </c>
      <c r="F338" s="387">
        <v>45961</v>
      </c>
      <c r="G338" s="380" t="s">
        <v>643</v>
      </c>
      <c r="H338" s="380">
        <v>2</v>
      </c>
      <c r="I338" s="388">
        <v>171712</v>
      </c>
      <c r="J338" s="380">
        <v>3</v>
      </c>
      <c r="K338" s="389">
        <f t="shared" si="15"/>
        <v>57237.333333333336</v>
      </c>
      <c r="L338" s="381">
        <v>45962</v>
      </c>
      <c r="M338" s="381">
        <v>46326</v>
      </c>
      <c r="N338" s="363" t="s">
        <v>520</v>
      </c>
      <c r="O338" s="380" t="s">
        <v>1337</v>
      </c>
      <c r="P338" s="380"/>
      <c r="Q338" s="390" t="s">
        <v>192</v>
      </c>
      <c r="R338" s="363" t="s">
        <v>1343</v>
      </c>
      <c r="S338" s="390" t="s">
        <v>194</v>
      </c>
      <c r="T338" s="363" t="s">
        <v>1725</v>
      </c>
      <c r="U338" s="363" t="s">
        <v>1344</v>
      </c>
      <c r="V338" s="363"/>
      <c r="W338" s="363"/>
      <c r="X338" s="363"/>
      <c r="Y338" s="363"/>
      <c r="Z338" s="363"/>
      <c r="AA338" s="363"/>
      <c r="AB338" s="363"/>
      <c r="AC338" s="363" t="s">
        <v>281</v>
      </c>
      <c r="AD338" s="380" t="s">
        <v>97</v>
      </c>
      <c r="AE338" s="380">
        <v>3</v>
      </c>
      <c r="AF338" s="363" t="s">
        <v>1345</v>
      </c>
    </row>
    <row r="339" spans="2:32" ht="15" hidden="1" customHeight="1" x14ac:dyDescent="0.3">
      <c r="B339" s="380" t="s">
        <v>14</v>
      </c>
      <c r="C339" s="409" t="s">
        <v>1346</v>
      </c>
      <c r="D339" s="483" t="s">
        <v>447</v>
      </c>
      <c r="E339" s="397" t="s">
        <v>1347</v>
      </c>
      <c r="F339" s="387">
        <v>45960</v>
      </c>
      <c r="G339" s="380" t="s">
        <v>643</v>
      </c>
      <c r="H339" s="380">
        <v>13</v>
      </c>
      <c r="I339" s="388">
        <v>1150488</v>
      </c>
      <c r="J339" s="380">
        <v>6</v>
      </c>
      <c r="K339" s="389">
        <f>I339/3</f>
        <v>383496</v>
      </c>
      <c r="L339" s="381">
        <v>45901</v>
      </c>
      <c r="M339" s="381">
        <v>46446</v>
      </c>
      <c r="N339" s="363" t="s">
        <v>520</v>
      </c>
      <c r="O339" s="380" t="s">
        <v>1337</v>
      </c>
      <c r="P339" s="380"/>
      <c r="Q339" s="390" t="s">
        <v>1348</v>
      </c>
      <c r="R339" s="363" t="s">
        <v>1349</v>
      </c>
      <c r="S339" s="390" t="s">
        <v>1133</v>
      </c>
      <c r="T339" s="363" t="s">
        <v>386</v>
      </c>
      <c r="U339" s="390" t="s">
        <v>1134</v>
      </c>
      <c r="V339" s="363" t="s">
        <v>1726</v>
      </c>
      <c r="W339" s="363" t="s">
        <v>1244</v>
      </c>
      <c r="X339" s="363" t="s">
        <v>1350</v>
      </c>
      <c r="Y339" s="363" t="s">
        <v>1245</v>
      </c>
      <c r="Z339" s="363" t="s">
        <v>1351</v>
      </c>
      <c r="AA339" s="363" t="s">
        <v>1246</v>
      </c>
      <c r="AB339" s="363"/>
      <c r="AC339" s="363" t="s">
        <v>281</v>
      </c>
      <c r="AD339" s="380" t="s">
        <v>97</v>
      </c>
      <c r="AE339" s="380">
        <v>3</v>
      </c>
      <c r="AF339" s="363" t="s">
        <v>1352</v>
      </c>
    </row>
    <row r="340" spans="2:32" ht="15" hidden="1" customHeight="1" x14ac:dyDescent="0.3">
      <c r="B340" s="380" t="s">
        <v>14</v>
      </c>
      <c r="C340" s="409" t="s">
        <v>1353</v>
      </c>
      <c r="D340" s="434" t="s">
        <v>1354</v>
      </c>
      <c r="E340" s="472">
        <v>4900003846</v>
      </c>
      <c r="F340" s="387">
        <v>45966</v>
      </c>
      <c r="G340" s="380" t="s">
        <v>643</v>
      </c>
      <c r="H340" s="380">
        <v>1</v>
      </c>
      <c r="I340" s="388">
        <v>85560</v>
      </c>
      <c r="J340" s="380">
        <v>3</v>
      </c>
      <c r="K340" s="389">
        <f t="shared" ref="K340:K371" si="16">I340/J340</f>
        <v>28520</v>
      </c>
      <c r="L340" s="381">
        <v>45932</v>
      </c>
      <c r="M340" s="381">
        <v>46296</v>
      </c>
      <c r="N340" s="363" t="s">
        <v>520</v>
      </c>
      <c r="O340" s="380" t="s">
        <v>1337</v>
      </c>
      <c r="P340" s="380"/>
      <c r="Q340" s="390" t="s">
        <v>1355</v>
      </c>
      <c r="R340" s="363" t="s">
        <v>1105</v>
      </c>
      <c r="S340" s="390" t="s">
        <v>1356</v>
      </c>
      <c r="T340" s="363" t="s">
        <v>1863</v>
      </c>
      <c r="U340" s="363" t="s">
        <v>1357</v>
      </c>
      <c r="V340" s="363"/>
      <c r="W340" s="363"/>
      <c r="X340" s="363"/>
      <c r="Y340" s="363"/>
      <c r="Z340" s="363"/>
      <c r="AA340" s="363"/>
      <c r="AB340" s="363"/>
      <c r="AC340" s="363" t="s">
        <v>485</v>
      </c>
      <c r="AD340" s="380" t="s">
        <v>63</v>
      </c>
      <c r="AE340" s="380">
        <v>4</v>
      </c>
      <c r="AF340" s="363" t="s">
        <v>1358</v>
      </c>
    </row>
    <row r="341" spans="2:32" ht="15" hidden="1" customHeight="1" x14ac:dyDescent="0.3">
      <c r="B341" s="380" t="s">
        <v>14</v>
      </c>
      <c r="C341" s="482" t="s">
        <v>1359</v>
      </c>
      <c r="D341" s="483" t="s">
        <v>1360</v>
      </c>
      <c r="E341" s="468">
        <v>4500035457</v>
      </c>
      <c r="F341" s="387">
        <v>45942</v>
      </c>
      <c r="G341" s="380" t="s">
        <v>643</v>
      </c>
      <c r="H341" s="380">
        <v>1</v>
      </c>
      <c r="I341" s="388">
        <v>175000</v>
      </c>
      <c r="J341" s="380">
        <v>2</v>
      </c>
      <c r="K341" s="389">
        <f t="shared" si="16"/>
        <v>87500</v>
      </c>
      <c r="L341" s="381">
        <v>45942</v>
      </c>
      <c r="M341" s="381">
        <v>46306</v>
      </c>
      <c r="N341" s="363" t="s">
        <v>520</v>
      </c>
      <c r="O341" s="380" t="s">
        <v>1337</v>
      </c>
      <c r="P341" s="380"/>
      <c r="Q341" s="390" t="s">
        <v>1361</v>
      </c>
      <c r="R341" s="381" t="s">
        <v>84</v>
      </c>
      <c r="S341" s="363" t="s">
        <v>1362</v>
      </c>
      <c r="T341" s="363"/>
      <c r="U341" s="363"/>
      <c r="V341" s="363"/>
      <c r="W341" s="363"/>
      <c r="X341" s="363"/>
      <c r="Y341" s="363"/>
      <c r="Z341" s="363"/>
      <c r="AA341" s="363"/>
      <c r="AB341" s="363"/>
      <c r="AC341" s="363" t="s">
        <v>128</v>
      </c>
      <c r="AD341" s="380" t="s">
        <v>129</v>
      </c>
      <c r="AE341" s="380">
        <v>2</v>
      </c>
      <c r="AF341" s="363" t="s">
        <v>1363</v>
      </c>
    </row>
    <row r="342" spans="2:32" ht="15" hidden="1" customHeight="1" x14ac:dyDescent="0.3">
      <c r="B342" s="380" t="s">
        <v>14</v>
      </c>
      <c r="C342" s="409" t="s">
        <v>1364</v>
      </c>
      <c r="D342" s="423" t="s">
        <v>997</v>
      </c>
      <c r="E342" s="484">
        <v>4400000465</v>
      </c>
      <c r="F342" s="387">
        <v>45974</v>
      </c>
      <c r="G342" s="380" t="s">
        <v>643</v>
      </c>
      <c r="H342" s="380">
        <v>3</v>
      </c>
      <c r="I342" s="388">
        <v>300000</v>
      </c>
      <c r="J342" s="380">
        <v>2</v>
      </c>
      <c r="K342" s="389">
        <f t="shared" si="16"/>
        <v>150000</v>
      </c>
      <c r="L342" s="381">
        <v>45962</v>
      </c>
      <c r="M342" s="381">
        <v>46326</v>
      </c>
      <c r="N342" s="363" t="s">
        <v>520</v>
      </c>
      <c r="O342" s="380" t="s">
        <v>1337</v>
      </c>
      <c r="P342" s="380"/>
      <c r="Q342" s="390" t="s">
        <v>330</v>
      </c>
      <c r="R342" s="363" t="s">
        <v>1044</v>
      </c>
      <c r="S342" s="363" t="s">
        <v>1339</v>
      </c>
      <c r="T342" s="363"/>
      <c r="U342" s="363"/>
      <c r="V342" s="363"/>
      <c r="W342" s="363"/>
      <c r="X342" s="363"/>
      <c r="Y342" s="363"/>
      <c r="Z342" s="363"/>
      <c r="AA342" s="363"/>
      <c r="AB342" s="363"/>
      <c r="AC342" s="363" t="s">
        <v>96</v>
      </c>
      <c r="AD342" s="380" t="s">
        <v>97</v>
      </c>
      <c r="AE342" s="380">
        <v>3</v>
      </c>
      <c r="AF342" s="363" t="s">
        <v>1365</v>
      </c>
    </row>
    <row r="343" spans="2:32" ht="15" hidden="1" customHeight="1" x14ac:dyDescent="0.3">
      <c r="B343" s="380" t="s">
        <v>14</v>
      </c>
      <c r="C343" s="409" t="s">
        <v>1011</v>
      </c>
      <c r="D343" s="418" t="s">
        <v>1012</v>
      </c>
      <c r="E343" s="419" t="s">
        <v>1366</v>
      </c>
      <c r="F343" s="387">
        <v>45974</v>
      </c>
      <c r="G343" s="380" t="s">
        <v>643</v>
      </c>
      <c r="H343" s="380">
        <v>1</v>
      </c>
      <c r="I343" s="388">
        <v>55200</v>
      </c>
      <c r="J343" s="380">
        <v>2</v>
      </c>
      <c r="K343" s="389">
        <f t="shared" si="16"/>
        <v>27600</v>
      </c>
      <c r="L343" s="381">
        <v>46023</v>
      </c>
      <c r="M343" s="381">
        <v>46387</v>
      </c>
      <c r="N343" s="363" t="s">
        <v>520</v>
      </c>
      <c r="O343" s="380" t="s">
        <v>1337</v>
      </c>
      <c r="P343" s="380"/>
      <c r="Q343" s="390" t="s">
        <v>607</v>
      </c>
      <c r="R343" s="363" t="s">
        <v>1859</v>
      </c>
      <c r="S343" s="363" t="s">
        <v>608</v>
      </c>
      <c r="T343" s="363"/>
      <c r="U343" s="363"/>
      <c r="V343" s="363"/>
      <c r="W343" s="363"/>
      <c r="X343" s="363"/>
      <c r="Y343" s="363"/>
      <c r="Z343" s="363"/>
      <c r="AA343" s="363"/>
      <c r="AB343" s="363"/>
      <c r="AC343" s="363" t="s">
        <v>619</v>
      </c>
      <c r="AD343" s="380" t="s">
        <v>63</v>
      </c>
      <c r="AE343" s="380" t="s">
        <v>1367</v>
      </c>
      <c r="AF343" s="363" t="s">
        <v>835</v>
      </c>
    </row>
    <row r="344" spans="2:32" ht="15" hidden="1" customHeight="1" x14ac:dyDescent="0.3">
      <c r="B344" s="380" t="s">
        <v>14</v>
      </c>
      <c r="C344" s="409" t="s">
        <v>195</v>
      </c>
      <c r="D344" s="483" t="s">
        <v>447</v>
      </c>
      <c r="E344" s="468" t="s">
        <v>1368</v>
      </c>
      <c r="F344" s="387">
        <v>45978</v>
      </c>
      <c r="G344" s="380" t="s">
        <v>643</v>
      </c>
      <c r="H344" s="380">
        <v>23</v>
      </c>
      <c r="I344" s="388">
        <v>1413120</v>
      </c>
      <c r="J344" s="380">
        <v>4</v>
      </c>
      <c r="K344" s="391">
        <f t="shared" si="16"/>
        <v>353280</v>
      </c>
      <c r="L344" s="381">
        <v>45979</v>
      </c>
      <c r="M344" s="381">
        <v>46343</v>
      </c>
      <c r="N344" s="363" t="s">
        <v>520</v>
      </c>
      <c r="O344" s="380" t="s">
        <v>1337</v>
      </c>
      <c r="P344" s="380"/>
      <c r="Q344" s="390" t="s">
        <v>1369</v>
      </c>
      <c r="R344" s="363" t="s">
        <v>441</v>
      </c>
      <c r="S344" s="390" t="s">
        <v>1370</v>
      </c>
      <c r="T344" s="363" t="s">
        <v>1723</v>
      </c>
      <c r="U344" s="363" t="s">
        <v>1371</v>
      </c>
      <c r="V344" s="363"/>
      <c r="W344" s="363" t="s">
        <v>1372</v>
      </c>
      <c r="X344" s="363"/>
      <c r="Y344" s="363"/>
      <c r="Z344" s="363"/>
      <c r="AA344" s="363"/>
      <c r="AB344" s="363"/>
      <c r="AC344" s="363" t="s">
        <v>96</v>
      </c>
      <c r="AD344" s="380" t="s">
        <v>97</v>
      </c>
      <c r="AE344" s="380" t="s">
        <v>494</v>
      </c>
      <c r="AF344" s="363" t="s">
        <v>667</v>
      </c>
    </row>
    <row r="345" spans="2:32" ht="15" hidden="1" customHeight="1" x14ac:dyDescent="0.3">
      <c r="B345" s="380" t="s">
        <v>14</v>
      </c>
      <c r="C345" s="482" t="s">
        <v>1359</v>
      </c>
      <c r="D345" s="483" t="s">
        <v>1360</v>
      </c>
      <c r="E345" s="468">
        <v>4500035464</v>
      </c>
      <c r="F345" s="387">
        <v>45943</v>
      </c>
      <c r="G345" s="380" t="s">
        <v>643</v>
      </c>
      <c r="H345" s="380">
        <v>2</v>
      </c>
      <c r="I345" s="388">
        <v>175000</v>
      </c>
      <c r="J345" s="380">
        <v>1</v>
      </c>
      <c r="K345" s="389">
        <f t="shared" si="16"/>
        <v>175000</v>
      </c>
      <c r="L345" s="381">
        <v>45943</v>
      </c>
      <c r="M345" s="381">
        <v>46124</v>
      </c>
      <c r="N345" s="363" t="s">
        <v>520</v>
      </c>
      <c r="O345" s="380" t="s">
        <v>1337</v>
      </c>
      <c r="P345" s="380"/>
      <c r="Q345" s="390" t="s">
        <v>1373</v>
      </c>
      <c r="R345" s="363" t="s">
        <v>1374</v>
      </c>
      <c r="S345" s="363"/>
      <c r="T345" s="363"/>
      <c r="U345" s="363"/>
      <c r="V345" s="363"/>
      <c r="W345" s="363"/>
      <c r="X345" s="363"/>
      <c r="Y345" s="363"/>
      <c r="Z345" s="363"/>
      <c r="AA345" s="363"/>
      <c r="AB345" s="363"/>
      <c r="AC345" s="363" t="s">
        <v>128</v>
      </c>
      <c r="AD345" s="380" t="s">
        <v>129</v>
      </c>
      <c r="AE345" s="380">
        <v>2</v>
      </c>
      <c r="AF345" s="363" t="s">
        <v>1272</v>
      </c>
    </row>
    <row r="346" spans="2:32" ht="15" hidden="1" customHeight="1" x14ac:dyDescent="0.3">
      <c r="B346" s="380" t="s">
        <v>14</v>
      </c>
      <c r="C346" s="482" t="s">
        <v>1359</v>
      </c>
      <c r="D346" s="483" t="s">
        <v>1360</v>
      </c>
      <c r="E346" s="468">
        <v>4500035465</v>
      </c>
      <c r="F346" s="387">
        <v>45943</v>
      </c>
      <c r="G346" s="380" t="s">
        <v>643</v>
      </c>
      <c r="H346" s="380">
        <v>2</v>
      </c>
      <c r="I346" s="388">
        <v>175000</v>
      </c>
      <c r="J346" s="380">
        <v>1</v>
      </c>
      <c r="K346" s="389">
        <f t="shared" si="16"/>
        <v>175000</v>
      </c>
      <c r="L346" s="381">
        <v>46125</v>
      </c>
      <c r="M346" s="381">
        <v>46307</v>
      </c>
      <c r="N346" s="363" t="s">
        <v>520</v>
      </c>
      <c r="O346" s="380" t="s">
        <v>1337</v>
      </c>
      <c r="P346" s="380"/>
      <c r="Q346" s="363" t="s">
        <v>1375</v>
      </c>
      <c r="R346" s="363"/>
      <c r="S346" s="363"/>
      <c r="T346" s="363"/>
      <c r="U346" s="363"/>
      <c r="V346" s="363"/>
      <c r="W346" s="363"/>
      <c r="X346" s="363"/>
      <c r="Y346" s="363"/>
      <c r="Z346" s="363"/>
      <c r="AA346" s="363"/>
      <c r="AB346" s="363"/>
      <c r="AC346" s="363" t="s">
        <v>128</v>
      </c>
      <c r="AD346" s="380" t="s">
        <v>129</v>
      </c>
      <c r="AE346" s="380">
        <v>2</v>
      </c>
      <c r="AF346" s="363" t="s">
        <v>1272</v>
      </c>
    </row>
    <row r="347" spans="2:32" ht="15" hidden="1" customHeight="1" x14ac:dyDescent="0.3">
      <c r="B347" s="380" t="s">
        <v>14</v>
      </c>
      <c r="C347" s="485" t="s">
        <v>948</v>
      </c>
      <c r="D347" s="486" t="s">
        <v>987</v>
      </c>
      <c r="E347" s="451">
        <v>948530</v>
      </c>
      <c r="F347" s="387">
        <v>45971</v>
      </c>
      <c r="G347" s="380" t="s">
        <v>643</v>
      </c>
      <c r="H347" s="380">
        <v>1</v>
      </c>
      <c r="I347" s="388">
        <v>18620</v>
      </c>
      <c r="J347" s="380">
        <v>1</v>
      </c>
      <c r="K347" s="389">
        <f t="shared" si="16"/>
        <v>18620</v>
      </c>
      <c r="L347" s="381">
        <v>45931</v>
      </c>
      <c r="M347" s="381">
        <v>46022</v>
      </c>
      <c r="N347" s="363" t="s">
        <v>19</v>
      </c>
      <c r="O347" s="380">
        <v>2025</v>
      </c>
      <c r="P347" s="380"/>
      <c r="Q347" s="390" t="s">
        <v>228</v>
      </c>
      <c r="R347" s="363" t="s">
        <v>967</v>
      </c>
      <c r="S347" s="363"/>
      <c r="T347" s="363"/>
      <c r="U347" s="363"/>
      <c r="V347" s="363"/>
      <c r="W347" s="363"/>
      <c r="X347" s="363"/>
      <c r="Y347" s="363"/>
      <c r="Z347" s="363"/>
      <c r="AA347" s="363"/>
      <c r="AB347" s="363"/>
      <c r="AC347" s="363" t="s">
        <v>551</v>
      </c>
      <c r="AD347" s="380" t="s">
        <v>207</v>
      </c>
      <c r="AE347" s="380"/>
      <c r="AF347" s="363" t="s">
        <v>1272</v>
      </c>
    </row>
    <row r="348" spans="2:32" ht="15" hidden="1" customHeight="1" x14ac:dyDescent="0.3">
      <c r="B348" s="380" t="s">
        <v>14</v>
      </c>
      <c r="C348" s="409" t="s">
        <v>1377</v>
      </c>
      <c r="D348" s="423" t="s">
        <v>151</v>
      </c>
      <c r="E348" s="419">
        <v>4500089503</v>
      </c>
      <c r="F348" s="387">
        <v>45980</v>
      </c>
      <c r="G348" s="380" t="s">
        <v>643</v>
      </c>
      <c r="H348" s="380">
        <v>1</v>
      </c>
      <c r="I348" s="388">
        <v>100008</v>
      </c>
      <c r="J348" s="380">
        <v>3</v>
      </c>
      <c r="K348" s="389">
        <f t="shared" si="16"/>
        <v>33336</v>
      </c>
      <c r="L348" s="381">
        <v>45981</v>
      </c>
      <c r="M348" s="381">
        <v>46345</v>
      </c>
      <c r="N348" s="363" t="s">
        <v>520</v>
      </c>
      <c r="O348" s="380" t="s">
        <v>1337</v>
      </c>
      <c r="P348" s="380"/>
      <c r="Q348" s="390" t="s">
        <v>1378</v>
      </c>
      <c r="R348" s="363" t="s">
        <v>1162</v>
      </c>
      <c r="S348" s="363" t="s">
        <v>1379</v>
      </c>
      <c r="T348" s="363"/>
      <c r="U348" s="363" t="s">
        <v>1380</v>
      </c>
      <c r="V348" s="363"/>
      <c r="W348" s="363"/>
      <c r="X348" s="363"/>
      <c r="Y348" s="363"/>
      <c r="Z348" s="363"/>
      <c r="AA348" s="363"/>
      <c r="AB348" s="363"/>
      <c r="AC348" s="363" t="s">
        <v>507</v>
      </c>
      <c r="AD348" s="380" t="s">
        <v>63</v>
      </c>
      <c r="AE348" s="380">
        <v>3</v>
      </c>
      <c r="AF348" s="363" t="s">
        <v>1272</v>
      </c>
    </row>
    <row r="349" spans="2:32" ht="15" customHeight="1" x14ac:dyDescent="0.3">
      <c r="B349" s="380" t="s">
        <v>14</v>
      </c>
      <c r="C349" s="482" t="s">
        <v>658</v>
      </c>
      <c r="D349" s="483" t="s">
        <v>388</v>
      </c>
      <c r="E349" s="468" t="s">
        <v>1381</v>
      </c>
      <c r="F349" s="387">
        <v>45981</v>
      </c>
      <c r="G349" s="380" t="s">
        <v>643</v>
      </c>
      <c r="H349" s="380">
        <v>3</v>
      </c>
      <c r="I349" s="388">
        <v>204000</v>
      </c>
      <c r="J349" s="380">
        <v>2</v>
      </c>
      <c r="K349" s="391">
        <f t="shared" si="16"/>
        <v>102000</v>
      </c>
      <c r="L349" s="381">
        <v>45809</v>
      </c>
      <c r="M349" s="381">
        <v>46173</v>
      </c>
      <c r="N349" s="363" t="s">
        <v>19</v>
      </c>
      <c r="O349" s="380" t="s">
        <v>9</v>
      </c>
      <c r="P349" s="380"/>
      <c r="Q349" s="390" t="s">
        <v>125</v>
      </c>
      <c r="R349" s="363" t="s">
        <v>346</v>
      </c>
      <c r="S349" s="390" t="s">
        <v>127</v>
      </c>
      <c r="T349" s="363" t="s">
        <v>1852</v>
      </c>
      <c r="U349" s="363"/>
      <c r="V349" s="363"/>
      <c r="W349" s="363"/>
      <c r="X349" s="363"/>
      <c r="Y349" s="363"/>
      <c r="Z349" s="363"/>
      <c r="AA349" s="363"/>
      <c r="AB349" s="363"/>
      <c r="AC349" s="363" t="s">
        <v>478</v>
      </c>
      <c r="AD349" s="380" t="s">
        <v>63</v>
      </c>
      <c r="AE349" s="380">
        <v>3</v>
      </c>
      <c r="AF349" s="363" t="s">
        <v>1272</v>
      </c>
    </row>
    <row r="350" spans="2:32" ht="15" hidden="1" customHeight="1" x14ac:dyDescent="0.3">
      <c r="B350" s="380" t="s">
        <v>14</v>
      </c>
      <c r="C350" s="443" t="s">
        <v>1382</v>
      </c>
      <c r="D350" s="444" t="s">
        <v>1383</v>
      </c>
      <c r="E350" s="426">
        <v>3100343411</v>
      </c>
      <c r="F350" s="387">
        <v>45981</v>
      </c>
      <c r="G350" s="380" t="s">
        <v>643</v>
      </c>
      <c r="H350" s="380">
        <v>1</v>
      </c>
      <c r="I350" s="388">
        <v>55000</v>
      </c>
      <c r="J350" s="380">
        <v>1</v>
      </c>
      <c r="K350" s="389">
        <f t="shared" si="16"/>
        <v>55000</v>
      </c>
      <c r="L350" s="381">
        <v>45870</v>
      </c>
      <c r="M350" s="487">
        <v>46234</v>
      </c>
      <c r="N350" s="363"/>
      <c r="O350" s="387"/>
      <c r="P350" s="380"/>
      <c r="Q350" s="363" t="s">
        <v>1384</v>
      </c>
      <c r="R350" s="363"/>
      <c r="S350" s="363"/>
      <c r="T350" s="363"/>
      <c r="U350" s="363"/>
      <c r="V350" s="363"/>
      <c r="W350" s="363"/>
      <c r="X350" s="363"/>
      <c r="Y350" s="363"/>
      <c r="Z350" s="363"/>
      <c r="AA350" s="363"/>
      <c r="AB350" s="363"/>
      <c r="AC350" s="363" t="s">
        <v>507</v>
      </c>
      <c r="AD350" s="380" t="s">
        <v>63</v>
      </c>
      <c r="AE350" s="380" t="s">
        <v>1367</v>
      </c>
      <c r="AF350" s="363" t="s">
        <v>667</v>
      </c>
    </row>
    <row r="351" spans="2:32" ht="15" hidden="1" customHeight="1" x14ac:dyDescent="0.3">
      <c r="B351" s="380" t="s">
        <v>14</v>
      </c>
      <c r="C351" s="482" t="s">
        <v>1385</v>
      </c>
      <c r="D351" s="483" t="s">
        <v>151</v>
      </c>
      <c r="E351" s="468">
        <v>4500088897</v>
      </c>
      <c r="F351" s="488">
        <v>45958</v>
      </c>
      <c r="G351" s="380" t="s">
        <v>643</v>
      </c>
      <c r="H351" s="380">
        <v>2</v>
      </c>
      <c r="I351" s="388">
        <v>90000</v>
      </c>
      <c r="J351" s="380">
        <v>1</v>
      </c>
      <c r="K351" s="389">
        <f t="shared" si="16"/>
        <v>90000</v>
      </c>
      <c r="L351" s="381">
        <v>45962</v>
      </c>
      <c r="M351" s="381">
        <v>46326</v>
      </c>
      <c r="N351" s="363" t="s">
        <v>520</v>
      </c>
      <c r="O351" s="380" t="s">
        <v>1337</v>
      </c>
      <c r="P351" s="380"/>
      <c r="Q351" s="363" t="s">
        <v>1386</v>
      </c>
      <c r="R351" s="363"/>
      <c r="S351" s="363"/>
      <c r="T351" s="363"/>
      <c r="U351" s="363"/>
      <c r="V351" s="363"/>
      <c r="W351" s="363"/>
      <c r="X351" s="363"/>
      <c r="Y351" s="363"/>
      <c r="Z351" s="363"/>
      <c r="AA351" s="363"/>
      <c r="AB351" s="363"/>
      <c r="AC351" s="363" t="s">
        <v>478</v>
      </c>
      <c r="AD351" s="380" t="s">
        <v>63</v>
      </c>
      <c r="AE351" s="380">
        <v>1</v>
      </c>
      <c r="AF351" s="363" t="s">
        <v>667</v>
      </c>
    </row>
    <row r="352" spans="2:32" ht="15" hidden="1" customHeight="1" x14ac:dyDescent="0.3">
      <c r="B352" s="380" t="s">
        <v>14</v>
      </c>
      <c r="C352" s="478" t="s">
        <v>948</v>
      </c>
      <c r="D352" s="480" t="s">
        <v>987</v>
      </c>
      <c r="E352" s="425">
        <v>946532</v>
      </c>
      <c r="F352" s="415">
        <v>45955</v>
      </c>
      <c r="G352" s="380" t="s">
        <v>643</v>
      </c>
      <c r="H352" s="380">
        <v>2</v>
      </c>
      <c r="I352" s="388">
        <v>148960</v>
      </c>
      <c r="J352" s="380">
        <v>4</v>
      </c>
      <c r="K352" s="389">
        <f t="shared" si="16"/>
        <v>37240</v>
      </c>
      <c r="L352" s="381">
        <v>45962</v>
      </c>
      <c r="M352" s="381">
        <v>46326</v>
      </c>
      <c r="N352" s="363" t="s">
        <v>520</v>
      </c>
      <c r="O352" s="380"/>
      <c r="P352" s="380"/>
      <c r="Q352" s="390" t="s">
        <v>269</v>
      </c>
      <c r="R352" s="363" t="s">
        <v>1387</v>
      </c>
      <c r="S352" s="390" t="s">
        <v>442</v>
      </c>
      <c r="T352" s="363" t="s">
        <v>443</v>
      </c>
      <c r="U352" s="363" t="s">
        <v>444</v>
      </c>
      <c r="V352" s="363"/>
      <c r="W352" s="363" t="s">
        <v>445</v>
      </c>
      <c r="X352" s="363"/>
      <c r="Y352" s="363"/>
      <c r="Z352" s="363"/>
      <c r="AA352" s="363"/>
      <c r="AB352" s="363"/>
      <c r="AC352" s="363" t="s">
        <v>551</v>
      </c>
      <c r="AD352" s="380" t="s">
        <v>207</v>
      </c>
      <c r="AE352" s="380">
        <v>4</v>
      </c>
      <c r="AF352" s="446">
        <v>1</v>
      </c>
    </row>
    <row r="353" spans="2:32" ht="15" hidden="1" customHeight="1" x14ac:dyDescent="0.3">
      <c r="B353" s="380" t="s">
        <v>14</v>
      </c>
      <c r="C353" s="409" t="s">
        <v>1095</v>
      </c>
      <c r="D353" s="489" t="s">
        <v>1258</v>
      </c>
      <c r="E353" s="380">
        <v>4513730038</v>
      </c>
      <c r="F353" s="488">
        <v>45973</v>
      </c>
      <c r="G353" s="380" t="s">
        <v>643</v>
      </c>
      <c r="H353" s="380">
        <v>1</v>
      </c>
      <c r="I353" s="388">
        <v>82000</v>
      </c>
      <c r="J353" s="380">
        <v>4</v>
      </c>
      <c r="K353" s="389">
        <f t="shared" si="16"/>
        <v>20500</v>
      </c>
      <c r="L353" s="381">
        <v>45870</v>
      </c>
      <c r="M353" s="381">
        <v>46234</v>
      </c>
      <c r="N353" s="363" t="s">
        <v>520</v>
      </c>
      <c r="O353" s="380"/>
      <c r="P353" s="380"/>
      <c r="Q353" s="390" t="s">
        <v>267</v>
      </c>
      <c r="R353" s="363" t="s">
        <v>1388</v>
      </c>
      <c r="S353" s="390" t="s">
        <v>269</v>
      </c>
      <c r="T353" s="363" t="s">
        <v>270</v>
      </c>
      <c r="U353" s="390" t="s">
        <v>442</v>
      </c>
      <c r="V353" s="363" t="s">
        <v>1727</v>
      </c>
      <c r="W353" s="363" t="s">
        <v>444</v>
      </c>
      <c r="X353" s="363"/>
      <c r="Y353" s="363"/>
      <c r="Z353" s="363"/>
      <c r="AA353" s="363"/>
      <c r="AB353" s="363"/>
      <c r="AC353" s="363" t="s">
        <v>619</v>
      </c>
      <c r="AD353" s="380" t="s">
        <v>63</v>
      </c>
      <c r="AE353" s="380">
        <v>4</v>
      </c>
      <c r="AF353" s="363" t="s">
        <v>667</v>
      </c>
    </row>
    <row r="354" spans="2:32" ht="15" hidden="1" customHeight="1" x14ac:dyDescent="0.3">
      <c r="B354" s="380" t="s">
        <v>14</v>
      </c>
      <c r="C354" s="409" t="s">
        <v>1095</v>
      </c>
      <c r="D354" s="489" t="s">
        <v>1258</v>
      </c>
      <c r="E354" s="380">
        <v>4513730038</v>
      </c>
      <c r="F354" s="488">
        <v>45973</v>
      </c>
      <c r="G354" s="380" t="s">
        <v>643</v>
      </c>
      <c r="H354" s="380"/>
      <c r="I354" s="388">
        <v>82000</v>
      </c>
      <c r="J354" s="380">
        <v>4</v>
      </c>
      <c r="K354" s="389">
        <f t="shared" si="16"/>
        <v>20500</v>
      </c>
      <c r="L354" s="381">
        <v>46235</v>
      </c>
      <c r="M354" s="381">
        <v>46599</v>
      </c>
      <c r="N354" s="363" t="s">
        <v>520</v>
      </c>
      <c r="O354" s="380"/>
      <c r="P354" s="380"/>
      <c r="Q354" s="363" t="s">
        <v>445</v>
      </c>
      <c r="R354" s="363"/>
      <c r="S354" s="363" t="s">
        <v>456</v>
      </c>
      <c r="T354" s="363"/>
      <c r="U354" s="363" t="s">
        <v>457</v>
      </c>
      <c r="V354" s="363"/>
      <c r="W354" s="363" t="s">
        <v>458</v>
      </c>
      <c r="X354" s="363"/>
      <c r="Y354" s="363"/>
      <c r="Z354" s="363"/>
      <c r="AA354" s="363"/>
      <c r="AB354" s="363"/>
      <c r="AC354" s="363" t="s">
        <v>619</v>
      </c>
      <c r="AD354" s="380" t="s">
        <v>63</v>
      </c>
      <c r="AE354" s="380">
        <v>4</v>
      </c>
      <c r="AF354" s="363" t="s">
        <v>667</v>
      </c>
    </row>
    <row r="355" spans="2:32" ht="15" hidden="1" customHeight="1" x14ac:dyDescent="0.3">
      <c r="B355" s="380" t="s">
        <v>14</v>
      </c>
      <c r="C355" s="409" t="s">
        <v>1095</v>
      </c>
      <c r="D355" s="489" t="s">
        <v>1258</v>
      </c>
      <c r="E355" s="380">
        <v>4513730038</v>
      </c>
      <c r="F355" s="488">
        <v>45973</v>
      </c>
      <c r="G355" s="380" t="s">
        <v>643</v>
      </c>
      <c r="H355" s="380"/>
      <c r="I355" s="388">
        <v>90200</v>
      </c>
      <c r="J355" s="380">
        <v>4</v>
      </c>
      <c r="K355" s="389">
        <f t="shared" si="16"/>
        <v>22550</v>
      </c>
      <c r="L355" s="381">
        <v>46600</v>
      </c>
      <c r="M355" s="381">
        <v>46965</v>
      </c>
      <c r="N355" s="363" t="s">
        <v>520</v>
      </c>
      <c r="O355" s="380"/>
      <c r="P355" s="380"/>
      <c r="Q355" s="363" t="s">
        <v>459</v>
      </c>
      <c r="R355" s="363"/>
      <c r="S355" s="363" t="s">
        <v>893</v>
      </c>
      <c r="T355" s="363"/>
      <c r="U355" s="363" t="s">
        <v>894</v>
      </c>
      <c r="V355" s="363"/>
      <c r="W355" s="363" t="s">
        <v>1259</v>
      </c>
      <c r="X355" s="363"/>
      <c r="Y355" s="363"/>
      <c r="Z355" s="363"/>
      <c r="AA355" s="363"/>
      <c r="AB355" s="363"/>
      <c r="AC355" s="363" t="s">
        <v>619</v>
      </c>
      <c r="AD355" s="380" t="s">
        <v>63</v>
      </c>
      <c r="AE355" s="380">
        <v>4</v>
      </c>
      <c r="AF355" s="363" t="s">
        <v>667</v>
      </c>
    </row>
    <row r="356" spans="2:32" ht="15" hidden="1" customHeight="1" x14ac:dyDescent="0.3">
      <c r="B356" s="380" t="s">
        <v>14</v>
      </c>
      <c r="C356" s="482" t="s">
        <v>1389</v>
      </c>
      <c r="D356" s="483" t="s">
        <v>1088</v>
      </c>
      <c r="E356" s="490">
        <v>132964</v>
      </c>
      <c r="F356" s="488">
        <v>45981</v>
      </c>
      <c r="G356" s="380" t="s">
        <v>643</v>
      </c>
      <c r="H356" s="380">
        <v>4</v>
      </c>
      <c r="I356" s="388">
        <v>300000</v>
      </c>
      <c r="J356" s="380">
        <v>4</v>
      </c>
      <c r="K356" s="389">
        <f t="shared" si="16"/>
        <v>75000</v>
      </c>
      <c r="L356" s="381">
        <v>45931</v>
      </c>
      <c r="M356" s="381">
        <v>46295</v>
      </c>
      <c r="N356" s="363" t="s">
        <v>520</v>
      </c>
      <c r="O356" s="380"/>
      <c r="P356" s="380"/>
      <c r="Q356" s="390" t="s">
        <v>228</v>
      </c>
      <c r="R356" s="363" t="s">
        <v>873</v>
      </c>
      <c r="S356" s="390" t="s">
        <v>396</v>
      </c>
      <c r="T356" s="363" t="s">
        <v>1093</v>
      </c>
      <c r="U356" s="390" t="s">
        <v>397</v>
      </c>
      <c r="V356" s="363" t="s">
        <v>1843</v>
      </c>
      <c r="W356" s="363" t="s">
        <v>496</v>
      </c>
      <c r="X356" s="363"/>
      <c r="Y356" s="363"/>
      <c r="Z356" s="363"/>
      <c r="AA356" s="363"/>
      <c r="AB356" s="363"/>
      <c r="AC356" s="363" t="s">
        <v>96</v>
      </c>
      <c r="AD356" s="380" t="s">
        <v>97</v>
      </c>
      <c r="AE356" s="380">
        <v>4</v>
      </c>
      <c r="AF356" s="363" t="s">
        <v>667</v>
      </c>
    </row>
    <row r="357" spans="2:32" ht="15" hidden="1" customHeight="1" x14ac:dyDescent="0.3">
      <c r="B357" s="380" t="s">
        <v>14</v>
      </c>
      <c r="C357" s="482" t="s">
        <v>1158</v>
      </c>
      <c r="D357" s="483" t="s">
        <v>801</v>
      </c>
      <c r="E357" s="468">
        <v>1600036220</v>
      </c>
      <c r="F357" s="488">
        <v>46000</v>
      </c>
      <c r="G357" s="380" t="s">
        <v>643</v>
      </c>
      <c r="H357" s="380">
        <v>1</v>
      </c>
      <c r="I357" s="388">
        <v>71250</v>
      </c>
      <c r="J357" s="380">
        <v>3</v>
      </c>
      <c r="K357" s="389">
        <f t="shared" si="16"/>
        <v>23750</v>
      </c>
      <c r="L357" s="381">
        <v>45658</v>
      </c>
      <c r="M357" s="381">
        <v>46387</v>
      </c>
      <c r="N357" s="363" t="s">
        <v>520</v>
      </c>
      <c r="O357" s="380"/>
      <c r="P357" s="380"/>
      <c r="Q357" s="390" t="s">
        <v>347</v>
      </c>
      <c r="R357" s="363" t="s">
        <v>626</v>
      </c>
      <c r="S357" s="363" t="s">
        <v>348</v>
      </c>
      <c r="T357" s="363"/>
      <c r="U357" s="363" t="s">
        <v>349</v>
      </c>
      <c r="V357" s="363"/>
      <c r="W357" s="363"/>
      <c r="X357" s="363"/>
      <c r="Y357" s="363"/>
      <c r="Z357" s="363"/>
      <c r="AA357" s="363"/>
      <c r="AB357" s="363"/>
      <c r="AC357" s="363" t="s">
        <v>485</v>
      </c>
      <c r="AD357" s="380" t="s">
        <v>63</v>
      </c>
      <c r="AE357" s="380">
        <v>3</v>
      </c>
      <c r="AF357" s="363" t="s">
        <v>804</v>
      </c>
    </row>
    <row r="358" spans="2:32" ht="15" hidden="1" customHeight="1" x14ac:dyDescent="0.3">
      <c r="B358" s="380" t="s">
        <v>14</v>
      </c>
      <c r="C358" s="482" t="s">
        <v>1390</v>
      </c>
      <c r="D358" s="483" t="s">
        <v>1391</v>
      </c>
      <c r="E358" s="468" t="s">
        <v>1392</v>
      </c>
      <c r="F358" s="488">
        <v>46003</v>
      </c>
      <c r="G358" s="380" t="s">
        <v>643</v>
      </c>
      <c r="H358" s="380">
        <v>1</v>
      </c>
      <c r="I358" s="388">
        <v>86000</v>
      </c>
      <c r="J358" s="380">
        <v>2</v>
      </c>
      <c r="K358" s="389">
        <f t="shared" si="16"/>
        <v>43000</v>
      </c>
      <c r="L358" s="381">
        <v>46003</v>
      </c>
      <c r="M358" s="381">
        <v>46367</v>
      </c>
      <c r="N358" s="363" t="s">
        <v>520</v>
      </c>
      <c r="O358" s="380"/>
      <c r="P358" s="380"/>
      <c r="Q358" s="390" t="s">
        <v>1393</v>
      </c>
      <c r="R358" s="363" t="s">
        <v>930</v>
      </c>
      <c r="S358" s="363" t="s">
        <v>1394</v>
      </c>
      <c r="T358" s="363"/>
      <c r="U358" s="363"/>
      <c r="V358" s="363"/>
      <c r="W358" s="363"/>
      <c r="X358" s="363"/>
      <c r="Y358" s="363"/>
      <c r="Z358" s="363"/>
      <c r="AA358" s="363"/>
      <c r="AB358" s="363"/>
      <c r="AC358" s="363" t="s">
        <v>485</v>
      </c>
      <c r="AD358" s="380" t="s">
        <v>63</v>
      </c>
      <c r="AE358" s="380">
        <v>2</v>
      </c>
      <c r="AF358" s="363" t="s">
        <v>804</v>
      </c>
    </row>
    <row r="359" spans="2:32" ht="15" hidden="1" customHeight="1" x14ac:dyDescent="0.3">
      <c r="B359" s="380" t="s">
        <v>14</v>
      </c>
      <c r="C359" s="363" t="s">
        <v>1395</v>
      </c>
      <c r="D359" s="386" t="s">
        <v>86</v>
      </c>
      <c r="E359" s="380" t="s">
        <v>1396</v>
      </c>
      <c r="F359" s="387">
        <v>46000</v>
      </c>
      <c r="G359" s="407" t="s">
        <v>703</v>
      </c>
      <c r="H359" s="380">
        <v>1</v>
      </c>
      <c r="I359" s="388">
        <v>220000</v>
      </c>
      <c r="J359" s="380">
        <v>4</v>
      </c>
      <c r="K359" s="389">
        <f t="shared" si="16"/>
        <v>55000</v>
      </c>
      <c r="L359" s="381">
        <v>46023</v>
      </c>
      <c r="M359" s="381">
        <v>46387</v>
      </c>
      <c r="N359" s="363" t="s">
        <v>520</v>
      </c>
      <c r="O359" s="380"/>
      <c r="P359" s="380"/>
      <c r="Q359" s="390" t="s">
        <v>396</v>
      </c>
      <c r="R359" s="363" t="s">
        <v>1397</v>
      </c>
      <c r="S359" s="390" t="s">
        <v>397</v>
      </c>
      <c r="T359" s="363" t="s">
        <v>1845</v>
      </c>
      <c r="U359" s="363" t="s">
        <v>496</v>
      </c>
      <c r="V359" s="363"/>
      <c r="W359" s="363" t="s">
        <v>497</v>
      </c>
      <c r="X359" s="363"/>
      <c r="Y359" s="363"/>
      <c r="Z359" s="363"/>
      <c r="AA359" s="363"/>
      <c r="AB359" s="363"/>
      <c r="AC359" s="363" t="s">
        <v>96</v>
      </c>
      <c r="AD359" s="380" t="s">
        <v>97</v>
      </c>
      <c r="AE359" s="380" t="s">
        <v>494</v>
      </c>
      <c r="AF359" s="363" t="s">
        <v>667</v>
      </c>
    </row>
    <row r="360" spans="2:32" ht="15" hidden="1" customHeight="1" x14ac:dyDescent="0.3">
      <c r="B360" s="380" t="s">
        <v>14</v>
      </c>
      <c r="C360" s="363" t="s">
        <v>1395</v>
      </c>
      <c r="D360" s="386" t="s">
        <v>86</v>
      </c>
      <c r="E360" s="380" t="s">
        <v>1396</v>
      </c>
      <c r="F360" s="387">
        <v>46000</v>
      </c>
      <c r="G360" s="380"/>
      <c r="H360" s="380"/>
      <c r="I360" s="388">
        <v>220000</v>
      </c>
      <c r="J360" s="380">
        <v>4</v>
      </c>
      <c r="K360" s="389">
        <f t="shared" si="16"/>
        <v>55000</v>
      </c>
      <c r="L360" s="381">
        <v>46388</v>
      </c>
      <c r="M360" s="381">
        <v>46752</v>
      </c>
      <c r="N360" s="363" t="s">
        <v>520</v>
      </c>
      <c r="O360" s="380"/>
      <c r="P360" s="380"/>
      <c r="Q360" s="363" t="s">
        <v>498</v>
      </c>
      <c r="R360" s="363"/>
      <c r="S360" s="363" t="s">
        <v>499</v>
      </c>
      <c r="T360" s="363"/>
      <c r="U360" s="363" t="s">
        <v>500</v>
      </c>
      <c r="V360" s="363"/>
      <c r="W360" s="363" t="s">
        <v>501</v>
      </c>
      <c r="X360" s="363"/>
      <c r="Y360" s="363"/>
      <c r="Z360" s="363"/>
      <c r="AA360" s="363"/>
      <c r="AB360" s="363"/>
      <c r="AC360" s="363" t="s">
        <v>96</v>
      </c>
      <c r="AD360" s="380" t="s">
        <v>97</v>
      </c>
      <c r="AE360" s="380" t="s">
        <v>494</v>
      </c>
      <c r="AF360" s="363" t="s">
        <v>667</v>
      </c>
    </row>
    <row r="361" spans="2:32" ht="15" hidden="1" customHeight="1" x14ac:dyDescent="0.3">
      <c r="B361" s="380" t="s">
        <v>14</v>
      </c>
      <c r="C361" s="363" t="s">
        <v>1395</v>
      </c>
      <c r="D361" s="386" t="s">
        <v>86</v>
      </c>
      <c r="E361" s="380" t="s">
        <v>1396</v>
      </c>
      <c r="F361" s="387">
        <v>46000</v>
      </c>
      <c r="G361" s="380"/>
      <c r="H361" s="380"/>
      <c r="I361" s="388">
        <v>220000</v>
      </c>
      <c r="J361" s="380">
        <v>4</v>
      </c>
      <c r="K361" s="389">
        <f t="shared" si="16"/>
        <v>55000</v>
      </c>
      <c r="L361" s="381">
        <v>46753</v>
      </c>
      <c r="M361" s="381">
        <v>47118</v>
      </c>
      <c r="N361" s="363" t="s">
        <v>520</v>
      </c>
      <c r="O361" s="380"/>
      <c r="P361" s="380"/>
      <c r="Q361" s="363" t="s">
        <v>674</v>
      </c>
      <c r="R361" s="363"/>
      <c r="S361" s="363" t="s">
        <v>1279</v>
      </c>
      <c r="T361" s="363"/>
      <c r="U361" s="363" t="s">
        <v>1280</v>
      </c>
      <c r="V361" s="363"/>
      <c r="W361" s="363" t="s">
        <v>1398</v>
      </c>
      <c r="X361" s="363"/>
      <c r="Y361" s="363"/>
      <c r="Z361" s="363"/>
      <c r="AA361" s="363"/>
      <c r="AB361" s="363"/>
      <c r="AC361" s="363" t="s">
        <v>96</v>
      </c>
      <c r="AD361" s="380" t="s">
        <v>97</v>
      </c>
      <c r="AE361" s="380" t="s">
        <v>494</v>
      </c>
      <c r="AF361" s="363" t="s">
        <v>667</v>
      </c>
    </row>
    <row r="362" spans="2:32" ht="15" hidden="1" customHeight="1" x14ac:dyDescent="0.3">
      <c r="B362" s="380" t="s">
        <v>14</v>
      </c>
      <c r="C362" s="478" t="s">
        <v>508</v>
      </c>
      <c r="D362" s="480" t="s">
        <v>866</v>
      </c>
      <c r="E362" s="481" t="s">
        <v>1399</v>
      </c>
      <c r="F362" s="488">
        <v>46002</v>
      </c>
      <c r="G362" s="380" t="s">
        <v>643</v>
      </c>
      <c r="H362" s="380">
        <v>2</v>
      </c>
      <c r="I362" s="388">
        <v>178000</v>
      </c>
      <c r="J362" s="380">
        <v>3</v>
      </c>
      <c r="K362" s="389">
        <f t="shared" si="16"/>
        <v>59333.333333333336</v>
      </c>
      <c r="L362" s="381">
        <v>46011</v>
      </c>
      <c r="M362" s="381">
        <v>46375</v>
      </c>
      <c r="N362" s="363" t="s">
        <v>520</v>
      </c>
      <c r="O362" s="380"/>
      <c r="P362" s="380"/>
      <c r="Q362" s="390" t="s">
        <v>1400</v>
      </c>
      <c r="R362" s="363" t="s">
        <v>1401</v>
      </c>
      <c r="S362" s="363" t="s">
        <v>1402</v>
      </c>
      <c r="T362" s="363" t="s">
        <v>1864</v>
      </c>
      <c r="U362" s="363" t="s">
        <v>1404</v>
      </c>
      <c r="V362" s="363"/>
      <c r="W362" s="363"/>
      <c r="X362" s="363"/>
      <c r="Y362" s="363"/>
      <c r="Z362" s="363"/>
      <c r="AA362" s="363"/>
      <c r="AB362" s="363"/>
      <c r="AC362" s="363" t="s">
        <v>96</v>
      </c>
      <c r="AD362" s="380" t="s">
        <v>97</v>
      </c>
      <c r="AE362" s="380" t="s">
        <v>494</v>
      </c>
      <c r="AF362" s="363" t="s">
        <v>1405</v>
      </c>
    </row>
    <row r="363" spans="2:32" ht="15" hidden="1" customHeight="1" x14ac:dyDescent="0.3">
      <c r="B363" s="380" t="s">
        <v>14</v>
      </c>
      <c r="C363" s="430" t="s">
        <v>527</v>
      </c>
      <c r="D363" s="445" t="s">
        <v>131</v>
      </c>
      <c r="E363" s="419">
        <v>7001094920</v>
      </c>
      <c r="F363" s="488">
        <v>45947</v>
      </c>
      <c r="G363" s="380" t="s">
        <v>643</v>
      </c>
      <c r="H363" s="380">
        <v>1</v>
      </c>
      <c r="I363" s="388">
        <v>78750</v>
      </c>
      <c r="J363" s="380">
        <v>2</v>
      </c>
      <c r="K363" s="389">
        <f t="shared" si="16"/>
        <v>39375</v>
      </c>
      <c r="L363" s="381">
        <v>45931</v>
      </c>
      <c r="M363" s="381">
        <v>46295</v>
      </c>
      <c r="N363" s="363" t="s">
        <v>520</v>
      </c>
      <c r="O363" s="363"/>
      <c r="P363" s="363"/>
      <c r="Q363" s="390" t="s">
        <v>465</v>
      </c>
      <c r="R363" s="363" t="s">
        <v>1314</v>
      </c>
      <c r="S363" s="363" t="s">
        <v>467</v>
      </c>
      <c r="T363" s="363"/>
      <c r="U363" s="363"/>
      <c r="V363" s="363"/>
      <c r="W363" s="363"/>
      <c r="X363" s="363"/>
      <c r="Y363" s="363"/>
      <c r="Z363" s="363"/>
      <c r="AA363" s="363"/>
      <c r="AB363" s="363"/>
      <c r="AC363" s="363" t="s">
        <v>485</v>
      </c>
      <c r="AD363" s="380" t="s">
        <v>63</v>
      </c>
      <c r="AE363" s="380">
        <v>2</v>
      </c>
      <c r="AF363" s="363" t="s">
        <v>799</v>
      </c>
    </row>
    <row r="364" spans="2:32" ht="15" hidden="1" customHeight="1" x14ac:dyDescent="0.3">
      <c r="B364" s="380" t="s">
        <v>14</v>
      </c>
      <c r="C364" s="430" t="s">
        <v>527</v>
      </c>
      <c r="D364" s="445" t="s">
        <v>131</v>
      </c>
      <c r="E364" s="419">
        <v>7001175723</v>
      </c>
      <c r="F364" s="488">
        <v>46019</v>
      </c>
      <c r="G364" s="380" t="s">
        <v>643</v>
      </c>
      <c r="H364" s="380">
        <v>1</v>
      </c>
      <c r="I364" s="388">
        <v>78750</v>
      </c>
      <c r="J364" s="380">
        <v>2</v>
      </c>
      <c r="K364" s="389">
        <f t="shared" si="16"/>
        <v>39375</v>
      </c>
      <c r="L364" s="381">
        <v>45658</v>
      </c>
      <c r="M364" s="381">
        <v>46387</v>
      </c>
      <c r="N364" s="363" t="s">
        <v>520</v>
      </c>
      <c r="O364" s="363"/>
      <c r="P364" s="363"/>
      <c r="Q364" s="390" t="s">
        <v>607</v>
      </c>
      <c r="R364" s="363" t="s">
        <v>1338</v>
      </c>
      <c r="S364" s="363" t="s">
        <v>608</v>
      </c>
      <c r="T364" s="363"/>
      <c r="U364" s="363"/>
      <c r="V364" s="363"/>
      <c r="W364" s="363"/>
      <c r="X364" s="363"/>
      <c r="Y364" s="363"/>
      <c r="Z364" s="363"/>
      <c r="AA364" s="363"/>
      <c r="AB364" s="363"/>
      <c r="AC364" s="363" t="s">
        <v>485</v>
      </c>
      <c r="AD364" s="380" t="s">
        <v>63</v>
      </c>
      <c r="AE364" s="380">
        <v>2</v>
      </c>
      <c r="AF364" s="363" t="s">
        <v>799</v>
      </c>
    </row>
    <row r="365" spans="2:32" ht="15" hidden="1" customHeight="1" x14ac:dyDescent="0.3">
      <c r="B365" s="380" t="s">
        <v>14</v>
      </c>
      <c r="C365" s="482" t="s">
        <v>609</v>
      </c>
      <c r="D365" s="483" t="s">
        <v>131</v>
      </c>
      <c r="E365" s="491">
        <v>2100055536</v>
      </c>
      <c r="F365" s="488">
        <v>46017</v>
      </c>
      <c r="G365" s="380" t="s">
        <v>643</v>
      </c>
      <c r="H365" s="380">
        <v>2</v>
      </c>
      <c r="I365" s="388">
        <v>180000</v>
      </c>
      <c r="J365" s="380">
        <v>2</v>
      </c>
      <c r="K365" s="389">
        <f t="shared" si="16"/>
        <v>90000</v>
      </c>
      <c r="L365" s="381">
        <v>46014</v>
      </c>
      <c r="M365" s="381">
        <v>46378</v>
      </c>
      <c r="N365" s="363" t="s">
        <v>520</v>
      </c>
      <c r="O365" s="363"/>
      <c r="P365" s="363"/>
      <c r="Q365" s="390" t="s">
        <v>1406</v>
      </c>
      <c r="R365" s="363" t="s">
        <v>1169</v>
      </c>
      <c r="S365" s="363" t="s">
        <v>1407</v>
      </c>
      <c r="T365" s="363"/>
      <c r="U365" s="363"/>
      <c r="V365" s="363"/>
      <c r="W365" s="363"/>
      <c r="X365" s="363"/>
      <c r="Y365" s="363"/>
      <c r="Z365" s="363"/>
      <c r="AA365" s="363"/>
      <c r="AB365" s="363"/>
      <c r="AC365" s="363" t="s">
        <v>485</v>
      </c>
      <c r="AD365" s="380" t="s">
        <v>63</v>
      </c>
      <c r="AE365" s="380">
        <v>2</v>
      </c>
      <c r="AF365" s="363" t="s">
        <v>667</v>
      </c>
    </row>
    <row r="366" spans="2:32" ht="15" hidden="1" customHeight="1" x14ac:dyDescent="0.3">
      <c r="B366" s="380" t="s">
        <v>14</v>
      </c>
      <c r="C366" s="482" t="s">
        <v>130</v>
      </c>
      <c r="D366" s="483" t="s">
        <v>131</v>
      </c>
      <c r="E366" s="468">
        <v>6800050248</v>
      </c>
      <c r="F366" s="488">
        <v>46015</v>
      </c>
      <c r="G366" s="380" t="s">
        <v>643</v>
      </c>
      <c r="H366" s="380">
        <v>1</v>
      </c>
      <c r="I366" s="388">
        <v>90000</v>
      </c>
      <c r="J366" s="380">
        <v>3</v>
      </c>
      <c r="K366" s="389">
        <f t="shared" si="16"/>
        <v>30000</v>
      </c>
      <c r="L366" s="381">
        <v>46023</v>
      </c>
      <c r="M366" s="381">
        <v>46387</v>
      </c>
      <c r="N366" s="363" t="s">
        <v>520</v>
      </c>
      <c r="O366" s="363"/>
      <c r="P366" s="363"/>
      <c r="Q366" s="390" t="s">
        <v>347</v>
      </c>
      <c r="R366" s="363" t="s">
        <v>828</v>
      </c>
      <c r="S366" s="363" t="s">
        <v>348</v>
      </c>
      <c r="T366" s="363"/>
      <c r="U366" s="363" t="s">
        <v>349</v>
      </c>
      <c r="V366" s="363"/>
      <c r="W366" s="363"/>
      <c r="X366" s="363"/>
      <c r="Y366" s="363"/>
      <c r="Z366" s="363"/>
      <c r="AA366" s="363"/>
      <c r="AB366" s="363"/>
      <c r="AC366" s="363" t="s">
        <v>485</v>
      </c>
      <c r="AD366" s="380" t="s">
        <v>63</v>
      </c>
      <c r="AE366" s="380">
        <v>2</v>
      </c>
      <c r="AF366" s="363" t="s">
        <v>1408</v>
      </c>
    </row>
    <row r="367" spans="2:32" ht="15" hidden="1" customHeight="1" x14ac:dyDescent="0.3">
      <c r="B367" s="380" t="s">
        <v>14</v>
      </c>
      <c r="C367" s="482" t="s">
        <v>1385</v>
      </c>
      <c r="D367" s="483" t="s">
        <v>151</v>
      </c>
      <c r="E367" s="468">
        <v>4500089764</v>
      </c>
      <c r="F367" s="488">
        <v>46006</v>
      </c>
      <c r="G367" s="380" t="s">
        <v>643</v>
      </c>
      <c r="H367" s="380">
        <v>1</v>
      </c>
      <c r="I367" s="388">
        <v>45000</v>
      </c>
      <c r="J367" s="380">
        <v>1</v>
      </c>
      <c r="K367" s="389">
        <f t="shared" si="16"/>
        <v>45000</v>
      </c>
      <c r="L367" s="381">
        <v>45992</v>
      </c>
      <c r="M367" s="381">
        <v>46356</v>
      </c>
      <c r="N367" s="363" t="s">
        <v>520</v>
      </c>
      <c r="O367" s="363"/>
      <c r="P367" s="363"/>
      <c r="Q367" s="390" t="s">
        <v>1409</v>
      </c>
      <c r="R367" s="363" t="s">
        <v>1093</v>
      </c>
      <c r="S367" s="363"/>
      <c r="T367" s="363"/>
      <c r="U367" s="363"/>
      <c r="V367" s="363"/>
      <c r="W367" s="363"/>
      <c r="X367" s="363"/>
      <c r="Y367" s="363"/>
      <c r="Z367" s="363"/>
      <c r="AA367" s="363"/>
      <c r="AB367" s="363"/>
      <c r="AC367" s="363" t="s">
        <v>478</v>
      </c>
      <c r="AD367" s="380" t="s">
        <v>63</v>
      </c>
      <c r="AE367" s="380">
        <v>1</v>
      </c>
      <c r="AF367" s="363" t="s">
        <v>667</v>
      </c>
    </row>
    <row r="368" spans="2:32" ht="15" hidden="1" customHeight="1" x14ac:dyDescent="0.3">
      <c r="B368" s="380" t="s">
        <v>14</v>
      </c>
      <c r="C368" s="409" t="s">
        <v>1410</v>
      </c>
      <c r="D368" s="489" t="s">
        <v>447</v>
      </c>
      <c r="E368" s="492" t="s">
        <v>1411</v>
      </c>
      <c r="F368" s="488">
        <v>46020</v>
      </c>
      <c r="G368" s="380" t="s">
        <v>643</v>
      </c>
      <c r="H368" s="380">
        <v>3</v>
      </c>
      <c r="I368" s="388">
        <v>333000</v>
      </c>
      <c r="J368" s="380">
        <v>4</v>
      </c>
      <c r="K368" s="389">
        <f t="shared" si="16"/>
        <v>83250</v>
      </c>
      <c r="L368" s="381">
        <v>46023</v>
      </c>
      <c r="M368" s="381">
        <v>46387</v>
      </c>
      <c r="N368" s="363" t="s">
        <v>520</v>
      </c>
      <c r="O368" s="363"/>
      <c r="P368" s="363"/>
      <c r="Q368" s="390" t="s">
        <v>396</v>
      </c>
      <c r="R368" s="363" t="s">
        <v>1412</v>
      </c>
      <c r="S368" s="390" t="s">
        <v>397</v>
      </c>
      <c r="T368" s="363" t="s">
        <v>1855</v>
      </c>
      <c r="U368" s="363" t="s">
        <v>496</v>
      </c>
      <c r="V368" s="363"/>
      <c r="W368" s="363" t="s">
        <v>497</v>
      </c>
      <c r="X368" s="363"/>
      <c r="Y368" s="363"/>
      <c r="Z368" s="363"/>
      <c r="AA368" s="363"/>
      <c r="AB368" s="363"/>
      <c r="AC368" s="363" t="s">
        <v>96</v>
      </c>
      <c r="AD368" s="380" t="s">
        <v>97</v>
      </c>
      <c r="AE368" s="380" t="s">
        <v>494</v>
      </c>
      <c r="AF368" s="363" t="s">
        <v>799</v>
      </c>
    </row>
    <row r="369" spans="2:32" ht="15" hidden="1" customHeight="1" x14ac:dyDescent="0.3">
      <c r="B369" s="380" t="s">
        <v>0</v>
      </c>
      <c r="C369" s="482" t="s">
        <v>565</v>
      </c>
      <c r="D369" s="483" t="s">
        <v>566</v>
      </c>
      <c r="E369" s="468">
        <v>1011707106</v>
      </c>
      <c r="F369" s="488">
        <v>46025</v>
      </c>
      <c r="G369" s="380" t="s">
        <v>643</v>
      </c>
      <c r="H369" s="380">
        <v>1</v>
      </c>
      <c r="I369" s="388">
        <v>82450</v>
      </c>
      <c r="J369" s="380">
        <v>2</v>
      </c>
      <c r="K369" s="391">
        <f t="shared" si="16"/>
        <v>41225</v>
      </c>
      <c r="L369" s="381">
        <v>45992</v>
      </c>
      <c r="M369" s="381">
        <v>46356</v>
      </c>
      <c r="N369" s="363" t="s">
        <v>520</v>
      </c>
      <c r="O369" s="380"/>
      <c r="P369" s="380"/>
      <c r="Q369" s="390" t="s">
        <v>127</v>
      </c>
      <c r="R369" s="363" t="s">
        <v>1413</v>
      </c>
      <c r="S369" s="363" t="s">
        <v>1414</v>
      </c>
      <c r="T369" s="363"/>
      <c r="U369" s="363"/>
      <c r="V369" s="363"/>
      <c r="W369" s="363"/>
      <c r="X369" s="363"/>
      <c r="Y369" s="363"/>
      <c r="Z369" s="363"/>
      <c r="AA369" s="363"/>
      <c r="AB369" s="363"/>
      <c r="AC369" s="363" t="s">
        <v>551</v>
      </c>
      <c r="AD369" s="380" t="s">
        <v>207</v>
      </c>
      <c r="AE369" s="380">
        <v>1</v>
      </c>
      <c r="AF369" s="363"/>
    </row>
    <row r="370" spans="2:32" ht="15" hidden="1" customHeight="1" x14ac:dyDescent="0.3">
      <c r="B370" s="380" t="s">
        <v>0</v>
      </c>
      <c r="C370" s="409" t="s">
        <v>1415</v>
      </c>
      <c r="D370" s="423" t="s">
        <v>1416</v>
      </c>
      <c r="E370" s="493">
        <v>2125011222</v>
      </c>
      <c r="F370" s="488">
        <v>46000</v>
      </c>
      <c r="G370" s="380" t="s">
        <v>643</v>
      </c>
      <c r="H370" s="380">
        <v>2</v>
      </c>
      <c r="I370" s="388">
        <v>311948</v>
      </c>
      <c r="J370" s="380">
        <v>2</v>
      </c>
      <c r="K370" s="389">
        <f t="shared" si="16"/>
        <v>155974</v>
      </c>
      <c r="L370" s="381">
        <v>46023</v>
      </c>
      <c r="M370" s="381">
        <v>46387</v>
      </c>
      <c r="N370" s="363" t="s">
        <v>520</v>
      </c>
      <c r="O370" s="380"/>
      <c r="P370" s="380"/>
      <c r="Q370" s="390" t="s">
        <v>607</v>
      </c>
      <c r="R370" s="363" t="s">
        <v>1728</v>
      </c>
      <c r="S370" s="363" t="s">
        <v>608</v>
      </c>
      <c r="T370" s="363"/>
      <c r="U370" s="363"/>
      <c r="V370" s="363"/>
      <c r="W370" s="363"/>
      <c r="X370" s="363"/>
      <c r="Y370" s="363"/>
      <c r="Z370" s="363"/>
      <c r="AA370" s="363"/>
      <c r="AB370" s="363"/>
      <c r="AC370" s="363" t="s">
        <v>281</v>
      </c>
      <c r="AD370" s="380" t="s">
        <v>97</v>
      </c>
      <c r="AE370" s="380">
        <v>2</v>
      </c>
      <c r="AF370" s="363" t="s">
        <v>667</v>
      </c>
    </row>
    <row r="371" spans="2:32" ht="15" hidden="1" customHeight="1" x14ac:dyDescent="0.3">
      <c r="B371" s="380" t="s">
        <v>0</v>
      </c>
      <c r="C371" s="409" t="s">
        <v>1417</v>
      </c>
      <c r="D371" s="423" t="s">
        <v>86</v>
      </c>
      <c r="E371" s="491">
        <v>4200321224</v>
      </c>
      <c r="F371" s="488">
        <v>46014</v>
      </c>
      <c r="G371" s="380" t="s">
        <v>643</v>
      </c>
      <c r="H371" s="380">
        <v>5</v>
      </c>
      <c r="I371" s="388">
        <v>544860</v>
      </c>
      <c r="J371" s="380">
        <v>4</v>
      </c>
      <c r="K371" s="389">
        <f t="shared" si="16"/>
        <v>136215</v>
      </c>
      <c r="L371" s="381">
        <v>46023</v>
      </c>
      <c r="M371" s="381">
        <v>46387</v>
      </c>
      <c r="N371" s="363" t="s">
        <v>520</v>
      </c>
      <c r="O371" s="380"/>
      <c r="P371" s="380"/>
      <c r="Q371" s="390" t="s">
        <v>396</v>
      </c>
      <c r="R371" s="363" t="s">
        <v>1418</v>
      </c>
      <c r="S371" s="390" t="s">
        <v>397</v>
      </c>
      <c r="T371" s="363" t="s">
        <v>1849</v>
      </c>
      <c r="U371" s="363" t="s">
        <v>496</v>
      </c>
      <c r="V371" s="363"/>
      <c r="W371" s="363" t="s">
        <v>497</v>
      </c>
      <c r="X371" s="363"/>
      <c r="Y371" s="363"/>
      <c r="Z371" s="363"/>
      <c r="AA371" s="363"/>
      <c r="AB371" s="363"/>
      <c r="AC371" s="363" t="s">
        <v>281</v>
      </c>
      <c r="AD371" s="380" t="s">
        <v>97</v>
      </c>
      <c r="AE371" s="380">
        <v>4</v>
      </c>
      <c r="AF371" s="363" t="s">
        <v>1345</v>
      </c>
    </row>
    <row r="372" spans="2:32" ht="15" hidden="1" customHeight="1" x14ac:dyDescent="0.3">
      <c r="B372" s="380" t="s">
        <v>0</v>
      </c>
      <c r="C372" s="409" t="s">
        <v>604</v>
      </c>
      <c r="D372" s="423" t="s">
        <v>1419</v>
      </c>
      <c r="E372" s="408">
        <v>5700203580</v>
      </c>
      <c r="F372" s="488">
        <v>45996</v>
      </c>
      <c r="G372" s="380" t="s">
        <v>643</v>
      </c>
      <c r="H372" s="380">
        <v>1</v>
      </c>
      <c r="I372" s="388">
        <v>118335</v>
      </c>
      <c r="J372" s="380">
        <v>2</v>
      </c>
      <c r="K372" s="389">
        <f t="shared" ref="K372:K403" si="17">I372/J372</f>
        <v>59167.5</v>
      </c>
      <c r="L372" s="381">
        <v>46023</v>
      </c>
      <c r="M372" s="381">
        <v>46387</v>
      </c>
      <c r="N372" s="363" t="s">
        <v>520</v>
      </c>
      <c r="O372" s="380"/>
      <c r="P372" s="380"/>
      <c r="Q372" s="390" t="s">
        <v>607</v>
      </c>
      <c r="R372" s="363" t="s">
        <v>1710</v>
      </c>
      <c r="S372" s="363" t="s">
        <v>608</v>
      </c>
      <c r="T372" s="363"/>
      <c r="U372" s="363"/>
      <c r="V372" s="363"/>
      <c r="W372" s="363"/>
      <c r="X372" s="363"/>
      <c r="Y372" s="363"/>
      <c r="Z372" s="363"/>
      <c r="AA372" s="363"/>
      <c r="AB372" s="363"/>
      <c r="AC372" s="363" t="s">
        <v>281</v>
      </c>
      <c r="AD372" s="380" t="s">
        <v>97</v>
      </c>
      <c r="AE372" s="380">
        <v>2</v>
      </c>
      <c r="AF372" s="363" t="s">
        <v>1345</v>
      </c>
    </row>
    <row r="373" spans="2:32" ht="15" hidden="1" customHeight="1" x14ac:dyDescent="0.3">
      <c r="B373" s="380" t="s">
        <v>0</v>
      </c>
      <c r="C373" s="482" t="s">
        <v>614</v>
      </c>
      <c r="D373" s="483" t="s">
        <v>447</v>
      </c>
      <c r="E373" s="494" t="s">
        <v>1420</v>
      </c>
      <c r="F373" s="488">
        <v>46009</v>
      </c>
      <c r="G373" s="380" t="s">
        <v>643</v>
      </c>
      <c r="H373" s="380">
        <v>1</v>
      </c>
      <c r="I373" s="388">
        <v>76440</v>
      </c>
      <c r="J373" s="380">
        <v>3</v>
      </c>
      <c r="K373" s="389">
        <f t="shared" si="17"/>
        <v>25480</v>
      </c>
      <c r="L373" s="381">
        <v>46023</v>
      </c>
      <c r="M373" s="381">
        <v>46387</v>
      </c>
      <c r="N373" s="363" t="s">
        <v>520</v>
      </c>
      <c r="O373" s="380"/>
      <c r="P373" s="380"/>
      <c r="Q373" s="390" t="s">
        <v>347</v>
      </c>
      <c r="R373" s="363" t="s">
        <v>331</v>
      </c>
      <c r="S373" s="363" t="s">
        <v>348</v>
      </c>
      <c r="T373" s="363"/>
      <c r="U373" s="363" t="s">
        <v>349</v>
      </c>
      <c r="V373" s="363"/>
      <c r="W373" s="363"/>
      <c r="X373" s="363"/>
      <c r="Y373" s="363"/>
      <c r="Z373" s="363"/>
      <c r="AA373" s="363"/>
      <c r="AB373" s="363"/>
      <c r="AC373" s="363" t="s">
        <v>281</v>
      </c>
      <c r="AD373" s="380" t="s">
        <v>97</v>
      </c>
      <c r="AE373" s="380">
        <v>3</v>
      </c>
      <c r="AF373" s="363" t="s">
        <v>1060</v>
      </c>
    </row>
    <row r="374" spans="2:32" ht="15" hidden="1" customHeight="1" x14ac:dyDescent="0.3">
      <c r="B374" s="380" t="s">
        <v>0</v>
      </c>
      <c r="C374" s="409" t="s">
        <v>640</v>
      </c>
      <c r="D374" s="489" t="s">
        <v>1421</v>
      </c>
      <c r="E374" s="411" t="s">
        <v>1422</v>
      </c>
      <c r="F374" s="488">
        <v>45996</v>
      </c>
      <c r="G374" s="380" t="s">
        <v>643</v>
      </c>
      <c r="H374" s="380">
        <v>34</v>
      </c>
      <c r="I374" s="388">
        <v>2068693.74</v>
      </c>
      <c r="J374" s="380">
        <v>3</v>
      </c>
      <c r="K374" s="389">
        <f t="shared" si="17"/>
        <v>689564.58</v>
      </c>
      <c r="L374" s="381">
        <v>46003</v>
      </c>
      <c r="M374" s="381">
        <v>46367</v>
      </c>
      <c r="N374" s="363" t="s">
        <v>520</v>
      </c>
      <c r="O374" s="380"/>
      <c r="P374" s="380"/>
      <c r="Q374" s="390" t="s">
        <v>1423</v>
      </c>
      <c r="R374" s="363" t="s">
        <v>1252</v>
      </c>
      <c r="S374" s="363" t="s">
        <v>1424</v>
      </c>
      <c r="T374" s="363"/>
      <c r="U374" s="363" t="s">
        <v>1425</v>
      </c>
      <c r="V374" s="363"/>
      <c r="W374" s="363"/>
      <c r="X374" s="363"/>
      <c r="Y374" s="363"/>
      <c r="Z374" s="363"/>
      <c r="AA374" s="363"/>
      <c r="AB374" s="363"/>
      <c r="AC374" s="363" t="s">
        <v>281</v>
      </c>
      <c r="AD374" s="380" t="s">
        <v>97</v>
      </c>
      <c r="AE374" s="380">
        <v>3</v>
      </c>
      <c r="AF374" s="363" t="s">
        <v>1345</v>
      </c>
    </row>
    <row r="375" spans="2:32" ht="15" hidden="1" customHeight="1" x14ac:dyDescent="0.3">
      <c r="B375" s="380" t="s">
        <v>0</v>
      </c>
      <c r="C375" s="409" t="s">
        <v>640</v>
      </c>
      <c r="D375" s="489" t="s">
        <v>1421</v>
      </c>
      <c r="E375" s="411" t="s">
        <v>1422</v>
      </c>
      <c r="F375" s="488">
        <v>45996</v>
      </c>
      <c r="G375" s="380" t="s">
        <v>643</v>
      </c>
      <c r="H375" s="380"/>
      <c r="I375" s="388">
        <v>2068693.74</v>
      </c>
      <c r="J375" s="380">
        <v>3</v>
      </c>
      <c r="K375" s="389">
        <f t="shared" si="17"/>
        <v>689564.58</v>
      </c>
      <c r="L375" s="381">
        <v>46368</v>
      </c>
      <c r="M375" s="381">
        <v>46732</v>
      </c>
      <c r="N375" s="363" t="s">
        <v>520</v>
      </c>
      <c r="O375" s="380"/>
      <c r="P375" s="380"/>
      <c r="Q375" s="363" t="s">
        <v>1426</v>
      </c>
      <c r="R375" s="363"/>
      <c r="S375" s="363" t="s">
        <v>1427</v>
      </c>
      <c r="T375" s="363"/>
      <c r="U375" s="363" t="s">
        <v>1428</v>
      </c>
      <c r="V375" s="363"/>
      <c r="W375" s="363"/>
      <c r="X375" s="363"/>
      <c r="Y375" s="363"/>
      <c r="Z375" s="363"/>
      <c r="AA375" s="363"/>
      <c r="AB375" s="363"/>
      <c r="AC375" s="363" t="s">
        <v>281</v>
      </c>
      <c r="AD375" s="380" t="s">
        <v>97</v>
      </c>
      <c r="AE375" s="380">
        <v>3</v>
      </c>
      <c r="AF375" s="363" t="s">
        <v>1345</v>
      </c>
    </row>
    <row r="376" spans="2:32" ht="15" hidden="1" customHeight="1" x14ac:dyDescent="0.3">
      <c r="B376" s="380" t="s">
        <v>0</v>
      </c>
      <c r="C376" s="482" t="s">
        <v>1429</v>
      </c>
      <c r="D376" s="483" t="s">
        <v>388</v>
      </c>
      <c r="E376" s="491" t="s">
        <v>1430</v>
      </c>
      <c r="F376" s="488">
        <v>46010</v>
      </c>
      <c r="G376" s="380" t="s">
        <v>643</v>
      </c>
      <c r="H376" s="380">
        <v>6</v>
      </c>
      <c r="I376" s="388">
        <v>493800</v>
      </c>
      <c r="J376" s="380">
        <v>2</v>
      </c>
      <c r="K376" s="389">
        <f t="shared" si="17"/>
        <v>246900</v>
      </c>
      <c r="L376" s="381">
        <v>46023</v>
      </c>
      <c r="M376" s="381">
        <v>46387</v>
      </c>
      <c r="N376" s="363" t="s">
        <v>520</v>
      </c>
      <c r="O376" s="380"/>
      <c r="P376" s="380"/>
      <c r="Q376" s="390" t="s">
        <v>607</v>
      </c>
      <c r="R376" s="363" t="s">
        <v>1845</v>
      </c>
      <c r="S376" s="363" t="s">
        <v>608</v>
      </c>
      <c r="T376" s="363"/>
      <c r="U376" s="363"/>
      <c r="V376" s="363"/>
      <c r="W376" s="363"/>
      <c r="X376" s="363"/>
      <c r="Y376" s="363"/>
      <c r="Z376" s="363"/>
      <c r="AA376" s="363"/>
      <c r="AB376" s="363"/>
      <c r="AC376" s="363" t="s">
        <v>619</v>
      </c>
      <c r="AD376" s="380" t="s">
        <v>63</v>
      </c>
      <c r="AE376" s="380">
        <v>3</v>
      </c>
      <c r="AF376" s="363" t="s">
        <v>667</v>
      </c>
    </row>
    <row r="377" spans="2:32" ht="15" hidden="1" customHeight="1" x14ac:dyDescent="0.3">
      <c r="B377" s="380" t="s">
        <v>0</v>
      </c>
      <c r="C377" s="482" t="s">
        <v>518</v>
      </c>
      <c r="D377" s="483" t="s">
        <v>176</v>
      </c>
      <c r="E377" s="468">
        <v>4518267425</v>
      </c>
      <c r="F377" s="488">
        <v>46027</v>
      </c>
      <c r="G377" s="380" t="s">
        <v>643</v>
      </c>
      <c r="H377" s="380">
        <v>1</v>
      </c>
      <c r="I377" s="388">
        <v>77200</v>
      </c>
      <c r="J377" s="380">
        <v>4</v>
      </c>
      <c r="K377" s="389">
        <f t="shared" si="17"/>
        <v>19300</v>
      </c>
      <c r="L377" s="381">
        <v>46023</v>
      </c>
      <c r="M377" s="381">
        <v>46387</v>
      </c>
      <c r="N377" s="363" t="s">
        <v>520</v>
      </c>
      <c r="O377" s="380"/>
      <c r="P377" s="380"/>
      <c r="Q377" s="390" t="s">
        <v>396</v>
      </c>
      <c r="R377" s="363" t="s">
        <v>909</v>
      </c>
      <c r="S377" s="390" t="s">
        <v>397</v>
      </c>
      <c r="T377" s="363" t="s">
        <v>1729</v>
      </c>
      <c r="U377" s="363" t="s">
        <v>496</v>
      </c>
      <c r="V377" s="363"/>
      <c r="W377" s="363" t="s">
        <v>497</v>
      </c>
      <c r="X377" s="363"/>
      <c r="Y377" s="363"/>
      <c r="Z377" s="363"/>
      <c r="AA377" s="363"/>
      <c r="AB377" s="363"/>
      <c r="AC377" s="363" t="s">
        <v>183</v>
      </c>
      <c r="AD377" s="380" t="s">
        <v>97</v>
      </c>
      <c r="AE377" s="380">
        <v>3</v>
      </c>
      <c r="AF377" s="363" t="s">
        <v>1431</v>
      </c>
    </row>
    <row r="378" spans="2:32" ht="15" hidden="1" customHeight="1" x14ac:dyDescent="0.3">
      <c r="B378" s="380" t="s">
        <v>0</v>
      </c>
      <c r="C378" s="482" t="s">
        <v>518</v>
      </c>
      <c r="D378" s="483" t="s">
        <v>176</v>
      </c>
      <c r="E378" s="468">
        <v>4518267076</v>
      </c>
      <c r="F378" s="488">
        <v>46027</v>
      </c>
      <c r="G378" s="380" t="s">
        <v>643</v>
      </c>
      <c r="H378" s="380">
        <v>2</v>
      </c>
      <c r="I378" s="388">
        <v>179600</v>
      </c>
      <c r="J378" s="380">
        <v>4</v>
      </c>
      <c r="K378" s="389">
        <f t="shared" si="17"/>
        <v>44900</v>
      </c>
      <c r="L378" s="381">
        <v>46023</v>
      </c>
      <c r="M378" s="381">
        <v>46387</v>
      </c>
      <c r="N378" s="363" t="s">
        <v>520</v>
      </c>
      <c r="O378" s="380"/>
      <c r="P378" s="380"/>
      <c r="Q378" s="390" t="s">
        <v>396</v>
      </c>
      <c r="R378" s="363" t="s">
        <v>909</v>
      </c>
      <c r="S378" s="390" t="s">
        <v>397</v>
      </c>
      <c r="T378" s="363" t="s">
        <v>1729</v>
      </c>
      <c r="U378" s="363" t="s">
        <v>496</v>
      </c>
      <c r="V378" s="363"/>
      <c r="W378" s="363" t="s">
        <v>497</v>
      </c>
      <c r="X378" s="363"/>
      <c r="Y378" s="363"/>
      <c r="Z378" s="363"/>
      <c r="AA378" s="363"/>
      <c r="AB378" s="363"/>
      <c r="AC378" s="363" t="s">
        <v>183</v>
      </c>
      <c r="AD378" s="380" t="s">
        <v>97</v>
      </c>
      <c r="AE378" s="380">
        <v>3</v>
      </c>
      <c r="AF378" s="363" t="s">
        <v>1431</v>
      </c>
    </row>
    <row r="379" spans="2:32" ht="15" hidden="1" customHeight="1" x14ac:dyDescent="0.3">
      <c r="B379" s="380" t="s">
        <v>0</v>
      </c>
      <c r="C379" s="482" t="s">
        <v>604</v>
      </c>
      <c r="D379" s="483" t="s">
        <v>1012</v>
      </c>
      <c r="E379" s="491">
        <v>5700206412</v>
      </c>
      <c r="F379" s="488">
        <v>46027</v>
      </c>
      <c r="G379" s="380" t="s">
        <v>643</v>
      </c>
      <c r="H379" s="380">
        <v>12</v>
      </c>
      <c r="I379" s="388">
        <v>1373715</v>
      </c>
      <c r="J379" s="380">
        <v>2</v>
      </c>
      <c r="K379" s="389">
        <f t="shared" si="17"/>
        <v>686857.5</v>
      </c>
      <c r="L379" s="381">
        <v>46023</v>
      </c>
      <c r="M379" s="381">
        <v>46387</v>
      </c>
      <c r="N379" s="363" t="s">
        <v>520</v>
      </c>
      <c r="O379" s="380"/>
      <c r="P379" s="380"/>
      <c r="Q379" s="390" t="s">
        <v>607</v>
      </c>
      <c r="R379" s="363" t="s">
        <v>1865</v>
      </c>
      <c r="S379" s="363" t="s">
        <v>608</v>
      </c>
      <c r="T379" s="363"/>
      <c r="U379" s="363"/>
      <c r="V379" s="363"/>
      <c r="W379" s="363"/>
      <c r="X379" s="363"/>
      <c r="Y379" s="363"/>
      <c r="Z379" s="363"/>
      <c r="AA379" s="363"/>
      <c r="AB379" s="363"/>
      <c r="AC379" s="363" t="s">
        <v>619</v>
      </c>
      <c r="AD379" s="380" t="s">
        <v>63</v>
      </c>
      <c r="AE379" s="380">
        <v>3</v>
      </c>
      <c r="AF379" s="363" t="s">
        <v>799</v>
      </c>
    </row>
    <row r="380" spans="2:32" ht="15" hidden="1" customHeight="1" x14ac:dyDescent="0.3">
      <c r="B380" s="380" t="s">
        <v>0</v>
      </c>
      <c r="C380" s="478" t="s">
        <v>598</v>
      </c>
      <c r="D380" s="480" t="s">
        <v>1354</v>
      </c>
      <c r="E380" s="481">
        <v>3800059115</v>
      </c>
      <c r="F380" s="488">
        <v>46028</v>
      </c>
      <c r="G380" s="380" t="s">
        <v>643</v>
      </c>
      <c r="H380" s="380">
        <v>3</v>
      </c>
      <c r="I380" s="388">
        <v>174000</v>
      </c>
      <c r="J380" s="380">
        <v>2</v>
      </c>
      <c r="K380" s="389">
        <f t="shared" si="17"/>
        <v>87000</v>
      </c>
      <c r="L380" s="381">
        <v>46023</v>
      </c>
      <c r="M380" s="381">
        <v>46387</v>
      </c>
      <c r="N380" s="363" t="s">
        <v>520</v>
      </c>
      <c r="O380" s="380"/>
      <c r="P380" s="380"/>
      <c r="Q380" s="390" t="s">
        <v>607</v>
      </c>
      <c r="R380" s="363" t="s">
        <v>1432</v>
      </c>
      <c r="S380" s="363" t="s">
        <v>608</v>
      </c>
      <c r="T380" s="363"/>
      <c r="U380" s="363"/>
      <c r="V380" s="363"/>
      <c r="W380" s="363"/>
      <c r="X380" s="363"/>
      <c r="Y380" s="363"/>
      <c r="Z380" s="363"/>
      <c r="AA380" s="363"/>
      <c r="AB380" s="363"/>
      <c r="AC380" s="363" t="s">
        <v>485</v>
      </c>
      <c r="AD380" s="380" t="s">
        <v>63</v>
      </c>
      <c r="AE380" s="380">
        <v>2</v>
      </c>
      <c r="AF380" s="363" t="s">
        <v>799</v>
      </c>
    </row>
    <row r="381" spans="2:32" ht="15" hidden="1" customHeight="1" x14ac:dyDescent="0.3">
      <c r="B381" s="380" t="s">
        <v>0</v>
      </c>
      <c r="C381" s="482" t="s">
        <v>1433</v>
      </c>
      <c r="D381" s="483" t="s">
        <v>434</v>
      </c>
      <c r="E381" s="491" t="s">
        <v>1434</v>
      </c>
      <c r="F381" s="488">
        <v>45666</v>
      </c>
      <c r="G381" s="407" t="s">
        <v>703</v>
      </c>
      <c r="H381" s="380">
        <v>19</v>
      </c>
      <c r="I381" s="388">
        <v>3915197</v>
      </c>
      <c r="J381" s="380">
        <v>4</v>
      </c>
      <c r="K381" s="389">
        <f t="shared" si="17"/>
        <v>978799.25</v>
      </c>
      <c r="L381" s="381">
        <v>46034</v>
      </c>
      <c r="M381" s="381">
        <v>46398</v>
      </c>
      <c r="N381" s="363" t="s">
        <v>520</v>
      </c>
      <c r="O381" s="380"/>
      <c r="P381" s="380"/>
      <c r="Q381" s="390" t="s">
        <v>1435</v>
      </c>
      <c r="R381" s="363" t="s">
        <v>1436</v>
      </c>
      <c r="S381" s="363" t="s">
        <v>1437</v>
      </c>
      <c r="T381" s="363"/>
      <c r="U381" s="363" t="s">
        <v>1438</v>
      </c>
      <c r="V381" s="363"/>
      <c r="W381" s="363" t="s">
        <v>1439</v>
      </c>
      <c r="X381" s="363"/>
      <c r="Y381" s="363"/>
      <c r="Z381" s="363"/>
      <c r="AA381" s="363"/>
      <c r="AB381" s="363"/>
      <c r="AC381" s="363" t="s">
        <v>281</v>
      </c>
      <c r="AD381" s="380" t="s">
        <v>97</v>
      </c>
      <c r="AE381" s="380" t="s">
        <v>494</v>
      </c>
      <c r="AF381" s="386" t="s">
        <v>1345</v>
      </c>
    </row>
    <row r="382" spans="2:32" ht="15" hidden="1" customHeight="1" x14ac:dyDescent="0.3">
      <c r="B382" s="380" t="s">
        <v>0</v>
      </c>
      <c r="C382" s="478" t="s">
        <v>614</v>
      </c>
      <c r="D382" s="480" t="s">
        <v>447</v>
      </c>
      <c r="E382" s="495" t="s">
        <v>1440</v>
      </c>
      <c r="F382" s="496">
        <v>46000</v>
      </c>
      <c r="G382" s="380" t="s">
        <v>643</v>
      </c>
      <c r="H382" s="380">
        <v>1</v>
      </c>
      <c r="I382" s="388">
        <v>76440</v>
      </c>
      <c r="J382" s="380">
        <v>3</v>
      </c>
      <c r="K382" s="389">
        <f t="shared" si="17"/>
        <v>25480</v>
      </c>
      <c r="L382" s="381">
        <v>45992</v>
      </c>
      <c r="M382" s="381">
        <v>46356</v>
      </c>
      <c r="N382" s="363" t="s">
        <v>520</v>
      </c>
      <c r="O382" s="380"/>
      <c r="P382" s="380"/>
      <c r="Q382" s="390" t="s">
        <v>361</v>
      </c>
      <c r="R382" s="363" t="s">
        <v>1412</v>
      </c>
      <c r="S382" s="363" t="s">
        <v>1080</v>
      </c>
      <c r="T382" s="363"/>
      <c r="U382" s="363" t="s">
        <v>1108</v>
      </c>
      <c r="V382" s="363"/>
      <c r="W382" s="363"/>
      <c r="X382" s="363"/>
      <c r="Y382" s="363"/>
      <c r="Z382" s="363"/>
      <c r="AA382" s="363"/>
      <c r="AB382" s="363"/>
      <c r="AC382" s="363" t="s">
        <v>281</v>
      </c>
      <c r="AD382" s="380" t="s">
        <v>97</v>
      </c>
      <c r="AE382" s="380">
        <v>3</v>
      </c>
      <c r="AF382" s="363" t="s">
        <v>1441</v>
      </c>
    </row>
    <row r="383" spans="2:32" ht="15" hidden="1" customHeight="1" x14ac:dyDescent="0.3">
      <c r="B383" s="380" t="s">
        <v>0</v>
      </c>
      <c r="C383" s="482" t="s">
        <v>195</v>
      </c>
      <c r="D383" s="483" t="s">
        <v>447</v>
      </c>
      <c r="E383" s="468" t="s">
        <v>255</v>
      </c>
      <c r="F383" s="488" t="s">
        <v>1442</v>
      </c>
      <c r="G383" s="380" t="s">
        <v>643</v>
      </c>
      <c r="H383" s="380">
        <v>3</v>
      </c>
      <c r="I383" s="388">
        <v>177000</v>
      </c>
      <c r="J383" s="380">
        <v>4</v>
      </c>
      <c r="K383" s="389">
        <f t="shared" si="17"/>
        <v>44250</v>
      </c>
      <c r="L383" s="381">
        <v>46054</v>
      </c>
      <c r="M383" s="381">
        <v>46418</v>
      </c>
      <c r="N383" s="363" t="s">
        <v>520</v>
      </c>
      <c r="O383" s="380"/>
      <c r="P383" s="380"/>
      <c r="Q383" s="390" t="s">
        <v>442</v>
      </c>
      <c r="R383" s="363" t="s">
        <v>1226</v>
      </c>
      <c r="S383" s="363" t="s">
        <v>444</v>
      </c>
      <c r="T383" s="363"/>
      <c r="U383" s="363" t="s">
        <v>1443</v>
      </c>
      <c r="V383" s="363"/>
      <c r="W383" s="363" t="s">
        <v>456</v>
      </c>
      <c r="X383" s="363"/>
      <c r="Y383" s="363"/>
      <c r="Z383" s="363"/>
      <c r="AA383" s="363"/>
      <c r="AB383" s="363"/>
      <c r="AC383" s="363" t="s">
        <v>96</v>
      </c>
      <c r="AD383" s="380" t="s">
        <v>97</v>
      </c>
      <c r="AE383" s="380" t="s">
        <v>494</v>
      </c>
      <c r="AF383" s="363"/>
    </row>
    <row r="384" spans="2:32" ht="15" hidden="1" customHeight="1" x14ac:dyDescent="0.3">
      <c r="B384" s="380" t="s">
        <v>0</v>
      </c>
      <c r="C384" s="409" t="s">
        <v>1444</v>
      </c>
      <c r="D384" s="418" t="s">
        <v>841</v>
      </c>
      <c r="E384" s="493" t="s">
        <v>1445</v>
      </c>
      <c r="F384" s="488">
        <v>46021</v>
      </c>
      <c r="G384" s="380" t="s">
        <v>643</v>
      </c>
      <c r="H384" s="380">
        <v>7</v>
      </c>
      <c r="I384" s="388">
        <v>371000</v>
      </c>
      <c r="J384" s="380">
        <v>2</v>
      </c>
      <c r="K384" s="389">
        <f t="shared" si="17"/>
        <v>185500</v>
      </c>
      <c r="L384" s="381">
        <v>46023</v>
      </c>
      <c r="M384" s="381">
        <v>46387</v>
      </c>
      <c r="N384" s="363" t="s">
        <v>520</v>
      </c>
      <c r="O384" s="380"/>
      <c r="P384" s="380"/>
      <c r="Q384" s="390" t="s">
        <v>486</v>
      </c>
      <c r="R384" s="363" t="s">
        <v>1730</v>
      </c>
      <c r="S384" s="363" t="s">
        <v>608</v>
      </c>
      <c r="T384" s="363"/>
      <c r="U384" s="363"/>
      <c r="V384" s="363"/>
      <c r="W384" s="363"/>
      <c r="X384" s="363"/>
      <c r="Y384" s="363"/>
      <c r="Z384" s="363"/>
      <c r="AA384" s="363"/>
      <c r="AB384" s="363"/>
      <c r="AC384" s="363" t="s">
        <v>485</v>
      </c>
      <c r="AD384" s="380" t="s">
        <v>63</v>
      </c>
      <c r="AE384" s="380">
        <v>2</v>
      </c>
      <c r="AF384" s="363" t="s">
        <v>1446</v>
      </c>
    </row>
    <row r="385" spans="2:32" ht="15" hidden="1" customHeight="1" x14ac:dyDescent="0.3">
      <c r="B385" s="380" t="s">
        <v>0</v>
      </c>
      <c r="C385" s="409" t="s">
        <v>1447</v>
      </c>
      <c r="D385" s="423" t="s">
        <v>388</v>
      </c>
      <c r="E385" s="419">
        <v>3800061135</v>
      </c>
      <c r="F385" s="488">
        <v>46035</v>
      </c>
      <c r="G385" s="380" t="s">
        <v>643</v>
      </c>
      <c r="H385" s="380">
        <v>3</v>
      </c>
      <c r="I385" s="388">
        <v>174000</v>
      </c>
      <c r="J385" s="380">
        <v>2</v>
      </c>
      <c r="K385" s="389">
        <f t="shared" si="17"/>
        <v>87000</v>
      </c>
      <c r="L385" s="381">
        <v>46023</v>
      </c>
      <c r="M385" s="381">
        <v>46387</v>
      </c>
      <c r="N385" s="363" t="s">
        <v>520</v>
      </c>
      <c r="O385" s="380"/>
      <c r="P385" s="380"/>
      <c r="Q385" s="390" t="s">
        <v>607</v>
      </c>
      <c r="R385" s="363" t="s">
        <v>1862</v>
      </c>
      <c r="S385" s="363" t="s">
        <v>608</v>
      </c>
      <c r="T385" s="363"/>
      <c r="U385" s="363"/>
      <c r="V385" s="363"/>
      <c r="W385" s="363"/>
      <c r="X385" s="363"/>
      <c r="Y385" s="363"/>
      <c r="Z385" s="363"/>
      <c r="AA385" s="363"/>
      <c r="AB385" s="363"/>
      <c r="AC385" s="363" t="s">
        <v>478</v>
      </c>
      <c r="AD385" s="380" t="s">
        <v>63</v>
      </c>
      <c r="AE385" s="380">
        <v>2</v>
      </c>
      <c r="AF385" s="363" t="s">
        <v>667</v>
      </c>
    </row>
    <row r="386" spans="2:32" ht="15" hidden="1" customHeight="1" x14ac:dyDescent="0.3">
      <c r="B386" s="380" t="s">
        <v>0</v>
      </c>
      <c r="C386" s="409" t="s">
        <v>1448</v>
      </c>
      <c r="D386" s="418" t="s">
        <v>151</v>
      </c>
      <c r="E386" s="497" t="s">
        <v>1449</v>
      </c>
      <c r="F386" s="488">
        <v>46031</v>
      </c>
      <c r="G386" s="380" t="s">
        <v>643</v>
      </c>
      <c r="H386" s="380">
        <v>1</v>
      </c>
      <c r="I386" s="388">
        <v>160000</v>
      </c>
      <c r="J386" s="380">
        <v>3</v>
      </c>
      <c r="K386" s="389">
        <f t="shared" si="17"/>
        <v>53333.333333333336</v>
      </c>
      <c r="L386" s="381">
        <v>46023</v>
      </c>
      <c r="M386" s="381">
        <v>46387</v>
      </c>
      <c r="N386" s="363" t="s">
        <v>520</v>
      </c>
      <c r="O386" s="380"/>
      <c r="P386" s="380"/>
      <c r="Q386" s="390" t="s">
        <v>347</v>
      </c>
      <c r="R386" s="363" t="s">
        <v>1450</v>
      </c>
      <c r="S386" s="363" t="s">
        <v>348</v>
      </c>
      <c r="T386" s="363"/>
      <c r="U386" s="363" t="s">
        <v>349</v>
      </c>
      <c r="V386" s="363"/>
      <c r="W386" s="363"/>
      <c r="X386" s="363"/>
      <c r="Y386" s="363"/>
      <c r="Z386" s="363"/>
      <c r="AA386" s="363"/>
      <c r="AB386" s="363"/>
      <c r="AC386" s="363" t="s">
        <v>507</v>
      </c>
      <c r="AD386" s="380" t="s">
        <v>63</v>
      </c>
      <c r="AE386" s="380">
        <v>3</v>
      </c>
      <c r="AF386" s="363" t="s">
        <v>667</v>
      </c>
    </row>
    <row r="387" spans="2:32" ht="15" hidden="1" customHeight="1" x14ac:dyDescent="0.3">
      <c r="B387" s="380" t="s">
        <v>0</v>
      </c>
      <c r="C387" s="482" t="s">
        <v>1451</v>
      </c>
      <c r="D387" s="483" t="s">
        <v>151</v>
      </c>
      <c r="E387" s="419">
        <v>8182414</v>
      </c>
      <c r="F387" s="488">
        <v>46034</v>
      </c>
      <c r="G387" s="380" t="s">
        <v>643</v>
      </c>
      <c r="H387" s="380">
        <v>3</v>
      </c>
      <c r="I387" s="388">
        <v>232497</v>
      </c>
      <c r="J387" s="380">
        <v>3</v>
      </c>
      <c r="K387" s="389">
        <f t="shared" si="17"/>
        <v>77499</v>
      </c>
      <c r="L387" s="381">
        <v>46023</v>
      </c>
      <c r="M387" s="381">
        <v>46387</v>
      </c>
      <c r="N387" s="363" t="s">
        <v>520</v>
      </c>
      <c r="O387" s="380"/>
      <c r="P387" s="380"/>
      <c r="Q387" s="390" t="s">
        <v>347</v>
      </c>
      <c r="R387" s="363" t="s">
        <v>331</v>
      </c>
      <c r="S387" s="363" t="s">
        <v>348</v>
      </c>
      <c r="T387" s="363"/>
      <c r="U387" s="363" t="s">
        <v>349</v>
      </c>
      <c r="V387" s="363"/>
      <c r="W387" s="363"/>
      <c r="X387" s="363"/>
      <c r="Y387" s="363"/>
      <c r="Z387" s="363"/>
      <c r="AA387" s="363"/>
      <c r="AB387" s="363"/>
      <c r="AC387" s="363" t="s">
        <v>478</v>
      </c>
      <c r="AD387" s="380" t="s">
        <v>63</v>
      </c>
      <c r="AE387" s="380">
        <v>3</v>
      </c>
      <c r="AF387" s="363" t="s">
        <v>667</v>
      </c>
    </row>
    <row r="388" spans="2:32" ht="15" hidden="1" customHeight="1" x14ac:dyDescent="0.3">
      <c r="B388" s="380" t="s">
        <v>0</v>
      </c>
      <c r="C388" s="478" t="s">
        <v>1452</v>
      </c>
      <c r="D388" s="480" t="s">
        <v>1453</v>
      </c>
      <c r="E388" s="481" t="s">
        <v>1454</v>
      </c>
      <c r="F388" s="488">
        <v>45960</v>
      </c>
      <c r="G388" s="380" t="s">
        <v>643</v>
      </c>
      <c r="H388" s="380">
        <v>1</v>
      </c>
      <c r="I388" s="388">
        <v>93800</v>
      </c>
      <c r="J388" s="380">
        <v>3</v>
      </c>
      <c r="K388" s="389">
        <f t="shared" si="17"/>
        <v>31266.666666666668</v>
      </c>
      <c r="L388" s="381">
        <v>45931</v>
      </c>
      <c r="M388" s="381">
        <v>46295</v>
      </c>
      <c r="N388" s="363" t="s">
        <v>520</v>
      </c>
      <c r="O388" s="380"/>
      <c r="P388" s="380"/>
      <c r="Q388" s="390" t="s">
        <v>83</v>
      </c>
      <c r="R388" s="363" t="s">
        <v>454</v>
      </c>
      <c r="S388" s="390" t="s">
        <v>1455</v>
      </c>
      <c r="T388" s="363" t="s">
        <v>695</v>
      </c>
      <c r="U388" s="363" t="s">
        <v>406</v>
      </c>
      <c r="V388" s="363"/>
      <c r="W388" s="363"/>
      <c r="X388" s="363"/>
      <c r="Y388" s="363"/>
      <c r="Z388" s="363"/>
      <c r="AA388" s="363"/>
      <c r="AB388" s="363"/>
      <c r="AC388" s="363" t="s">
        <v>183</v>
      </c>
      <c r="AD388" s="380" t="s">
        <v>968</v>
      </c>
      <c r="AE388" s="380">
        <v>1</v>
      </c>
      <c r="AF388" s="363" t="s">
        <v>799</v>
      </c>
    </row>
    <row r="389" spans="2:32" ht="15" hidden="1" customHeight="1" x14ac:dyDescent="0.3">
      <c r="B389" s="380" t="s">
        <v>0</v>
      </c>
      <c r="C389" s="482" t="s">
        <v>544</v>
      </c>
      <c r="D389" s="483" t="s">
        <v>545</v>
      </c>
      <c r="E389" s="468">
        <v>1250053807</v>
      </c>
      <c r="F389" s="488">
        <v>46027</v>
      </c>
      <c r="G389" s="380" t="s">
        <v>643</v>
      </c>
      <c r="H389" s="380">
        <v>2</v>
      </c>
      <c r="I389" s="388">
        <v>156000</v>
      </c>
      <c r="J389" s="380">
        <v>3</v>
      </c>
      <c r="K389" s="389">
        <f t="shared" si="17"/>
        <v>52000</v>
      </c>
      <c r="L389" s="381">
        <v>46035</v>
      </c>
      <c r="M389" s="381">
        <v>46399</v>
      </c>
      <c r="N389" s="363" t="s">
        <v>520</v>
      </c>
      <c r="O389" s="380"/>
      <c r="P389" s="380"/>
      <c r="Q389" s="390" t="s">
        <v>1456</v>
      </c>
      <c r="R389" s="363" t="s">
        <v>1162</v>
      </c>
      <c r="S389" s="390" t="s">
        <v>1457</v>
      </c>
      <c r="T389" s="363" t="s">
        <v>1859</v>
      </c>
      <c r="U389" s="363" t="s">
        <v>1458</v>
      </c>
      <c r="V389" s="363"/>
      <c r="W389" s="363"/>
      <c r="X389" s="363"/>
      <c r="Y389" s="363"/>
      <c r="Z389" s="363"/>
      <c r="AA389" s="363"/>
      <c r="AB389" s="363"/>
      <c r="AC389" s="363" t="s">
        <v>551</v>
      </c>
      <c r="AD389" s="380" t="s">
        <v>207</v>
      </c>
      <c r="AE389" s="380">
        <v>3</v>
      </c>
      <c r="AF389" s="363" t="s">
        <v>799</v>
      </c>
    </row>
    <row r="390" spans="2:32" ht="15" hidden="1" customHeight="1" x14ac:dyDescent="0.3">
      <c r="B390" s="380" t="s">
        <v>0</v>
      </c>
      <c r="C390" s="409" t="s">
        <v>595</v>
      </c>
      <c r="D390" s="418" t="s">
        <v>596</v>
      </c>
      <c r="E390" s="498">
        <v>7710030270</v>
      </c>
      <c r="F390" s="488">
        <v>46034</v>
      </c>
      <c r="G390" s="380" t="s">
        <v>643</v>
      </c>
      <c r="H390" s="380">
        <v>10</v>
      </c>
      <c r="I390" s="388">
        <v>500000</v>
      </c>
      <c r="J390" s="380">
        <v>2</v>
      </c>
      <c r="K390" s="389">
        <f t="shared" si="17"/>
        <v>250000</v>
      </c>
      <c r="L390" s="381">
        <v>46023</v>
      </c>
      <c r="M390" s="381">
        <v>46387</v>
      </c>
      <c r="N390" s="363" t="s">
        <v>520</v>
      </c>
      <c r="O390" s="380"/>
      <c r="P390" s="380"/>
      <c r="Q390" s="363" t="s">
        <v>607</v>
      </c>
      <c r="R390" s="363"/>
      <c r="S390" s="363" t="s">
        <v>608</v>
      </c>
      <c r="T390" s="363"/>
      <c r="U390" s="363"/>
      <c r="V390" s="363"/>
      <c r="W390" s="363"/>
      <c r="X390" s="363"/>
      <c r="Y390" s="363"/>
      <c r="Z390" s="363"/>
      <c r="AA390" s="363"/>
      <c r="AB390" s="363"/>
      <c r="AC390" s="363" t="s">
        <v>478</v>
      </c>
      <c r="AD390" s="380" t="s">
        <v>63</v>
      </c>
      <c r="AE390" s="380">
        <v>2</v>
      </c>
      <c r="AF390" s="363" t="s">
        <v>667</v>
      </c>
    </row>
    <row r="391" spans="2:32" ht="15" hidden="1" customHeight="1" x14ac:dyDescent="0.3">
      <c r="B391" s="380" t="s">
        <v>0</v>
      </c>
      <c r="C391" s="409" t="s">
        <v>1330</v>
      </c>
      <c r="D391" s="423" t="s">
        <v>323</v>
      </c>
      <c r="E391" s="419" t="s">
        <v>1459</v>
      </c>
      <c r="F391" s="488">
        <v>46032</v>
      </c>
      <c r="G391" s="380" t="s">
        <v>643</v>
      </c>
      <c r="H391" s="380">
        <v>1</v>
      </c>
      <c r="I391" s="388">
        <v>109200</v>
      </c>
      <c r="J391" s="380">
        <v>3</v>
      </c>
      <c r="K391" s="389">
        <f t="shared" si="17"/>
        <v>36400</v>
      </c>
      <c r="L391" s="381">
        <v>46023</v>
      </c>
      <c r="M391" s="381">
        <v>46387</v>
      </c>
      <c r="N391" s="363" t="s">
        <v>520</v>
      </c>
      <c r="O391" s="380"/>
      <c r="P391" s="380"/>
      <c r="Q391" s="390" t="s">
        <v>347</v>
      </c>
      <c r="R391" s="363" t="s">
        <v>1314</v>
      </c>
      <c r="S391" s="363" t="s">
        <v>348</v>
      </c>
      <c r="T391" s="363"/>
      <c r="U391" s="363" t="s">
        <v>349</v>
      </c>
      <c r="V391" s="363"/>
      <c r="W391" s="363"/>
      <c r="X391" s="363"/>
      <c r="Y391" s="363"/>
      <c r="Z391" s="363"/>
      <c r="AA391" s="363"/>
      <c r="AB391" s="363"/>
      <c r="AC391" s="363" t="s">
        <v>96</v>
      </c>
      <c r="AD391" s="380" t="s">
        <v>97</v>
      </c>
      <c r="AE391" s="380" t="s">
        <v>494</v>
      </c>
      <c r="AF391" s="363" t="s">
        <v>667</v>
      </c>
    </row>
    <row r="392" spans="2:32" ht="15" hidden="1" customHeight="1" x14ac:dyDescent="0.3">
      <c r="B392" s="380" t="s">
        <v>0</v>
      </c>
      <c r="C392" s="409" t="s">
        <v>195</v>
      </c>
      <c r="D392" s="483" t="s">
        <v>447</v>
      </c>
      <c r="E392" s="491" t="s">
        <v>1460</v>
      </c>
      <c r="F392" s="488">
        <v>46043</v>
      </c>
      <c r="G392" s="380" t="s">
        <v>643</v>
      </c>
      <c r="H392" s="380">
        <v>11</v>
      </c>
      <c r="I392" s="388">
        <v>706090</v>
      </c>
      <c r="J392" s="380">
        <v>4</v>
      </c>
      <c r="K392" s="389">
        <f t="shared" si="17"/>
        <v>176522.5</v>
      </c>
      <c r="L392" s="381">
        <v>46043</v>
      </c>
      <c r="M392" s="381">
        <v>46407</v>
      </c>
      <c r="N392" s="363" t="s">
        <v>520</v>
      </c>
      <c r="O392" s="380"/>
      <c r="P392" s="380"/>
      <c r="Q392" s="390" t="s">
        <v>1461</v>
      </c>
      <c r="R392" s="363" t="s">
        <v>1050</v>
      </c>
      <c r="S392" s="363" t="s">
        <v>1462</v>
      </c>
      <c r="T392" s="363"/>
      <c r="U392" s="363" t="s">
        <v>1463</v>
      </c>
      <c r="V392" s="363"/>
      <c r="W392" s="363" t="s">
        <v>1464</v>
      </c>
      <c r="X392" s="363"/>
      <c r="Y392" s="363"/>
      <c r="Z392" s="363"/>
      <c r="AA392" s="363"/>
      <c r="AB392" s="363"/>
      <c r="AC392" s="363" t="s">
        <v>96</v>
      </c>
      <c r="AD392" s="380" t="s">
        <v>97</v>
      </c>
      <c r="AE392" s="380" t="s">
        <v>494</v>
      </c>
      <c r="AF392" s="363" t="s">
        <v>667</v>
      </c>
    </row>
    <row r="393" spans="2:32" ht="15" hidden="1" customHeight="1" x14ac:dyDescent="0.3">
      <c r="B393" s="380" t="s">
        <v>0</v>
      </c>
      <c r="C393" s="409" t="s">
        <v>195</v>
      </c>
      <c r="D393" s="483" t="s">
        <v>447</v>
      </c>
      <c r="E393" s="468" t="s">
        <v>1460</v>
      </c>
      <c r="F393" s="488">
        <v>46043</v>
      </c>
      <c r="G393" s="380" t="s">
        <v>643</v>
      </c>
      <c r="H393" s="380"/>
      <c r="I393" s="388">
        <v>706090</v>
      </c>
      <c r="J393" s="380">
        <v>4</v>
      </c>
      <c r="K393" s="389">
        <f t="shared" si="17"/>
        <v>176522.5</v>
      </c>
      <c r="L393" s="381">
        <v>46408</v>
      </c>
      <c r="M393" s="381">
        <v>46772</v>
      </c>
      <c r="N393" s="363" t="s">
        <v>520</v>
      </c>
      <c r="O393" s="380"/>
      <c r="P393" s="380"/>
      <c r="Q393" s="363" t="s">
        <v>1465</v>
      </c>
      <c r="R393" s="363"/>
      <c r="S393" s="363" t="s">
        <v>1466</v>
      </c>
      <c r="T393" s="363"/>
      <c r="U393" s="363" t="s">
        <v>1467</v>
      </c>
      <c r="V393" s="363"/>
      <c r="W393" s="363" t="s">
        <v>1468</v>
      </c>
      <c r="X393" s="363"/>
      <c r="Y393" s="363"/>
      <c r="Z393" s="363"/>
      <c r="AA393" s="363"/>
      <c r="AB393" s="363"/>
      <c r="AC393" s="363" t="s">
        <v>96</v>
      </c>
      <c r="AD393" s="380" t="s">
        <v>97</v>
      </c>
      <c r="AE393" s="380" t="s">
        <v>494</v>
      </c>
      <c r="AF393" s="363" t="s">
        <v>667</v>
      </c>
    </row>
    <row r="394" spans="2:32" ht="15" hidden="1" customHeight="1" x14ac:dyDescent="0.3">
      <c r="B394" s="380" t="s">
        <v>0</v>
      </c>
      <c r="C394" s="409" t="s">
        <v>195</v>
      </c>
      <c r="D394" s="483" t="s">
        <v>447</v>
      </c>
      <c r="E394" s="468" t="s">
        <v>1460</v>
      </c>
      <c r="F394" s="488">
        <v>46043</v>
      </c>
      <c r="G394" s="380" t="s">
        <v>643</v>
      </c>
      <c r="H394" s="380"/>
      <c r="I394" s="388">
        <v>706090</v>
      </c>
      <c r="J394" s="380">
        <v>4</v>
      </c>
      <c r="K394" s="389">
        <f t="shared" si="17"/>
        <v>176522.5</v>
      </c>
      <c r="L394" s="381">
        <v>46773</v>
      </c>
      <c r="M394" s="381">
        <v>47138</v>
      </c>
      <c r="N394" s="363" t="s">
        <v>520</v>
      </c>
      <c r="O394" s="380"/>
      <c r="P394" s="380"/>
      <c r="Q394" s="363" t="s">
        <v>1469</v>
      </c>
      <c r="R394" s="363"/>
      <c r="S394" s="363" t="s">
        <v>1470</v>
      </c>
      <c r="T394" s="363"/>
      <c r="U394" s="363" t="s">
        <v>1471</v>
      </c>
      <c r="V394" s="363"/>
      <c r="W394" s="363" t="s">
        <v>1472</v>
      </c>
      <c r="X394" s="363"/>
      <c r="Y394" s="363"/>
      <c r="Z394" s="363"/>
      <c r="AA394" s="363"/>
      <c r="AB394" s="363"/>
      <c r="AC394" s="363" t="s">
        <v>96</v>
      </c>
      <c r="AD394" s="380" t="s">
        <v>97</v>
      </c>
      <c r="AE394" s="380" t="s">
        <v>494</v>
      </c>
      <c r="AF394" s="363" t="s">
        <v>667</v>
      </c>
    </row>
    <row r="395" spans="2:32" ht="15" hidden="1" customHeight="1" x14ac:dyDescent="0.3">
      <c r="B395" s="380" t="s">
        <v>0</v>
      </c>
      <c r="C395" s="482" t="s">
        <v>1473</v>
      </c>
      <c r="D395" s="483" t="s">
        <v>1474</v>
      </c>
      <c r="E395" s="491">
        <v>4340105757</v>
      </c>
      <c r="F395" s="488">
        <v>46020</v>
      </c>
      <c r="G395" s="380" t="s">
        <v>643</v>
      </c>
      <c r="H395" s="380">
        <v>8</v>
      </c>
      <c r="I395" s="388">
        <v>736117.2</v>
      </c>
      <c r="J395" s="380">
        <v>3</v>
      </c>
      <c r="K395" s="389">
        <f t="shared" si="17"/>
        <v>245372.4</v>
      </c>
      <c r="L395" s="381">
        <v>46023</v>
      </c>
      <c r="M395" s="381">
        <v>46387</v>
      </c>
      <c r="N395" s="363" t="s">
        <v>520</v>
      </c>
      <c r="O395" s="380"/>
      <c r="P395" s="380"/>
      <c r="Q395" s="390" t="s">
        <v>347</v>
      </c>
      <c r="R395" s="363" t="s">
        <v>1475</v>
      </c>
      <c r="S395" s="363" t="s">
        <v>348</v>
      </c>
      <c r="T395" s="363"/>
      <c r="U395" s="363" t="s">
        <v>349</v>
      </c>
      <c r="V395" s="363"/>
      <c r="W395" s="363"/>
      <c r="X395" s="363"/>
      <c r="Y395" s="363"/>
      <c r="Z395" s="363"/>
      <c r="AA395" s="363"/>
      <c r="AB395" s="363"/>
      <c r="AC395" s="363" t="s">
        <v>551</v>
      </c>
      <c r="AD395" s="380" t="s">
        <v>207</v>
      </c>
      <c r="AE395" s="380">
        <v>3</v>
      </c>
      <c r="AF395" s="363" t="s">
        <v>667</v>
      </c>
    </row>
    <row r="396" spans="2:32" ht="15" hidden="1" customHeight="1" x14ac:dyDescent="0.3">
      <c r="B396" s="380" t="s">
        <v>0</v>
      </c>
      <c r="C396" s="412" t="s">
        <v>614</v>
      </c>
      <c r="D396" s="437" t="s">
        <v>984</v>
      </c>
      <c r="E396" s="414" t="s">
        <v>1476</v>
      </c>
      <c r="F396" s="499">
        <v>46028</v>
      </c>
      <c r="G396" s="380" t="s">
        <v>643</v>
      </c>
      <c r="H396" s="380">
        <v>1</v>
      </c>
      <c r="I396" s="388">
        <v>76440</v>
      </c>
      <c r="J396" s="380">
        <v>3</v>
      </c>
      <c r="K396" s="389">
        <f t="shared" si="17"/>
        <v>25480</v>
      </c>
      <c r="L396" s="381">
        <v>46023</v>
      </c>
      <c r="M396" s="381">
        <v>46387</v>
      </c>
      <c r="N396" s="363" t="s">
        <v>520</v>
      </c>
      <c r="O396" s="380"/>
      <c r="P396" s="380"/>
      <c r="Q396" s="390" t="s">
        <v>347</v>
      </c>
      <c r="R396" s="363" t="s">
        <v>1169</v>
      </c>
      <c r="S396" s="363" t="s">
        <v>348</v>
      </c>
      <c r="T396" s="363"/>
      <c r="U396" s="363" t="s">
        <v>349</v>
      </c>
      <c r="V396" s="363"/>
      <c r="W396" s="363"/>
      <c r="X396" s="363"/>
      <c r="Y396" s="363"/>
      <c r="Z396" s="363"/>
      <c r="AA396" s="363"/>
      <c r="AB396" s="363"/>
      <c r="AC396" s="363" t="s">
        <v>281</v>
      </c>
      <c r="AD396" s="380" t="s">
        <v>97</v>
      </c>
      <c r="AE396" s="380">
        <v>3</v>
      </c>
      <c r="AF396" s="363" t="s">
        <v>1060</v>
      </c>
    </row>
    <row r="397" spans="2:32" ht="15" hidden="1" customHeight="1" x14ac:dyDescent="0.3">
      <c r="B397" s="380" t="s">
        <v>0</v>
      </c>
      <c r="C397" s="412" t="s">
        <v>614</v>
      </c>
      <c r="D397" s="463" t="s">
        <v>1016</v>
      </c>
      <c r="E397" s="465" t="s">
        <v>1477</v>
      </c>
      <c r="F397" s="500">
        <v>46041</v>
      </c>
      <c r="G397" s="380" t="s">
        <v>643</v>
      </c>
      <c r="H397" s="380">
        <v>2</v>
      </c>
      <c r="I397" s="388">
        <v>152880</v>
      </c>
      <c r="J397" s="380">
        <v>3</v>
      </c>
      <c r="K397" s="389">
        <f t="shared" si="17"/>
        <v>50960</v>
      </c>
      <c r="L397" s="381">
        <v>46023</v>
      </c>
      <c r="M397" s="381">
        <v>46387</v>
      </c>
      <c r="N397" s="363" t="s">
        <v>520</v>
      </c>
      <c r="O397" s="380"/>
      <c r="P397" s="380"/>
      <c r="Q397" s="390" t="s">
        <v>347</v>
      </c>
      <c r="R397" s="363" t="s">
        <v>1450</v>
      </c>
      <c r="S397" s="363" t="s">
        <v>348</v>
      </c>
      <c r="T397" s="363"/>
      <c r="U397" s="363" t="s">
        <v>349</v>
      </c>
      <c r="V397" s="363"/>
      <c r="W397" s="363"/>
      <c r="X397" s="363"/>
      <c r="Y397" s="363"/>
      <c r="Z397" s="363"/>
      <c r="AA397" s="363"/>
      <c r="AB397" s="363"/>
      <c r="AC397" s="363" t="s">
        <v>619</v>
      </c>
      <c r="AD397" s="380" t="s">
        <v>63</v>
      </c>
      <c r="AE397" s="380">
        <v>3</v>
      </c>
      <c r="AF397" s="363" t="s">
        <v>1060</v>
      </c>
    </row>
    <row r="398" spans="2:32" ht="15" hidden="1" customHeight="1" x14ac:dyDescent="0.3">
      <c r="B398" s="380" t="s">
        <v>0</v>
      </c>
      <c r="C398" s="409" t="s">
        <v>614</v>
      </c>
      <c r="D398" s="418" t="s">
        <v>1016</v>
      </c>
      <c r="E398" s="459" t="s">
        <v>1478</v>
      </c>
      <c r="F398" s="488">
        <v>46029</v>
      </c>
      <c r="G398" s="380" t="s">
        <v>643</v>
      </c>
      <c r="H398" s="380">
        <v>2</v>
      </c>
      <c r="I398" s="388">
        <v>152880</v>
      </c>
      <c r="J398" s="380">
        <v>3</v>
      </c>
      <c r="K398" s="389">
        <f t="shared" si="17"/>
        <v>50960</v>
      </c>
      <c r="L398" s="381">
        <v>46023</v>
      </c>
      <c r="M398" s="381">
        <v>46387</v>
      </c>
      <c r="N398" s="363" t="s">
        <v>520</v>
      </c>
      <c r="O398" s="380"/>
      <c r="P398" s="380"/>
      <c r="Q398" s="390" t="s">
        <v>347</v>
      </c>
      <c r="R398" s="363" t="s">
        <v>909</v>
      </c>
      <c r="S398" s="363" t="s">
        <v>348</v>
      </c>
      <c r="T398" s="363"/>
      <c r="U398" s="363" t="s">
        <v>349</v>
      </c>
      <c r="V398" s="363"/>
      <c r="W398" s="363"/>
      <c r="X398" s="363"/>
      <c r="Y398" s="363"/>
      <c r="Z398" s="363"/>
      <c r="AA398" s="363"/>
      <c r="AB398" s="363"/>
      <c r="AC398" s="363" t="s">
        <v>619</v>
      </c>
      <c r="AD398" s="380" t="s">
        <v>63</v>
      </c>
      <c r="AE398" s="380">
        <v>3</v>
      </c>
      <c r="AF398" s="363" t="s">
        <v>1060</v>
      </c>
    </row>
    <row r="399" spans="2:32" ht="15" hidden="1" customHeight="1" x14ac:dyDescent="0.3">
      <c r="B399" s="380" t="s">
        <v>0</v>
      </c>
      <c r="C399" s="482" t="s">
        <v>1429</v>
      </c>
      <c r="D399" s="483" t="s">
        <v>388</v>
      </c>
      <c r="E399" s="491" t="s">
        <v>1479</v>
      </c>
      <c r="F399" s="501">
        <v>46035</v>
      </c>
      <c r="G399" s="380" t="s">
        <v>643</v>
      </c>
      <c r="H399" s="380">
        <v>4</v>
      </c>
      <c r="I399" s="388">
        <v>329200</v>
      </c>
      <c r="J399" s="380">
        <v>2</v>
      </c>
      <c r="K399" s="389">
        <f t="shared" si="17"/>
        <v>164600</v>
      </c>
      <c r="L399" s="381">
        <v>46023</v>
      </c>
      <c r="M399" s="381">
        <v>46387</v>
      </c>
      <c r="N399" s="363" t="s">
        <v>520</v>
      </c>
      <c r="O399" s="380"/>
      <c r="P399" s="380"/>
      <c r="Q399" s="363" t="s">
        <v>607</v>
      </c>
      <c r="R399" s="363"/>
      <c r="S399" s="363" t="s">
        <v>608</v>
      </c>
      <c r="T399" s="363"/>
      <c r="U399" s="363"/>
      <c r="V399" s="363"/>
      <c r="W399" s="363"/>
      <c r="X399" s="363"/>
      <c r="Y399" s="363"/>
      <c r="Z399" s="363"/>
      <c r="AA399" s="363"/>
      <c r="AB399" s="363"/>
      <c r="AC399" s="363" t="s">
        <v>619</v>
      </c>
      <c r="AD399" s="380" t="s">
        <v>63</v>
      </c>
      <c r="AE399" s="380">
        <v>3</v>
      </c>
      <c r="AF399" s="363" t="s">
        <v>667</v>
      </c>
    </row>
    <row r="400" spans="2:32" ht="15" hidden="1" customHeight="1" x14ac:dyDescent="0.3">
      <c r="B400" s="380" t="s">
        <v>0</v>
      </c>
      <c r="C400" s="482" t="s">
        <v>1480</v>
      </c>
      <c r="D400" s="483" t="s">
        <v>1481</v>
      </c>
      <c r="E400" s="468">
        <v>6025000320</v>
      </c>
      <c r="F400" s="488">
        <v>45986</v>
      </c>
      <c r="G400" s="380" t="s">
        <v>643</v>
      </c>
      <c r="H400" s="380">
        <v>1</v>
      </c>
      <c r="I400" s="388">
        <v>115500</v>
      </c>
      <c r="J400" s="380">
        <v>3</v>
      </c>
      <c r="K400" s="391">
        <f t="shared" si="17"/>
        <v>38500</v>
      </c>
      <c r="L400" s="381">
        <v>45931</v>
      </c>
      <c r="M400" s="381">
        <v>46295</v>
      </c>
      <c r="N400" s="363" t="s">
        <v>520</v>
      </c>
      <c r="O400" s="380"/>
      <c r="P400" s="380"/>
      <c r="Q400" s="390" t="s">
        <v>83</v>
      </c>
      <c r="R400" s="363" t="s">
        <v>573</v>
      </c>
      <c r="S400" s="390" t="s">
        <v>404</v>
      </c>
      <c r="T400" s="363" t="s">
        <v>1713</v>
      </c>
      <c r="U400" s="363" t="s">
        <v>406</v>
      </c>
      <c r="V400" s="363"/>
      <c r="W400" s="363"/>
      <c r="X400" s="363"/>
      <c r="Y400" s="363"/>
      <c r="Z400" s="363"/>
      <c r="AA400" s="363"/>
      <c r="AB400" s="363"/>
      <c r="AC400" s="363" t="s">
        <v>183</v>
      </c>
      <c r="AD400" s="380" t="s">
        <v>97</v>
      </c>
      <c r="AE400" s="380">
        <v>3</v>
      </c>
      <c r="AF400" s="363" t="s">
        <v>667</v>
      </c>
    </row>
    <row r="401" spans="2:32" ht="15" hidden="1" customHeight="1" x14ac:dyDescent="0.3">
      <c r="B401" s="380" t="s">
        <v>0</v>
      </c>
      <c r="C401" s="482" t="s">
        <v>604</v>
      </c>
      <c r="D401" s="483" t="s">
        <v>620</v>
      </c>
      <c r="E401" s="468">
        <v>5700204128</v>
      </c>
      <c r="F401" s="488">
        <v>46030</v>
      </c>
      <c r="G401" s="380" t="s">
        <v>643</v>
      </c>
      <c r="H401" s="380">
        <v>8</v>
      </c>
      <c r="I401" s="388">
        <f>1893360/2</f>
        <v>946680</v>
      </c>
      <c r="J401" s="380">
        <v>2</v>
      </c>
      <c r="K401" s="389">
        <f t="shared" si="17"/>
        <v>473340</v>
      </c>
      <c r="L401" s="381">
        <v>46023</v>
      </c>
      <c r="M401" s="381">
        <v>46387</v>
      </c>
      <c r="N401" s="363" t="s">
        <v>520</v>
      </c>
      <c r="O401" s="380"/>
      <c r="P401" s="380"/>
      <c r="Q401" s="390" t="s">
        <v>486</v>
      </c>
      <c r="R401" s="363" t="s">
        <v>798</v>
      </c>
      <c r="S401" s="363" t="s">
        <v>608</v>
      </c>
      <c r="T401" s="363"/>
      <c r="U401" s="363"/>
      <c r="V401" s="363"/>
      <c r="W401" s="363"/>
      <c r="X401" s="363"/>
      <c r="Y401" s="363"/>
      <c r="Z401" s="363"/>
      <c r="AA401" s="363"/>
      <c r="AB401" s="363"/>
      <c r="AC401" s="363" t="s">
        <v>619</v>
      </c>
      <c r="AD401" s="380" t="s">
        <v>63</v>
      </c>
      <c r="AE401" s="380">
        <v>3</v>
      </c>
      <c r="AF401" s="363" t="s">
        <v>799</v>
      </c>
    </row>
    <row r="402" spans="2:32" ht="15" hidden="1" customHeight="1" x14ac:dyDescent="0.3">
      <c r="B402" s="380" t="s">
        <v>0</v>
      </c>
      <c r="C402" s="482" t="s">
        <v>604</v>
      </c>
      <c r="D402" s="483" t="s">
        <v>620</v>
      </c>
      <c r="E402" s="468">
        <v>5700204128</v>
      </c>
      <c r="F402" s="488">
        <v>46030</v>
      </c>
      <c r="G402" s="380" t="s">
        <v>643</v>
      </c>
      <c r="H402" s="380"/>
      <c r="I402" s="388">
        <f>1893360/2</f>
        <v>946680</v>
      </c>
      <c r="J402" s="380">
        <v>2</v>
      </c>
      <c r="K402" s="389">
        <f t="shared" si="17"/>
        <v>473340</v>
      </c>
      <c r="L402" s="381">
        <v>46388</v>
      </c>
      <c r="M402" s="381">
        <v>46752</v>
      </c>
      <c r="N402" s="363" t="s">
        <v>520</v>
      </c>
      <c r="O402" s="380"/>
      <c r="P402" s="380"/>
      <c r="Q402" s="363" t="s">
        <v>1119</v>
      </c>
      <c r="R402" s="363"/>
      <c r="S402" s="363" t="s">
        <v>1482</v>
      </c>
      <c r="T402" s="363"/>
      <c r="U402" s="363"/>
      <c r="V402" s="363"/>
      <c r="W402" s="363"/>
      <c r="X402" s="363"/>
      <c r="Y402" s="363"/>
      <c r="Z402" s="363"/>
      <c r="AA402" s="363"/>
      <c r="AB402" s="363"/>
      <c r="AC402" s="363" t="s">
        <v>619</v>
      </c>
      <c r="AD402" s="380" t="s">
        <v>63</v>
      </c>
      <c r="AE402" s="380">
        <v>3</v>
      </c>
      <c r="AF402" s="363" t="s">
        <v>799</v>
      </c>
    </row>
    <row r="403" spans="2:32" ht="15" hidden="1" customHeight="1" x14ac:dyDescent="0.3">
      <c r="B403" s="380" t="s">
        <v>0</v>
      </c>
      <c r="C403" s="409" t="s">
        <v>614</v>
      </c>
      <c r="D403" s="423" t="s">
        <v>1483</v>
      </c>
      <c r="E403" s="502" t="s">
        <v>1484</v>
      </c>
      <c r="F403" s="488">
        <v>45677</v>
      </c>
      <c r="G403" s="380" t="s">
        <v>643</v>
      </c>
      <c r="H403" s="380">
        <v>2</v>
      </c>
      <c r="I403" s="388">
        <v>158000</v>
      </c>
      <c r="J403" s="380">
        <v>3</v>
      </c>
      <c r="K403" s="389">
        <f t="shared" si="17"/>
        <v>52666.666666666664</v>
      </c>
      <c r="L403" s="381">
        <v>46054</v>
      </c>
      <c r="M403" s="381">
        <v>46418</v>
      </c>
      <c r="N403" s="363" t="s">
        <v>520</v>
      </c>
      <c r="O403" s="380"/>
      <c r="P403" s="380"/>
      <c r="Q403" s="390" t="s">
        <v>1455</v>
      </c>
      <c r="R403" s="363" t="s">
        <v>1485</v>
      </c>
      <c r="S403" s="363" t="s">
        <v>406</v>
      </c>
      <c r="T403" s="363"/>
      <c r="U403" s="363" t="s">
        <v>407</v>
      </c>
      <c r="V403" s="363"/>
      <c r="W403" s="363"/>
      <c r="X403" s="363"/>
      <c r="Y403" s="363"/>
      <c r="Z403" s="363"/>
      <c r="AA403" s="363"/>
      <c r="AB403" s="363"/>
      <c r="AC403" s="363" t="s">
        <v>834</v>
      </c>
      <c r="AD403" s="380" t="s">
        <v>207</v>
      </c>
      <c r="AE403" s="380">
        <v>3</v>
      </c>
      <c r="AF403" s="363" t="s">
        <v>829</v>
      </c>
    </row>
    <row r="404" spans="2:32" ht="15" hidden="1" customHeight="1" x14ac:dyDescent="0.3">
      <c r="B404" s="380" t="s">
        <v>0</v>
      </c>
      <c r="C404" s="409" t="s">
        <v>614</v>
      </c>
      <c r="D404" s="423" t="s">
        <v>1483</v>
      </c>
      <c r="E404" s="393" t="s">
        <v>1486</v>
      </c>
      <c r="F404" s="488">
        <v>46006</v>
      </c>
      <c r="G404" s="380" t="s">
        <v>643</v>
      </c>
      <c r="H404" s="380">
        <v>3</v>
      </c>
      <c r="I404" s="388">
        <v>237000</v>
      </c>
      <c r="J404" s="380">
        <v>3</v>
      </c>
      <c r="K404" s="389">
        <f t="shared" ref="K404:K434" si="18">I404/J404</f>
        <v>79000</v>
      </c>
      <c r="L404" s="381">
        <v>46023</v>
      </c>
      <c r="M404" s="381">
        <v>46387</v>
      </c>
      <c r="N404" s="363" t="s">
        <v>520</v>
      </c>
      <c r="O404" s="380"/>
      <c r="P404" s="380"/>
      <c r="Q404" s="390" t="s">
        <v>347</v>
      </c>
      <c r="R404" s="363" t="s">
        <v>1262</v>
      </c>
      <c r="S404" s="390" t="s">
        <v>348</v>
      </c>
      <c r="T404" s="363" t="s">
        <v>1727</v>
      </c>
      <c r="U404" s="363" t="s">
        <v>349</v>
      </c>
      <c r="V404" s="363"/>
      <c r="W404" s="363"/>
      <c r="X404" s="363"/>
      <c r="Y404" s="363"/>
      <c r="Z404" s="363"/>
      <c r="AA404" s="363"/>
      <c r="AB404" s="363"/>
      <c r="AC404" s="363" t="s">
        <v>834</v>
      </c>
      <c r="AD404" s="380" t="s">
        <v>207</v>
      </c>
      <c r="AE404" s="380">
        <v>3</v>
      </c>
      <c r="AF404" s="363" t="s">
        <v>799</v>
      </c>
    </row>
    <row r="405" spans="2:32" ht="15" hidden="1" customHeight="1" x14ac:dyDescent="0.3">
      <c r="B405" s="380" t="s">
        <v>0</v>
      </c>
      <c r="C405" s="409" t="s">
        <v>1487</v>
      </c>
      <c r="D405" s="434" t="s">
        <v>841</v>
      </c>
      <c r="E405" s="472">
        <v>91049299</v>
      </c>
      <c r="F405" s="488">
        <v>46035</v>
      </c>
      <c r="G405" s="380" t="s">
        <v>643</v>
      </c>
      <c r="H405" s="380">
        <v>5</v>
      </c>
      <c r="I405" s="388">
        <v>275625</v>
      </c>
      <c r="J405" s="380">
        <v>2</v>
      </c>
      <c r="K405" s="389">
        <f t="shared" si="18"/>
        <v>137812.5</v>
      </c>
      <c r="L405" s="381">
        <v>46023</v>
      </c>
      <c r="M405" s="381">
        <v>46387</v>
      </c>
      <c r="N405" s="363" t="s">
        <v>520</v>
      </c>
      <c r="O405" s="380"/>
      <c r="P405" s="380"/>
      <c r="Q405" s="363" t="s">
        <v>607</v>
      </c>
      <c r="R405" s="363"/>
      <c r="S405" s="363" t="s">
        <v>608</v>
      </c>
      <c r="T405" s="363"/>
      <c r="U405" s="363"/>
      <c r="V405" s="363"/>
      <c r="W405" s="363"/>
      <c r="X405" s="363"/>
      <c r="Y405" s="363"/>
      <c r="Z405" s="363"/>
      <c r="AA405" s="363"/>
      <c r="AB405" s="363"/>
      <c r="AC405" s="363" t="s">
        <v>485</v>
      </c>
      <c r="AD405" s="380" t="s">
        <v>63</v>
      </c>
      <c r="AE405" s="380">
        <v>3</v>
      </c>
      <c r="AF405" s="363" t="s">
        <v>1488</v>
      </c>
    </row>
    <row r="406" spans="2:32" ht="15" hidden="1" customHeight="1" x14ac:dyDescent="0.3">
      <c r="B406" s="380" t="s">
        <v>0</v>
      </c>
      <c r="C406" s="409" t="s">
        <v>1487</v>
      </c>
      <c r="D406" s="434" t="s">
        <v>841</v>
      </c>
      <c r="E406" s="472">
        <v>91049299</v>
      </c>
      <c r="F406" s="488">
        <v>46035</v>
      </c>
      <c r="G406" s="380" t="s">
        <v>643</v>
      </c>
      <c r="H406" s="380"/>
      <c r="I406" s="388">
        <v>275625</v>
      </c>
      <c r="J406" s="380">
        <v>2</v>
      </c>
      <c r="K406" s="389">
        <f t="shared" si="18"/>
        <v>137812.5</v>
      </c>
      <c r="L406" s="381">
        <v>46388</v>
      </c>
      <c r="M406" s="381">
        <v>46752</v>
      </c>
      <c r="N406" s="363" t="s">
        <v>520</v>
      </c>
      <c r="O406" s="380"/>
      <c r="P406" s="380"/>
      <c r="Q406" s="363" t="s">
        <v>1119</v>
      </c>
      <c r="R406" s="363"/>
      <c r="S406" s="363" t="s">
        <v>1482</v>
      </c>
      <c r="T406" s="363"/>
      <c r="U406" s="363"/>
      <c r="V406" s="363"/>
      <c r="W406" s="363"/>
      <c r="X406" s="363"/>
      <c r="Y406" s="363"/>
      <c r="Z406" s="363"/>
      <c r="AA406" s="363"/>
      <c r="AB406" s="363"/>
      <c r="AC406" s="363" t="s">
        <v>485</v>
      </c>
      <c r="AD406" s="380" t="s">
        <v>63</v>
      </c>
      <c r="AE406" s="380">
        <v>3</v>
      </c>
      <c r="AF406" s="363" t="s">
        <v>1488</v>
      </c>
    </row>
    <row r="407" spans="2:32" ht="15" hidden="1" customHeight="1" x14ac:dyDescent="0.3">
      <c r="B407" s="380" t="s">
        <v>0</v>
      </c>
      <c r="C407" s="409" t="s">
        <v>1487</v>
      </c>
      <c r="D407" s="434" t="s">
        <v>841</v>
      </c>
      <c r="E407" s="472">
        <v>91049299</v>
      </c>
      <c r="F407" s="488">
        <v>46035</v>
      </c>
      <c r="G407" s="380" t="s">
        <v>643</v>
      </c>
      <c r="H407" s="380"/>
      <c r="I407" s="388">
        <v>275625</v>
      </c>
      <c r="J407" s="380">
        <v>2</v>
      </c>
      <c r="K407" s="389">
        <f t="shared" si="18"/>
        <v>137812.5</v>
      </c>
      <c r="L407" s="381">
        <v>46753</v>
      </c>
      <c r="M407" s="381">
        <v>47118</v>
      </c>
      <c r="N407" s="363" t="s">
        <v>520</v>
      </c>
      <c r="O407" s="380"/>
      <c r="P407" s="380"/>
      <c r="Q407" s="363" t="s">
        <v>1489</v>
      </c>
      <c r="R407" s="363"/>
      <c r="S407" s="363" t="s">
        <v>1490</v>
      </c>
      <c r="T407" s="363"/>
      <c r="U407" s="363"/>
      <c r="V407" s="363"/>
      <c r="W407" s="363"/>
      <c r="X407" s="363"/>
      <c r="Y407" s="363"/>
      <c r="Z407" s="363"/>
      <c r="AA407" s="363"/>
      <c r="AB407" s="363"/>
      <c r="AC407" s="363" t="s">
        <v>485</v>
      </c>
      <c r="AD407" s="380" t="s">
        <v>63</v>
      </c>
      <c r="AE407" s="380">
        <v>3</v>
      </c>
      <c r="AF407" s="363" t="s">
        <v>1488</v>
      </c>
    </row>
    <row r="408" spans="2:32" ht="15" hidden="1" customHeight="1" x14ac:dyDescent="0.3">
      <c r="B408" s="410" t="s">
        <v>2</v>
      </c>
      <c r="C408" s="482" t="s">
        <v>195</v>
      </c>
      <c r="D408" s="483" t="s">
        <v>1491</v>
      </c>
      <c r="E408" s="468" t="s">
        <v>1492</v>
      </c>
      <c r="F408" s="488">
        <v>45982</v>
      </c>
      <c r="G408" s="380" t="s">
        <v>643</v>
      </c>
      <c r="H408" s="380">
        <v>5</v>
      </c>
      <c r="I408" s="388">
        <v>287100</v>
      </c>
      <c r="J408" s="380">
        <v>4</v>
      </c>
      <c r="K408" s="391">
        <f t="shared" si="18"/>
        <v>71775</v>
      </c>
      <c r="L408" s="381">
        <v>45992</v>
      </c>
      <c r="M408" s="381">
        <v>46356</v>
      </c>
      <c r="N408" s="363" t="s">
        <v>520</v>
      </c>
      <c r="O408" s="380"/>
      <c r="P408" s="380"/>
      <c r="Q408" s="390" t="s">
        <v>1133</v>
      </c>
      <c r="R408" s="363" t="s">
        <v>1173</v>
      </c>
      <c r="S408" s="390" t="s">
        <v>1134</v>
      </c>
      <c r="T408" s="363" t="s">
        <v>1723</v>
      </c>
      <c r="U408" s="363" t="s">
        <v>1244</v>
      </c>
      <c r="V408" s="363"/>
      <c r="W408" s="363" t="s">
        <v>1245</v>
      </c>
      <c r="X408" s="363"/>
      <c r="Y408" s="363"/>
      <c r="Z408" s="363"/>
      <c r="AA408" s="363"/>
      <c r="AB408" s="363"/>
      <c r="AC408" s="363" t="s">
        <v>551</v>
      </c>
      <c r="AD408" s="380" t="s">
        <v>207</v>
      </c>
      <c r="AE408" s="380">
        <v>4</v>
      </c>
      <c r="AF408" s="363"/>
    </row>
    <row r="409" spans="2:32" ht="15" hidden="1" customHeight="1" x14ac:dyDescent="0.3">
      <c r="B409" s="380" t="s">
        <v>2</v>
      </c>
      <c r="C409" s="409" t="s">
        <v>1493</v>
      </c>
      <c r="D409" s="423" t="s">
        <v>1114</v>
      </c>
      <c r="E409" s="408" t="s">
        <v>1494</v>
      </c>
      <c r="F409" s="488">
        <v>45995</v>
      </c>
      <c r="G409" s="380" t="s">
        <v>643</v>
      </c>
      <c r="H409" s="380">
        <v>1</v>
      </c>
      <c r="I409" s="388">
        <v>90000</v>
      </c>
      <c r="J409" s="380">
        <v>3</v>
      </c>
      <c r="K409" s="389">
        <f t="shared" si="18"/>
        <v>30000</v>
      </c>
      <c r="L409" s="381">
        <v>45992</v>
      </c>
      <c r="M409" s="381">
        <v>46356</v>
      </c>
      <c r="N409" s="363" t="s">
        <v>520</v>
      </c>
      <c r="O409" s="380"/>
      <c r="P409" s="380"/>
      <c r="Q409" s="390" t="s">
        <v>361</v>
      </c>
      <c r="R409" s="363" t="s">
        <v>386</v>
      </c>
      <c r="S409" s="363" t="s">
        <v>1080</v>
      </c>
      <c r="T409" s="363"/>
      <c r="U409" s="363" t="s">
        <v>1108</v>
      </c>
      <c r="V409" s="363"/>
      <c r="W409" s="363"/>
      <c r="X409" s="363"/>
      <c r="Y409" s="363"/>
      <c r="Z409" s="363"/>
      <c r="AA409" s="363"/>
      <c r="AB409" s="363"/>
      <c r="AC409" s="363" t="s">
        <v>183</v>
      </c>
      <c r="AD409" s="380" t="s">
        <v>97</v>
      </c>
      <c r="AE409" s="380">
        <v>3</v>
      </c>
      <c r="AF409" s="363" t="s">
        <v>667</v>
      </c>
    </row>
    <row r="410" spans="2:32" ht="15" hidden="1" customHeight="1" x14ac:dyDescent="0.3">
      <c r="B410" s="380" t="s">
        <v>2</v>
      </c>
      <c r="C410" s="482" t="s">
        <v>587</v>
      </c>
      <c r="D410" s="483" t="s">
        <v>176</v>
      </c>
      <c r="E410" s="468">
        <v>4800014029</v>
      </c>
      <c r="F410" s="501">
        <v>46043</v>
      </c>
      <c r="G410" s="380" t="s">
        <v>643</v>
      </c>
      <c r="H410" s="380">
        <v>1</v>
      </c>
      <c r="I410" s="388">
        <v>90667</v>
      </c>
      <c r="J410" s="380">
        <v>2</v>
      </c>
      <c r="K410" s="389">
        <f t="shared" si="18"/>
        <v>45333.5</v>
      </c>
      <c r="L410" s="381">
        <v>46054</v>
      </c>
      <c r="M410" s="381">
        <v>46418</v>
      </c>
      <c r="N410" s="363" t="s">
        <v>520</v>
      </c>
      <c r="O410" s="380"/>
      <c r="P410" s="380"/>
      <c r="Q410" s="390" t="s">
        <v>426</v>
      </c>
      <c r="R410" s="363" t="s">
        <v>1733</v>
      </c>
      <c r="S410" s="363" t="s">
        <v>427</v>
      </c>
      <c r="T410" s="363"/>
      <c r="U410" s="363"/>
      <c r="V410" s="363"/>
      <c r="W410" s="363"/>
      <c r="X410" s="363"/>
      <c r="Y410" s="363"/>
      <c r="Z410" s="363"/>
      <c r="AA410" s="363"/>
      <c r="AB410" s="363"/>
      <c r="AC410" s="363" t="s">
        <v>183</v>
      </c>
      <c r="AD410" s="380" t="s">
        <v>97</v>
      </c>
      <c r="AE410" s="380">
        <v>3</v>
      </c>
      <c r="AF410" s="363" t="s">
        <v>1495</v>
      </c>
    </row>
    <row r="411" spans="2:32" ht="15" hidden="1" customHeight="1" x14ac:dyDescent="0.3">
      <c r="B411" s="380" t="s">
        <v>2</v>
      </c>
      <c r="C411" s="482" t="s">
        <v>1497</v>
      </c>
      <c r="D411" s="483" t="s">
        <v>447</v>
      </c>
      <c r="E411" s="380" t="s">
        <v>1498</v>
      </c>
      <c r="F411" s="488">
        <v>46046</v>
      </c>
      <c r="G411" s="380" t="s">
        <v>643</v>
      </c>
      <c r="H411" s="380">
        <v>2</v>
      </c>
      <c r="I411" s="388">
        <v>156090</v>
      </c>
      <c r="J411" s="380">
        <v>3</v>
      </c>
      <c r="K411" s="389">
        <f t="shared" si="18"/>
        <v>52030</v>
      </c>
      <c r="L411" s="381">
        <v>46023</v>
      </c>
      <c r="M411" s="381">
        <v>46387</v>
      </c>
      <c r="N411" s="363" t="s">
        <v>520</v>
      </c>
      <c r="O411" s="380"/>
      <c r="P411" s="380"/>
      <c r="Q411" s="390" t="s">
        <v>347</v>
      </c>
      <c r="R411" s="363" t="s">
        <v>495</v>
      </c>
      <c r="S411" s="363" t="s">
        <v>348</v>
      </c>
      <c r="T411" s="363"/>
      <c r="U411" s="363" t="s">
        <v>349</v>
      </c>
      <c r="V411" s="363"/>
      <c r="W411" s="363"/>
      <c r="X411" s="363"/>
      <c r="Y411" s="363"/>
      <c r="Z411" s="363"/>
      <c r="AA411" s="363"/>
      <c r="AB411" s="363"/>
      <c r="AC411" s="363" t="s">
        <v>281</v>
      </c>
      <c r="AD411" s="380" t="s">
        <v>97</v>
      </c>
      <c r="AE411" s="380">
        <v>3</v>
      </c>
      <c r="AF411" s="363"/>
    </row>
    <row r="412" spans="2:32" ht="15" hidden="1" customHeight="1" x14ac:dyDescent="0.3">
      <c r="B412" s="380" t="s">
        <v>2</v>
      </c>
      <c r="C412" s="482" t="s">
        <v>1501</v>
      </c>
      <c r="D412" s="483" t="s">
        <v>151</v>
      </c>
      <c r="E412" s="468">
        <v>10105567</v>
      </c>
      <c r="F412" s="488">
        <v>46055</v>
      </c>
      <c r="G412" s="380" t="s">
        <v>643</v>
      </c>
      <c r="H412" s="380">
        <v>1</v>
      </c>
      <c r="I412" s="388">
        <v>60000</v>
      </c>
      <c r="J412" s="380">
        <v>3</v>
      </c>
      <c r="K412" s="389">
        <f t="shared" si="18"/>
        <v>20000</v>
      </c>
      <c r="L412" s="381">
        <v>46023</v>
      </c>
      <c r="M412" s="381">
        <v>46387</v>
      </c>
      <c r="N412" s="363" t="s">
        <v>520</v>
      </c>
      <c r="O412" s="380"/>
      <c r="P412" s="380"/>
      <c r="Q412" s="390" t="s">
        <v>347</v>
      </c>
      <c r="R412" s="363" t="s">
        <v>1044</v>
      </c>
      <c r="S412" s="363" t="s">
        <v>348</v>
      </c>
      <c r="T412" s="363"/>
      <c r="U412" s="363" t="s">
        <v>349</v>
      </c>
      <c r="V412" s="363"/>
      <c r="W412" s="363"/>
      <c r="X412" s="363"/>
      <c r="Y412" s="363"/>
      <c r="Z412" s="363"/>
      <c r="AA412" s="363"/>
      <c r="AB412" s="363"/>
      <c r="AC412" s="363" t="s">
        <v>478</v>
      </c>
      <c r="AD412" s="380" t="s">
        <v>63</v>
      </c>
      <c r="AE412" s="380">
        <v>5</v>
      </c>
      <c r="AF412" s="363" t="s">
        <v>667</v>
      </c>
    </row>
    <row r="413" spans="2:32" ht="15" hidden="1" customHeight="1" x14ac:dyDescent="0.3">
      <c r="B413" s="380" t="s">
        <v>2</v>
      </c>
      <c r="C413" s="482" t="s">
        <v>1502</v>
      </c>
      <c r="D413" s="483" t="s">
        <v>151</v>
      </c>
      <c r="E413" s="380">
        <v>10105566</v>
      </c>
      <c r="F413" s="488">
        <v>46055</v>
      </c>
      <c r="G413" s="380" t="s">
        <v>643</v>
      </c>
      <c r="H413" s="380">
        <v>1</v>
      </c>
      <c r="I413" s="388">
        <v>60000</v>
      </c>
      <c r="J413" s="380">
        <v>3</v>
      </c>
      <c r="K413" s="389">
        <f t="shared" si="18"/>
        <v>20000</v>
      </c>
      <c r="L413" s="381">
        <v>46023</v>
      </c>
      <c r="M413" s="381">
        <v>46387</v>
      </c>
      <c r="N413" s="363" t="s">
        <v>520</v>
      </c>
      <c r="O413" s="380"/>
      <c r="P413" s="380"/>
      <c r="Q413" s="390" t="s">
        <v>347</v>
      </c>
      <c r="R413" s="363" t="s">
        <v>1710</v>
      </c>
      <c r="S413" s="363" t="s">
        <v>348</v>
      </c>
      <c r="T413" s="363"/>
      <c r="U413" s="363" t="s">
        <v>349</v>
      </c>
      <c r="V413" s="363"/>
      <c r="W413" s="363"/>
      <c r="X413" s="363"/>
      <c r="Y413" s="363"/>
      <c r="Z413" s="363"/>
      <c r="AA413" s="363"/>
      <c r="AB413" s="363"/>
      <c r="AC413" s="363" t="s">
        <v>478</v>
      </c>
      <c r="AD413" s="380" t="s">
        <v>63</v>
      </c>
      <c r="AE413" s="380">
        <v>5</v>
      </c>
      <c r="AF413" s="363" t="s">
        <v>667</v>
      </c>
    </row>
    <row r="414" spans="2:32" ht="15" hidden="1" customHeight="1" x14ac:dyDescent="0.3">
      <c r="B414" s="380" t="s">
        <v>2</v>
      </c>
      <c r="C414" s="482" t="s">
        <v>1503</v>
      </c>
      <c r="D414" s="483" t="s">
        <v>151</v>
      </c>
      <c r="E414" s="468">
        <v>10105569</v>
      </c>
      <c r="F414" s="488">
        <v>46055</v>
      </c>
      <c r="G414" s="380" t="s">
        <v>643</v>
      </c>
      <c r="H414" s="380">
        <v>1</v>
      </c>
      <c r="I414" s="388">
        <v>60000</v>
      </c>
      <c r="J414" s="380">
        <v>3</v>
      </c>
      <c r="K414" s="389">
        <f t="shared" si="18"/>
        <v>20000</v>
      </c>
      <c r="L414" s="381">
        <v>46023</v>
      </c>
      <c r="M414" s="381">
        <v>46387</v>
      </c>
      <c r="N414" s="363" t="s">
        <v>520</v>
      </c>
      <c r="O414" s="380"/>
      <c r="P414" s="380"/>
      <c r="Q414" s="390" t="s">
        <v>347</v>
      </c>
      <c r="R414" s="363" t="s">
        <v>1044</v>
      </c>
      <c r="S414" s="363" t="s">
        <v>348</v>
      </c>
      <c r="T414" s="363"/>
      <c r="U414" s="363" t="s">
        <v>349</v>
      </c>
      <c r="V414" s="363"/>
      <c r="W414" s="363"/>
      <c r="X414" s="363"/>
      <c r="Y414" s="363"/>
      <c r="Z414" s="363"/>
      <c r="AA414" s="363"/>
      <c r="AB414" s="363"/>
      <c r="AC414" s="363" t="s">
        <v>478</v>
      </c>
      <c r="AD414" s="380" t="s">
        <v>63</v>
      </c>
      <c r="AE414" s="380">
        <v>5</v>
      </c>
      <c r="AF414" s="363" t="s">
        <v>667</v>
      </c>
    </row>
    <row r="415" spans="2:32" ht="15" hidden="1" customHeight="1" x14ac:dyDescent="0.3">
      <c r="B415" s="380" t="s">
        <v>2</v>
      </c>
      <c r="C415" s="482" t="s">
        <v>1504</v>
      </c>
      <c r="D415" s="483" t="s">
        <v>151</v>
      </c>
      <c r="E415" s="468">
        <v>10105568</v>
      </c>
      <c r="F415" s="488">
        <v>46055</v>
      </c>
      <c r="G415" s="380" t="s">
        <v>643</v>
      </c>
      <c r="H415" s="380">
        <v>1</v>
      </c>
      <c r="I415" s="388">
        <v>60000</v>
      </c>
      <c r="J415" s="380">
        <v>3</v>
      </c>
      <c r="K415" s="389">
        <f t="shared" si="18"/>
        <v>20000</v>
      </c>
      <c r="L415" s="381">
        <v>46023</v>
      </c>
      <c r="M415" s="381">
        <v>46387</v>
      </c>
      <c r="N415" s="363" t="s">
        <v>520</v>
      </c>
      <c r="O415" s="380"/>
      <c r="P415" s="380"/>
      <c r="Q415" s="390" t="s">
        <v>347</v>
      </c>
      <c r="R415" s="363" t="s">
        <v>1044</v>
      </c>
      <c r="S415" s="363" t="s">
        <v>348</v>
      </c>
      <c r="T415" s="363"/>
      <c r="U415" s="363" t="s">
        <v>349</v>
      </c>
      <c r="V415" s="363"/>
      <c r="W415" s="363"/>
      <c r="X415" s="363"/>
      <c r="Y415" s="363"/>
      <c r="Z415" s="363"/>
      <c r="AA415" s="363"/>
      <c r="AB415" s="363"/>
      <c r="AC415" s="363" t="s">
        <v>478</v>
      </c>
      <c r="AD415" s="380" t="s">
        <v>63</v>
      </c>
      <c r="AE415" s="380">
        <v>5</v>
      </c>
      <c r="AF415" s="363" t="s">
        <v>667</v>
      </c>
    </row>
    <row r="416" spans="2:32" ht="15" hidden="1" customHeight="1" x14ac:dyDescent="0.3">
      <c r="B416" s="380" t="s">
        <v>2</v>
      </c>
      <c r="C416" s="482" t="s">
        <v>1505</v>
      </c>
      <c r="D416" s="483" t="s">
        <v>151</v>
      </c>
      <c r="E416" s="380">
        <v>10105571</v>
      </c>
      <c r="F416" s="488">
        <v>46055</v>
      </c>
      <c r="G416" s="380" t="s">
        <v>643</v>
      </c>
      <c r="H416" s="380">
        <v>1</v>
      </c>
      <c r="I416" s="388">
        <v>60000</v>
      </c>
      <c r="J416" s="380">
        <v>3</v>
      </c>
      <c r="K416" s="389">
        <f t="shared" si="18"/>
        <v>20000</v>
      </c>
      <c r="L416" s="381">
        <v>46023</v>
      </c>
      <c r="M416" s="381">
        <v>46387</v>
      </c>
      <c r="N416" s="363" t="s">
        <v>520</v>
      </c>
      <c r="O416" s="380"/>
      <c r="P416" s="380"/>
      <c r="Q416" s="390" t="s">
        <v>347</v>
      </c>
      <c r="R416" s="363" t="s">
        <v>1169</v>
      </c>
      <c r="S416" s="363" t="s">
        <v>348</v>
      </c>
      <c r="T416" s="363"/>
      <c r="U416" s="363" t="s">
        <v>349</v>
      </c>
      <c r="V416" s="363"/>
      <c r="W416" s="363"/>
      <c r="X416" s="363"/>
      <c r="Y416" s="363"/>
      <c r="Z416" s="363"/>
      <c r="AA416" s="363"/>
      <c r="AB416" s="363"/>
      <c r="AC416" s="363" t="s">
        <v>478</v>
      </c>
      <c r="AD416" s="380" t="s">
        <v>63</v>
      </c>
      <c r="AE416" s="380">
        <v>5</v>
      </c>
      <c r="AF416" s="363" t="s">
        <v>667</v>
      </c>
    </row>
    <row r="417" spans="1:32" ht="15" hidden="1" customHeight="1" x14ac:dyDescent="0.3">
      <c r="B417" s="380" t="s">
        <v>2</v>
      </c>
      <c r="C417" s="482" t="s">
        <v>1506</v>
      </c>
      <c r="D417" s="483" t="s">
        <v>151</v>
      </c>
      <c r="E417" s="380">
        <v>10105572</v>
      </c>
      <c r="F417" s="488">
        <v>46055</v>
      </c>
      <c r="G417" s="380" t="s">
        <v>643</v>
      </c>
      <c r="H417" s="380">
        <v>2</v>
      </c>
      <c r="I417" s="388">
        <v>120000</v>
      </c>
      <c r="J417" s="380">
        <v>3</v>
      </c>
      <c r="K417" s="389">
        <f t="shared" si="18"/>
        <v>40000</v>
      </c>
      <c r="L417" s="381">
        <v>46023</v>
      </c>
      <c r="M417" s="381">
        <v>46387</v>
      </c>
      <c r="N417" s="363" t="s">
        <v>520</v>
      </c>
      <c r="O417" s="380"/>
      <c r="P417" s="380"/>
      <c r="Q417" s="390" t="s">
        <v>347</v>
      </c>
      <c r="R417" s="363" t="s">
        <v>149</v>
      </c>
      <c r="S417" s="363" t="s">
        <v>348</v>
      </c>
      <c r="T417" s="363"/>
      <c r="U417" s="363" t="s">
        <v>349</v>
      </c>
      <c r="V417" s="363"/>
      <c r="W417" s="363"/>
      <c r="X417" s="363"/>
      <c r="Y417" s="363"/>
      <c r="Z417" s="363"/>
      <c r="AA417" s="363"/>
      <c r="AB417" s="363"/>
      <c r="AC417" s="363" t="s">
        <v>478</v>
      </c>
      <c r="AD417" s="380" t="s">
        <v>63</v>
      </c>
      <c r="AE417" s="380">
        <v>5</v>
      </c>
      <c r="AF417" s="363" t="s">
        <v>667</v>
      </c>
    </row>
    <row r="418" spans="1:32" ht="15" hidden="1" customHeight="1" x14ac:dyDescent="0.3">
      <c r="B418" s="380" t="s">
        <v>2</v>
      </c>
      <c r="C418" s="482" t="s">
        <v>1507</v>
      </c>
      <c r="D418" s="483" t="s">
        <v>151</v>
      </c>
      <c r="E418" s="380">
        <v>10105574</v>
      </c>
      <c r="F418" s="488">
        <v>46055</v>
      </c>
      <c r="G418" s="380" t="s">
        <v>643</v>
      </c>
      <c r="H418" s="380">
        <v>1</v>
      </c>
      <c r="I418" s="388">
        <v>60000</v>
      </c>
      <c r="J418" s="380">
        <v>3</v>
      </c>
      <c r="K418" s="389">
        <f t="shared" si="18"/>
        <v>20000</v>
      </c>
      <c r="L418" s="381">
        <v>46023</v>
      </c>
      <c r="M418" s="381">
        <v>46387</v>
      </c>
      <c r="N418" s="363" t="s">
        <v>520</v>
      </c>
      <c r="O418" s="380"/>
      <c r="P418" s="380"/>
      <c r="Q418" s="390" t="s">
        <v>347</v>
      </c>
      <c r="R418" s="363" t="s">
        <v>1169</v>
      </c>
      <c r="S418" s="363" t="s">
        <v>348</v>
      </c>
      <c r="T418" s="363"/>
      <c r="U418" s="363" t="s">
        <v>349</v>
      </c>
      <c r="V418" s="363"/>
      <c r="W418" s="363"/>
      <c r="X418" s="363"/>
      <c r="Y418" s="363"/>
      <c r="Z418" s="363"/>
      <c r="AA418" s="363"/>
      <c r="AB418" s="363"/>
      <c r="AC418" s="363" t="s">
        <v>478</v>
      </c>
      <c r="AD418" s="380" t="s">
        <v>63</v>
      </c>
      <c r="AE418" s="380">
        <v>5</v>
      </c>
      <c r="AF418" s="363" t="s">
        <v>667</v>
      </c>
    </row>
    <row r="419" spans="1:32" ht="15" hidden="1" customHeight="1" x14ac:dyDescent="0.3">
      <c r="B419" s="380" t="s">
        <v>2</v>
      </c>
      <c r="C419" s="482" t="s">
        <v>1508</v>
      </c>
      <c r="D419" s="483" t="s">
        <v>151</v>
      </c>
      <c r="E419" s="380">
        <v>10105573</v>
      </c>
      <c r="F419" s="488">
        <v>46055</v>
      </c>
      <c r="G419" s="380" t="s">
        <v>643</v>
      </c>
      <c r="H419" s="380">
        <v>2</v>
      </c>
      <c r="I419" s="388">
        <v>120000</v>
      </c>
      <c r="J419" s="380">
        <v>3</v>
      </c>
      <c r="K419" s="389">
        <f t="shared" si="18"/>
        <v>40000</v>
      </c>
      <c r="L419" s="381">
        <v>46023</v>
      </c>
      <c r="M419" s="381">
        <v>46387</v>
      </c>
      <c r="N419" s="363" t="s">
        <v>520</v>
      </c>
      <c r="O419" s="380"/>
      <c r="P419" s="380"/>
      <c r="Q419" s="390" t="s">
        <v>347</v>
      </c>
      <c r="R419" s="363" t="s">
        <v>149</v>
      </c>
      <c r="S419" s="363" t="s">
        <v>348</v>
      </c>
      <c r="T419" s="363"/>
      <c r="U419" s="363" t="s">
        <v>349</v>
      </c>
      <c r="V419" s="363"/>
      <c r="W419" s="363"/>
      <c r="X419" s="363"/>
      <c r="Y419" s="363"/>
      <c r="Z419" s="363"/>
      <c r="AA419" s="363"/>
      <c r="AB419" s="363"/>
      <c r="AC419" s="363" t="s">
        <v>478</v>
      </c>
      <c r="AD419" s="380" t="s">
        <v>63</v>
      </c>
      <c r="AE419" s="380">
        <v>3</v>
      </c>
      <c r="AF419" s="363" t="s">
        <v>667</v>
      </c>
    </row>
    <row r="420" spans="1:32" ht="15" hidden="1" customHeight="1" x14ac:dyDescent="0.3">
      <c r="B420" s="380" t="s">
        <v>2</v>
      </c>
      <c r="C420" s="482" t="s">
        <v>1509</v>
      </c>
      <c r="D420" s="483" t="s">
        <v>151</v>
      </c>
      <c r="E420" s="380">
        <v>10105565</v>
      </c>
      <c r="F420" s="488">
        <v>46055</v>
      </c>
      <c r="G420" s="380" t="s">
        <v>643</v>
      </c>
      <c r="H420" s="380">
        <v>1</v>
      </c>
      <c r="I420" s="388">
        <v>60000</v>
      </c>
      <c r="J420" s="380">
        <v>3</v>
      </c>
      <c r="K420" s="389">
        <f t="shared" si="18"/>
        <v>20000</v>
      </c>
      <c r="L420" s="381">
        <v>46023</v>
      </c>
      <c r="M420" s="381">
        <v>46387</v>
      </c>
      <c r="N420" s="363" t="s">
        <v>520</v>
      </c>
      <c r="O420" s="380"/>
      <c r="P420" s="380"/>
      <c r="Q420" s="390" t="s">
        <v>347</v>
      </c>
      <c r="R420" s="363" t="s">
        <v>1044</v>
      </c>
      <c r="S420" s="363" t="s">
        <v>348</v>
      </c>
      <c r="T420" s="363"/>
      <c r="U420" s="363" t="s">
        <v>349</v>
      </c>
      <c r="V420" s="363"/>
      <c r="W420" s="363"/>
      <c r="X420" s="363"/>
      <c r="Y420" s="363"/>
      <c r="Z420" s="363"/>
      <c r="AA420" s="363"/>
      <c r="AB420" s="363"/>
      <c r="AC420" s="363" t="s">
        <v>478</v>
      </c>
      <c r="AD420" s="380" t="s">
        <v>63</v>
      </c>
      <c r="AE420" s="380">
        <v>3</v>
      </c>
      <c r="AF420" s="363" t="s">
        <v>667</v>
      </c>
    </row>
    <row r="421" spans="1:32" ht="15" hidden="1" customHeight="1" x14ac:dyDescent="0.3">
      <c r="B421" s="380" t="s">
        <v>2</v>
      </c>
      <c r="C421" s="482" t="s">
        <v>557</v>
      </c>
      <c r="D421" s="483" t="s">
        <v>558</v>
      </c>
      <c r="E421" s="468" t="s">
        <v>1510</v>
      </c>
      <c r="F421" s="488">
        <v>46050</v>
      </c>
      <c r="G421" s="380" t="s">
        <v>643</v>
      </c>
      <c r="H421" s="380">
        <v>1</v>
      </c>
      <c r="I421" s="388">
        <v>134698</v>
      </c>
      <c r="J421" s="380">
        <v>4</v>
      </c>
      <c r="K421" s="389">
        <f t="shared" si="18"/>
        <v>33674.5</v>
      </c>
      <c r="L421" s="381">
        <v>46053</v>
      </c>
      <c r="M421" s="381">
        <v>46417</v>
      </c>
      <c r="N421" s="363" t="s">
        <v>520</v>
      </c>
      <c r="O421" s="380"/>
      <c r="P421" s="380"/>
      <c r="Q421" s="390" t="s">
        <v>1511</v>
      </c>
      <c r="R421" s="363" t="s">
        <v>712</v>
      </c>
      <c r="S421" s="363" t="s">
        <v>444</v>
      </c>
      <c r="T421" s="363"/>
      <c r="U421" s="363" t="s">
        <v>445</v>
      </c>
      <c r="V421" s="363"/>
      <c r="W421" s="363" t="s">
        <v>1512</v>
      </c>
      <c r="X421" s="363"/>
      <c r="Y421" s="363"/>
      <c r="Z421" s="363"/>
      <c r="AA421" s="363"/>
      <c r="AB421" s="363"/>
      <c r="AC421" s="363" t="s">
        <v>281</v>
      </c>
      <c r="AD421" s="380" t="s">
        <v>97</v>
      </c>
      <c r="AE421" s="380" t="s">
        <v>494</v>
      </c>
      <c r="AF421" s="363" t="s">
        <v>1345</v>
      </c>
    </row>
    <row r="422" spans="1:32" ht="15" hidden="1" customHeight="1" x14ac:dyDescent="0.3">
      <c r="B422" s="380" t="s">
        <v>2</v>
      </c>
      <c r="C422" s="482" t="s">
        <v>1513</v>
      </c>
      <c r="D422" s="483" t="s">
        <v>1129</v>
      </c>
      <c r="E422" s="491">
        <v>4200020634</v>
      </c>
      <c r="F422" s="488">
        <v>46045</v>
      </c>
      <c r="G422" s="380" t="s">
        <v>643</v>
      </c>
      <c r="H422" s="380">
        <v>2</v>
      </c>
      <c r="I422" s="388">
        <v>344709.4</v>
      </c>
      <c r="J422" s="380">
        <v>3</v>
      </c>
      <c r="K422" s="389">
        <f t="shared" si="18"/>
        <v>114903.13333333335</v>
      </c>
      <c r="L422" s="381">
        <v>46045</v>
      </c>
      <c r="M422" s="381">
        <v>46409</v>
      </c>
      <c r="N422" s="363" t="s">
        <v>520</v>
      </c>
      <c r="O422" s="380"/>
      <c r="P422" s="380"/>
      <c r="Q422" s="390" t="s">
        <v>1514</v>
      </c>
      <c r="R422" s="363" t="s">
        <v>1515</v>
      </c>
      <c r="S422" s="363" t="s">
        <v>1516</v>
      </c>
      <c r="T422" s="363"/>
      <c r="U422" s="363" t="s">
        <v>1517</v>
      </c>
      <c r="V422" s="363"/>
      <c r="W422" s="363"/>
      <c r="X422" s="363"/>
      <c r="Y422" s="363"/>
      <c r="Z422" s="363"/>
      <c r="AA422" s="363"/>
      <c r="AB422" s="363"/>
      <c r="AC422" s="363" t="s">
        <v>281</v>
      </c>
      <c r="AD422" s="380" t="s">
        <v>97</v>
      </c>
      <c r="AE422" s="380">
        <v>3</v>
      </c>
      <c r="AF422" s="363" t="s">
        <v>667</v>
      </c>
    </row>
    <row r="423" spans="1:32" ht="15" hidden="1" customHeight="1" x14ac:dyDescent="0.3">
      <c r="B423" s="380" t="s">
        <v>2</v>
      </c>
      <c r="C423" s="443" t="s">
        <v>1518</v>
      </c>
      <c r="D423" s="444" t="s">
        <v>131</v>
      </c>
      <c r="E423" s="426">
        <v>1300004372</v>
      </c>
      <c r="F423" s="496">
        <v>46042</v>
      </c>
      <c r="G423" s="380" t="s">
        <v>643</v>
      </c>
      <c r="H423" s="380">
        <v>1</v>
      </c>
      <c r="I423" s="388">
        <v>78000</v>
      </c>
      <c r="J423" s="380">
        <v>3</v>
      </c>
      <c r="K423" s="389">
        <f t="shared" si="18"/>
        <v>26000</v>
      </c>
      <c r="L423" s="381">
        <v>46054</v>
      </c>
      <c r="M423" s="381">
        <v>46418</v>
      </c>
      <c r="N423" s="363" t="s">
        <v>520</v>
      </c>
      <c r="O423" s="380"/>
      <c r="P423" s="380"/>
      <c r="Q423" s="390" t="s">
        <v>404</v>
      </c>
      <c r="R423" s="363" t="s">
        <v>1239</v>
      </c>
      <c r="S423" s="363" t="s">
        <v>406</v>
      </c>
      <c r="T423" s="363"/>
      <c r="U423" s="363" t="s">
        <v>407</v>
      </c>
      <c r="V423" s="363"/>
      <c r="W423" s="363"/>
      <c r="X423" s="363"/>
      <c r="Y423" s="363"/>
      <c r="Z423" s="363"/>
      <c r="AA423" s="363"/>
      <c r="AB423" s="363"/>
      <c r="AC423" s="363" t="s">
        <v>485</v>
      </c>
      <c r="AD423" s="380" t="s">
        <v>63</v>
      </c>
      <c r="AE423" s="380">
        <v>4</v>
      </c>
      <c r="AF423" s="363" t="s">
        <v>1519</v>
      </c>
    </row>
    <row r="424" spans="1:32" ht="15" hidden="1" customHeight="1" x14ac:dyDescent="0.3">
      <c r="B424" s="380" t="s">
        <v>2</v>
      </c>
      <c r="C424" s="430" t="s">
        <v>1520</v>
      </c>
      <c r="D424" s="445" t="s">
        <v>151</v>
      </c>
      <c r="E424" s="419">
        <v>7100008763</v>
      </c>
      <c r="F424" s="488">
        <v>46006</v>
      </c>
      <c r="G424" s="380" t="s">
        <v>643</v>
      </c>
      <c r="H424" s="380">
        <v>1</v>
      </c>
      <c r="I424" s="388">
        <v>75000</v>
      </c>
      <c r="J424" s="380">
        <v>3</v>
      </c>
      <c r="K424" s="389">
        <f t="shared" si="18"/>
        <v>25000</v>
      </c>
      <c r="L424" s="381">
        <v>46023</v>
      </c>
      <c r="M424" s="381">
        <v>46387</v>
      </c>
      <c r="N424" s="363" t="s">
        <v>520</v>
      </c>
      <c r="O424" s="380"/>
      <c r="P424" s="380"/>
      <c r="Q424" s="390" t="s">
        <v>347</v>
      </c>
      <c r="R424" s="381" t="s">
        <v>726</v>
      </c>
      <c r="S424" s="363" t="s">
        <v>348</v>
      </c>
      <c r="T424" s="363"/>
      <c r="U424" s="363" t="s">
        <v>349</v>
      </c>
      <c r="V424" s="363"/>
      <c r="W424" s="363"/>
      <c r="X424" s="363"/>
      <c r="Y424" s="363"/>
      <c r="Z424" s="363"/>
      <c r="AA424" s="363"/>
      <c r="AB424" s="363"/>
      <c r="AC424" s="363" t="s">
        <v>478</v>
      </c>
      <c r="AD424" s="380" t="s">
        <v>63</v>
      </c>
      <c r="AE424" s="380">
        <v>3</v>
      </c>
      <c r="AF424" s="363" t="s">
        <v>1319</v>
      </c>
    </row>
    <row r="425" spans="1:32" ht="15" hidden="1" customHeight="1" x14ac:dyDescent="0.3">
      <c r="B425" s="380" t="s">
        <v>2</v>
      </c>
      <c r="C425" s="482" t="s">
        <v>1521</v>
      </c>
      <c r="D425" s="483" t="s">
        <v>151</v>
      </c>
      <c r="E425" s="468">
        <v>7100007753</v>
      </c>
      <c r="F425" s="501">
        <v>45975</v>
      </c>
      <c r="G425" s="380" t="s">
        <v>643</v>
      </c>
      <c r="H425" s="380">
        <v>1</v>
      </c>
      <c r="I425" s="388">
        <v>75000</v>
      </c>
      <c r="J425" s="380">
        <v>3</v>
      </c>
      <c r="K425" s="389">
        <f t="shared" si="18"/>
        <v>25000</v>
      </c>
      <c r="L425" s="381">
        <v>45962</v>
      </c>
      <c r="M425" s="381">
        <v>46326</v>
      </c>
      <c r="N425" s="363" t="s">
        <v>520</v>
      </c>
      <c r="O425" s="380"/>
      <c r="P425" s="380"/>
      <c r="Q425" s="390" t="s">
        <v>192</v>
      </c>
      <c r="R425" s="363" t="s">
        <v>291</v>
      </c>
      <c r="S425" s="390" t="s">
        <v>1522</v>
      </c>
      <c r="T425" s="363" t="s">
        <v>1866</v>
      </c>
      <c r="U425" s="363" t="s">
        <v>1344</v>
      </c>
      <c r="V425" s="363"/>
      <c r="W425" s="363"/>
      <c r="X425" s="363"/>
      <c r="Y425" s="363"/>
      <c r="Z425" s="363"/>
      <c r="AA425" s="363"/>
      <c r="AB425" s="363"/>
      <c r="AC425" s="363" t="s">
        <v>478</v>
      </c>
      <c r="AD425" s="380" t="s">
        <v>63</v>
      </c>
      <c r="AE425" s="380">
        <v>2</v>
      </c>
      <c r="AF425" s="363" t="s">
        <v>667</v>
      </c>
    </row>
    <row r="426" spans="1:32" ht="15" hidden="1" customHeight="1" x14ac:dyDescent="0.3">
      <c r="B426" s="380" t="s">
        <v>2</v>
      </c>
      <c r="C426" s="482" t="s">
        <v>595</v>
      </c>
      <c r="D426" s="483" t="s">
        <v>1012</v>
      </c>
      <c r="E426" s="488" t="s">
        <v>1523</v>
      </c>
      <c r="F426" s="488">
        <v>46029</v>
      </c>
      <c r="G426" s="380" t="s">
        <v>643</v>
      </c>
      <c r="H426" s="380">
        <v>1</v>
      </c>
      <c r="I426" s="388">
        <v>93312</v>
      </c>
      <c r="J426" s="380">
        <v>3</v>
      </c>
      <c r="K426" s="389">
        <f t="shared" si="18"/>
        <v>31104</v>
      </c>
      <c r="L426" s="381">
        <v>46023</v>
      </c>
      <c r="M426" s="381">
        <v>46387</v>
      </c>
      <c r="N426" s="363" t="s">
        <v>520</v>
      </c>
      <c r="O426" s="380"/>
      <c r="P426" s="380"/>
      <c r="Q426" s="390" t="s">
        <v>347</v>
      </c>
      <c r="R426" s="363" t="s">
        <v>1524</v>
      </c>
      <c r="S426" s="363" t="s">
        <v>1525</v>
      </c>
      <c r="T426" s="363"/>
      <c r="U426" s="363" t="s">
        <v>349</v>
      </c>
      <c r="V426" s="363"/>
      <c r="W426" s="363"/>
      <c r="X426" s="363"/>
      <c r="Y426" s="363"/>
      <c r="Z426" s="363"/>
      <c r="AA426" s="363"/>
      <c r="AB426" s="363"/>
      <c r="AC426" s="363" t="s">
        <v>619</v>
      </c>
      <c r="AD426" s="380" t="s">
        <v>63</v>
      </c>
      <c r="AE426" s="380">
        <v>3</v>
      </c>
      <c r="AF426" s="363" t="s">
        <v>799</v>
      </c>
    </row>
    <row r="427" spans="1:32" ht="15" hidden="1" customHeight="1" x14ac:dyDescent="0.3">
      <c r="B427" s="380" t="s">
        <v>2</v>
      </c>
      <c r="C427" s="482" t="s">
        <v>771</v>
      </c>
      <c r="D427" s="483" t="s">
        <v>388</v>
      </c>
      <c r="E427" s="493">
        <v>6000063663</v>
      </c>
      <c r="F427" s="488">
        <v>46045</v>
      </c>
      <c r="G427" s="380" t="s">
        <v>643</v>
      </c>
      <c r="H427" s="380">
        <v>4</v>
      </c>
      <c r="I427" s="388">
        <v>282800</v>
      </c>
      <c r="J427" s="380">
        <v>2</v>
      </c>
      <c r="K427" s="389">
        <f t="shared" si="18"/>
        <v>141400</v>
      </c>
      <c r="L427" s="381">
        <v>46023</v>
      </c>
      <c r="M427" s="381">
        <v>46387</v>
      </c>
      <c r="N427" s="363" t="s">
        <v>520</v>
      </c>
      <c r="O427" s="380"/>
      <c r="P427" s="380"/>
      <c r="Q427" s="390" t="s">
        <v>607</v>
      </c>
      <c r="R427" s="363" t="s">
        <v>1867</v>
      </c>
      <c r="S427" s="363" t="s">
        <v>608</v>
      </c>
      <c r="T427" s="363"/>
      <c r="U427" s="363"/>
      <c r="V427" s="363"/>
      <c r="W427" s="363"/>
      <c r="X427" s="363"/>
      <c r="Y427" s="363"/>
      <c r="Z427" s="363"/>
      <c r="AA427" s="363"/>
      <c r="AB427" s="363"/>
      <c r="AC427" s="363" t="s">
        <v>619</v>
      </c>
      <c r="AD427" s="380" t="s">
        <v>63</v>
      </c>
      <c r="AE427" s="380">
        <v>2</v>
      </c>
      <c r="AF427" s="363" t="s">
        <v>667</v>
      </c>
    </row>
    <row r="428" spans="1:32" ht="15" hidden="1" customHeight="1" x14ac:dyDescent="0.3">
      <c r="A428" s="537" t="s">
        <v>1526</v>
      </c>
      <c r="B428" s="380" t="s">
        <v>2</v>
      </c>
      <c r="C428" s="420" t="s">
        <v>530</v>
      </c>
      <c r="D428" s="421" t="s">
        <v>176</v>
      </c>
      <c r="E428" s="380">
        <v>16882528</v>
      </c>
      <c r="F428" s="387">
        <v>45670</v>
      </c>
      <c r="G428" s="380" t="s">
        <v>55</v>
      </c>
      <c r="H428" s="380">
        <v>1</v>
      </c>
      <c r="I428" s="388">
        <f>568000/4</f>
        <v>142000</v>
      </c>
      <c r="J428" s="380">
        <v>4</v>
      </c>
      <c r="K428" s="389">
        <f t="shared" si="18"/>
        <v>35500</v>
      </c>
      <c r="L428" s="381">
        <v>45670</v>
      </c>
      <c r="M428" s="381">
        <v>46764</v>
      </c>
      <c r="N428" s="363" t="s">
        <v>520</v>
      </c>
      <c r="O428" s="380"/>
      <c r="P428" s="380"/>
      <c r="Q428" s="422" t="s">
        <v>1527</v>
      </c>
      <c r="R428" s="363" t="s">
        <v>1734</v>
      </c>
      <c r="S428" s="363" t="s">
        <v>1528</v>
      </c>
      <c r="T428" s="363"/>
      <c r="U428" s="363" t="s">
        <v>1529</v>
      </c>
      <c r="V428" s="363"/>
      <c r="W428" s="363" t="s">
        <v>1530</v>
      </c>
      <c r="X428" s="363"/>
      <c r="Y428" s="363"/>
      <c r="Z428" s="363"/>
      <c r="AA428" s="363"/>
      <c r="AB428" s="363"/>
      <c r="AC428" s="363" t="s">
        <v>183</v>
      </c>
      <c r="AD428" s="380" t="s">
        <v>97</v>
      </c>
      <c r="AE428" s="380">
        <v>4</v>
      </c>
      <c r="AF428" s="363"/>
    </row>
    <row r="429" spans="1:32" ht="15" hidden="1" customHeight="1" x14ac:dyDescent="0.3">
      <c r="B429" s="380" t="s">
        <v>2</v>
      </c>
      <c r="C429" s="420" t="s">
        <v>530</v>
      </c>
      <c r="D429" s="421" t="s">
        <v>535</v>
      </c>
      <c r="E429" s="380">
        <v>16882528</v>
      </c>
      <c r="F429" s="387">
        <v>45670</v>
      </c>
      <c r="G429" s="380" t="s">
        <v>55</v>
      </c>
      <c r="H429" s="380">
        <v>1</v>
      </c>
      <c r="I429" s="388">
        <f>568000/4</f>
        <v>142000</v>
      </c>
      <c r="J429" s="380">
        <v>4</v>
      </c>
      <c r="K429" s="389">
        <f t="shared" si="18"/>
        <v>35500</v>
      </c>
      <c r="L429" s="381">
        <v>45670</v>
      </c>
      <c r="M429" s="381">
        <v>46764</v>
      </c>
      <c r="N429" s="363" t="s">
        <v>520</v>
      </c>
      <c r="O429" s="380"/>
      <c r="P429" s="380"/>
      <c r="Q429" s="390" t="s">
        <v>1527</v>
      </c>
      <c r="R429" s="363" t="s">
        <v>798</v>
      </c>
      <c r="S429" s="363" t="s">
        <v>1528</v>
      </c>
      <c r="T429" s="363"/>
      <c r="U429" s="363" t="s">
        <v>1529</v>
      </c>
      <c r="V429" s="363"/>
      <c r="W429" s="363" t="s">
        <v>1530</v>
      </c>
      <c r="X429" s="363"/>
      <c r="Y429" s="363"/>
      <c r="Z429" s="363"/>
      <c r="AA429" s="363"/>
      <c r="AB429" s="363"/>
      <c r="AC429" s="363" t="s">
        <v>183</v>
      </c>
      <c r="AD429" s="380" t="s">
        <v>97</v>
      </c>
      <c r="AE429" s="380">
        <v>4</v>
      </c>
      <c r="AF429" s="363"/>
    </row>
    <row r="430" spans="1:32" ht="15" hidden="1" customHeight="1" x14ac:dyDescent="0.3">
      <c r="B430" s="380" t="s">
        <v>2</v>
      </c>
      <c r="C430" s="420" t="s">
        <v>530</v>
      </c>
      <c r="D430" s="421" t="s">
        <v>538</v>
      </c>
      <c r="E430" s="380">
        <v>16882528</v>
      </c>
      <c r="F430" s="387">
        <v>45670</v>
      </c>
      <c r="G430" s="380" t="s">
        <v>55</v>
      </c>
      <c r="H430" s="380">
        <v>1</v>
      </c>
      <c r="I430" s="388">
        <f>568000/4</f>
        <v>142000</v>
      </c>
      <c r="J430" s="380">
        <v>4</v>
      </c>
      <c r="K430" s="389">
        <f t="shared" si="18"/>
        <v>35500</v>
      </c>
      <c r="L430" s="381">
        <v>45670</v>
      </c>
      <c r="M430" s="381">
        <v>46764</v>
      </c>
      <c r="N430" s="363" t="s">
        <v>520</v>
      </c>
      <c r="O430" s="380"/>
      <c r="P430" s="380"/>
      <c r="Q430" s="390" t="s">
        <v>1527</v>
      </c>
      <c r="R430" s="363" t="s">
        <v>455</v>
      </c>
      <c r="S430" s="363" t="s">
        <v>1528</v>
      </c>
      <c r="T430" s="363"/>
      <c r="U430" s="363" t="s">
        <v>1529</v>
      </c>
      <c r="V430" s="363"/>
      <c r="W430" s="363" t="s">
        <v>1530</v>
      </c>
      <c r="X430" s="363"/>
      <c r="Y430" s="363"/>
      <c r="Z430" s="363"/>
      <c r="AA430" s="363"/>
      <c r="AB430" s="363"/>
      <c r="AC430" s="363" t="s">
        <v>485</v>
      </c>
      <c r="AD430" s="380" t="s">
        <v>63</v>
      </c>
      <c r="AE430" s="380">
        <v>4</v>
      </c>
      <c r="AF430" s="363"/>
    </row>
    <row r="431" spans="1:32" ht="15" hidden="1" customHeight="1" x14ac:dyDescent="0.3">
      <c r="B431" s="380" t="s">
        <v>2</v>
      </c>
      <c r="C431" s="420" t="s">
        <v>530</v>
      </c>
      <c r="D431" s="421" t="s">
        <v>540</v>
      </c>
      <c r="E431" s="380">
        <v>16882528</v>
      </c>
      <c r="F431" s="387">
        <v>45670</v>
      </c>
      <c r="G431" s="380" t="s">
        <v>55</v>
      </c>
      <c r="H431" s="380">
        <v>1</v>
      </c>
      <c r="I431" s="388">
        <f>568000/4</f>
        <v>142000</v>
      </c>
      <c r="J431" s="380">
        <v>4</v>
      </c>
      <c r="K431" s="389">
        <f t="shared" si="18"/>
        <v>35500</v>
      </c>
      <c r="L431" s="381">
        <v>45670</v>
      </c>
      <c r="M431" s="381">
        <v>46764</v>
      </c>
      <c r="N431" s="363" t="s">
        <v>520</v>
      </c>
      <c r="O431" s="380"/>
      <c r="P431" s="380"/>
      <c r="Q431" s="390" t="s">
        <v>1527</v>
      </c>
      <c r="R431" s="363" t="s">
        <v>149</v>
      </c>
      <c r="S431" s="363" t="s">
        <v>1528</v>
      </c>
      <c r="T431" s="363"/>
      <c r="U431" s="363" t="s">
        <v>1529</v>
      </c>
      <c r="V431" s="363"/>
      <c r="W431" s="363" t="s">
        <v>1530</v>
      </c>
      <c r="X431" s="363"/>
      <c r="Y431" s="363"/>
      <c r="Z431" s="363"/>
      <c r="AA431" s="363"/>
      <c r="AB431" s="363"/>
      <c r="AC431" s="363" t="s">
        <v>128</v>
      </c>
      <c r="AD431" s="380" t="s">
        <v>129</v>
      </c>
      <c r="AE431" s="380">
        <v>4</v>
      </c>
      <c r="AF431" s="363"/>
    </row>
    <row r="432" spans="1:32" ht="15" hidden="1" customHeight="1" x14ac:dyDescent="0.3">
      <c r="B432" s="380" t="s">
        <v>2</v>
      </c>
      <c r="C432" s="409" t="s">
        <v>1069</v>
      </c>
      <c r="D432" s="423" t="s">
        <v>1531</v>
      </c>
      <c r="E432" s="491">
        <v>4400018763</v>
      </c>
      <c r="F432" s="488">
        <v>46041</v>
      </c>
      <c r="G432" s="380" t="s">
        <v>55</v>
      </c>
      <c r="H432" s="380">
        <v>5</v>
      </c>
      <c r="I432" s="388">
        <v>698145</v>
      </c>
      <c r="J432" s="380">
        <v>3</v>
      </c>
      <c r="K432" s="389">
        <f t="shared" si="18"/>
        <v>232715</v>
      </c>
      <c r="L432" s="381">
        <v>46023</v>
      </c>
      <c r="M432" s="381">
        <v>46387</v>
      </c>
      <c r="N432" s="363" t="s">
        <v>520</v>
      </c>
      <c r="O432" s="380"/>
      <c r="P432" s="380"/>
      <c r="Q432" s="390" t="s">
        <v>347</v>
      </c>
      <c r="R432" s="363" t="s">
        <v>1532</v>
      </c>
      <c r="S432" s="363" t="s">
        <v>348</v>
      </c>
      <c r="T432" s="363"/>
      <c r="U432" s="363" t="s">
        <v>349</v>
      </c>
      <c r="V432" s="363"/>
      <c r="W432" s="363"/>
      <c r="X432" s="363"/>
      <c r="Y432" s="363"/>
      <c r="Z432" s="363"/>
      <c r="AA432" s="363"/>
      <c r="AB432" s="363"/>
      <c r="AC432" s="363" t="s">
        <v>281</v>
      </c>
      <c r="AD432" s="380" t="s">
        <v>968</v>
      </c>
      <c r="AE432" s="380">
        <v>3</v>
      </c>
      <c r="AF432" s="363" t="s">
        <v>667</v>
      </c>
    </row>
    <row r="433" spans="2:32" ht="15" hidden="1" customHeight="1" x14ac:dyDescent="0.3">
      <c r="B433" s="380" t="s">
        <v>2</v>
      </c>
      <c r="C433" s="409" t="s">
        <v>647</v>
      </c>
      <c r="D433" s="489" t="s">
        <v>648</v>
      </c>
      <c r="E433" s="503">
        <v>450093582</v>
      </c>
      <c r="F433" s="501">
        <v>46053</v>
      </c>
      <c r="G433" s="380" t="s">
        <v>55</v>
      </c>
      <c r="H433" s="380">
        <v>2</v>
      </c>
      <c r="I433" s="388">
        <v>224000</v>
      </c>
      <c r="J433" s="380">
        <v>2</v>
      </c>
      <c r="K433" s="389">
        <f t="shared" si="18"/>
        <v>112000</v>
      </c>
      <c r="L433" s="381">
        <v>46082</v>
      </c>
      <c r="M433" s="381">
        <v>46446</v>
      </c>
      <c r="N433" s="363" t="s">
        <v>520</v>
      </c>
      <c r="O433" s="380"/>
      <c r="P433" s="380"/>
      <c r="Q433" s="363" t="s">
        <v>1533</v>
      </c>
      <c r="R433" s="363"/>
      <c r="S433" s="363" t="s">
        <v>1534</v>
      </c>
      <c r="T433" s="363"/>
      <c r="U433" s="363"/>
      <c r="V433" s="363"/>
      <c r="W433" s="363"/>
      <c r="X433" s="363"/>
      <c r="Y433" s="363"/>
      <c r="Z433" s="363"/>
      <c r="AA433" s="363"/>
      <c r="AB433" s="363"/>
      <c r="AC433" s="363" t="s">
        <v>1535</v>
      </c>
      <c r="AD433" s="380" t="s">
        <v>97</v>
      </c>
      <c r="AE433" s="380">
        <v>2</v>
      </c>
      <c r="AF433" s="363" t="s">
        <v>1536</v>
      </c>
    </row>
    <row r="434" spans="2:32" ht="15" hidden="1" customHeight="1" x14ac:dyDescent="0.3">
      <c r="B434" s="380" t="s">
        <v>2</v>
      </c>
      <c r="C434" s="482" t="s">
        <v>1537</v>
      </c>
      <c r="D434" s="483" t="s">
        <v>1022</v>
      </c>
      <c r="E434" s="468">
        <v>6460008580</v>
      </c>
      <c r="F434" s="488">
        <v>46052</v>
      </c>
      <c r="G434" s="380" t="s">
        <v>55</v>
      </c>
      <c r="H434" s="380">
        <v>1</v>
      </c>
      <c r="I434" s="388">
        <v>60000</v>
      </c>
      <c r="J434" s="380">
        <v>1</v>
      </c>
      <c r="K434" s="389">
        <f t="shared" si="18"/>
        <v>60000</v>
      </c>
      <c r="L434" s="504">
        <v>46054</v>
      </c>
      <c r="M434" s="504">
        <v>46418</v>
      </c>
      <c r="N434" s="363" t="s">
        <v>520</v>
      </c>
      <c r="O434" s="380"/>
      <c r="P434" s="380"/>
      <c r="Q434" s="363" t="s">
        <v>1538</v>
      </c>
      <c r="R434" s="363"/>
      <c r="S434" s="363"/>
      <c r="T434" s="363"/>
      <c r="U434" s="363"/>
      <c r="V434" s="363"/>
      <c r="W434" s="363"/>
      <c r="X434" s="363"/>
      <c r="Y434" s="363"/>
      <c r="Z434" s="363"/>
      <c r="AA434" s="363"/>
      <c r="AB434" s="363"/>
      <c r="AC434" s="363" t="s">
        <v>485</v>
      </c>
      <c r="AD434" s="380" t="s">
        <v>63</v>
      </c>
      <c r="AE434" s="380">
        <v>2</v>
      </c>
      <c r="AF434" s="363" t="s">
        <v>1539</v>
      </c>
    </row>
    <row r="435" spans="2:32" ht="15" hidden="1" customHeight="1" x14ac:dyDescent="0.3">
      <c r="B435" s="380" t="s">
        <v>2</v>
      </c>
      <c r="C435" s="551" t="s">
        <v>1540</v>
      </c>
      <c r="D435" s="480" t="s">
        <v>176</v>
      </c>
      <c r="E435" s="481" t="s">
        <v>1541</v>
      </c>
      <c r="F435" s="488">
        <v>45985</v>
      </c>
      <c r="G435" s="380" t="s">
        <v>55</v>
      </c>
      <c r="H435" s="380">
        <v>3</v>
      </c>
      <c r="I435" s="388">
        <v>268500</v>
      </c>
      <c r="J435" s="380">
        <v>3</v>
      </c>
      <c r="K435" s="389">
        <f>I435/2</f>
        <v>134250</v>
      </c>
      <c r="L435" s="504">
        <v>45668</v>
      </c>
      <c r="M435" s="504">
        <v>46326</v>
      </c>
      <c r="N435" s="363" t="s">
        <v>520</v>
      </c>
      <c r="O435" s="380"/>
      <c r="P435" s="380"/>
      <c r="Q435" s="390" t="s">
        <v>192</v>
      </c>
      <c r="R435" s="363" t="s">
        <v>639</v>
      </c>
      <c r="S435" s="390" t="s">
        <v>194</v>
      </c>
      <c r="T435" s="363" t="s">
        <v>1868</v>
      </c>
      <c r="U435" s="363" t="s">
        <v>1344</v>
      </c>
      <c r="V435" s="363"/>
      <c r="W435" s="363"/>
      <c r="X435" s="363"/>
      <c r="Y435" s="363"/>
      <c r="Z435" s="363"/>
      <c r="AA435" s="363"/>
      <c r="AB435" s="363"/>
      <c r="AC435" s="363" t="s">
        <v>183</v>
      </c>
      <c r="AD435" s="380" t="s">
        <v>97</v>
      </c>
      <c r="AE435" s="380">
        <v>6</v>
      </c>
      <c r="AF435" s="363" t="s">
        <v>1544</v>
      </c>
    </row>
    <row r="436" spans="2:32" ht="15" hidden="1" customHeight="1" x14ac:dyDescent="0.3">
      <c r="B436" s="380" t="s">
        <v>2</v>
      </c>
      <c r="C436" s="482" t="s">
        <v>195</v>
      </c>
      <c r="D436" s="483" t="s">
        <v>447</v>
      </c>
      <c r="E436" s="468" t="s">
        <v>1545</v>
      </c>
      <c r="F436" s="488">
        <v>46058</v>
      </c>
      <c r="G436" s="380" t="s">
        <v>55</v>
      </c>
      <c r="H436" s="380">
        <v>5</v>
      </c>
      <c r="I436" s="388">
        <v>325000</v>
      </c>
      <c r="J436" s="380">
        <v>4</v>
      </c>
      <c r="K436" s="389">
        <f t="shared" ref="K436:K447" si="19">I436/J436</f>
        <v>81250</v>
      </c>
      <c r="L436" s="504">
        <v>46059</v>
      </c>
      <c r="M436" s="504">
        <v>46423</v>
      </c>
      <c r="N436" s="363" t="s">
        <v>520</v>
      </c>
      <c r="O436" s="380"/>
      <c r="P436" s="380"/>
      <c r="Q436" s="390" t="s">
        <v>1546</v>
      </c>
      <c r="R436" s="363" t="s">
        <v>712</v>
      </c>
      <c r="S436" s="363" t="s">
        <v>1547</v>
      </c>
      <c r="T436" s="363"/>
      <c r="U436" s="363" t="s">
        <v>1548</v>
      </c>
      <c r="V436" s="363"/>
      <c r="W436" s="363" t="s">
        <v>1549</v>
      </c>
      <c r="X436" s="363"/>
      <c r="Y436" s="363"/>
      <c r="Z436" s="363"/>
      <c r="AA436" s="363"/>
      <c r="AB436" s="363"/>
      <c r="AC436" s="363" t="s">
        <v>96</v>
      </c>
      <c r="AD436" s="380" t="s">
        <v>97</v>
      </c>
      <c r="AE436" s="380" t="s">
        <v>494</v>
      </c>
      <c r="AF436" s="363" t="s">
        <v>667</v>
      </c>
    </row>
    <row r="437" spans="2:32" ht="15" hidden="1" customHeight="1" x14ac:dyDescent="0.3">
      <c r="B437" s="380" t="s">
        <v>2</v>
      </c>
      <c r="C437" s="482" t="s">
        <v>195</v>
      </c>
      <c r="D437" s="483" t="s">
        <v>447</v>
      </c>
      <c r="E437" s="468" t="s">
        <v>1545</v>
      </c>
      <c r="F437" s="488">
        <v>46058</v>
      </c>
      <c r="G437" s="380" t="s">
        <v>55</v>
      </c>
      <c r="H437" s="380"/>
      <c r="I437" s="388">
        <v>325000</v>
      </c>
      <c r="J437" s="380">
        <v>4</v>
      </c>
      <c r="K437" s="389">
        <f t="shared" si="19"/>
        <v>81250</v>
      </c>
      <c r="L437" s="381">
        <v>46424</v>
      </c>
      <c r="M437" s="381">
        <v>46788</v>
      </c>
      <c r="N437" s="363" t="s">
        <v>520</v>
      </c>
      <c r="O437" s="380"/>
      <c r="P437" s="380"/>
      <c r="Q437" s="363" t="s">
        <v>1550</v>
      </c>
      <c r="R437" s="363"/>
      <c r="S437" s="363" t="s">
        <v>1551</v>
      </c>
      <c r="T437" s="363"/>
      <c r="U437" s="363" t="s">
        <v>1552</v>
      </c>
      <c r="V437" s="363"/>
      <c r="W437" s="363" t="s">
        <v>1553</v>
      </c>
      <c r="X437" s="363"/>
      <c r="Y437" s="363"/>
      <c r="Z437" s="363"/>
      <c r="AA437" s="363"/>
      <c r="AB437" s="363"/>
      <c r="AC437" s="363" t="s">
        <v>96</v>
      </c>
      <c r="AD437" s="380" t="s">
        <v>97</v>
      </c>
      <c r="AE437" s="380" t="s">
        <v>494</v>
      </c>
      <c r="AF437" s="363" t="s">
        <v>667</v>
      </c>
    </row>
    <row r="438" spans="2:32" ht="15" hidden="1" customHeight="1" x14ac:dyDescent="0.3">
      <c r="B438" s="380" t="s">
        <v>2</v>
      </c>
      <c r="C438" s="482" t="s">
        <v>195</v>
      </c>
      <c r="D438" s="483" t="s">
        <v>447</v>
      </c>
      <c r="E438" s="468" t="s">
        <v>1545</v>
      </c>
      <c r="F438" s="488">
        <v>46058</v>
      </c>
      <c r="G438" s="380" t="s">
        <v>55</v>
      </c>
      <c r="H438" s="380"/>
      <c r="I438" s="388">
        <v>325000</v>
      </c>
      <c r="J438" s="380">
        <v>4</v>
      </c>
      <c r="K438" s="389">
        <f t="shared" si="19"/>
        <v>81250</v>
      </c>
      <c r="L438" s="381">
        <v>46789</v>
      </c>
      <c r="M438" s="381">
        <v>47154</v>
      </c>
      <c r="N438" s="363" t="s">
        <v>520</v>
      </c>
      <c r="O438" s="380"/>
      <c r="P438" s="380"/>
      <c r="Q438" s="363" t="s">
        <v>1554</v>
      </c>
      <c r="R438" s="363"/>
      <c r="S438" s="363" t="s">
        <v>1555</v>
      </c>
      <c r="T438" s="363"/>
      <c r="U438" s="363" t="s">
        <v>1556</v>
      </c>
      <c r="V438" s="363"/>
      <c r="W438" s="363" t="s">
        <v>1557</v>
      </c>
      <c r="X438" s="363"/>
      <c r="Y438" s="363"/>
      <c r="Z438" s="363"/>
      <c r="AA438" s="363"/>
      <c r="AB438" s="363"/>
      <c r="AC438" s="363" t="s">
        <v>96</v>
      </c>
      <c r="AD438" s="380" t="s">
        <v>97</v>
      </c>
      <c r="AE438" s="380" t="s">
        <v>494</v>
      </c>
      <c r="AF438" s="363" t="s">
        <v>667</v>
      </c>
    </row>
    <row r="439" spans="2:32" ht="15" hidden="1" customHeight="1" x14ac:dyDescent="0.3">
      <c r="B439" s="380" t="s">
        <v>2</v>
      </c>
      <c r="C439" s="482" t="s">
        <v>1558</v>
      </c>
      <c r="D439" s="483" t="s">
        <v>151</v>
      </c>
      <c r="E439" s="468">
        <v>10106079</v>
      </c>
      <c r="F439" s="488">
        <v>46062</v>
      </c>
      <c r="G439" s="380" t="s">
        <v>55</v>
      </c>
      <c r="H439" s="380">
        <v>1</v>
      </c>
      <c r="I439" s="388">
        <v>130000</v>
      </c>
      <c r="J439" s="380">
        <v>3</v>
      </c>
      <c r="K439" s="389">
        <f t="shared" si="19"/>
        <v>43333.333333333336</v>
      </c>
      <c r="L439" s="381">
        <v>46023</v>
      </c>
      <c r="M439" s="381">
        <v>46387</v>
      </c>
      <c r="N439" s="363" t="s">
        <v>520</v>
      </c>
      <c r="O439" s="380"/>
      <c r="P439" s="380"/>
      <c r="Q439" s="390" t="s">
        <v>1559</v>
      </c>
      <c r="R439" s="363" t="s">
        <v>1710</v>
      </c>
      <c r="S439" s="363" t="s">
        <v>348</v>
      </c>
      <c r="T439" s="363"/>
      <c r="U439" s="363" t="s">
        <v>349</v>
      </c>
      <c r="V439" s="363"/>
      <c r="W439" s="363"/>
      <c r="X439" s="363"/>
      <c r="Y439" s="363"/>
      <c r="Z439" s="363"/>
      <c r="AA439" s="363"/>
      <c r="AB439" s="363"/>
      <c r="AC439" s="363" t="s">
        <v>478</v>
      </c>
      <c r="AD439" s="380" t="s">
        <v>63</v>
      </c>
      <c r="AE439" s="380">
        <v>3</v>
      </c>
      <c r="AF439" s="363" t="s">
        <v>667</v>
      </c>
    </row>
    <row r="440" spans="2:32" ht="15" hidden="1" customHeight="1" x14ac:dyDescent="0.3">
      <c r="B440" s="380" t="s">
        <v>2</v>
      </c>
      <c r="C440" s="409" t="s">
        <v>1560</v>
      </c>
      <c r="D440" s="418" t="s">
        <v>388</v>
      </c>
      <c r="E440" s="493">
        <v>4511430093</v>
      </c>
      <c r="F440" s="488">
        <v>46059</v>
      </c>
      <c r="G440" s="380" t="s">
        <v>55</v>
      </c>
      <c r="H440" s="380">
        <v>3</v>
      </c>
      <c r="I440" s="388">
        <v>755305</v>
      </c>
      <c r="J440" s="380">
        <v>4</v>
      </c>
      <c r="K440" s="389">
        <f t="shared" si="19"/>
        <v>188826.25</v>
      </c>
      <c r="L440" s="381">
        <v>46007</v>
      </c>
      <c r="M440" s="381">
        <v>46371</v>
      </c>
      <c r="N440" s="363" t="s">
        <v>520</v>
      </c>
      <c r="O440" s="380"/>
      <c r="P440" s="380"/>
      <c r="Q440" s="390" t="s">
        <v>1561</v>
      </c>
      <c r="R440" s="363" t="s">
        <v>1019</v>
      </c>
      <c r="S440" s="390" t="s">
        <v>1562</v>
      </c>
      <c r="T440" s="363" t="s">
        <v>1866</v>
      </c>
      <c r="U440" s="363" t="s">
        <v>1563</v>
      </c>
      <c r="V440" s="363"/>
      <c r="W440" s="363" t="s">
        <v>1564</v>
      </c>
      <c r="X440" s="363"/>
      <c r="Y440" s="363"/>
      <c r="Z440" s="363"/>
      <c r="AA440" s="363"/>
      <c r="AB440" s="363"/>
      <c r="AC440" s="363" t="s">
        <v>478</v>
      </c>
      <c r="AD440" s="380" t="s">
        <v>63</v>
      </c>
      <c r="AE440" s="380">
        <v>3</v>
      </c>
      <c r="AF440" s="363" t="s">
        <v>667</v>
      </c>
    </row>
    <row r="441" spans="2:32" ht="15" hidden="1" customHeight="1" x14ac:dyDescent="0.3">
      <c r="B441" s="380" t="s">
        <v>2</v>
      </c>
      <c r="C441" s="482" t="s">
        <v>1385</v>
      </c>
      <c r="D441" s="483" t="s">
        <v>1565</v>
      </c>
      <c r="E441" s="468">
        <v>4500090444</v>
      </c>
      <c r="F441" s="488">
        <v>46060</v>
      </c>
      <c r="G441" s="380" t="s">
        <v>55</v>
      </c>
      <c r="H441" s="380">
        <v>1</v>
      </c>
      <c r="I441" s="388">
        <v>80000</v>
      </c>
      <c r="J441" s="380">
        <v>2</v>
      </c>
      <c r="K441" s="389">
        <f t="shared" si="19"/>
        <v>40000</v>
      </c>
      <c r="L441" s="381">
        <v>46064</v>
      </c>
      <c r="M441" s="381">
        <v>46428</v>
      </c>
      <c r="N441" s="363" t="s">
        <v>520</v>
      </c>
      <c r="O441" s="380"/>
      <c r="P441" s="380"/>
      <c r="Q441" s="363" t="s">
        <v>1566</v>
      </c>
      <c r="R441" s="363"/>
      <c r="S441" s="363" t="s">
        <v>1567</v>
      </c>
      <c r="T441" s="363"/>
      <c r="U441" s="363"/>
      <c r="V441" s="363"/>
      <c r="W441" s="363"/>
      <c r="X441" s="363"/>
      <c r="Y441" s="363"/>
      <c r="Z441" s="363"/>
      <c r="AA441" s="363"/>
      <c r="AB441" s="363"/>
      <c r="AC441" s="363" t="s">
        <v>619</v>
      </c>
      <c r="AD441" s="380" t="s">
        <v>63</v>
      </c>
      <c r="AE441" s="380">
        <v>3</v>
      </c>
      <c r="AF441" s="363" t="s">
        <v>667</v>
      </c>
    </row>
    <row r="442" spans="2:32" ht="15" hidden="1" customHeight="1" x14ac:dyDescent="0.3">
      <c r="B442" s="380" t="s">
        <v>2</v>
      </c>
      <c r="C442" s="409" t="s">
        <v>598</v>
      </c>
      <c r="D442" s="423" t="s">
        <v>599</v>
      </c>
      <c r="E442" s="491">
        <v>3800068846</v>
      </c>
      <c r="F442" s="488">
        <v>46062</v>
      </c>
      <c r="G442" s="380" t="s">
        <v>55</v>
      </c>
      <c r="H442" s="380">
        <v>5</v>
      </c>
      <c r="I442" s="388">
        <v>290000</v>
      </c>
      <c r="J442" s="380">
        <v>2</v>
      </c>
      <c r="K442" s="389">
        <f t="shared" si="19"/>
        <v>145000</v>
      </c>
      <c r="L442" s="504">
        <v>46067</v>
      </c>
      <c r="M442" s="504">
        <v>46431</v>
      </c>
      <c r="N442" s="363" t="s">
        <v>520</v>
      </c>
      <c r="O442" s="380"/>
      <c r="P442" s="380"/>
      <c r="Q442" s="363" t="s">
        <v>1568</v>
      </c>
      <c r="R442" s="363" t="s">
        <v>1569</v>
      </c>
      <c r="S442" s="363" t="s">
        <v>1570</v>
      </c>
      <c r="T442" s="363"/>
      <c r="U442" s="363"/>
      <c r="V442" s="363"/>
      <c r="W442" s="363"/>
      <c r="X442" s="363"/>
      <c r="Y442" s="363"/>
      <c r="Z442" s="363"/>
      <c r="AA442" s="363"/>
      <c r="AB442" s="363"/>
      <c r="AC442" s="363" t="s">
        <v>485</v>
      </c>
      <c r="AD442" s="380" t="s">
        <v>63</v>
      </c>
      <c r="AE442" s="380">
        <v>2</v>
      </c>
      <c r="AF442" s="363" t="s">
        <v>1571</v>
      </c>
    </row>
    <row r="443" spans="2:32" ht="15" hidden="1" customHeight="1" x14ac:dyDescent="0.3">
      <c r="B443" s="380" t="s">
        <v>2</v>
      </c>
      <c r="C443" s="409" t="s">
        <v>130</v>
      </c>
      <c r="D443" s="489" t="s">
        <v>1572</v>
      </c>
      <c r="E443" s="397">
        <v>6800048397</v>
      </c>
      <c r="F443" s="488">
        <v>45882</v>
      </c>
      <c r="G443" s="380" t="s">
        <v>55</v>
      </c>
      <c r="H443" s="380">
        <v>1</v>
      </c>
      <c r="I443" s="388">
        <v>88000</v>
      </c>
      <c r="J443" s="380">
        <v>2</v>
      </c>
      <c r="K443" s="389">
        <f t="shared" si="19"/>
        <v>44000</v>
      </c>
      <c r="L443" s="505">
        <v>45901</v>
      </c>
      <c r="M443" s="505">
        <v>46265</v>
      </c>
      <c r="N443" s="363" t="s">
        <v>19</v>
      </c>
      <c r="O443" s="380" t="s">
        <v>13</v>
      </c>
      <c r="P443" s="380"/>
      <c r="Q443" s="390" t="s">
        <v>625</v>
      </c>
      <c r="R443" s="363" t="s">
        <v>1009</v>
      </c>
      <c r="S443" s="390" t="s">
        <v>1235</v>
      </c>
      <c r="T443" s="363" t="s">
        <v>1857</v>
      </c>
      <c r="U443" s="363"/>
      <c r="V443" s="363"/>
      <c r="W443" s="363"/>
      <c r="X443" s="363"/>
      <c r="Y443" s="363"/>
      <c r="Z443" s="363"/>
      <c r="AA443" s="363"/>
      <c r="AB443" s="363"/>
      <c r="AC443" s="363" t="s">
        <v>183</v>
      </c>
      <c r="AD443" s="380" t="s">
        <v>97</v>
      </c>
      <c r="AE443" s="380">
        <v>2</v>
      </c>
      <c r="AF443" s="363" t="s">
        <v>1573</v>
      </c>
    </row>
    <row r="444" spans="2:32" ht="15" hidden="1" customHeight="1" x14ac:dyDescent="0.3">
      <c r="B444" s="380" t="s">
        <v>2</v>
      </c>
      <c r="C444" s="482" t="s">
        <v>1032</v>
      </c>
      <c r="D444" s="483" t="s">
        <v>1227</v>
      </c>
      <c r="E444" s="468">
        <v>2560049212</v>
      </c>
      <c r="F444" s="488">
        <v>46064</v>
      </c>
      <c r="G444" s="380" t="s">
        <v>55</v>
      </c>
      <c r="H444" s="380">
        <v>2</v>
      </c>
      <c r="I444" s="388">
        <v>180000</v>
      </c>
      <c r="J444" s="380">
        <v>2</v>
      </c>
      <c r="K444" s="389">
        <f t="shared" si="19"/>
        <v>90000</v>
      </c>
      <c r="L444" s="504">
        <v>46054</v>
      </c>
      <c r="M444" s="504">
        <v>46418</v>
      </c>
      <c r="N444" s="363" t="s">
        <v>520</v>
      </c>
      <c r="O444" s="380"/>
      <c r="P444" s="380" t="s">
        <v>1</v>
      </c>
      <c r="Q444" s="363" t="s">
        <v>426</v>
      </c>
      <c r="R444" s="363"/>
      <c r="S444" s="363" t="s">
        <v>427</v>
      </c>
      <c r="T444" s="363"/>
      <c r="U444" s="363"/>
      <c r="V444" s="363"/>
      <c r="W444" s="363"/>
      <c r="X444" s="363"/>
      <c r="Y444" s="363"/>
      <c r="Z444" s="363"/>
      <c r="AA444" s="363"/>
      <c r="AB444" s="363"/>
      <c r="AC444" s="363" t="s">
        <v>507</v>
      </c>
      <c r="AD444" s="380" t="s">
        <v>63</v>
      </c>
      <c r="AE444" s="380">
        <v>3</v>
      </c>
      <c r="AF444" s="363" t="s">
        <v>799</v>
      </c>
    </row>
    <row r="445" spans="2:32" ht="15" hidden="1" customHeight="1" x14ac:dyDescent="0.3">
      <c r="B445" s="380" t="s">
        <v>2</v>
      </c>
      <c r="C445" s="482" t="s">
        <v>1326</v>
      </c>
      <c r="D445" s="483" t="s">
        <v>151</v>
      </c>
      <c r="E445" s="468">
        <v>928978356</v>
      </c>
      <c r="F445" s="488">
        <v>46064</v>
      </c>
      <c r="G445" s="380" t="s">
        <v>55</v>
      </c>
      <c r="H445" s="380">
        <v>1</v>
      </c>
      <c r="I445" s="388">
        <v>96000</v>
      </c>
      <c r="J445" s="380">
        <v>3</v>
      </c>
      <c r="K445" s="389">
        <f t="shared" si="19"/>
        <v>32000</v>
      </c>
      <c r="L445" s="504">
        <v>46064</v>
      </c>
      <c r="M445" s="504">
        <v>46428</v>
      </c>
      <c r="N445" s="363" t="s">
        <v>520</v>
      </c>
      <c r="O445" s="380"/>
      <c r="P445" s="380"/>
      <c r="Q445" s="390" t="s">
        <v>1574</v>
      </c>
      <c r="R445" s="363" t="s">
        <v>1162</v>
      </c>
      <c r="S445" s="363" t="s">
        <v>1575</v>
      </c>
      <c r="T445" s="363"/>
      <c r="U445" s="363" t="s">
        <v>1576</v>
      </c>
      <c r="V445" s="363"/>
      <c r="W445" s="363"/>
      <c r="X445" s="363"/>
      <c r="Y445" s="363"/>
      <c r="Z445" s="363"/>
      <c r="AA445" s="363"/>
      <c r="AB445" s="363"/>
      <c r="AC445" s="363" t="s">
        <v>507</v>
      </c>
      <c r="AD445" s="380" t="s">
        <v>63</v>
      </c>
      <c r="AE445" s="380">
        <v>3</v>
      </c>
      <c r="AF445" s="363" t="s">
        <v>1577</v>
      </c>
    </row>
    <row r="446" spans="2:32" ht="15" hidden="1" customHeight="1" x14ac:dyDescent="0.3">
      <c r="B446" s="380" t="s">
        <v>2</v>
      </c>
      <c r="C446" s="409" t="s">
        <v>1095</v>
      </c>
      <c r="D446" s="434" t="s">
        <v>1578</v>
      </c>
      <c r="E446" s="506">
        <v>9709627472</v>
      </c>
      <c r="F446" s="488">
        <v>46069</v>
      </c>
      <c r="G446" s="380" t="s">
        <v>55</v>
      </c>
      <c r="H446" s="380">
        <v>13</v>
      </c>
      <c r="I446" s="388">
        <v>1040000</v>
      </c>
      <c r="J446" s="380">
        <v>4</v>
      </c>
      <c r="K446" s="389">
        <f t="shared" si="19"/>
        <v>260000</v>
      </c>
      <c r="L446" s="505">
        <v>45668</v>
      </c>
      <c r="M446" s="505">
        <v>46326</v>
      </c>
      <c r="N446" s="363" t="s">
        <v>520</v>
      </c>
      <c r="O446" s="380"/>
      <c r="P446" s="380"/>
      <c r="Q446" s="390" t="s">
        <v>269</v>
      </c>
      <c r="R446" s="363" t="s">
        <v>999</v>
      </c>
      <c r="S446" s="390" t="s">
        <v>442</v>
      </c>
      <c r="T446" s="363" t="s">
        <v>1857</v>
      </c>
      <c r="U446" s="363" t="s">
        <v>444</v>
      </c>
      <c r="V446" s="363"/>
      <c r="W446" s="363" t="s">
        <v>445</v>
      </c>
      <c r="X446" s="363"/>
      <c r="Y446" s="363"/>
      <c r="Z446" s="363"/>
      <c r="AA446" s="363"/>
      <c r="AB446" s="363"/>
      <c r="AC446" s="363" t="s">
        <v>619</v>
      </c>
      <c r="AD446" s="380" t="s">
        <v>63</v>
      </c>
      <c r="AE446" s="380">
        <v>4</v>
      </c>
      <c r="AF446" s="363" t="s">
        <v>667</v>
      </c>
    </row>
    <row r="447" spans="2:32" ht="15" hidden="1" customHeight="1" x14ac:dyDescent="0.3">
      <c r="B447" s="380" t="s">
        <v>2</v>
      </c>
      <c r="C447" s="409" t="s">
        <v>975</v>
      </c>
      <c r="D447" s="423" t="s">
        <v>1136</v>
      </c>
      <c r="E447" s="408">
        <v>6100013233</v>
      </c>
      <c r="F447" s="488">
        <v>46055</v>
      </c>
      <c r="G447" s="380" t="s">
        <v>55</v>
      </c>
      <c r="H447" s="380">
        <v>1</v>
      </c>
      <c r="I447" s="388">
        <v>112000</v>
      </c>
      <c r="J447" s="380">
        <v>3</v>
      </c>
      <c r="K447" s="389">
        <f t="shared" si="19"/>
        <v>37333.333333333336</v>
      </c>
      <c r="L447" s="505">
        <v>45992</v>
      </c>
      <c r="M447" s="505">
        <v>46356</v>
      </c>
      <c r="N447" s="363" t="s">
        <v>520</v>
      </c>
      <c r="O447" s="380"/>
      <c r="P447" s="380"/>
      <c r="Q447" s="390" t="s">
        <v>361</v>
      </c>
      <c r="R447" s="363" t="s">
        <v>1262</v>
      </c>
      <c r="S447" s="363" t="s">
        <v>1579</v>
      </c>
      <c r="T447" s="363" t="s">
        <v>1580</v>
      </c>
      <c r="U447" s="363" t="s">
        <v>1108</v>
      </c>
      <c r="V447" s="363"/>
      <c r="W447" s="363"/>
      <c r="X447" s="363"/>
      <c r="Y447" s="363"/>
      <c r="Z447" s="363"/>
      <c r="AA447" s="363"/>
      <c r="AB447" s="363"/>
      <c r="AC447" s="363" t="s">
        <v>551</v>
      </c>
      <c r="AD447" s="380" t="s">
        <v>207</v>
      </c>
      <c r="AE447" s="380">
        <v>3</v>
      </c>
      <c r="AF447" s="363" t="s">
        <v>1581</v>
      </c>
    </row>
    <row r="448" spans="2:32" ht="15" hidden="1" customHeight="1" x14ac:dyDescent="0.3">
      <c r="B448" s="380" t="s">
        <v>2</v>
      </c>
      <c r="C448" s="412" t="s">
        <v>502</v>
      </c>
      <c r="D448" s="437" t="s">
        <v>151</v>
      </c>
      <c r="E448" s="447" t="s">
        <v>1582</v>
      </c>
      <c r="F448" s="488">
        <v>46049</v>
      </c>
      <c r="G448" s="380" t="s">
        <v>55</v>
      </c>
      <c r="H448" s="380">
        <v>1</v>
      </c>
      <c r="I448" s="388">
        <v>76440</v>
      </c>
      <c r="J448" s="380">
        <v>3</v>
      </c>
      <c r="K448" s="389"/>
      <c r="L448" s="505">
        <v>46023</v>
      </c>
      <c r="M448" s="505">
        <v>46387</v>
      </c>
      <c r="N448" s="363" t="s">
        <v>520</v>
      </c>
      <c r="O448" s="380"/>
      <c r="P448" s="380"/>
      <c r="Q448" s="390" t="s">
        <v>347</v>
      </c>
      <c r="R448" s="363" t="s">
        <v>1727</v>
      </c>
      <c r="S448" s="363" t="s">
        <v>348</v>
      </c>
      <c r="T448" s="363"/>
      <c r="U448" s="363" t="s">
        <v>349</v>
      </c>
      <c r="V448" s="363"/>
      <c r="W448" s="363"/>
      <c r="X448" s="363"/>
      <c r="Y448" s="363"/>
      <c r="Z448" s="363"/>
      <c r="AA448" s="363"/>
      <c r="AB448" s="363"/>
      <c r="AC448" s="363" t="s">
        <v>507</v>
      </c>
      <c r="AD448" s="380" t="s">
        <v>63</v>
      </c>
      <c r="AE448" s="380">
        <v>3</v>
      </c>
      <c r="AF448" s="363" t="s">
        <v>1583</v>
      </c>
    </row>
    <row r="449" spans="2:32" ht="15" hidden="1" customHeight="1" x14ac:dyDescent="0.3">
      <c r="B449" s="380" t="s">
        <v>2</v>
      </c>
      <c r="C449" s="482" t="s">
        <v>1584</v>
      </c>
      <c r="D449" s="483" t="s">
        <v>151</v>
      </c>
      <c r="E449" s="468">
        <v>7408</v>
      </c>
      <c r="F449" s="488">
        <v>46029</v>
      </c>
      <c r="G449" s="380" t="s">
        <v>55</v>
      </c>
      <c r="H449" s="380">
        <v>1</v>
      </c>
      <c r="I449" s="388">
        <v>67500</v>
      </c>
      <c r="J449" s="380">
        <v>3</v>
      </c>
      <c r="K449" s="389">
        <f t="shared" ref="K449:K467" si="20">I449/J449</f>
        <v>22500</v>
      </c>
      <c r="L449" s="504">
        <v>46023</v>
      </c>
      <c r="M449" s="504">
        <v>46387</v>
      </c>
      <c r="N449" s="363" t="s">
        <v>520</v>
      </c>
      <c r="O449" s="380"/>
      <c r="P449" s="380"/>
      <c r="Q449" s="390" t="s">
        <v>347</v>
      </c>
      <c r="R449" s="363" t="s">
        <v>1735</v>
      </c>
      <c r="S449" s="363" t="s">
        <v>348</v>
      </c>
      <c r="T449" s="363"/>
      <c r="U449" s="363" t="s">
        <v>349</v>
      </c>
      <c r="V449" s="363"/>
      <c r="W449" s="363"/>
      <c r="X449" s="363"/>
      <c r="Y449" s="363"/>
      <c r="Z449" s="363"/>
      <c r="AA449" s="363"/>
      <c r="AB449" s="363"/>
      <c r="AC449" s="363" t="s">
        <v>507</v>
      </c>
      <c r="AD449" s="380" t="s">
        <v>63</v>
      </c>
      <c r="AE449" s="380">
        <v>3</v>
      </c>
      <c r="AF449" s="363" t="s">
        <v>1585</v>
      </c>
    </row>
    <row r="450" spans="2:32" ht="15" hidden="1" customHeight="1" x14ac:dyDescent="0.3">
      <c r="B450" s="380" t="s">
        <v>2</v>
      </c>
      <c r="C450" s="485" t="s">
        <v>948</v>
      </c>
      <c r="D450" s="486" t="s">
        <v>987</v>
      </c>
      <c r="E450" s="451">
        <v>9000005172</v>
      </c>
      <c r="F450" s="387">
        <v>46069</v>
      </c>
      <c r="G450" s="380" t="s">
        <v>55</v>
      </c>
      <c r="H450" s="380">
        <v>1</v>
      </c>
      <c r="I450" s="388">
        <v>18620</v>
      </c>
      <c r="J450" s="380">
        <v>1</v>
      </c>
      <c r="K450" s="389">
        <f t="shared" si="20"/>
        <v>18620</v>
      </c>
      <c r="L450" s="507">
        <v>46023</v>
      </c>
      <c r="M450" s="507">
        <v>46112</v>
      </c>
      <c r="N450" s="363" t="s">
        <v>19</v>
      </c>
      <c r="O450" s="380" t="s">
        <v>3</v>
      </c>
      <c r="P450" s="380"/>
      <c r="Q450" s="390" t="s">
        <v>396</v>
      </c>
      <c r="R450" s="363" t="s">
        <v>1162</v>
      </c>
      <c r="S450" s="363"/>
      <c r="T450" s="363"/>
      <c r="U450" s="363"/>
      <c r="V450" s="363"/>
      <c r="W450" s="363"/>
      <c r="X450" s="363"/>
      <c r="Y450" s="363"/>
      <c r="Z450" s="363"/>
      <c r="AA450" s="363"/>
      <c r="AB450" s="363"/>
      <c r="AC450" s="363" t="s">
        <v>551</v>
      </c>
      <c r="AD450" s="380" t="s">
        <v>207</v>
      </c>
      <c r="AE450" s="380"/>
      <c r="AF450" s="363"/>
    </row>
    <row r="451" spans="2:32" ht="15" hidden="1" customHeight="1" x14ac:dyDescent="0.3">
      <c r="B451" s="380" t="s">
        <v>2</v>
      </c>
      <c r="C451" s="409" t="s">
        <v>1586</v>
      </c>
      <c r="D451" s="423" t="s">
        <v>151</v>
      </c>
      <c r="E451" s="408" t="s">
        <v>1587</v>
      </c>
      <c r="F451" s="501">
        <v>46045</v>
      </c>
      <c r="G451" s="380" t="s">
        <v>55</v>
      </c>
      <c r="H451" s="380">
        <v>2</v>
      </c>
      <c r="I451" s="388">
        <v>240000</v>
      </c>
      <c r="J451" s="380">
        <v>2</v>
      </c>
      <c r="K451" s="389">
        <f t="shared" si="20"/>
        <v>120000</v>
      </c>
      <c r="L451" s="505">
        <v>46023</v>
      </c>
      <c r="M451" s="505">
        <v>46387</v>
      </c>
      <c r="N451" s="363" t="s">
        <v>520</v>
      </c>
      <c r="O451" s="380"/>
      <c r="P451" s="380"/>
      <c r="Q451" s="390" t="s">
        <v>607</v>
      </c>
      <c r="R451" s="363" t="s">
        <v>1854</v>
      </c>
      <c r="S451" s="363" t="s">
        <v>608</v>
      </c>
      <c r="T451" s="363"/>
      <c r="U451" s="363"/>
      <c r="V451" s="363"/>
      <c r="W451" s="363"/>
      <c r="X451" s="363"/>
      <c r="Y451" s="363"/>
      <c r="Z451" s="363"/>
      <c r="AA451" s="363"/>
      <c r="AB451" s="363"/>
      <c r="AC451" s="363" t="s">
        <v>478</v>
      </c>
      <c r="AD451" s="380" t="s">
        <v>63</v>
      </c>
      <c r="AE451" s="380">
        <v>3</v>
      </c>
      <c r="AF451" s="363" t="s">
        <v>667</v>
      </c>
    </row>
    <row r="452" spans="2:32" ht="15" hidden="1" customHeight="1" x14ac:dyDescent="0.3">
      <c r="B452" s="380" t="s">
        <v>2</v>
      </c>
      <c r="C452" s="409" t="s">
        <v>1586</v>
      </c>
      <c r="D452" s="423" t="s">
        <v>151</v>
      </c>
      <c r="E452" s="408" t="s">
        <v>1587</v>
      </c>
      <c r="F452" s="501">
        <v>46045</v>
      </c>
      <c r="G452" s="380" t="s">
        <v>55</v>
      </c>
      <c r="H452" s="380">
        <v>2</v>
      </c>
      <c r="I452" s="388">
        <v>240000</v>
      </c>
      <c r="J452" s="380">
        <v>2</v>
      </c>
      <c r="K452" s="389">
        <f t="shared" si="20"/>
        <v>120000</v>
      </c>
      <c r="L452" s="507">
        <v>46388</v>
      </c>
      <c r="M452" s="507">
        <v>46752</v>
      </c>
      <c r="N452" s="363" t="s">
        <v>520</v>
      </c>
      <c r="O452" s="380"/>
      <c r="P452" s="380"/>
      <c r="Q452" s="363" t="s">
        <v>1588</v>
      </c>
      <c r="R452" s="363"/>
      <c r="S452" s="363" t="s">
        <v>1482</v>
      </c>
      <c r="T452" s="363"/>
      <c r="U452" s="363"/>
      <c r="V452" s="363"/>
      <c r="W452" s="363"/>
      <c r="X452" s="363"/>
      <c r="Y452" s="363"/>
      <c r="Z452" s="363"/>
      <c r="AA452" s="363"/>
      <c r="AB452" s="363"/>
      <c r="AC452" s="363" t="s">
        <v>478</v>
      </c>
      <c r="AD452" s="380" t="s">
        <v>63</v>
      </c>
      <c r="AE452" s="380">
        <v>3</v>
      </c>
      <c r="AF452" s="363" t="s">
        <v>667</v>
      </c>
    </row>
    <row r="453" spans="2:32" ht="15" hidden="1" customHeight="1" x14ac:dyDescent="0.3">
      <c r="B453" s="380" t="s">
        <v>2</v>
      </c>
      <c r="C453" s="409" t="s">
        <v>1589</v>
      </c>
      <c r="D453" s="423" t="s">
        <v>1317</v>
      </c>
      <c r="E453" s="408" t="s">
        <v>1590</v>
      </c>
      <c r="F453" s="488">
        <v>46064</v>
      </c>
      <c r="G453" s="380" t="s">
        <v>55</v>
      </c>
      <c r="H453" s="380">
        <v>1</v>
      </c>
      <c r="I453" s="388">
        <v>80000</v>
      </c>
      <c r="J453" s="380">
        <v>2</v>
      </c>
      <c r="K453" s="389">
        <f t="shared" si="20"/>
        <v>40000</v>
      </c>
      <c r="L453" s="505">
        <v>46023</v>
      </c>
      <c r="M453" s="508">
        <v>46387</v>
      </c>
      <c r="N453" s="363" t="s">
        <v>520</v>
      </c>
      <c r="O453" s="380"/>
      <c r="P453" s="380"/>
      <c r="Q453" s="381" t="s">
        <v>607</v>
      </c>
      <c r="R453" s="363"/>
      <c r="S453" s="363" t="s">
        <v>608</v>
      </c>
      <c r="T453" s="363"/>
      <c r="U453" s="363"/>
      <c r="V453" s="363"/>
      <c r="W453" s="363"/>
      <c r="X453" s="363"/>
      <c r="Y453" s="363"/>
      <c r="Z453" s="363"/>
      <c r="AA453" s="363"/>
      <c r="AB453" s="363"/>
      <c r="AC453" s="363" t="s">
        <v>478</v>
      </c>
      <c r="AD453" s="380" t="s">
        <v>63</v>
      </c>
      <c r="AE453" s="380">
        <v>3</v>
      </c>
      <c r="AF453" s="363" t="s">
        <v>1319</v>
      </c>
    </row>
    <row r="454" spans="2:32" ht="15" hidden="1" customHeight="1" x14ac:dyDescent="0.3">
      <c r="B454" s="380" t="s">
        <v>2</v>
      </c>
      <c r="C454" s="409" t="s">
        <v>598</v>
      </c>
      <c r="D454" s="423" t="s">
        <v>388</v>
      </c>
      <c r="E454" s="419">
        <v>3800068822</v>
      </c>
      <c r="F454" s="488">
        <v>46069</v>
      </c>
      <c r="G454" s="380" t="s">
        <v>55</v>
      </c>
      <c r="H454" s="380">
        <v>2</v>
      </c>
      <c r="I454" s="388">
        <v>116000</v>
      </c>
      <c r="J454" s="380">
        <v>2</v>
      </c>
      <c r="K454" s="389">
        <f t="shared" si="20"/>
        <v>58000</v>
      </c>
      <c r="L454" s="505">
        <v>46082</v>
      </c>
      <c r="M454" s="505">
        <v>46446</v>
      </c>
      <c r="N454" s="363" t="s">
        <v>520</v>
      </c>
      <c r="O454" s="380"/>
      <c r="P454" s="380"/>
      <c r="Q454" s="363" t="s">
        <v>1235</v>
      </c>
      <c r="R454" s="363"/>
      <c r="S454" s="363" t="s">
        <v>1534</v>
      </c>
      <c r="T454" s="363"/>
      <c r="U454" s="363"/>
      <c r="V454" s="363"/>
      <c r="W454" s="363"/>
      <c r="X454" s="363"/>
      <c r="Y454" s="363"/>
      <c r="Z454" s="363"/>
      <c r="AA454" s="363"/>
      <c r="AB454" s="363"/>
      <c r="AC454" s="363" t="s">
        <v>478</v>
      </c>
      <c r="AD454" s="380" t="s">
        <v>63</v>
      </c>
      <c r="AE454" s="380">
        <v>2</v>
      </c>
      <c r="AF454" s="363" t="s">
        <v>799</v>
      </c>
    </row>
    <row r="455" spans="2:32" ht="15" hidden="1" customHeight="1" x14ac:dyDescent="0.3">
      <c r="B455" s="380" t="s">
        <v>2</v>
      </c>
      <c r="C455" s="482" t="s">
        <v>1591</v>
      </c>
      <c r="D455" s="483" t="s">
        <v>1592</v>
      </c>
      <c r="E455" s="468">
        <v>4601527055</v>
      </c>
      <c r="F455" s="488">
        <v>46073</v>
      </c>
      <c r="G455" s="380" t="s">
        <v>55</v>
      </c>
      <c r="H455" s="380">
        <v>1</v>
      </c>
      <c r="I455" s="388">
        <v>75000</v>
      </c>
      <c r="J455" s="380">
        <v>3</v>
      </c>
      <c r="K455" s="389">
        <f t="shared" si="20"/>
        <v>25000</v>
      </c>
      <c r="L455" s="504">
        <v>46073</v>
      </c>
      <c r="M455" s="504">
        <v>46437</v>
      </c>
      <c r="N455" s="363" t="s">
        <v>520</v>
      </c>
      <c r="O455" s="380"/>
      <c r="P455" s="380"/>
      <c r="Q455" s="390" t="s">
        <v>1333</v>
      </c>
      <c r="R455" s="363" t="s">
        <v>1869</v>
      </c>
      <c r="S455" s="363" t="s">
        <v>1334</v>
      </c>
      <c r="T455" s="363"/>
      <c r="U455" s="363" t="s">
        <v>1593</v>
      </c>
      <c r="V455" s="363"/>
      <c r="W455" s="363"/>
      <c r="X455" s="363"/>
      <c r="Y455" s="363"/>
      <c r="Z455" s="363"/>
      <c r="AA455" s="363"/>
      <c r="AB455" s="363"/>
      <c r="AC455" s="363" t="s">
        <v>478</v>
      </c>
      <c r="AD455" s="380" t="s">
        <v>63</v>
      </c>
      <c r="AE455" s="380">
        <v>3</v>
      </c>
      <c r="AF455" s="363"/>
    </row>
    <row r="456" spans="2:32" ht="15" hidden="1" customHeight="1" x14ac:dyDescent="0.3">
      <c r="B456" s="380" t="s">
        <v>2</v>
      </c>
      <c r="C456" s="478" t="s">
        <v>1328</v>
      </c>
      <c r="D456" s="480" t="s">
        <v>841</v>
      </c>
      <c r="E456" s="481">
        <v>470079278</v>
      </c>
      <c r="F456" s="496">
        <v>46055</v>
      </c>
      <c r="G456" s="380" t="s">
        <v>55</v>
      </c>
      <c r="H456" s="380">
        <v>10</v>
      </c>
      <c r="I456" s="388">
        <v>633600</v>
      </c>
      <c r="J456" s="380">
        <v>1</v>
      </c>
      <c r="K456" s="389">
        <f t="shared" si="20"/>
        <v>633600</v>
      </c>
      <c r="L456" s="381">
        <v>46023</v>
      </c>
      <c r="M456" s="381">
        <v>46387</v>
      </c>
      <c r="N456" s="363" t="s">
        <v>520</v>
      </c>
      <c r="O456" s="380"/>
      <c r="P456" s="380"/>
      <c r="Q456" s="363" t="s">
        <v>1594</v>
      </c>
      <c r="R456" s="363"/>
      <c r="S456" s="363"/>
      <c r="T456" s="363"/>
      <c r="U456" s="363"/>
      <c r="V456" s="363"/>
      <c r="W456" s="363"/>
      <c r="X456" s="363"/>
      <c r="Y456" s="363"/>
      <c r="Z456" s="363"/>
      <c r="AA456" s="363"/>
      <c r="AB456" s="363"/>
      <c r="AC456" s="363" t="s">
        <v>485</v>
      </c>
      <c r="AD456" s="380" t="s">
        <v>63</v>
      </c>
      <c r="AE456" s="380">
        <v>2</v>
      </c>
      <c r="AF456" s="363" t="s">
        <v>1488</v>
      </c>
    </row>
    <row r="457" spans="2:32" ht="15" hidden="1" customHeight="1" x14ac:dyDescent="0.3">
      <c r="B457" s="380" t="s">
        <v>2</v>
      </c>
      <c r="C457" s="482" t="s">
        <v>1595</v>
      </c>
      <c r="D457" s="483" t="s">
        <v>818</v>
      </c>
      <c r="E457" s="468" t="s">
        <v>1596</v>
      </c>
      <c r="F457" s="488">
        <v>46056</v>
      </c>
      <c r="G457" s="380" t="s">
        <v>55</v>
      </c>
      <c r="H457" s="380">
        <v>9</v>
      </c>
      <c r="I457" s="388">
        <v>949104</v>
      </c>
      <c r="J457" s="380">
        <v>3</v>
      </c>
      <c r="K457" s="389">
        <f t="shared" si="20"/>
        <v>316368</v>
      </c>
      <c r="L457" s="504">
        <v>46082</v>
      </c>
      <c r="M457" s="504">
        <v>46446</v>
      </c>
      <c r="N457" s="363" t="s">
        <v>520</v>
      </c>
      <c r="O457" s="380"/>
      <c r="P457" s="380"/>
      <c r="Q457" s="390" t="s">
        <v>194</v>
      </c>
      <c r="R457" s="363" t="s">
        <v>1736</v>
      </c>
      <c r="S457" s="363" t="s">
        <v>1344</v>
      </c>
      <c r="T457" s="363"/>
      <c r="U457" s="363" t="s">
        <v>1597</v>
      </c>
      <c r="V457" s="363"/>
      <c r="W457" s="363"/>
      <c r="X457" s="363"/>
      <c r="Y457" s="363"/>
      <c r="Z457" s="363"/>
      <c r="AA457" s="363"/>
      <c r="AB457" s="363"/>
      <c r="AC457" s="363" t="s">
        <v>281</v>
      </c>
      <c r="AD457" s="380" t="s">
        <v>97</v>
      </c>
      <c r="AE457" s="380">
        <v>3</v>
      </c>
      <c r="AF457" s="363" t="s">
        <v>1345</v>
      </c>
    </row>
    <row r="458" spans="2:32" ht="15" hidden="1" customHeight="1" x14ac:dyDescent="0.3">
      <c r="B458" s="380" t="s">
        <v>2</v>
      </c>
      <c r="C458" s="482" t="s">
        <v>1595</v>
      </c>
      <c r="D458" s="483" t="s">
        <v>818</v>
      </c>
      <c r="E458" s="468" t="s">
        <v>1596</v>
      </c>
      <c r="F458" s="488">
        <v>46056</v>
      </c>
      <c r="G458" s="380" t="s">
        <v>55</v>
      </c>
      <c r="H458" s="380"/>
      <c r="I458" s="388">
        <v>949104</v>
      </c>
      <c r="J458" s="380">
        <v>3</v>
      </c>
      <c r="K458" s="389">
        <f t="shared" si="20"/>
        <v>316368</v>
      </c>
      <c r="L458" s="507">
        <v>46447</v>
      </c>
      <c r="M458" s="507">
        <v>46812</v>
      </c>
      <c r="N458" s="363" t="s">
        <v>520</v>
      </c>
      <c r="O458" s="380"/>
      <c r="P458" s="380"/>
      <c r="Q458" s="363" t="s">
        <v>1598</v>
      </c>
      <c r="R458" s="363"/>
      <c r="S458" s="363" t="s">
        <v>1599</v>
      </c>
      <c r="T458" s="363"/>
      <c r="U458" s="363" t="s">
        <v>1600</v>
      </c>
      <c r="V458" s="363"/>
      <c r="W458" s="363"/>
      <c r="X458" s="363"/>
      <c r="Y458" s="363"/>
      <c r="Z458" s="363"/>
      <c r="AA458" s="363"/>
      <c r="AB458" s="363"/>
      <c r="AC458" s="363" t="s">
        <v>281</v>
      </c>
      <c r="AD458" s="380" t="s">
        <v>97</v>
      </c>
      <c r="AE458" s="380">
        <v>3</v>
      </c>
      <c r="AF458" s="363" t="s">
        <v>1345</v>
      </c>
    </row>
    <row r="459" spans="2:32" ht="15" hidden="1" customHeight="1" x14ac:dyDescent="0.3">
      <c r="B459" s="380" t="s">
        <v>2</v>
      </c>
      <c r="C459" s="409" t="s">
        <v>889</v>
      </c>
      <c r="D459" s="489" t="s">
        <v>890</v>
      </c>
      <c r="E459" s="419">
        <v>4500037089</v>
      </c>
      <c r="F459" s="488">
        <v>46077</v>
      </c>
      <c r="G459" s="380" t="s">
        <v>55</v>
      </c>
      <c r="H459" s="380">
        <v>2</v>
      </c>
      <c r="I459" s="388">
        <v>217800</v>
      </c>
      <c r="J459" s="380">
        <v>2</v>
      </c>
      <c r="K459" s="389">
        <f t="shared" si="20"/>
        <v>108900</v>
      </c>
      <c r="L459" s="505">
        <v>46054</v>
      </c>
      <c r="M459" s="508">
        <v>46418</v>
      </c>
      <c r="N459" s="363" t="s">
        <v>520</v>
      </c>
      <c r="O459" s="380"/>
      <c r="P459" s="380"/>
      <c r="Q459" s="390" t="s">
        <v>426</v>
      </c>
      <c r="R459" s="363" t="s">
        <v>1338</v>
      </c>
      <c r="S459" s="363" t="s">
        <v>427</v>
      </c>
      <c r="T459" s="363"/>
      <c r="U459" s="363"/>
      <c r="V459" s="363"/>
      <c r="W459" s="363"/>
      <c r="X459" s="363"/>
      <c r="Y459" s="363"/>
      <c r="Z459" s="363"/>
      <c r="AA459" s="363"/>
      <c r="AB459" s="363"/>
      <c r="AC459" s="363" t="s">
        <v>1535</v>
      </c>
      <c r="AD459" s="380" t="s">
        <v>97</v>
      </c>
      <c r="AE459" s="380">
        <v>2</v>
      </c>
      <c r="AF459" s="363" t="s">
        <v>799</v>
      </c>
    </row>
    <row r="460" spans="2:32" ht="15" hidden="1" customHeight="1" x14ac:dyDescent="0.3">
      <c r="B460" s="380" t="s">
        <v>3</v>
      </c>
      <c r="C460" s="409" t="s">
        <v>739</v>
      </c>
      <c r="D460" s="489" t="s">
        <v>1601</v>
      </c>
      <c r="E460" s="509">
        <v>3400016097</v>
      </c>
      <c r="F460" s="488">
        <v>46070</v>
      </c>
      <c r="G460" s="380" t="s">
        <v>55</v>
      </c>
      <c r="H460" s="380">
        <v>10</v>
      </c>
      <c r="I460" s="388">
        <v>700448</v>
      </c>
      <c r="J460" s="380">
        <v>4</v>
      </c>
      <c r="K460" s="389">
        <f t="shared" si="20"/>
        <v>175112</v>
      </c>
      <c r="L460" s="505">
        <v>46054</v>
      </c>
      <c r="M460" s="505">
        <v>46418</v>
      </c>
      <c r="N460" s="363" t="s">
        <v>520</v>
      </c>
      <c r="O460" s="380"/>
      <c r="P460" s="380"/>
      <c r="Q460" s="390" t="s">
        <v>442</v>
      </c>
      <c r="R460" s="363" t="s">
        <v>1602</v>
      </c>
      <c r="S460" s="363" t="s">
        <v>444</v>
      </c>
      <c r="T460" s="363"/>
      <c r="U460" s="363" t="s">
        <v>445</v>
      </c>
      <c r="V460" s="363"/>
      <c r="W460" s="363" t="s">
        <v>456</v>
      </c>
      <c r="X460" s="363"/>
      <c r="Y460" s="363"/>
      <c r="Z460" s="363"/>
      <c r="AA460" s="363"/>
      <c r="AB460" s="363"/>
      <c r="AC460" s="363" t="s">
        <v>96</v>
      </c>
      <c r="AD460" s="380" t="s">
        <v>97</v>
      </c>
      <c r="AE460" s="380" t="s">
        <v>494</v>
      </c>
      <c r="AF460" s="363" t="s">
        <v>835</v>
      </c>
    </row>
    <row r="461" spans="2:32" ht="15" hidden="1" customHeight="1" x14ac:dyDescent="0.3">
      <c r="B461" s="380" t="s">
        <v>3</v>
      </c>
      <c r="C461" s="482" t="s">
        <v>1603</v>
      </c>
      <c r="D461" s="483" t="s">
        <v>590</v>
      </c>
      <c r="E461" s="468">
        <v>2500000150</v>
      </c>
      <c r="F461" s="488">
        <v>46077</v>
      </c>
      <c r="G461" s="380" t="s">
        <v>55</v>
      </c>
      <c r="H461" s="380">
        <v>1</v>
      </c>
      <c r="I461" s="388">
        <v>137749.98000000001</v>
      </c>
      <c r="J461" s="380">
        <v>3</v>
      </c>
      <c r="K461" s="389">
        <f t="shared" si="20"/>
        <v>45916.66</v>
      </c>
      <c r="L461" s="504">
        <v>46082</v>
      </c>
      <c r="M461" s="504">
        <v>46446</v>
      </c>
      <c r="N461" s="363" t="s">
        <v>520</v>
      </c>
      <c r="O461" s="380"/>
      <c r="P461" s="380"/>
      <c r="Q461" s="390" t="s">
        <v>194</v>
      </c>
      <c r="R461" s="363" t="s">
        <v>1737</v>
      </c>
      <c r="S461" s="363" t="s">
        <v>496</v>
      </c>
      <c r="T461" s="363"/>
      <c r="U461" s="363" t="s">
        <v>1597</v>
      </c>
      <c r="V461" s="363"/>
      <c r="W461" s="363"/>
      <c r="X461" s="363"/>
      <c r="Y461" s="363"/>
      <c r="Z461" s="363"/>
      <c r="AA461" s="363"/>
      <c r="AB461" s="363"/>
      <c r="AC461" s="363" t="s">
        <v>551</v>
      </c>
      <c r="AD461" s="380" t="s">
        <v>207</v>
      </c>
      <c r="AE461" s="380">
        <v>3</v>
      </c>
      <c r="AF461" s="363" t="s">
        <v>667</v>
      </c>
    </row>
    <row r="462" spans="2:32" ht="15" hidden="1" customHeight="1" x14ac:dyDescent="0.3">
      <c r="B462" s="380" t="s">
        <v>3</v>
      </c>
      <c r="C462" s="409" t="s">
        <v>1326</v>
      </c>
      <c r="D462" s="434" t="s">
        <v>151</v>
      </c>
      <c r="E462" s="380">
        <v>929036351</v>
      </c>
      <c r="F462" s="488">
        <v>46078</v>
      </c>
      <c r="G462" s="380" t="s">
        <v>55</v>
      </c>
      <c r="H462" s="380">
        <v>1</v>
      </c>
      <c r="I462" s="388">
        <v>96000</v>
      </c>
      <c r="J462" s="380">
        <v>3</v>
      </c>
      <c r="K462" s="389">
        <f t="shared" si="20"/>
        <v>32000</v>
      </c>
      <c r="L462" s="505">
        <v>46023</v>
      </c>
      <c r="M462" s="505">
        <v>46387</v>
      </c>
      <c r="N462" s="363" t="s">
        <v>520</v>
      </c>
      <c r="O462" s="380"/>
      <c r="P462" s="380"/>
      <c r="Q462" s="390" t="s">
        <v>1559</v>
      </c>
      <c r="R462" s="363" t="s">
        <v>1718</v>
      </c>
      <c r="S462" s="363" t="s">
        <v>348</v>
      </c>
      <c r="T462" s="363"/>
      <c r="U462" s="363" t="s">
        <v>349</v>
      </c>
      <c r="V462" s="363"/>
      <c r="W462" s="363"/>
      <c r="X462" s="363"/>
      <c r="Y462" s="363"/>
      <c r="Z462" s="363"/>
      <c r="AA462" s="363"/>
      <c r="AB462" s="363"/>
      <c r="AC462" s="363" t="s">
        <v>507</v>
      </c>
      <c r="AD462" s="380" t="s">
        <v>63</v>
      </c>
      <c r="AE462" s="380">
        <v>3</v>
      </c>
      <c r="AF462" s="363" t="s">
        <v>1604</v>
      </c>
    </row>
    <row r="463" spans="2:32" ht="15" hidden="1" customHeight="1" x14ac:dyDescent="0.3">
      <c r="B463" s="380" t="s">
        <v>3</v>
      </c>
      <c r="C463" s="412" t="s">
        <v>614</v>
      </c>
      <c r="D463" s="510" t="s">
        <v>447</v>
      </c>
      <c r="E463" s="511" t="s">
        <v>1605</v>
      </c>
      <c r="F463" s="496">
        <v>46064</v>
      </c>
      <c r="G463" s="380" t="s">
        <v>55</v>
      </c>
      <c r="H463" s="380">
        <v>3</v>
      </c>
      <c r="I463" s="388">
        <v>229320</v>
      </c>
      <c r="J463" s="380">
        <v>3</v>
      </c>
      <c r="K463" s="389">
        <f t="shared" si="20"/>
        <v>76440</v>
      </c>
      <c r="L463" s="505">
        <v>46023</v>
      </c>
      <c r="M463" s="505">
        <v>46387</v>
      </c>
      <c r="N463" s="363" t="s">
        <v>520</v>
      </c>
      <c r="O463" s="363"/>
      <c r="P463" s="363"/>
      <c r="Q463" s="390" t="s">
        <v>1559</v>
      </c>
      <c r="R463" s="363" t="s">
        <v>149</v>
      </c>
      <c r="S463" s="363" t="s">
        <v>348</v>
      </c>
      <c r="T463" s="363"/>
      <c r="U463" s="363" t="s">
        <v>349</v>
      </c>
      <c r="V463" s="363"/>
      <c r="W463" s="363"/>
      <c r="X463" s="363"/>
      <c r="Y463" s="363"/>
      <c r="Z463" s="363"/>
      <c r="AA463" s="363"/>
      <c r="AB463" s="363"/>
      <c r="AC463" s="363" t="s">
        <v>281</v>
      </c>
      <c r="AD463" s="380" t="s">
        <v>97</v>
      </c>
      <c r="AE463" s="380">
        <v>3</v>
      </c>
      <c r="AF463" s="363" t="s">
        <v>1606</v>
      </c>
    </row>
    <row r="464" spans="2:32" ht="15" hidden="1" customHeight="1" x14ac:dyDescent="0.3">
      <c r="B464" s="380" t="s">
        <v>3</v>
      </c>
      <c r="C464" s="482" t="s">
        <v>1607</v>
      </c>
      <c r="D464" s="483" t="s">
        <v>1608</v>
      </c>
      <c r="E464" s="468">
        <v>4500042093</v>
      </c>
      <c r="F464" s="488">
        <v>46065</v>
      </c>
      <c r="G464" s="380" t="s">
        <v>55</v>
      </c>
      <c r="H464" s="380">
        <v>2</v>
      </c>
      <c r="I464" s="388">
        <v>160000</v>
      </c>
      <c r="J464" s="380">
        <v>4</v>
      </c>
      <c r="K464" s="389">
        <f t="shared" si="20"/>
        <v>40000</v>
      </c>
      <c r="L464" s="505">
        <v>46023</v>
      </c>
      <c r="M464" s="505">
        <v>46387</v>
      </c>
      <c r="N464" s="363" t="s">
        <v>520</v>
      </c>
      <c r="O464" s="380"/>
      <c r="P464" s="380"/>
      <c r="Q464" s="390" t="s">
        <v>396</v>
      </c>
      <c r="R464" s="363" t="s">
        <v>466</v>
      </c>
      <c r="S464" s="363" t="s">
        <v>397</v>
      </c>
      <c r="T464" s="363"/>
      <c r="U464" s="363" t="s">
        <v>496</v>
      </c>
      <c r="V464" s="363"/>
      <c r="W464" s="363" t="s">
        <v>497</v>
      </c>
      <c r="X464" s="363"/>
      <c r="Y464" s="363"/>
      <c r="Z464" s="363"/>
      <c r="AA464" s="363"/>
      <c r="AB464" s="363"/>
      <c r="AC464" s="363" t="s">
        <v>619</v>
      </c>
      <c r="AD464" s="380" t="s">
        <v>63</v>
      </c>
      <c r="AE464" s="380">
        <v>4</v>
      </c>
      <c r="AF464" s="363" t="s">
        <v>667</v>
      </c>
    </row>
    <row r="465" spans="2:32" ht="15" hidden="1" customHeight="1" x14ac:dyDescent="0.3">
      <c r="B465" s="380" t="s">
        <v>3</v>
      </c>
      <c r="C465" s="482" t="s">
        <v>1607</v>
      </c>
      <c r="D465" s="483" t="s">
        <v>1608</v>
      </c>
      <c r="E465" s="468">
        <v>4500042093</v>
      </c>
      <c r="F465" s="488">
        <v>46065</v>
      </c>
      <c r="G465" s="380" t="s">
        <v>55</v>
      </c>
      <c r="H465" s="380"/>
      <c r="I465" s="388">
        <v>160000</v>
      </c>
      <c r="J465" s="380">
        <v>4</v>
      </c>
      <c r="K465" s="389">
        <f t="shared" si="20"/>
        <v>40000</v>
      </c>
      <c r="L465" s="507">
        <v>46388</v>
      </c>
      <c r="M465" s="507">
        <v>46752</v>
      </c>
      <c r="N465" s="363" t="s">
        <v>520</v>
      </c>
      <c r="O465" s="380"/>
      <c r="P465" s="380"/>
      <c r="Q465" s="363" t="s">
        <v>498</v>
      </c>
      <c r="R465" s="363"/>
      <c r="S465" s="363" t="s">
        <v>499</v>
      </c>
      <c r="T465" s="363"/>
      <c r="U465" s="363" t="s">
        <v>500</v>
      </c>
      <c r="V465" s="363"/>
      <c r="W465" s="363" t="s">
        <v>501</v>
      </c>
      <c r="X465" s="363"/>
      <c r="Y465" s="363"/>
      <c r="Z465" s="363"/>
      <c r="AA465" s="363"/>
      <c r="AB465" s="363"/>
      <c r="AC465" s="363" t="s">
        <v>619</v>
      </c>
      <c r="AD465" s="380" t="s">
        <v>63</v>
      </c>
      <c r="AE465" s="380">
        <v>4</v>
      </c>
      <c r="AF465" s="363" t="s">
        <v>667</v>
      </c>
    </row>
    <row r="466" spans="2:32" ht="15" hidden="1" customHeight="1" x14ac:dyDescent="0.3">
      <c r="B466" s="380" t="s">
        <v>3</v>
      </c>
      <c r="C466" s="482" t="s">
        <v>1607</v>
      </c>
      <c r="D466" s="483" t="s">
        <v>1608</v>
      </c>
      <c r="E466" s="468">
        <v>4500042093</v>
      </c>
      <c r="F466" s="488">
        <v>46065</v>
      </c>
      <c r="G466" s="380" t="s">
        <v>55</v>
      </c>
      <c r="H466" s="380"/>
      <c r="I466" s="388">
        <v>160000</v>
      </c>
      <c r="J466" s="380">
        <v>4</v>
      </c>
      <c r="K466" s="389">
        <f t="shared" si="20"/>
        <v>40000</v>
      </c>
      <c r="L466" s="507">
        <v>46753</v>
      </c>
      <c r="M466" s="507">
        <v>47118</v>
      </c>
      <c r="N466" s="363" t="s">
        <v>520</v>
      </c>
      <c r="O466" s="380"/>
      <c r="P466" s="380"/>
      <c r="Q466" s="363" t="s">
        <v>674</v>
      </c>
      <c r="R466" s="363"/>
      <c r="S466" s="363" t="s">
        <v>1279</v>
      </c>
      <c r="T466" s="363"/>
      <c r="U466" s="363" t="s">
        <v>1280</v>
      </c>
      <c r="V466" s="363"/>
      <c r="W466" s="363" t="s">
        <v>1398</v>
      </c>
      <c r="X466" s="363"/>
      <c r="Y466" s="363"/>
      <c r="Z466" s="363"/>
      <c r="AA466" s="363"/>
      <c r="AB466" s="363"/>
      <c r="AC466" s="363" t="s">
        <v>619</v>
      </c>
      <c r="AD466" s="380" t="s">
        <v>63</v>
      </c>
      <c r="AE466" s="380">
        <v>4</v>
      </c>
      <c r="AF466" s="363" t="s">
        <v>667</v>
      </c>
    </row>
    <row r="467" spans="2:32" ht="15" hidden="1" customHeight="1" x14ac:dyDescent="0.3">
      <c r="B467" s="380" t="s">
        <v>3</v>
      </c>
      <c r="C467" s="409" t="s">
        <v>1609</v>
      </c>
      <c r="D467" s="423" t="s">
        <v>1610</v>
      </c>
      <c r="E467" s="408" t="s">
        <v>1611</v>
      </c>
      <c r="F467" s="488">
        <v>46091</v>
      </c>
      <c r="G467" s="380" t="s">
        <v>55</v>
      </c>
      <c r="H467" s="380">
        <v>1</v>
      </c>
      <c r="I467" s="388">
        <v>135000</v>
      </c>
      <c r="J467" s="380">
        <v>3</v>
      </c>
      <c r="K467" s="389">
        <f t="shared" si="20"/>
        <v>45000</v>
      </c>
      <c r="L467" s="505">
        <v>46091</v>
      </c>
      <c r="M467" s="505">
        <v>46455</v>
      </c>
      <c r="N467" s="363" t="s">
        <v>520</v>
      </c>
      <c r="O467" s="380"/>
      <c r="P467" s="380"/>
      <c r="Q467" s="390" t="s">
        <v>1092</v>
      </c>
      <c r="R467" s="363" t="s">
        <v>1338</v>
      </c>
      <c r="S467" s="363" t="s">
        <v>1612</v>
      </c>
      <c r="T467" s="363"/>
      <c r="U467" s="363" t="s">
        <v>1613</v>
      </c>
      <c r="V467" s="363"/>
      <c r="W467" s="363"/>
      <c r="X467" s="363"/>
      <c r="Y467" s="363"/>
      <c r="Z467" s="363"/>
      <c r="AA467" s="363"/>
      <c r="AB467" s="363"/>
      <c r="AC467" s="363" t="s">
        <v>551</v>
      </c>
      <c r="AD467" s="380" t="s">
        <v>207</v>
      </c>
      <c r="AE467" s="380">
        <v>3</v>
      </c>
      <c r="AF467" s="363" t="s">
        <v>799</v>
      </c>
    </row>
    <row r="468" spans="2:32" ht="15" hidden="1" customHeight="1" x14ac:dyDescent="0.3">
      <c r="B468" s="380" t="s">
        <v>3</v>
      </c>
      <c r="C468" s="552" t="s">
        <v>975</v>
      </c>
      <c r="D468" s="445" t="s">
        <v>1136</v>
      </c>
      <c r="E468" s="509">
        <v>6100013456</v>
      </c>
      <c r="F468" s="488">
        <v>46069</v>
      </c>
      <c r="G468" s="380" t="s">
        <v>55</v>
      </c>
      <c r="H468" s="380">
        <v>7</v>
      </c>
      <c r="I468" s="388">
        <v>784000</v>
      </c>
      <c r="J468" s="380">
        <v>3</v>
      </c>
      <c r="K468" s="389">
        <f>I468/2</f>
        <v>392000</v>
      </c>
      <c r="L468" s="512">
        <v>46082</v>
      </c>
      <c r="M468" s="512">
        <v>46446</v>
      </c>
      <c r="N468" s="363" t="s">
        <v>520</v>
      </c>
      <c r="O468" s="380"/>
      <c r="P468" s="380"/>
      <c r="Q468" s="390" t="s">
        <v>194</v>
      </c>
      <c r="R468" s="363" t="s">
        <v>1614</v>
      </c>
      <c r="S468" s="363" t="s">
        <v>1344</v>
      </c>
      <c r="T468" s="363" t="s">
        <v>1615</v>
      </c>
      <c r="U468" s="363" t="s">
        <v>1597</v>
      </c>
      <c r="V468" s="363"/>
      <c r="W468" s="363"/>
      <c r="X468" s="363"/>
      <c r="Y468" s="363"/>
      <c r="Z468" s="363"/>
      <c r="AA468" s="363"/>
      <c r="AB468" s="363"/>
      <c r="AC468" s="363" t="s">
        <v>551</v>
      </c>
      <c r="AD468" s="380" t="s">
        <v>207</v>
      </c>
      <c r="AE468" s="380">
        <v>3</v>
      </c>
      <c r="AF468" s="538" t="s">
        <v>1616</v>
      </c>
    </row>
    <row r="469" spans="2:32" ht="15" hidden="1" customHeight="1" x14ac:dyDescent="0.3">
      <c r="B469" s="380" t="s">
        <v>3</v>
      </c>
      <c r="C469" s="409" t="s">
        <v>1617</v>
      </c>
      <c r="D469" s="434" t="s">
        <v>1391</v>
      </c>
      <c r="E469" s="380" t="s">
        <v>1618</v>
      </c>
      <c r="F469" s="488">
        <v>46088</v>
      </c>
      <c r="G469" s="380" t="s">
        <v>55</v>
      </c>
      <c r="H469" s="380">
        <v>1</v>
      </c>
      <c r="I469" s="388">
        <v>86000</v>
      </c>
      <c r="J469" s="380">
        <v>2</v>
      </c>
      <c r="K469" s="389">
        <f t="shared" ref="K469:K499" si="21">I469/J469</f>
        <v>43000</v>
      </c>
      <c r="L469" s="505">
        <v>46082</v>
      </c>
      <c r="M469" s="505">
        <v>46446</v>
      </c>
      <c r="N469" s="363" t="s">
        <v>520</v>
      </c>
      <c r="O469" s="380"/>
      <c r="P469" s="380"/>
      <c r="Q469" s="363" t="s">
        <v>1235</v>
      </c>
      <c r="R469" s="363"/>
      <c r="S469" s="363" t="s">
        <v>1534</v>
      </c>
      <c r="T469" s="363"/>
      <c r="U469" s="363"/>
      <c r="V469" s="363"/>
      <c r="W469" s="363"/>
      <c r="X469" s="363"/>
      <c r="Y469" s="363"/>
      <c r="Z469" s="363"/>
      <c r="AA469" s="363"/>
      <c r="AB469" s="363"/>
      <c r="AC469" s="363" t="s">
        <v>485</v>
      </c>
      <c r="AD469" s="380" t="s">
        <v>1619</v>
      </c>
      <c r="AE469" s="380">
        <v>2</v>
      </c>
      <c r="AF469" s="363" t="s">
        <v>1620</v>
      </c>
    </row>
    <row r="470" spans="2:32" ht="15" hidden="1" customHeight="1" x14ac:dyDescent="0.3">
      <c r="B470" s="380" t="s">
        <v>3</v>
      </c>
      <c r="C470" s="482" t="s">
        <v>1385</v>
      </c>
      <c r="D470" s="483" t="s">
        <v>151</v>
      </c>
      <c r="E470" s="468">
        <v>4500090498</v>
      </c>
      <c r="F470" s="488">
        <v>46063</v>
      </c>
      <c r="G470" s="380" t="s">
        <v>55</v>
      </c>
      <c r="H470" s="380">
        <v>1</v>
      </c>
      <c r="I470" s="388">
        <v>90000</v>
      </c>
      <c r="J470" s="380">
        <v>1</v>
      </c>
      <c r="K470" s="389">
        <f t="shared" si="21"/>
        <v>90000</v>
      </c>
      <c r="L470" s="504">
        <v>46023</v>
      </c>
      <c r="M470" s="504">
        <v>46387</v>
      </c>
      <c r="N470" s="363" t="s">
        <v>520</v>
      </c>
      <c r="O470" s="380"/>
      <c r="P470" s="380"/>
      <c r="Q470" s="363" t="s">
        <v>1594</v>
      </c>
      <c r="R470" s="363"/>
      <c r="S470" s="363"/>
      <c r="T470" s="363"/>
      <c r="U470" s="363"/>
      <c r="V470" s="363"/>
      <c r="W470" s="363"/>
      <c r="X470" s="363"/>
      <c r="Y470" s="363"/>
      <c r="Z470" s="363"/>
      <c r="AA470" s="363"/>
      <c r="AB470" s="363"/>
      <c r="AC470" s="363" t="s">
        <v>478</v>
      </c>
      <c r="AD470" s="380" t="s">
        <v>63</v>
      </c>
      <c r="AE470" s="380">
        <v>1</v>
      </c>
      <c r="AF470" s="363" t="s">
        <v>667</v>
      </c>
    </row>
    <row r="471" spans="2:32" ht="15" hidden="1" customHeight="1" x14ac:dyDescent="0.3">
      <c r="B471" s="380" t="s">
        <v>3</v>
      </c>
      <c r="C471" s="363" t="s">
        <v>1621</v>
      </c>
      <c r="D471" s="418" t="s">
        <v>693</v>
      </c>
      <c r="E471" s="408">
        <v>6000085013</v>
      </c>
      <c r="F471" s="488">
        <v>46078</v>
      </c>
      <c r="G471" s="380" t="s">
        <v>55</v>
      </c>
      <c r="H471" s="380">
        <v>1</v>
      </c>
      <c r="I471" s="388">
        <v>136905</v>
      </c>
      <c r="J471" s="380">
        <v>3</v>
      </c>
      <c r="K471" s="389">
        <f t="shared" si="21"/>
        <v>45635</v>
      </c>
      <c r="L471" s="505">
        <v>46082</v>
      </c>
      <c r="M471" s="505">
        <v>46446</v>
      </c>
      <c r="N471" s="363" t="s">
        <v>520</v>
      </c>
      <c r="O471" s="380"/>
      <c r="P471" s="380"/>
      <c r="Q471" s="390" t="s">
        <v>194</v>
      </c>
      <c r="R471" s="363" t="s">
        <v>331</v>
      </c>
      <c r="S471" s="363" t="s">
        <v>1344</v>
      </c>
      <c r="T471" s="363"/>
      <c r="U471" s="363" t="s">
        <v>1597</v>
      </c>
      <c r="V471" s="363"/>
      <c r="W471" s="363"/>
      <c r="X471" s="363"/>
      <c r="Y471" s="363"/>
      <c r="Z471" s="363"/>
      <c r="AA471" s="363"/>
      <c r="AB471" s="363"/>
      <c r="AC471" s="363" t="s">
        <v>128</v>
      </c>
      <c r="AD471" s="380" t="s">
        <v>129</v>
      </c>
      <c r="AE471" s="380">
        <v>2</v>
      </c>
      <c r="AF471" s="363" t="s">
        <v>667</v>
      </c>
    </row>
    <row r="472" spans="2:32" ht="15" hidden="1" customHeight="1" x14ac:dyDescent="0.3">
      <c r="B472" s="380" t="s">
        <v>3</v>
      </c>
      <c r="C472" s="363" t="s">
        <v>1621</v>
      </c>
      <c r="D472" s="418" t="s">
        <v>693</v>
      </c>
      <c r="E472" s="408">
        <v>6000085013</v>
      </c>
      <c r="F472" s="488">
        <v>46078</v>
      </c>
      <c r="G472" s="380" t="s">
        <v>55</v>
      </c>
      <c r="H472" s="380"/>
      <c r="I472" s="388">
        <v>136905</v>
      </c>
      <c r="J472" s="380">
        <v>3</v>
      </c>
      <c r="K472" s="389">
        <f t="shared" si="21"/>
        <v>45635</v>
      </c>
      <c r="L472" s="507">
        <v>46447</v>
      </c>
      <c r="M472" s="507">
        <v>46812</v>
      </c>
      <c r="N472" s="363" t="s">
        <v>520</v>
      </c>
      <c r="O472" s="380"/>
      <c r="P472" s="380"/>
      <c r="Q472" s="363" t="s">
        <v>1598</v>
      </c>
      <c r="R472" s="363"/>
      <c r="S472" s="363" t="s">
        <v>1599</v>
      </c>
      <c r="T472" s="363"/>
      <c r="U472" s="363" t="s">
        <v>1600</v>
      </c>
      <c r="V472" s="363"/>
      <c r="W472" s="363"/>
      <c r="X472" s="363"/>
      <c r="Y472" s="363"/>
      <c r="Z472" s="363"/>
      <c r="AA472" s="363"/>
      <c r="AB472" s="363"/>
      <c r="AC472" s="363" t="s">
        <v>128</v>
      </c>
      <c r="AD472" s="380" t="s">
        <v>129</v>
      </c>
      <c r="AE472" s="380">
        <v>2</v>
      </c>
      <c r="AF472" s="363" t="s">
        <v>667</v>
      </c>
    </row>
    <row r="473" spans="2:32" ht="15" hidden="1" customHeight="1" x14ac:dyDescent="0.3">
      <c r="B473" s="380" t="s">
        <v>3</v>
      </c>
      <c r="C473" s="363" t="s">
        <v>1621</v>
      </c>
      <c r="D473" s="418" t="s">
        <v>693</v>
      </c>
      <c r="E473" s="408">
        <v>6000085013</v>
      </c>
      <c r="F473" s="488">
        <v>46078</v>
      </c>
      <c r="G473" s="380" t="s">
        <v>55</v>
      </c>
      <c r="H473" s="380"/>
      <c r="I473" s="388">
        <v>136905</v>
      </c>
      <c r="J473" s="380">
        <v>3</v>
      </c>
      <c r="K473" s="389">
        <f t="shared" si="21"/>
        <v>45635</v>
      </c>
      <c r="L473" s="507">
        <v>46813</v>
      </c>
      <c r="M473" s="507">
        <v>47177</v>
      </c>
      <c r="N473" s="363" t="s">
        <v>520</v>
      </c>
      <c r="O473" s="380"/>
      <c r="P473" s="380"/>
      <c r="Q473" s="363" t="s">
        <v>1622</v>
      </c>
      <c r="R473" s="363"/>
      <c r="S473" s="363" t="s">
        <v>1623</v>
      </c>
      <c r="T473" s="363"/>
      <c r="U473" s="363" t="s">
        <v>1624</v>
      </c>
      <c r="V473" s="363"/>
      <c r="W473" s="363"/>
      <c r="X473" s="363"/>
      <c r="Y473" s="363"/>
      <c r="Z473" s="363"/>
      <c r="AA473" s="363"/>
      <c r="AB473" s="363"/>
      <c r="AC473" s="363" t="s">
        <v>128</v>
      </c>
      <c r="AD473" s="380" t="s">
        <v>129</v>
      </c>
      <c r="AE473" s="380">
        <v>2</v>
      </c>
      <c r="AF473" s="363" t="s">
        <v>667</v>
      </c>
    </row>
    <row r="474" spans="2:32" ht="15" hidden="1" customHeight="1" x14ac:dyDescent="0.3">
      <c r="B474" s="380" t="s">
        <v>3</v>
      </c>
      <c r="C474" s="482" t="s">
        <v>1625</v>
      </c>
      <c r="D474" s="483" t="s">
        <v>176</v>
      </c>
      <c r="E474" s="468">
        <v>6100109555</v>
      </c>
      <c r="F474" s="488">
        <v>46050</v>
      </c>
      <c r="G474" s="380" t="s">
        <v>55</v>
      </c>
      <c r="H474" s="380">
        <v>6</v>
      </c>
      <c r="I474" s="388">
        <v>531066</v>
      </c>
      <c r="J474" s="380">
        <v>3</v>
      </c>
      <c r="K474" s="389">
        <f t="shared" si="21"/>
        <v>177022</v>
      </c>
      <c r="L474" s="504">
        <v>46023</v>
      </c>
      <c r="M474" s="504">
        <v>46387</v>
      </c>
      <c r="N474" s="363" t="s">
        <v>520</v>
      </c>
      <c r="O474" s="380"/>
      <c r="P474" s="380"/>
      <c r="Q474" s="390" t="s">
        <v>347</v>
      </c>
      <c r="R474" s="363" t="s">
        <v>980</v>
      </c>
      <c r="S474" s="390" t="s">
        <v>348</v>
      </c>
      <c r="T474" s="363" t="s">
        <v>1856</v>
      </c>
      <c r="U474" s="363" t="s">
        <v>349</v>
      </c>
      <c r="V474" s="363"/>
      <c r="W474" s="363"/>
      <c r="X474" s="363"/>
      <c r="Y474" s="363"/>
      <c r="Z474" s="363"/>
      <c r="AA474" s="363"/>
      <c r="AB474" s="363"/>
      <c r="AC474" s="363" t="s">
        <v>183</v>
      </c>
      <c r="AD474" s="380" t="s">
        <v>97</v>
      </c>
      <c r="AE474" s="380"/>
      <c r="AF474" s="363" t="s">
        <v>1626</v>
      </c>
    </row>
    <row r="475" spans="2:32" ht="15" hidden="1" customHeight="1" x14ac:dyDescent="0.3">
      <c r="B475" s="380" t="s">
        <v>3</v>
      </c>
      <c r="C475" s="409" t="s">
        <v>1627</v>
      </c>
      <c r="D475" s="423" t="s">
        <v>151</v>
      </c>
      <c r="E475" s="493">
        <v>8183147</v>
      </c>
      <c r="F475" s="488">
        <v>46058</v>
      </c>
      <c r="G475" s="380" t="s">
        <v>55</v>
      </c>
      <c r="H475" s="380">
        <v>3</v>
      </c>
      <c r="I475" s="388">
        <v>232500</v>
      </c>
      <c r="J475" s="380">
        <v>3</v>
      </c>
      <c r="K475" s="389">
        <f t="shared" si="21"/>
        <v>77500</v>
      </c>
      <c r="L475" s="505">
        <v>46023</v>
      </c>
      <c r="M475" s="505">
        <v>46387</v>
      </c>
      <c r="N475" s="363" t="s">
        <v>520</v>
      </c>
      <c r="O475" s="380"/>
      <c r="P475" s="380"/>
      <c r="Q475" s="390" t="s">
        <v>347</v>
      </c>
      <c r="R475" s="363" t="s">
        <v>1738</v>
      </c>
      <c r="S475" s="363" t="s">
        <v>348</v>
      </c>
      <c r="T475" s="363" t="s">
        <v>1628</v>
      </c>
      <c r="U475" s="363" t="s">
        <v>349</v>
      </c>
      <c r="V475" s="363" t="s">
        <v>1628</v>
      </c>
      <c r="W475" s="363"/>
      <c r="X475" s="363"/>
      <c r="Y475" s="363"/>
      <c r="Z475" s="363"/>
      <c r="AA475" s="363"/>
      <c r="AB475" s="363"/>
      <c r="AC475" s="363" t="s">
        <v>478</v>
      </c>
      <c r="AD475" s="380" t="s">
        <v>63</v>
      </c>
      <c r="AE475" s="380">
        <v>3</v>
      </c>
      <c r="AF475" s="363" t="s">
        <v>667</v>
      </c>
    </row>
    <row r="476" spans="2:32" ht="15" hidden="1" customHeight="1" x14ac:dyDescent="0.3">
      <c r="B476" s="380" t="s">
        <v>3</v>
      </c>
      <c r="C476" s="409" t="s">
        <v>1095</v>
      </c>
      <c r="D476" s="434" t="s">
        <v>1629</v>
      </c>
      <c r="E476" s="506">
        <v>9709673270</v>
      </c>
      <c r="F476" s="488">
        <v>46086</v>
      </c>
      <c r="G476" s="380" t="s">
        <v>55</v>
      </c>
      <c r="H476" s="380">
        <v>4</v>
      </c>
      <c r="I476" s="388">
        <v>320000</v>
      </c>
      <c r="J476" s="380">
        <v>4</v>
      </c>
      <c r="K476" s="389">
        <f t="shared" si="21"/>
        <v>80000</v>
      </c>
      <c r="L476" s="505">
        <v>46023</v>
      </c>
      <c r="M476" s="505">
        <v>46387</v>
      </c>
      <c r="N476" s="363" t="s">
        <v>520</v>
      </c>
      <c r="O476" s="380"/>
      <c r="P476" s="380"/>
      <c r="Q476" s="390" t="s">
        <v>396</v>
      </c>
      <c r="R476" s="363" t="s">
        <v>455</v>
      </c>
      <c r="S476" s="363" t="s">
        <v>397</v>
      </c>
      <c r="T476" s="363"/>
      <c r="U476" s="363" t="s">
        <v>496</v>
      </c>
      <c r="V476" s="363"/>
      <c r="W476" s="363" t="s">
        <v>497</v>
      </c>
      <c r="X476" s="363"/>
      <c r="Y476" s="363"/>
      <c r="Z476" s="363"/>
      <c r="AA476" s="363"/>
      <c r="AB476" s="363"/>
      <c r="AC476" s="363" t="s">
        <v>619</v>
      </c>
      <c r="AD476" s="380" t="s">
        <v>63</v>
      </c>
      <c r="AE476" s="380">
        <v>4</v>
      </c>
      <c r="AF476" s="363" t="s">
        <v>667</v>
      </c>
    </row>
    <row r="477" spans="2:32" ht="15" hidden="1" customHeight="1" x14ac:dyDescent="0.3">
      <c r="B477" s="380" t="s">
        <v>3</v>
      </c>
      <c r="C477" s="482" t="s">
        <v>1630</v>
      </c>
      <c r="D477" s="483" t="s">
        <v>1031</v>
      </c>
      <c r="E477" s="468">
        <v>4513903200</v>
      </c>
      <c r="F477" s="488">
        <v>46100</v>
      </c>
      <c r="G477" s="380" t="s">
        <v>55</v>
      </c>
      <c r="H477" s="380">
        <v>2</v>
      </c>
      <c r="I477" s="388">
        <v>100000</v>
      </c>
      <c r="J477" s="380">
        <v>3</v>
      </c>
      <c r="K477" s="389">
        <f t="shared" si="21"/>
        <v>33333.333333333336</v>
      </c>
      <c r="L477" s="505">
        <v>46023</v>
      </c>
      <c r="M477" s="505">
        <v>46387</v>
      </c>
      <c r="N477" s="363" t="s">
        <v>520</v>
      </c>
      <c r="O477" s="380"/>
      <c r="P477" s="380"/>
      <c r="Q477" s="390" t="s">
        <v>347</v>
      </c>
      <c r="R477" s="363" t="s">
        <v>1719</v>
      </c>
      <c r="S477" s="363" t="s">
        <v>348</v>
      </c>
      <c r="T477" s="363"/>
      <c r="U477" s="363" t="s">
        <v>349</v>
      </c>
      <c r="V477" s="363" t="s">
        <v>1739</v>
      </c>
      <c r="W477" s="363"/>
      <c r="X477" s="363"/>
      <c r="Y477" s="363"/>
      <c r="Z477" s="363"/>
      <c r="AA477" s="363"/>
      <c r="AB477" s="363"/>
      <c r="AC477" s="363" t="s">
        <v>478</v>
      </c>
      <c r="AD477" s="380" t="s">
        <v>63</v>
      </c>
      <c r="AE477" s="380">
        <v>5</v>
      </c>
      <c r="AF477" s="363" t="s">
        <v>667</v>
      </c>
    </row>
    <row r="478" spans="2:32" ht="15" hidden="1" customHeight="1" x14ac:dyDescent="0.3">
      <c r="B478" s="380" t="s">
        <v>3</v>
      </c>
      <c r="C478" s="482" t="s">
        <v>1631</v>
      </c>
      <c r="D478" s="483" t="s">
        <v>1031</v>
      </c>
      <c r="E478" s="468">
        <v>4513906043</v>
      </c>
      <c r="F478" s="488">
        <v>46101</v>
      </c>
      <c r="G478" s="380" t="s">
        <v>55</v>
      </c>
      <c r="H478" s="380">
        <v>2</v>
      </c>
      <c r="I478" s="388">
        <v>100000</v>
      </c>
      <c r="J478" s="380">
        <v>3</v>
      </c>
      <c r="K478" s="389">
        <f t="shared" si="21"/>
        <v>33333.333333333336</v>
      </c>
      <c r="L478" s="505">
        <v>46023</v>
      </c>
      <c r="M478" s="505">
        <v>46387</v>
      </c>
      <c r="N478" s="363" t="s">
        <v>520</v>
      </c>
      <c r="O478" s="380"/>
      <c r="P478" s="380"/>
      <c r="Q478" s="390" t="s">
        <v>347</v>
      </c>
      <c r="R478" s="363" t="s">
        <v>1870</v>
      </c>
      <c r="S478" s="363" t="s">
        <v>348</v>
      </c>
      <c r="T478" s="363" t="s">
        <v>1871</v>
      </c>
      <c r="U478" s="363" t="s">
        <v>349</v>
      </c>
      <c r="V478" s="363" t="s">
        <v>1871</v>
      </c>
      <c r="W478" s="363"/>
      <c r="X478" s="363"/>
      <c r="Y478" s="363"/>
      <c r="Z478" s="363"/>
      <c r="AA478" s="363"/>
      <c r="AB478" s="363"/>
      <c r="AC478" s="363" t="s">
        <v>478</v>
      </c>
      <c r="AD478" s="380" t="s">
        <v>63</v>
      </c>
      <c r="AE478" s="380">
        <v>5</v>
      </c>
      <c r="AF478" s="363" t="s">
        <v>667</v>
      </c>
    </row>
    <row r="479" spans="2:32" ht="15" hidden="1" customHeight="1" x14ac:dyDescent="0.3">
      <c r="B479" s="380" t="s">
        <v>3</v>
      </c>
      <c r="C479" s="482" t="s">
        <v>1632</v>
      </c>
      <c r="D479" s="483" t="s">
        <v>596</v>
      </c>
      <c r="E479" s="468">
        <v>3110016847</v>
      </c>
      <c r="F479" s="488">
        <v>46071</v>
      </c>
      <c r="G479" s="380" t="s">
        <v>55</v>
      </c>
      <c r="H479" s="380">
        <v>1</v>
      </c>
      <c r="I479" s="388">
        <v>50000</v>
      </c>
      <c r="J479" s="380">
        <v>2</v>
      </c>
      <c r="K479" s="389">
        <f t="shared" si="21"/>
        <v>25000</v>
      </c>
      <c r="L479" s="504">
        <v>46113</v>
      </c>
      <c r="M479" s="504">
        <v>46477</v>
      </c>
      <c r="N479" s="363" t="s">
        <v>520</v>
      </c>
      <c r="O479" s="380"/>
      <c r="P479" s="380"/>
      <c r="Q479" s="363" t="s">
        <v>467</v>
      </c>
      <c r="R479" s="363"/>
      <c r="S479" s="363" t="s">
        <v>1633</v>
      </c>
      <c r="T479" s="363"/>
      <c r="U479" s="363"/>
      <c r="V479" s="363"/>
      <c r="W479" s="363"/>
      <c r="X479" s="363"/>
      <c r="Y479" s="363"/>
      <c r="Z479" s="363"/>
      <c r="AA479" s="363"/>
      <c r="AB479" s="363"/>
      <c r="AC479" s="363" t="s">
        <v>507</v>
      </c>
      <c r="AD479" s="380" t="s">
        <v>63</v>
      </c>
      <c r="AE479" s="380">
        <v>2</v>
      </c>
      <c r="AF479" s="363" t="s">
        <v>1634</v>
      </c>
    </row>
    <row r="480" spans="2:32" ht="15" hidden="1" customHeight="1" x14ac:dyDescent="0.3">
      <c r="B480" s="380" t="s">
        <v>3</v>
      </c>
      <c r="C480" s="409" t="s">
        <v>1635</v>
      </c>
      <c r="D480" s="489" t="s">
        <v>1636</v>
      </c>
      <c r="E480" s="411" t="s">
        <v>1637</v>
      </c>
      <c r="F480" s="488">
        <v>46070</v>
      </c>
      <c r="G480" s="380" t="s">
        <v>55</v>
      </c>
      <c r="H480" s="380">
        <v>4</v>
      </c>
      <c r="I480" s="388">
        <v>448864</v>
      </c>
      <c r="J480" s="380">
        <v>1</v>
      </c>
      <c r="K480" s="389">
        <f t="shared" si="21"/>
        <v>448864</v>
      </c>
      <c r="L480" s="505">
        <v>46023</v>
      </c>
      <c r="M480" s="505">
        <v>46387</v>
      </c>
      <c r="N480" s="363" t="s">
        <v>19</v>
      </c>
      <c r="O480" s="380" t="s">
        <v>1872</v>
      </c>
      <c r="P480" s="380"/>
      <c r="Q480" s="390" t="s">
        <v>1594</v>
      </c>
      <c r="R480" s="363" t="s">
        <v>1846</v>
      </c>
      <c r="S480" s="363"/>
      <c r="T480" s="363"/>
      <c r="U480" s="363"/>
      <c r="V480" s="363"/>
      <c r="W480" s="363"/>
      <c r="X480" s="363"/>
      <c r="Y480" s="363"/>
      <c r="Z480" s="363"/>
      <c r="AA480" s="363"/>
      <c r="AB480" s="363"/>
      <c r="AC480" s="363" t="s">
        <v>96</v>
      </c>
      <c r="AD480" s="380" t="s">
        <v>97</v>
      </c>
      <c r="AE480" s="380" t="s">
        <v>1367</v>
      </c>
      <c r="AF480" s="363" t="s">
        <v>667</v>
      </c>
    </row>
    <row r="481" spans="2:32" ht="15" hidden="1" customHeight="1" x14ac:dyDescent="0.3">
      <c r="B481" s="380" t="s">
        <v>3</v>
      </c>
      <c r="C481" s="409" t="s">
        <v>668</v>
      </c>
      <c r="D481" s="434" t="s">
        <v>669</v>
      </c>
      <c r="E481" s="419">
        <v>50060329</v>
      </c>
      <c r="F481" s="488">
        <v>46106</v>
      </c>
      <c r="G481" s="380" t="s">
        <v>55</v>
      </c>
      <c r="H481" s="380">
        <v>2</v>
      </c>
      <c r="I481" s="388">
        <v>160000</v>
      </c>
      <c r="J481" s="380">
        <v>2</v>
      </c>
      <c r="K481" s="389">
        <f t="shared" si="21"/>
        <v>80000</v>
      </c>
      <c r="L481" s="505">
        <v>46113</v>
      </c>
      <c r="M481" s="505">
        <v>46477</v>
      </c>
      <c r="N481" s="363" t="s">
        <v>520</v>
      </c>
      <c r="O481" s="380"/>
      <c r="P481" s="380"/>
      <c r="Q481" s="363" t="s">
        <v>467</v>
      </c>
      <c r="R481" s="363"/>
      <c r="S481" s="363" t="s">
        <v>1633</v>
      </c>
      <c r="T481" s="363"/>
      <c r="U481" s="363"/>
      <c r="V481" s="363"/>
      <c r="W481" s="363"/>
      <c r="X481" s="363"/>
      <c r="Y481" s="363"/>
      <c r="Z481" s="363"/>
      <c r="AA481" s="363"/>
      <c r="AB481" s="363"/>
      <c r="AC481" s="363" t="s">
        <v>478</v>
      </c>
      <c r="AD481" s="380" t="s">
        <v>63</v>
      </c>
      <c r="AE481" s="380">
        <v>2</v>
      </c>
      <c r="AF481" s="363" t="s">
        <v>1638</v>
      </c>
    </row>
    <row r="482" spans="2:32" ht="15" hidden="1" customHeight="1" x14ac:dyDescent="0.3">
      <c r="B482" s="380" t="s">
        <v>3</v>
      </c>
      <c r="C482" s="409" t="s">
        <v>668</v>
      </c>
      <c r="D482" s="434" t="s">
        <v>669</v>
      </c>
      <c r="E482" s="419">
        <v>50060329</v>
      </c>
      <c r="F482" s="488">
        <v>46106</v>
      </c>
      <c r="G482" s="380" t="s">
        <v>55</v>
      </c>
      <c r="H482" s="380">
        <v>13</v>
      </c>
      <c r="I482" s="388">
        <v>585000</v>
      </c>
      <c r="J482" s="380">
        <v>1</v>
      </c>
      <c r="K482" s="389">
        <f t="shared" si="21"/>
        <v>585000</v>
      </c>
      <c r="L482" s="505">
        <v>46113</v>
      </c>
      <c r="M482" s="505">
        <v>46477</v>
      </c>
      <c r="N482" s="363" t="s">
        <v>520</v>
      </c>
      <c r="O482" s="380"/>
      <c r="P482" s="380"/>
      <c r="Q482" s="363" t="s">
        <v>646</v>
      </c>
      <c r="R482" s="363"/>
      <c r="S482" s="363"/>
      <c r="T482" s="363"/>
      <c r="U482" s="363"/>
      <c r="V482" s="363"/>
      <c r="W482" s="363"/>
      <c r="X482" s="363"/>
      <c r="Y482" s="363"/>
      <c r="Z482" s="363"/>
      <c r="AA482" s="363"/>
      <c r="AB482" s="363"/>
      <c r="AC482" s="363" t="s">
        <v>478</v>
      </c>
      <c r="AD482" s="380" t="s">
        <v>63</v>
      </c>
      <c r="AE482" s="380">
        <v>1</v>
      </c>
      <c r="AF482" s="363" t="s">
        <v>1638</v>
      </c>
    </row>
    <row r="483" spans="2:32" ht="15" hidden="1" customHeight="1" x14ac:dyDescent="0.3">
      <c r="B483" s="380" t="s">
        <v>3</v>
      </c>
      <c r="C483" s="409" t="s">
        <v>1639</v>
      </c>
      <c r="D483" s="489" t="s">
        <v>1088</v>
      </c>
      <c r="E483" s="397">
        <v>3040058268</v>
      </c>
      <c r="F483" s="488">
        <v>46101</v>
      </c>
      <c r="G483" s="380" t="s">
        <v>55</v>
      </c>
      <c r="H483" s="380">
        <v>1</v>
      </c>
      <c r="I483" s="388">
        <v>93000</v>
      </c>
      <c r="J483" s="380">
        <v>3</v>
      </c>
      <c r="K483" s="389">
        <f t="shared" si="21"/>
        <v>31000</v>
      </c>
      <c r="L483" s="505">
        <v>46023</v>
      </c>
      <c r="M483" s="505">
        <v>46387</v>
      </c>
      <c r="N483" s="363" t="s">
        <v>520</v>
      </c>
      <c r="O483" s="380"/>
      <c r="P483" s="380"/>
      <c r="Q483" s="390" t="s">
        <v>347</v>
      </c>
      <c r="R483" s="363" t="s">
        <v>1640</v>
      </c>
      <c r="S483" s="363" t="s">
        <v>348</v>
      </c>
      <c r="T483" s="363"/>
      <c r="U483" s="363" t="s">
        <v>349</v>
      </c>
      <c r="V483" s="363"/>
      <c r="W483" s="363"/>
      <c r="X483" s="363"/>
      <c r="Y483" s="363"/>
      <c r="Z483" s="363"/>
      <c r="AA483" s="363"/>
      <c r="AB483" s="363"/>
      <c r="AC483" s="363" t="s">
        <v>96</v>
      </c>
      <c r="AD483" s="380" t="s">
        <v>97</v>
      </c>
      <c r="AE483" s="380" t="s">
        <v>494</v>
      </c>
      <c r="AF483" s="363" t="s">
        <v>1641</v>
      </c>
    </row>
    <row r="484" spans="2:32" ht="15" hidden="1" customHeight="1" x14ac:dyDescent="0.3">
      <c r="B484" s="380" t="s">
        <v>3</v>
      </c>
      <c r="C484" s="409" t="s">
        <v>783</v>
      </c>
      <c r="D484" s="423" t="s">
        <v>1000</v>
      </c>
      <c r="E484" s="493">
        <v>8000161342</v>
      </c>
      <c r="F484" s="501">
        <v>46107</v>
      </c>
      <c r="G484" s="380" t="s">
        <v>55</v>
      </c>
      <c r="H484" s="380">
        <v>7</v>
      </c>
      <c r="I484" s="388">
        <v>890400</v>
      </c>
      <c r="J484" s="380">
        <v>3</v>
      </c>
      <c r="K484" s="389">
        <f t="shared" si="21"/>
        <v>296800</v>
      </c>
      <c r="L484" s="505">
        <v>46023</v>
      </c>
      <c r="M484" s="505">
        <v>46387</v>
      </c>
      <c r="N484" s="363" t="s">
        <v>520</v>
      </c>
      <c r="O484" s="380"/>
      <c r="P484" s="386" t="s">
        <v>1</v>
      </c>
      <c r="Q484" s="390" t="s">
        <v>347</v>
      </c>
      <c r="R484" s="363" t="s">
        <v>1642</v>
      </c>
      <c r="S484" s="363" t="s">
        <v>348</v>
      </c>
      <c r="T484" s="363"/>
      <c r="U484" s="363" t="s">
        <v>349</v>
      </c>
      <c r="V484" s="363"/>
      <c r="W484" s="363"/>
      <c r="X484" s="363"/>
      <c r="Y484" s="363"/>
      <c r="Z484" s="363"/>
      <c r="AA484" s="363"/>
      <c r="AB484" s="363"/>
      <c r="AC484" s="363" t="s">
        <v>507</v>
      </c>
      <c r="AD484" s="380" t="s">
        <v>63</v>
      </c>
      <c r="AE484" s="380">
        <v>3</v>
      </c>
      <c r="AF484" s="363" t="s">
        <v>667</v>
      </c>
    </row>
    <row r="485" spans="2:32" ht="15" hidden="1" customHeight="1" x14ac:dyDescent="0.3">
      <c r="B485" s="380" t="s">
        <v>3</v>
      </c>
      <c r="C485" s="482" t="s">
        <v>1873</v>
      </c>
      <c r="D485" s="483" t="s">
        <v>151</v>
      </c>
      <c r="E485" s="468">
        <v>4601538703</v>
      </c>
      <c r="F485" s="501">
        <v>46110</v>
      </c>
      <c r="G485" s="380" t="s">
        <v>55</v>
      </c>
      <c r="H485" s="380">
        <v>1</v>
      </c>
      <c r="I485" s="388">
        <v>84999</v>
      </c>
      <c r="J485" s="380">
        <v>3</v>
      </c>
      <c r="K485" s="389">
        <f t="shared" si="21"/>
        <v>28333</v>
      </c>
      <c r="L485" s="504">
        <v>46113</v>
      </c>
      <c r="M485" s="504">
        <v>46477</v>
      </c>
      <c r="N485" s="363" t="s">
        <v>520</v>
      </c>
      <c r="O485" s="380"/>
      <c r="P485" s="380"/>
      <c r="Q485" s="390" t="s">
        <v>1080</v>
      </c>
      <c r="R485" s="363" t="s">
        <v>1844</v>
      </c>
      <c r="S485" s="363" t="s">
        <v>1108</v>
      </c>
      <c r="T485" s="363"/>
      <c r="U485" s="363" t="s">
        <v>1109</v>
      </c>
      <c r="V485" s="363"/>
      <c r="W485" s="363"/>
      <c r="X485" s="363"/>
      <c r="Y485" s="363"/>
      <c r="Z485" s="363"/>
      <c r="AA485" s="363"/>
      <c r="AB485" s="363"/>
      <c r="AC485" s="363" t="s">
        <v>478</v>
      </c>
      <c r="AD485" s="380" t="s">
        <v>63</v>
      </c>
      <c r="AE485" s="380">
        <v>3</v>
      </c>
      <c r="AF485" s="363" t="s">
        <v>667</v>
      </c>
    </row>
    <row r="486" spans="2:32" ht="15" hidden="1" customHeight="1" x14ac:dyDescent="0.3">
      <c r="B486" s="380" t="s">
        <v>3</v>
      </c>
      <c r="C486" s="482" t="s">
        <v>779</v>
      </c>
      <c r="D486" s="483" t="s">
        <v>53</v>
      </c>
      <c r="E486" s="491">
        <v>2500292830</v>
      </c>
      <c r="F486" s="488">
        <v>46111</v>
      </c>
      <c r="G486" s="380" t="s">
        <v>55</v>
      </c>
      <c r="H486" s="380">
        <v>3</v>
      </c>
      <c r="I486" s="388">
        <v>282816</v>
      </c>
      <c r="J486" s="380">
        <v>3</v>
      </c>
      <c r="K486" s="389">
        <f t="shared" si="21"/>
        <v>94272</v>
      </c>
      <c r="L486" s="504">
        <v>46113</v>
      </c>
      <c r="M486" s="504">
        <v>46477</v>
      </c>
      <c r="N486" s="363" t="s">
        <v>520</v>
      </c>
      <c r="O486" s="380"/>
      <c r="P486" s="380"/>
      <c r="Q486" s="363" t="s">
        <v>1080</v>
      </c>
      <c r="R486" s="363"/>
      <c r="S486" s="363" t="s">
        <v>1108</v>
      </c>
      <c r="T486" s="363"/>
      <c r="U486" s="363" t="s">
        <v>1109</v>
      </c>
      <c r="V486" s="363"/>
      <c r="W486" s="363"/>
      <c r="X486" s="363"/>
      <c r="Y486" s="363"/>
      <c r="Z486" s="363"/>
      <c r="AA486" s="363"/>
      <c r="AB486" s="363"/>
      <c r="AC486" s="363" t="s">
        <v>619</v>
      </c>
      <c r="AD486" s="380" t="s">
        <v>63</v>
      </c>
      <c r="AE486" s="380">
        <v>3</v>
      </c>
      <c r="AF486" s="363" t="s">
        <v>667</v>
      </c>
    </row>
    <row r="487" spans="2:32" ht="15" hidden="1" customHeight="1" x14ac:dyDescent="0.3">
      <c r="B487" s="380" t="s">
        <v>3</v>
      </c>
      <c r="C487" s="409" t="s">
        <v>1643</v>
      </c>
      <c r="D487" s="423" t="s">
        <v>151</v>
      </c>
      <c r="E487" s="380">
        <v>8184550</v>
      </c>
      <c r="F487" s="488">
        <v>46108</v>
      </c>
      <c r="G487" s="380" t="s">
        <v>55</v>
      </c>
      <c r="H487" s="380">
        <v>4</v>
      </c>
      <c r="I487" s="388">
        <v>310000</v>
      </c>
      <c r="J487" s="380">
        <v>3</v>
      </c>
      <c r="K487" s="389">
        <f t="shared" si="21"/>
        <v>103333.33333333333</v>
      </c>
      <c r="L487" s="505">
        <v>46023</v>
      </c>
      <c r="M487" s="505">
        <v>46387</v>
      </c>
      <c r="N487" s="363" t="s">
        <v>520</v>
      </c>
      <c r="O487" s="380"/>
      <c r="P487" s="380"/>
      <c r="Q487" s="390" t="s">
        <v>347</v>
      </c>
      <c r="R487" s="363" t="s">
        <v>1740</v>
      </c>
      <c r="S487" s="363" t="s">
        <v>348</v>
      </c>
      <c r="T487" s="363"/>
      <c r="U487" s="363" t="s">
        <v>349</v>
      </c>
      <c r="V487" s="363"/>
      <c r="W487" s="363"/>
      <c r="X487" s="363"/>
      <c r="Y487" s="363"/>
      <c r="Z487" s="363"/>
      <c r="AA487" s="363"/>
      <c r="AB487" s="363"/>
      <c r="AC487" s="363" t="s">
        <v>478</v>
      </c>
      <c r="AD487" s="380" t="s">
        <v>63</v>
      </c>
      <c r="AE487" s="380">
        <v>3</v>
      </c>
      <c r="AF487" s="363" t="s">
        <v>667</v>
      </c>
    </row>
    <row r="488" spans="2:32" ht="15" hidden="1" customHeight="1" x14ac:dyDescent="0.3">
      <c r="B488" s="380" t="s">
        <v>3</v>
      </c>
      <c r="C488" s="409" t="s">
        <v>1643</v>
      </c>
      <c r="D488" s="423" t="s">
        <v>151</v>
      </c>
      <c r="E488" s="380">
        <v>8184550</v>
      </c>
      <c r="F488" s="488">
        <v>46108</v>
      </c>
      <c r="G488" s="380" t="s">
        <v>55</v>
      </c>
      <c r="H488" s="380">
        <v>2</v>
      </c>
      <c r="I488" s="388">
        <v>103334</v>
      </c>
      <c r="J488" s="380">
        <v>2</v>
      </c>
      <c r="K488" s="389">
        <f t="shared" si="21"/>
        <v>51667</v>
      </c>
      <c r="L488" s="505">
        <v>46023</v>
      </c>
      <c r="M488" s="505">
        <v>46387</v>
      </c>
      <c r="N488" s="363" t="s">
        <v>520</v>
      </c>
      <c r="O488" s="380"/>
      <c r="P488" s="380"/>
      <c r="Q488" s="363" t="s">
        <v>607</v>
      </c>
      <c r="R488" s="363"/>
      <c r="S488" s="363" t="s">
        <v>608</v>
      </c>
      <c r="T488" s="363"/>
      <c r="U488" s="363"/>
      <c r="V488" s="363"/>
      <c r="W488" s="363"/>
      <c r="X488" s="363"/>
      <c r="Y488" s="363"/>
      <c r="Z488" s="363"/>
      <c r="AA488" s="363"/>
      <c r="AB488" s="363"/>
      <c r="AC488" s="363" t="s">
        <v>478</v>
      </c>
      <c r="AD488" s="380" t="s">
        <v>63</v>
      </c>
      <c r="AE488" s="380">
        <v>3</v>
      </c>
      <c r="AF488" s="363" t="s">
        <v>667</v>
      </c>
    </row>
    <row r="489" spans="2:32" ht="15" hidden="1" customHeight="1" x14ac:dyDescent="0.3">
      <c r="B489" s="380" t="s">
        <v>3</v>
      </c>
      <c r="C489" s="429" t="s">
        <v>609</v>
      </c>
      <c r="D489" s="423" t="s">
        <v>86</v>
      </c>
      <c r="E489" s="509">
        <v>3791240798</v>
      </c>
      <c r="F489" s="488">
        <v>46106</v>
      </c>
      <c r="G489" s="380" t="s">
        <v>55</v>
      </c>
      <c r="H489" s="380">
        <v>2</v>
      </c>
      <c r="I489" s="388">
        <v>385536</v>
      </c>
      <c r="J489" s="380">
        <v>3</v>
      </c>
      <c r="K489" s="389">
        <f t="shared" si="21"/>
        <v>128512</v>
      </c>
      <c r="L489" s="505">
        <v>46113</v>
      </c>
      <c r="M489" s="505">
        <v>46477</v>
      </c>
      <c r="N489" s="363" t="s">
        <v>520</v>
      </c>
      <c r="O489" s="380"/>
      <c r="P489" s="380"/>
      <c r="Q489" s="390" t="s">
        <v>1080</v>
      </c>
      <c r="R489" s="363" t="s">
        <v>1874</v>
      </c>
      <c r="S489" s="363" t="s">
        <v>1108</v>
      </c>
      <c r="T489" s="363"/>
      <c r="U489" s="363" t="s">
        <v>1109</v>
      </c>
      <c r="V489" s="363"/>
      <c r="W489" s="363"/>
      <c r="X489" s="363"/>
      <c r="Y489" s="363"/>
      <c r="Z489" s="363"/>
      <c r="AA489" s="363"/>
      <c r="AB489" s="363"/>
      <c r="AC489" s="363" t="s">
        <v>281</v>
      </c>
      <c r="AD489" s="380" t="s">
        <v>97</v>
      </c>
      <c r="AE489" s="380">
        <v>3</v>
      </c>
      <c r="AF489" s="363" t="s">
        <v>667</v>
      </c>
    </row>
    <row r="490" spans="2:32" ht="15" hidden="1" customHeight="1" x14ac:dyDescent="0.3">
      <c r="B490" s="380" t="s">
        <v>3</v>
      </c>
      <c r="C490" s="482" t="s">
        <v>905</v>
      </c>
      <c r="D490" s="483" t="s">
        <v>801</v>
      </c>
      <c r="E490" s="468">
        <v>1100036670</v>
      </c>
      <c r="F490" s="501">
        <v>46102</v>
      </c>
      <c r="G490" s="380" t="s">
        <v>55</v>
      </c>
      <c r="H490" s="380">
        <v>1</v>
      </c>
      <c r="I490" s="388">
        <v>78400</v>
      </c>
      <c r="J490" s="380">
        <v>2</v>
      </c>
      <c r="K490" s="389">
        <f t="shared" si="21"/>
        <v>39200</v>
      </c>
      <c r="L490" s="504">
        <v>46143</v>
      </c>
      <c r="M490" s="504">
        <v>46507</v>
      </c>
      <c r="N490" s="363" t="s">
        <v>520</v>
      </c>
      <c r="O490" s="380"/>
      <c r="P490" s="380"/>
      <c r="Q490" s="363" t="s">
        <v>1339</v>
      </c>
      <c r="R490" s="363"/>
      <c r="S490" s="363" t="s">
        <v>1644</v>
      </c>
      <c r="T490" s="363"/>
      <c r="U490" s="363"/>
      <c r="V490" s="363"/>
      <c r="W490" s="363"/>
      <c r="X490" s="363"/>
      <c r="Y490" s="363"/>
      <c r="Z490" s="363"/>
      <c r="AA490" s="363"/>
      <c r="AB490" s="363"/>
      <c r="AC490" s="363" t="s">
        <v>485</v>
      </c>
      <c r="AD490" s="380" t="s">
        <v>63</v>
      </c>
      <c r="AE490" s="380">
        <v>3</v>
      </c>
      <c r="AF490" s="363" t="s">
        <v>667</v>
      </c>
    </row>
    <row r="491" spans="2:32" ht="15" hidden="1" customHeight="1" x14ac:dyDescent="0.3">
      <c r="B491" s="380" t="s">
        <v>3</v>
      </c>
      <c r="C491" s="482" t="s">
        <v>628</v>
      </c>
      <c r="D491" s="483" t="s">
        <v>801</v>
      </c>
      <c r="E491" s="468" t="s">
        <v>1645</v>
      </c>
      <c r="F491" s="488">
        <v>46107</v>
      </c>
      <c r="G491" s="380" t="s">
        <v>55</v>
      </c>
      <c r="H491" s="380">
        <v>1</v>
      </c>
      <c r="I491" s="388">
        <v>54500</v>
      </c>
      <c r="J491" s="380">
        <v>1</v>
      </c>
      <c r="K491" s="389">
        <f t="shared" si="21"/>
        <v>54500</v>
      </c>
      <c r="L491" s="504">
        <v>46113</v>
      </c>
      <c r="M491" s="504">
        <v>46477</v>
      </c>
      <c r="N491" s="363" t="s">
        <v>520</v>
      </c>
      <c r="O491" s="380"/>
      <c r="P491" s="380"/>
      <c r="Q491" s="363" t="s">
        <v>646</v>
      </c>
      <c r="R491" s="363"/>
      <c r="S491" s="363"/>
      <c r="T491" s="363"/>
      <c r="U491" s="363"/>
      <c r="V491" s="363"/>
      <c r="W491" s="363"/>
      <c r="X491" s="363"/>
      <c r="Y491" s="363"/>
      <c r="Z491" s="363"/>
      <c r="AA491" s="363"/>
      <c r="AB491" s="363"/>
      <c r="AC491" s="363" t="s">
        <v>485</v>
      </c>
      <c r="AD491" s="380" t="s">
        <v>63</v>
      </c>
      <c r="AE491" s="380">
        <v>2</v>
      </c>
      <c r="AF491" s="363" t="s">
        <v>1488</v>
      </c>
    </row>
    <row r="492" spans="2:32" ht="15" hidden="1" customHeight="1" x14ac:dyDescent="0.3">
      <c r="B492" s="380" t="s">
        <v>3</v>
      </c>
      <c r="C492" s="409" t="s">
        <v>805</v>
      </c>
      <c r="D492" s="423" t="s">
        <v>86</v>
      </c>
      <c r="E492" s="408">
        <v>7500135772</v>
      </c>
      <c r="F492" s="501">
        <v>46108</v>
      </c>
      <c r="G492" s="380" t="s">
        <v>55</v>
      </c>
      <c r="H492" s="380">
        <v>1</v>
      </c>
      <c r="I492" s="388">
        <v>86200</v>
      </c>
      <c r="J492" s="380">
        <v>3</v>
      </c>
      <c r="K492" s="389">
        <f t="shared" si="21"/>
        <v>28733.333333333332</v>
      </c>
      <c r="L492" s="505">
        <v>46113</v>
      </c>
      <c r="M492" s="505">
        <v>46477</v>
      </c>
      <c r="N492" s="363" t="s">
        <v>520</v>
      </c>
      <c r="O492" s="380"/>
      <c r="P492" s="380"/>
      <c r="Q492" s="363" t="s">
        <v>1080</v>
      </c>
      <c r="R492" s="363"/>
      <c r="S492" s="363" t="s">
        <v>1108</v>
      </c>
      <c r="T492" s="363"/>
      <c r="U492" s="363" t="s">
        <v>1109</v>
      </c>
      <c r="V492" s="363"/>
      <c r="W492" s="363"/>
      <c r="X492" s="363"/>
      <c r="Y492" s="363"/>
      <c r="Z492" s="363"/>
      <c r="AA492" s="363"/>
      <c r="AB492" s="363"/>
      <c r="AC492" s="363" t="s">
        <v>96</v>
      </c>
      <c r="AD492" s="380" t="s">
        <v>97</v>
      </c>
      <c r="AE492" s="380" t="s">
        <v>494</v>
      </c>
      <c r="AF492" s="363" t="s">
        <v>667</v>
      </c>
    </row>
    <row r="493" spans="2:32" ht="15" hidden="1" customHeight="1" x14ac:dyDescent="0.3">
      <c r="B493" s="380" t="s">
        <v>5</v>
      </c>
      <c r="C493" s="482" t="s">
        <v>840</v>
      </c>
      <c r="D493" s="483" t="s">
        <v>841</v>
      </c>
      <c r="E493" s="491" t="s">
        <v>1646</v>
      </c>
      <c r="F493" s="488">
        <v>46107</v>
      </c>
      <c r="G493" s="380" t="s">
        <v>55</v>
      </c>
      <c r="H493" s="380">
        <v>3</v>
      </c>
      <c r="I493" s="388">
        <v>211500</v>
      </c>
      <c r="J493" s="380">
        <v>3</v>
      </c>
      <c r="K493" s="389">
        <f t="shared" si="21"/>
        <v>70500</v>
      </c>
      <c r="L493" s="504">
        <v>46113</v>
      </c>
      <c r="M493" s="504">
        <v>46477</v>
      </c>
      <c r="N493" s="363" t="s">
        <v>520</v>
      </c>
      <c r="O493" s="380"/>
      <c r="P493" s="380"/>
      <c r="Q493" s="363" t="s">
        <v>1080</v>
      </c>
      <c r="R493" s="363"/>
      <c r="S493" s="363" t="s">
        <v>1108</v>
      </c>
      <c r="T493" s="363"/>
      <c r="U493" s="363" t="s">
        <v>1109</v>
      </c>
      <c r="V493" s="363"/>
      <c r="W493" s="363"/>
      <c r="X493" s="363"/>
      <c r="Y493" s="363"/>
      <c r="Z493" s="363"/>
      <c r="AA493" s="363"/>
      <c r="AB493" s="363"/>
      <c r="AC493" s="363" t="s">
        <v>485</v>
      </c>
      <c r="AD493" s="380" t="s">
        <v>63</v>
      </c>
      <c r="AE493" s="380">
        <v>3</v>
      </c>
      <c r="AF493" s="363" t="s">
        <v>1647</v>
      </c>
    </row>
    <row r="494" spans="2:32" ht="15" hidden="1" customHeight="1" x14ac:dyDescent="0.3">
      <c r="B494" s="380" t="s">
        <v>5</v>
      </c>
      <c r="C494" s="482" t="s">
        <v>809</v>
      </c>
      <c r="D494" s="483" t="s">
        <v>629</v>
      </c>
      <c r="E494" s="491" t="s">
        <v>1648</v>
      </c>
      <c r="F494" s="488">
        <v>46107</v>
      </c>
      <c r="G494" s="380" t="s">
        <v>55</v>
      </c>
      <c r="H494" s="380">
        <v>5</v>
      </c>
      <c r="I494" s="388">
        <v>341250</v>
      </c>
      <c r="J494" s="380">
        <v>2</v>
      </c>
      <c r="K494" s="389">
        <f t="shared" si="21"/>
        <v>170625</v>
      </c>
      <c r="L494" s="504">
        <v>46113</v>
      </c>
      <c r="M494" s="504">
        <v>46477</v>
      </c>
      <c r="N494" s="363" t="s">
        <v>520</v>
      </c>
      <c r="O494" s="380"/>
      <c r="P494" s="380"/>
      <c r="Q494" s="363" t="s">
        <v>467</v>
      </c>
      <c r="R494" s="363"/>
      <c r="S494" s="363" t="s">
        <v>1633</v>
      </c>
      <c r="T494" s="363"/>
      <c r="U494" s="363"/>
      <c r="V494" s="363"/>
      <c r="W494" s="363"/>
      <c r="X494" s="363"/>
      <c r="Y494" s="363"/>
      <c r="Z494" s="363"/>
      <c r="AA494" s="363"/>
      <c r="AB494" s="363"/>
      <c r="AC494" s="363" t="s">
        <v>485</v>
      </c>
      <c r="AD494" s="380" t="s">
        <v>63</v>
      </c>
      <c r="AE494" s="380">
        <v>3</v>
      </c>
      <c r="AF494" s="363" t="s">
        <v>1647</v>
      </c>
    </row>
    <row r="495" spans="2:32" ht="15" hidden="1" customHeight="1" x14ac:dyDescent="0.3">
      <c r="B495" s="380" t="s">
        <v>5</v>
      </c>
      <c r="C495" s="412" t="s">
        <v>1649</v>
      </c>
      <c r="D495" s="437" t="s">
        <v>176</v>
      </c>
      <c r="E495" s="426" t="s">
        <v>1650</v>
      </c>
      <c r="F495" s="488">
        <v>46025</v>
      </c>
      <c r="G495" s="380" t="s">
        <v>55</v>
      </c>
      <c r="H495" s="380">
        <v>1</v>
      </c>
      <c r="I495" s="388">
        <v>142080</v>
      </c>
      <c r="J495" s="380">
        <v>2</v>
      </c>
      <c r="K495" s="389">
        <f t="shared" si="21"/>
        <v>71040</v>
      </c>
      <c r="L495" s="505">
        <v>46023</v>
      </c>
      <c r="M495" s="505">
        <v>46387</v>
      </c>
      <c r="N495" s="363" t="s">
        <v>520</v>
      </c>
      <c r="O495" s="380"/>
      <c r="P495" s="380"/>
      <c r="Q495" s="363" t="s">
        <v>1651</v>
      </c>
      <c r="R495" s="363"/>
      <c r="S495" s="363" t="s">
        <v>608</v>
      </c>
      <c r="T495" s="363"/>
      <c r="U495" s="363"/>
      <c r="V495" s="363"/>
      <c r="W495" s="363"/>
      <c r="X495" s="363"/>
      <c r="Y495" s="363"/>
      <c r="Z495" s="363"/>
      <c r="AA495" s="363"/>
      <c r="AB495" s="363"/>
      <c r="AC495" s="363" t="s">
        <v>183</v>
      </c>
      <c r="AD495" s="380" t="s">
        <v>97</v>
      </c>
      <c r="AE495" s="380">
        <v>2</v>
      </c>
      <c r="AF495" s="363" t="s">
        <v>1652</v>
      </c>
    </row>
    <row r="496" spans="2:32" ht="15" hidden="1" customHeight="1" x14ac:dyDescent="0.3">
      <c r="B496" s="380" t="s">
        <v>5</v>
      </c>
      <c r="C496" s="412" t="s">
        <v>1653</v>
      </c>
      <c r="D496" s="463" t="s">
        <v>151</v>
      </c>
      <c r="E496" s="426" t="s">
        <v>1654</v>
      </c>
      <c r="F496" s="488">
        <v>46114</v>
      </c>
      <c r="G496" s="380" t="s">
        <v>55</v>
      </c>
      <c r="H496" s="380">
        <v>7</v>
      </c>
      <c r="I496" s="388">
        <v>560000</v>
      </c>
      <c r="J496" s="380">
        <v>2</v>
      </c>
      <c r="K496" s="389">
        <f t="shared" si="21"/>
        <v>280000</v>
      </c>
      <c r="L496" s="505">
        <v>46023</v>
      </c>
      <c r="M496" s="505">
        <v>46387</v>
      </c>
      <c r="N496" s="363" t="s">
        <v>520</v>
      </c>
      <c r="O496" s="380"/>
      <c r="P496" s="380"/>
      <c r="Q496" s="390" t="s">
        <v>1651</v>
      </c>
      <c r="R496" s="363" t="s">
        <v>1732</v>
      </c>
      <c r="S496" s="363" t="s">
        <v>608</v>
      </c>
      <c r="T496" s="363"/>
      <c r="U496" s="363"/>
      <c r="V496" s="363"/>
      <c r="W496" s="363"/>
      <c r="X496" s="363"/>
      <c r="Y496" s="363"/>
      <c r="Z496" s="363"/>
      <c r="AA496" s="363"/>
      <c r="AB496" s="363"/>
      <c r="AC496" s="363" t="s">
        <v>478</v>
      </c>
      <c r="AD496" s="380" t="s">
        <v>63</v>
      </c>
      <c r="AE496" s="380">
        <v>3</v>
      </c>
      <c r="AF496" s="363" t="s">
        <v>1319</v>
      </c>
    </row>
    <row r="497" spans="2:32" ht="15" hidden="1" customHeight="1" x14ac:dyDescent="0.3">
      <c r="B497" s="380" t="s">
        <v>5</v>
      </c>
      <c r="C497" s="409" t="s">
        <v>1655</v>
      </c>
      <c r="D497" s="434" t="s">
        <v>664</v>
      </c>
      <c r="E497" s="380">
        <v>4507986234</v>
      </c>
      <c r="F497" s="488">
        <v>46119</v>
      </c>
      <c r="G497" s="380" t="s">
        <v>55</v>
      </c>
      <c r="H497" s="380">
        <v>1</v>
      </c>
      <c r="I497" s="388">
        <v>79999.98</v>
      </c>
      <c r="J497" s="380">
        <v>3</v>
      </c>
      <c r="K497" s="389">
        <f t="shared" si="21"/>
        <v>26666.66</v>
      </c>
      <c r="L497" s="505">
        <v>46113</v>
      </c>
      <c r="M497" s="505">
        <v>46477</v>
      </c>
      <c r="N497" s="363" t="s">
        <v>520</v>
      </c>
      <c r="O497" s="380"/>
      <c r="P497" s="380"/>
      <c r="Q497" s="363" t="s">
        <v>1080</v>
      </c>
      <c r="R497" s="363"/>
      <c r="S497" s="363" t="s">
        <v>1108</v>
      </c>
      <c r="T497" s="363"/>
      <c r="U497" s="363" t="s">
        <v>1109</v>
      </c>
      <c r="V497" s="363"/>
      <c r="W497" s="363"/>
      <c r="X497" s="363"/>
      <c r="Y497" s="363"/>
      <c r="Z497" s="363"/>
      <c r="AA497" s="363"/>
      <c r="AB497" s="363"/>
      <c r="AC497" s="363" t="s">
        <v>478</v>
      </c>
      <c r="AD497" s="380" t="s">
        <v>63</v>
      </c>
      <c r="AE497" s="380" t="s">
        <v>494</v>
      </c>
      <c r="AF497" s="363" t="s">
        <v>667</v>
      </c>
    </row>
    <row r="498" spans="2:32" ht="15" hidden="1" customHeight="1" x14ac:dyDescent="0.3">
      <c r="B498" s="380" t="s">
        <v>5</v>
      </c>
      <c r="C498" s="409" t="s">
        <v>1656</v>
      </c>
      <c r="D498" s="489" t="s">
        <v>176</v>
      </c>
      <c r="E498" s="411">
        <v>4500127379</v>
      </c>
      <c r="F498" s="488">
        <v>46078</v>
      </c>
      <c r="G498" s="380" t="s">
        <v>55</v>
      </c>
      <c r="H498" s="380">
        <v>1</v>
      </c>
      <c r="I498" s="388">
        <v>89250</v>
      </c>
      <c r="J498" s="380">
        <v>2</v>
      </c>
      <c r="K498" s="389">
        <f t="shared" si="21"/>
        <v>44625</v>
      </c>
      <c r="L498" s="505">
        <v>46023</v>
      </c>
      <c r="M498" s="505">
        <v>46387</v>
      </c>
      <c r="N498" s="363" t="s">
        <v>520</v>
      </c>
      <c r="O498" s="380"/>
      <c r="P498" s="380"/>
      <c r="Q498" s="390" t="s">
        <v>607</v>
      </c>
      <c r="R498" s="363" t="s">
        <v>1436</v>
      </c>
      <c r="S498" s="363" t="s">
        <v>608</v>
      </c>
      <c r="T498" s="363"/>
      <c r="U498" s="363"/>
      <c r="V498" s="363"/>
      <c r="W498" s="363"/>
      <c r="X498" s="363"/>
      <c r="Y498" s="363"/>
      <c r="Z498" s="363"/>
      <c r="AA498" s="363"/>
      <c r="AB498" s="363"/>
      <c r="AC498" s="363" t="s">
        <v>183</v>
      </c>
      <c r="AD498" s="380" t="s">
        <v>97</v>
      </c>
      <c r="AE498" s="380">
        <v>3</v>
      </c>
      <c r="AF498" s="363" t="s">
        <v>667</v>
      </c>
    </row>
    <row r="499" spans="2:32" ht="15" hidden="1" customHeight="1" x14ac:dyDescent="0.3">
      <c r="B499" s="380" t="s">
        <v>5</v>
      </c>
      <c r="C499" s="409" t="s">
        <v>1656</v>
      </c>
      <c r="D499" s="489" t="s">
        <v>176</v>
      </c>
      <c r="E499" s="411">
        <v>4500127261</v>
      </c>
      <c r="F499" s="488">
        <v>46076</v>
      </c>
      <c r="G499" s="380" t="s">
        <v>55</v>
      </c>
      <c r="H499" s="380">
        <v>3</v>
      </c>
      <c r="I499" s="388">
        <v>267750</v>
      </c>
      <c r="J499" s="380">
        <v>2</v>
      </c>
      <c r="K499" s="389">
        <f t="shared" si="21"/>
        <v>133875</v>
      </c>
      <c r="L499" s="505">
        <v>46023</v>
      </c>
      <c r="M499" s="505">
        <v>46387</v>
      </c>
      <c r="N499" s="363" t="s">
        <v>520</v>
      </c>
      <c r="O499" s="380"/>
      <c r="P499" s="380"/>
      <c r="Q499" s="390" t="s">
        <v>607</v>
      </c>
      <c r="R499" s="363" t="s">
        <v>782</v>
      </c>
      <c r="S499" s="363" t="s">
        <v>608</v>
      </c>
      <c r="T499" s="363"/>
      <c r="U499" s="363"/>
      <c r="V499" s="363"/>
      <c r="W499" s="363"/>
      <c r="X499" s="363"/>
      <c r="Y499" s="363"/>
      <c r="Z499" s="363"/>
      <c r="AA499" s="363"/>
      <c r="AB499" s="363"/>
      <c r="AC499" s="363" t="s">
        <v>183</v>
      </c>
      <c r="AD499" s="380" t="s">
        <v>97</v>
      </c>
      <c r="AE499" s="380">
        <v>3</v>
      </c>
      <c r="AF499" s="363" t="s">
        <v>667</v>
      </c>
    </row>
    <row r="500" spans="2:32" ht="15" hidden="1" customHeight="1" x14ac:dyDescent="0.3">
      <c r="B500" s="380" t="s">
        <v>5</v>
      </c>
      <c r="C500" s="553" t="s">
        <v>1073</v>
      </c>
      <c r="D500" s="423" t="s">
        <v>1657</v>
      </c>
      <c r="E500" s="408">
        <v>440000514</v>
      </c>
      <c r="F500" s="501">
        <v>46109</v>
      </c>
      <c r="G500" s="380" t="s">
        <v>55</v>
      </c>
      <c r="H500" s="380">
        <v>1</v>
      </c>
      <c r="I500" s="388">
        <v>172900</v>
      </c>
      <c r="J500" s="380">
        <v>3</v>
      </c>
      <c r="K500" s="389">
        <f>I500/2</f>
        <v>86450</v>
      </c>
      <c r="L500" s="505">
        <v>46023</v>
      </c>
      <c r="M500" s="505">
        <v>46387</v>
      </c>
      <c r="N500" s="363" t="s">
        <v>520</v>
      </c>
      <c r="O500" s="380"/>
      <c r="P500" s="380"/>
      <c r="Q500" s="390" t="s">
        <v>347</v>
      </c>
      <c r="R500" s="363" t="s">
        <v>1658</v>
      </c>
      <c r="S500" s="363" t="s">
        <v>348</v>
      </c>
      <c r="T500" s="363" t="s">
        <v>1659</v>
      </c>
      <c r="U500" s="363" t="s">
        <v>349</v>
      </c>
      <c r="V500" s="363"/>
      <c r="W500" s="363"/>
      <c r="X500" s="363"/>
      <c r="Y500" s="363"/>
      <c r="Z500" s="363"/>
      <c r="AA500" s="363"/>
      <c r="AB500" s="363"/>
      <c r="AC500" s="363" t="s">
        <v>551</v>
      </c>
      <c r="AD500" s="380" t="s">
        <v>207</v>
      </c>
      <c r="AE500" s="380">
        <v>3</v>
      </c>
      <c r="AF500" s="363" t="s">
        <v>1660</v>
      </c>
    </row>
    <row r="501" spans="2:32" ht="15" hidden="1" customHeight="1" x14ac:dyDescent="0.3">
      <c r="B501" s="380" t="s">
        <v>5</v>
      </c>
      <c r="C501" s="553" t="s">
        <v>1073</v>
      </c>
      <c r="D501" s="423" t="s">
        <v>1657</v>
      </c>
      <c r="E501" s="408">
        <v>440000514</v>
      </c>
      <c r="F501" s="501">
        <v>46109</v>
      </c>
      <c r="G501" s="380" t="s">
        <v>55</v>
      </c>
      <c r="H501" s="380"/>
      <c r="I501" s="388">
        <v>172900</v>
      </c>
      <c r="J501" s="380">
        <v>3</v>
      </c>
      <c r="K501" s="389">
        <f>I501/2</f>
        <v>86450</v>
      </c>
      <c r="L501" s="505">
        <v>46388</v>
      </c>
      <c r="M501" s="505">
        <v>46752</v>
      </c>
      <c r="N501" s="363" t="s">
        <v>520</v>
      </c>
      <c r="O501" s="380"/>
      <c r="P501" s="380"/>
      <c r="Q501" s="363" t="s">
        <v>738</v>
      </c>
      <c r="R501" s="363" t="s">
        <v>1661</v>
      </c>
      <c r="S501" s="363" t="s">
        <v>1077</v>
      </c>
      <c r="T501" s="363" t="s">
        <v>1659</v>
      </c>
      <c r="U501" s="363" t="s">
        <v>1078</v>
      </c>
      <c r="V501" s="363"/>
      <c r="W501" s="363"/>
      <c r="X501" s="363"/>
      <c r="Y501" s="363"/>
      <c r="Z501" s="363"/>
      <c r="AA501" s="363"/>
      <c r="AB501" s="363"/>
      <c r="AC501" s="363" t="s">
        <v>551</v>
      </c>
      <c r="AD501" s="380" t="s">
        <v>207</v>
      </c>
      <c r="AE501" s="380">
        <v>3</v>
      </c>
      <c r="AF501" s="363" t="s">
        <v>1660</v>
      </c>
    </row>
    <row r="502" spans="2:32" ht="15" hidden="1" customHeight="1" x14ac:dyDescent="0.3">
      <c r="B502" s="387" t="s">
        <v>1662</v>
      </c>
      <c r="C502" s="482" t="s">
        <v>508</v>
      </c>
      <c r="D502" s="483" t="s">
        <v>866</v>
      </c>
      <c r="E502" s="468" t="s">
        <v>1663</v>
      </c>
      <c r="F502" s="501">
        <v>46015</v>
      </c>
      <c r="G502" s="380" t="s">
        <v>55</v>
      </c>
      <c r="H502" s="380">
        <v>1</v>
      </c>
      <c r="I502" s="388">
        <v>89000</v>
      </c>
      <c r="J502" s="380">
        <v>3</v>
      </c>
      <c r="K502" s="389">
        <f>I502/J502</f>
        <v>29666.666666666668</v>
      </c>
      <c r="L502" s="504">
        <v>46032</v>
      </c>
      <c r="M502" s="504">
        <v>46396</v>
      </c>
      <c r="N502" s="363" t="s">
        <v>520</v>
      </c>
      <c r="O502" s="380"/>
      <c r="P502" s="380"/>
      <c r="Q502" s="390" t="s">
        <v>1664</v>
      </c>
      <c r="R502" s="363" t="s">
        <v>1239</v>
      </c>
      <c r="S502" s="363" t="s">
        <v>1665</v>
      </c>
      <c r="T502" s="363" t="s">
        <v>1875</v>
      </c>
      <c r="U502" s="363" t="s">
        <v>1273</v>
      </c>
      <c r="V502" s="363"/>
      <c r="W502" s="363"/>
      <c r="X502" s="363"/>
      <c r="Y502" s="363"/>
      <c r="Z502" s="363"/>
      <c r="AA502" s="363"/>
      <c r="AB502" s="363"/>
      <c r="AC502" s="363" t="s">
        <v>96</v>
      </c>
      <c r="AD502" s="380" t="s">
        <v>97</v>
      </c>
      <c r="AE502" s="380" t="s">
        <v>494</v>
      </c>
      <c r="AF502" s="363" t="s">
        <v>1666</v>
      </c>
    </row>
    <row r="503" spans="2:32" ht="15" hidden="1" customHeight="1" x14ac:dyDescent="0.3">
      <c r="B503" s="380" t="s">
        <v>5</v>
      </c>
      <c r="C503" s="430" t="s">
        <v>1667</v>
      </c>
      <c r="D503" s="445" t="s">
        <v>1668</v>
      </c>
      <c r="E503" s="419">
        <v>5030129519</v>
      </c>
      <c r="F503" s="488">
        <v>46020</v>
      </c>
      <c r="G503" s="380" t="s">
        <v>55</v>
      </c>
      <c r="H503" s="380">
        <v>1</v>
      </c>
      <c r="I503" s="388">
        <v>67500</v>
      </c>
      <c r="J503" s="380">
        <v>2</v>
      </c>
      <c r="K503" s="389">
        <f>I503/J503</f>
        <v>33750</v>
      </c>
      <c r="L503" s="513">
        <v>46113</v>
      </c>
      <c r="M503" s="513">
        <v>46387</v>
      </c>
      <c r="N503" s="363" t="s">
        <v>520</v>
      </c>
      <c r="O503" s="380"/>
      <c r="P503" s="380"/>
      <c r="Q503" s="390" t="s">
        <v>1669</v>
      </c>
      <c r="R503" s="363" t="s">
        <v>1720</v>
      </c>
      <c r="S503" s="363" t="s">
        <v>1670</v>
      </c>
      <c r="T503" s="363"/>
      <c r="U503" s="363"/>
      <c r="V503" s="363"/>
      <c r="W503" s="363"/>
      <c r="X503" s="363"/>
      <c r="Y503" s="363"/>
      <c r="Z503" s="363"/>
      <c r="AA503" s="363"/>
      <c r="AB503" s="363"/>
      <c r="AC503" s="363" t="s">
        <v>507</v>
      </c>
      <c r="AD503" s="380" t="s">
        <v>63</v>
      </c>
      <c r="AE503" s="380">
        <v>3</v>
      </c>
      <c r="AF503" s="363" t="s">
        <v>667</v>
      </c>
    </row>
    <row r="504" spans="2:32" ht="15" hidden="1" customHeight="1" x14ac:dyDescent="0.3">
      <c r="B504" s="380" t="s">
        <v>5</v>
      </c>
      <c r="C504" s="482" t="s">
        <v>1671</v>
      </c>
      <c r="D504" s="483" t="s">
        <v>1031</v>
      </c>
      <c r="E504" s="468">
        <v>4514039171</v>
      </c>
      <c r="F504" s="488">
        <v>46128</v>
      </c>
      <c r="G504" s="380" t="s">
        <v>55</v>
      </c>
      <c r="H504" s="380">
        <v>3</v>
      </c>
      <c r="I504" s="388">
        <v>150000</v>
      </c>
      <c r="J504" s="380">
        <v>3</v>
      </c>
      <c r="K504" s="389">
        <f>I504/J504</f>
        <v>50000</v>
      </c>
      <c r="L504" s="504">
        <v>46023</v>
      </c>
      <c r="M504" s="504">
        <v>46387</v>
      </c>
      <c r="N504" s="363" t="s">
        <v>520</v>
      </c>
      <c r="O504" s="380"/>
      <c r="P504" s="380"/>
      <c r="Q504" s="390" t="s">
        <v>347</v>
      </c>
      <c r="R504" s="363" t="s">
        <v>1723</v>
      </c>
      <c r="S504" s="363" t="s">
        <v>348</v>
      </c>
      <c r="T504" s="363"/>
      <c r="U504" s="363" t="s">
        <v>349</v>
      </c>
      <c r="V504" s="363"/>
      <c r="W504" s="363"/>
      <c r="X504" s="363"/>
      <c r="Y504" s="363"/>
      <c r="Z504" s="363"/>
      <c r="AA504" s="363"/>
      <c r="AB504" s="363"/>
      <c r="AC504" s="363" t="s">
        <v>478</v>
      </c>
      <c r="AD504" s="380" t="s">
        <v>63</v>
      </c>
      <c r="AE504" s="380">
        <v>5</v>
      </c>
      <c r="AF504" s="363" t="s">
        <v>667</v>
      </c>
    </row>
    <row r="505" spans="2:32" ht="15" hidden="1" customHeight="1" x14ac:dyDescent="0.3">
      <c r="B505" s="380" t="s">
        <v>5</v>
      </c>
      <c r="C505" s="482" t="s">
        <v>1672</v>
      </c>
      <c r="D505" s="483" t="s">
        <v>1031</v>
      </c>
      <c r="E505" s="468">
        <v>4513957720</v>
      </c>
      <c r="F505" s="501">
        <v>46112</v>
      </c>
      <c r="G505" s="380" t="s">
        <v>55</v>
      </c>
      <c r="H505" s="380">
        <v>1</v>
      </c>
      <c r="I505" s="388">
        <v>50000</v>
      </c>
      <c r="J505" s="380">
        <v>3</v>
      </c>
      <c r="K505" s="389">
        <f>I505/J505</f>
        <v>16666.666666666668</v>
      </c>
      <c r="L505" s="504">
        <v>46023</v>
      </c>
      <c r="M505" s="504">
        <v>46387</v>
      </c>
      <c r="N505" s="363" t="s">
        <v>520</v>
      </c>
      <c r="O505" s="380"/>
      <c r="P505" s="380"/>
      <c r="Q505" s="390" t="s">
        <v>347</v>
      </c>
      <c r="R505" s="363" t="s">
        <v>1719</v>
      </c>
      <c r="S505" s="363" t="s">
        <v>348</v>
      </c>
      <c r="T505" s="363" t="s">
        <v>1741</v>
      </c>
      <c r="U505" s="363" t="s">
        <v>349</v>
      </c>
      <c r="V505" s="363"/>
      <c r="W505" s="363"/>
      <c r="X505" s="363"/>
      <c r="Y505" s="363"/>
      <c r="Z505" s="363"/>
      <c r="AA505" s="363"/>
      <c r="AB505" s="363"/>
      <c r="AC505" s="363" t="s">
        <v>478</v>
      </c>
      <c r="AD505" s="380" t="s">
        <v>63</v>
      </c>
      <c r="AE505" s="380">
        <v>5</v>
      </c>
      <c r="AF505" s="363" t="s">
        <v>667</v>
      </c>
    </row>
    <row r="506" spans="2:32" ht="15" hidden="1" customHeight="1" x14ac:dyDescent="0.3">
      <c r="B506" s="380" t="s">
        <v>5</v>
      </c>
      <c r="C506" s="551" t="s">
        <v>775</v>
      </c>
      <c r="D506" s="483" t="s">
        <v>852</v>
      </c>
      <c r="E506" s="468">
        <v>2710001873</v>
      </c>
      <c r="F506" s="488">
        <v>46127</v>
      </c>
      <c r="G506" s="380" t="s">
        <v>55</v>
      </c>
      <c r="H506" s="380">
        <v>2</v>
      </c>
      <c r="I506" s="388">
        <v>170000</v>
      </c>
      <c r="J506" s="380">
        <v>3</v>
      </c>
      <c r="K506" s="389">
        <f>I506/2</f>
        <v>85000</v>
      </c>
      <c r="L506" s="504">
        <v>46113</v>
      </c>
      <c r="M506" s="504">
        <v>46477</v>
      </c>
      <c r="N506" s="363" t="s">
        <v>520</v>
      </c>
      <c r="O506" s="380"/>
      <c r="P506" s="380"/>
      <c r="Q506" s="390" t="s">
        <v>1080</v>
      </c>
      <c r="R506" s="363" t="s">
        <v>1876</v>
      </c>
      <c r="S506" s="363" t="s">
        <v>1108</v>
      </c>
      <c r="T506" s="363" t="s">
        <v>1674</v>
      </c>
      <c r="U506" s="363" t="s">
        <v>1109</v>
      </c>
      <c r="V506" s="363"/>
      <c r="W506" s="363"/>
      <c r="X506" s="363"/>
      <c r="Y506" s="363"/>
      <c r="Z506" s="363"/>
      <c r="AA506" s="363"/>
      <c r="AB506" s="363"/>
      <c r="AC506" s="363" t="s">
        <v>551</v>
      </c>
      <c r="AD506" s="380" t="s">
        <v>207</v>
      </c>
      <c r="AE506" s="380">
        <v>3</v>
      </c>
      <c r="AF506" s="363" t="s">
        <v>1675</v>
      </c>
    </row>
    <row r="507" spans="2:32" ht="15" hidden="1" customHeight="1" x14ac:dyDescent="0.3">
      <c r="B507" s="380" t="s">
        <v>5</v>
      </c>
      <c r="C507" s="409" t="s">
        <v>527</v>
      </c>
      <c r="D507" s="423" t="s">
        <v>131</v>
      </c>
      <c r="E507" s="380">
        <v>7001298017</v>
      </c>
      <c r="F507" s="488">
        <v>46122</v>
      </c>
      <c r="G507" s="380" t="s">
        <v>55</v>
      </c>
      <c r="H507" s="380">
        <v>1</v>
      </c>
      <c r="I507" s="388">
        <v>78750</v>
      </c>
      <c r="J507" s="380">
        <v>2</v>
      </c>
      <c r="K507" s="389">
        <f t="shared" ref="K507:K515" si="22">I507/J507</f>
        <v>39375</v>
      </c>
      <c r="L507" s="505">
        <v>46113</v>
      </c>
      <c r="M507" s="505">
        <v>46477</v>
      </c>
      <c r="N507" s="363" t="s">
        <v>520</v>
      </c>
      <c r="O507" s="380"/>
      <c r="P507" s="380"/>
      <c r="Q507" s="363" t="s">
        <v>467</v>
      </c>
      <c r="R507" s="363"/>
      <c r="S507" s="363" t="s">
        <v>1633</v>
      </c>
      <c r="T507" s="363"/>
      <c r="U507" s="363"/>
      <c r="V507" s="363"/>
      <c r="W507" s="363"/>
      <c r="X507" s="363"/>
      <c r="Y507" s="363"/>
      <c r="Z507" s="363"/>
      <c r="AA507" s="363"/>
      <c r="AB507" s="363"/>
      <c r="AC507" s="363" t="s">
        <v>485</v>
      </c>
      <c r="AD507" s="380" t="s">
        <v>63</v>
      </c>
      <c r="AE507" s="380">
        <v>2</v>
      </c>
      <c r="AF507" s="363" t="s">
        <v>1676</v>
      </c>
    </row>
    <row r="508" spans="2:32" ht="15" hidden="1" customHeight="1" x14ac:dyDescent="0.3">
      <c r="B508" s="380" t="s">
        <v>5</v>
      </c>
      <c r="C508" s="482" t="s">
        <v>800</v>
      </c>
      <c r="D508" s="483" t="s">
        <v>812</v>
      </c>
      <c r="E508" s="491">
        <v>2102600168</v>
      </c>
      <c r="F508" s="488">
        <v>46119</v>
      </c>
      <c r="G508" s="380" t="s">
        <v>55</v>
      </c>
      <c r="H508" s="380">
        <v>4</v>
      </c>
      <c r="I508" s="388">
        <v>332800</v>
      </c>
      <c r="J508" s="380">
        <v>2</v>
      </c>
      <c r="K508" s="389">
        <f t="shared" si="22"/>
        <v>166400</v>
      </c>
      <c r="L508" s="504">
        <v>46113</v>
      </c>
      <c r="M508" s="504">
        <v>46477</v>
      </c>
      <c r="N508" s="363" t="s">
        <v>520</v>
      </c>
      <c r="O508" s="380"/>
      <c r="P508" s="380"/>
      <c r="Q508" s="363" t="s">
        <v>467</v>
      </c>
      <c r="R508" s="363"/>
      <c r="S508" s="363" t="s">
        <v>1633</v>
      </c>
      <c r="T508" s="363"/>
      <c r="U508" s="363"/>
      <c r="V508" s="363"/>
      <c r="W508" s="363"/>
      <c r="X508" s="363"/>
      <c r="Y508" s="363"/>
      <c r="Z508" s="363"/>
      <c r="AA508" s="363"/>
      <c r="AB508" s="363"/>
      <c r="AC508" s="363" t="s">
        <v>485</v>
      </c>
      <c r="AD508" s="380" t="s">
        <v>63</v>
      </c>
      <c r="AE508" s="380">
        <v>2</v>
      </c>
      <c r="AF508" s="363" t="s">
        <v>1677</v>
      </c>
    </row>
    <row r="509" spans="2:32" ht="15" hidden="1" customHeight="1" x14ac:dyDescent="0.3">
      <c r="B509" s="380" t="s">
        <v>5</v>
      </c>
      <c r="C509" s="409" t="s">
        <v>668</v>
      </c>
      <c r="D509" s="489" t="s">
        <v>693</v>
      </c>
      <c r="E509" s="380">
        <v>30082781</v>
      </c>
      <c r="F509" s="488">
        <v>46113</v>
      </c>
      <c r="G509" s="380" t="s">
        <v>55</v>
      </c>
      <c r="H509" s="380">
        <v>7</v>
      </c>
      <c r="I509" s="388">
        <v>220717</v>
      </c>
      <c r="J509" s="380">
        <v>1</v>
      </c>
      <c r="K509" s="389">
        <f t="shared" si="22"/>
        <v>220717</v>
      </c>
      <c r="L509" s="505">
        <v>46113</v>
      </c>
      <c r="M509" s="505">
        <v>46295</v>
      </c>
      <c r="N509" s="363" t="s">
        <v>520</v>
      </c>
      <c r="O509" s="380"/>
      <c r="P509" s="380"/>
      <c r="Q509" s="363" t="s">
        <v>467</v>
      </c>
      <c r="R509" s="363"/>
      <c r="S509" s="363"/>
      <c r="T509" s="363"/>
      <c r="U509" s="363"/>
      <c r="V509" s="363"/>
      <c r="W509" s="363"/>
      <c r="X509" s="363"/>
      <c r="Y509" s="363"/>
      <c r="Z509" s="363"/>
      <c r="AA509" s="363"/>
      <c r="AB509" s="363"/>
      <c r="AC509" s="363" t="s">
        <v>128</v>
      </c>
      <c r="AD509" s="380" t="s">
        <v>1678</v>
      </c>
      <c r="AE509" s="380">
        <v>2</v>
      </c>
      <c r="AF509" s="363" t="s">
        <v>1679</v>
      </c>
    </row>
    <row r="510" spans="2:32" ht="15" hidden="1" customHeight="1" x14ac:dyDescent="0.3">
      <c r="B510" s="380" t="s">
        <v>5</v>
      </c>
      <c r="C510" s="482" t="s">
        <v>800</v>
      </c>
      <c r="D510" s="483" t="s">
        <v>801</v>
      </c>
      <c r="E510" s="491">
        <v>3102600034</v>
      </c>
      <c r="F510" s="488">
        <v>46120</v>
      </c>
      <c r="G510" s="380" t="s">
        <v>55</v>
      </c>
      <c r="H510" s="380">
        <v>6</v>
      </c>
      <c r="I510" s="388">
        <v>468000</v>
      </c>
      <c r="J510" s="380">
        <v>2</v>
      </c>
      <c r="K510" s="389">
        <f t="shared" si="22"/>
        <v>234000</v>
      </c>
      <c r="L510" s="504">
        <v>46113</v>
      </c>
      <c r="M510" s="504">
        <v>46477</v>
      </c>
      <c r="N510" s="363" t="s">
        <v>520</v>
      </c>
      <c r="O510" s="380"/>
      <c r="P510" s="380"/>
      <c r="Q510" s="363" t="s">
        <v>467</v>
      </c>
      <c r="R510" s="363"/>
      <c r="S510" s="363" t="s">
        <v>1633</v>
      </c>
      <c r="T510" s="363"/>
      <c r="U510" s="363"/>
      <c r="V510" s="363"/>
      <c r="W510" s="363"/>
      <c r="X510" s="363"/>
      <c r="Y510" s="363"/>
      <c r="Z510" s="363"/>
      <c r="AA510" s="363"/>
      <c r="AB510" s="363"/>
      <c r="AC510" s="363" t="s">
        <v>485</v>
      </c>
      <c r="AD510" s="380" t="s">
        <v>63</v>
      </c>
      <c r="AE510" s="380">
        <v>2</v>
      </c>
      <c r="AF510" s="363" t="s">
        <v>1677</v>
      </c>
    </row>
    <row r="511" spans="2:32" ht="15" hidden="1" customHeight="1" x14ac:dyDescent="0.3">
      <c r="B511" s="380" t="s">
        <v>5</v>
      </c>
      <c r="C511" s="482" t="s">
        <v>905</v>
      </c>
      <c r="D511" s="483" t="s">
        <v>906</v>
      </c>
      <c r="E511" s="491">
        <v>1100036794</v>
      </c>
      <c r="F511" s="488">
        <v>46112</v>
      </c>
      <c r="G511" s="380" t="s">
        <v>55</v>
      </c>
      <c r="H511" s="380">
        <v>4</v>
      </c>
      <c r="I511" s="388">
        <v>294000</v>
      </c>
      <c r="J511" s="380">
        <v>2</v>
      </c>
      <c r="K511" s="389">
        <f t="shared" si="22"/>
        <v>147000</v>
      </c>
      <c r="L511" s="504">
        <v>46174</v>
      </c>
      <c r="M511" s="504">
        <v>46538</v>
      </c>
      <c r="N511" s="363" t="s">
        <v>520</v>
      </c>
      <c r="O511" s="380"/>
      <c r="P511" s="380"/>
      <c r="Q511" s="363" t="s">
        <v>1414</v>
      </c>
      <c r="R511" s="363"/>
      <c r="S511" s="363" t="s">
        <v>1680</v>
      </c>
      <c r="T511" s="363"/>
      <c r="U511" s="363"/>
      <c r="V511" s="363"/>
      <c r="W511" s="363"/>
      <c r="X511" s="363"/>
      <c r="Y511" s="363"/>
      <c r="Z511" s="363"/>
      <c r="AA511" s="363"/>
      <c r="AB511" s="363"/>
      <c r="AC511" s="363" t="s">
        <v>551</v>
      </c>
      <c r="AD511" s="380" t="s">
        <v>207</v>
      </c>
      <c r="AE511" s="380">
        <v>2</v>
      </c>
      <c r="AF511" s="363" t="s">
        <v>667</v>
      </c>
    </row>
    <row r="512" spans="2:32" ht="15" hidden="1" customHeight="1" x14ac:dyDescent="0.3">
      <c r="B512" s="380" t="s">
        <v>5</v>
      </c>
      <c r="C512" s="482" t="s">
        <v>716</v>
      </c>
      <c r="D512" s="483" t="s">
        <v>447</v>
      </c>
      <c r="E512" s="491" t="s">
        <v>1681</v>
      </c>
      <c r="F512" s="488">
        <v>46125</v>
      </c>
      <c r="G512" s="380" t="s">
        <v>55</v>
      </c>
      <c r="H512" s="380">
        <v>1</v>
      </c>
      <c r="I512" s="388">
        <v>59794.68</v>
      </c>
      <c r="J512" s="380">
        <v>3</v>
      </c>
      <c r="K512" s="389">
        <f t="shared" si="22"/>
        <v>19931.560000000001</v>
      </c>
      <c r="L512" s="504">
        <v>46113</v>
      </c>
      <c r="M512" s="504">
        <v>46477</v>
      </c>
      <c r="N512" s="363" t="s">
        <v>520</v>
      </c>
      <c r="O512" s="380"/>
      <c r="P512" s="380"/>
      <c r="Q512" s="363" t="s">
        <v>1080</v>
      </c>
      <c r="R512" s="363"/>
      <c r="S512" s="363" t="s">
        <v>1108</v>
      </c>
      <c r="T512" s="363"/>
      <c r="U512" s="363" t="s">
        <v>1109</v>
      </c>
      <c r="V512" s="363"/>
      <c r="W512" s="363"/>
      <c r="X512" s="363"/>
      <c r="Y512" s="363"/>
      <c r="Z512" s="363"/>
      <c r="AA512" s="363"/>
      <c r="AB512" s="363"/>
      <c r="AC512" s="363" t="s">
        <v>281</v>
      </c>
      <c r="AD512" s="380" t="s">
        <v>97</v>
      </c>
      <c r="AE512" s="380" t="s">
        <v>494</v>
      </c>
      <c r="AF512" s="363" t="s">
        <v>667</v>
      </c>
    </row>
    <row r="513" spans="2:32" ht="15" hidden="1" customHeight="1" x14ac:dyDescent="0.3">
      <c r="B513" s="380" t="s">
        <v>5</v>
      </c>
      <c r="C513" s="482" t="s">
        <v>716</v>
      </c>
      <c r="D513" s="483" t="s">
        <v>447</v>
      </c>
      <c r="E513" s="491" t="s">
        <v>1682</v>
      </c>
      <c r="F513" s="488">
        <v>46125</v>
      </c>
      <c r="G513" s="380" t="s">
        <v>55</v>
      </c>
      <c r="H513" s="380">
        <v>3</v>
      </c>
      <c r="I513" s="388">
        <v>273093.78000000003</v>
      </c>
      <c r="J513" s="380">
        <v>3</v>
      </c>
      <c r="K513" s="389">
        <f t="shared" si="22"/>
        <v>91031.260000000009</v>
      </c>
      <c r="L513" s="504">
        <v>46113</v>
      </c>
      <c r="M513" s="504">
        <v>46477</v>
      </c>
      <c r="N513" s="363" t="s">
        <v>520</v>
      </c>
      <c r="O513" s="380"/>
      <c r="P513" s="380"/>
      <c r="Q513" s="363" t="s">
        <v>1080</v>
      </c>
      <c r="R513" s="363"/>
      <c r="S513" s="363" t="s">
        <v>1108</v>
      </c>
      <c r="T513" s="363"/>
      <c r="U513" s="363" t="s">
        <v>1109</v>
      </c>
      <c r="V513" s="363"/>
      <c r="W513" s="363"/>
      <c r="X513" s="363"/>
      <c r="Y513" s="363"/>
      <c r="Z513" s="363"/>
      <c r="AA513" s="363"/>
      <c r="AB513" s="363"/>
      <c r="AC513" s="363" t="s">
        <v>281</v>
      </c>
      <c r="AD513" s="380" t="s">
        <v>97</v>
      </c>
      <c r="AE513" s="380" t="s">
        <v>494</v>
      </c>
      <c r="AF513" s="363" t="s">
        <v>667</v>
      </c>
    </row>
    <row r="514" spans="2:32" ht="15" hidden="1" customHeight="1" x14ac:dyDescent="0.3">
      <c r="B514" s="380" t="s">
        <v>5</v>
      </c>
      <c r="C514" s="482" t="s">
        <v>716</v>
      </c>
      <c r="D514" s="483" t="s">
        <v>447</v>
      </c>
      <c r="E514" s="491" t="s">
        <v>1683</v>
      </c>
      <c r="F514" s="488">
        <v>46125</v>
      </c>
      <c r="G514" s="380" t="s">
        <v>55</v>
      </c>
      <c r="H514" s="380">
        <v>2</v>
      </c>
      <c r="I514" s="388">
        <v>247338.36</v>
      </c>
      <c r="J514" s="380">
        <v>3</v>
      </c>
      <c r="K514" s="389">
        <f t="shared" si="22"/>
        <v>82446.12</v>
      </c>
      <c r="L514" s="504">
        <v>46113</v>
      </c>
      <c r="M514" s="504">
        <v>46477</v>
      </c>
      <c r="N514" s="363" t="s">
        <v>520</v>
      </c>
      <c r="O514" s="380"/>
      <c r="P514" s="380"/>
      <c r="Q514" s="363" t="s">
        <v>1080</v>
      </c>
      <c r="R514" s="363"/>
      <c r="S514" s="363" t="s">
        <v>1108</v>
      </c>
      <c r="T514" s="363"/>
      <c r="U514" s="363" t="s">
        <v>1109</v>
      </c>
      <c r="V514" s="363"/>
      <c r="W514" s="363"/>
      <c r="X514" s="363"/>
      <c r="Y514" s="363"/>
      <c r="Z514" s="363"/>
      <c r="AA514" s="363"/>
      <c r="AB514" s="363"/>
      <c r="AC514" s="363" t="s">
        <v>281</v>
      </c>
      <c r="AD514" s="380" t="s">
        <v>97</v>
      </c>
      <c r="AE514" s="380" t="s">
        <v>494</v>
      </c>
      <c r="AF514" s="363" t="s">
        <v>667</v>
      </c>
    </row>
    <row r="515" spans="2:32" ht="15" hidden="1" customHeight="1" x14ac:dyDescent="0.3">
      <c r="B515" s="380" t="s">
        <v>5</v>
      </c>
      <c r="C515" s="409" t="s">
        <v>762</v>
      </c>
      <c r="D515" s="423" t="s">
        <v>763</v>
      </c>
      <c r="E515" s="380" t="s">
        <v>1684</v>
      </c>
      <c r="F515" s="501">
        <v>46128</v>
      </c>
      <c r="G515" s="380" t="s">
        <v>55</v>
      </c>
      <c r="H515" s="380">
        <v>1</v>
      </c>
      <c r="I515" s="388">
        <v>80001</v>
      </c>
      <c r="J515" s="380">
        <v>3</v>
      </c>
      <c r="K515" s="389">
        <f t="shared" si="22"/>
        <v>26667</v>
      </c>
      <c r="L515" s="505">
        <v>46113</v>
      </c>
      <c r="M515" s="505">
        <v>46477</v>
      </c>
      <c r="N515" s="363" t="s">
        <v>520</v>
      </c>
      <c r="O515" s="380"/>
      <c r="P515" s="380"/>
      <c r="Q515" s="363" t="s">
        <v>1080</v>
      </c>
      <c r="R515" s="363"/>
      <c r="S515" s="363" t="s">
        <v>1108</v>
      </c>
      <c r="T515" s="363"/>
      <c r="U515" s="363" t="s">
        <v>1109</v>
      </c>
      <c r="V515" s="363"/>
      <c r="W515" s="363"/>
      <c r="X515" s="363"/>
      <c r="Y515" s="363"/>
      <c r="Z515" s="363"/>
      <c r="AA515" s="363"/>
      <c r="AB515" s="363"/>
      <c r="AC515" s="363" t="s">
        <v>507</v>
      </c>
      <c r="AD515" s="380" t="s">
        <v>63</v>
      </c>
      <c r="AE515" s="380">
        <v>3</v>
      </c>
      <c r="AF515" s="363" t="s">
        <v>667</v>
      </c>
    </row>
    <row r="516" spans="2:32" ht="15" hidden="1" customHeight="1" x14ac:dyDescent="0.3">
      <c r="B516" s="380" t="s">
        <v>5</v>
      </c>
      <c r="C516" s="409" t="s">
        <v>1685</v>
      </c>
      <c r="D516" s="423" t="s">
        <v>1686</v>
      </c>
      <c r="E516" s="493" t="s">
        <v>1687</v>
      </c>
      <c r="F516" s="488">
        <v>46130</v>
      </c>
      <c r="G516" s="514" t="s">
        <v>703</v>
      </c>
      <c r="H516" s="380">
        <v>6</v>
      </c>
      <c r="I516" s="388">
        <v>2352488.14</v>
      </c>
      <c r="J516" s="380">
        <v>6</v>
      </c>
      <c r="K516" s="389">
        <f>I516/3</f>
        <v>784162.71333333338</v>
      </c>
      <c r="L516" s="505">
        <v>46136</v>
      </c>
      <c r="M516" s="505">
        <v>46500</v>
      </c>
      <c r="N516" s="363" t="s">
        <v>520</v>
      </c>
      <c r="O516" s="380"/>
      <c r="P516" s="380" t="s">
        <v>1</v>
      </c>
      <c r="Q516" s="390" t="s">
        <v>1688</v>
      </c>
      <c r="R516" s="363" t="s">
        <v>1710</v>
      </c>
      <c r="S516" s="363" t="s">
        <v>1689</v>
      </c>
      <c r="T516" s="363"/>
      <c r="U516" s="363" t="s">
        <v>1690</v>
      </c>
      <c r="V516" s="363"/>
      <c r="W516" s="363" t="s">
        <v>1691</v>
      </c>
      <c r="X516" s="363"/>
      <c r="Y516" s="363" t="s">
        <v>1692</v>
      </c>
      <c r="Z516" s="363"/>
      <c r="AA516" s="363" t="s">
        <v>1693</v>
      </c>
      <c r="AB516" s="363"/>
      <c r="AC516" s="363" t="s">
        <v>551</v>
      </c>
      <c r="AD516" s="380" t="s">
        <v>207</v>
      </c>
      <c r="AE516" s="380" t="s">
        <v>494</v>
      </c>
      <c r="AF516" s="363" t="s">
        <v>667</v>
      </c>
    </row>
    <row r="517" spans="2:32" ht="15" hidden="1" customHeight="1" x14ac:dyDescent="0.3">
      <c r="B517" s="380" t="s">
        <v>5</v>
      </c>
      <c r="C517" s="482" t="s">
        <v>836</v>
      </c>
      <c r="D517" s="483" t="s">
        <v>629</v>
      </c>
      <c r="E517" s="491" t="s">
        <v>1694</v>
      </c>
      <c r="F517" s="488">
        <v>46133</v>
      </c>
      <c r="G517" s="380" t="s">
        <v>55</v>
      </c>
      <c r="H517" s="380">
        <v>2</v>
      </c>
      <c r="I517" s="388">
        <v>176400</v>
      </c>
      <c r="J517" s="380">
        <v>2</v>
      </c>
      <c r="K517" s="389">
        <f t="shared" ref="K517:K523" si="23">I517/J517</f>
        <v>88200</v>
      </c>
      <c r="L517" s="504">
        <v>46113</v>
      </c>
      <c r="M517" s="504">
        <v>46477</v>
      </c>
      <c r="N517" s="363" t="s">
        <v>520</v>
      </c>
      <c r="O517" s="380"/>
      <c r="P517" s="380"/>
      <c r="Q517" s="363" t="s">
        <v>467</v>
      </c>
      <c r="R517" s="363"/>
      <c r="S517" s="363" t="s">
        <v>1633</v>
      </c>
      <c r="T517" s="363"/>
      <c r="U517" s="363"/>
      <c r="V517" s="363"/>
      <c r="W517" s="363"/>
      <c r="X517" s="363"/>
      <c r="Y517" s="363"/>
      <c r="Z517" s="363"/>
      <c r="AA517" s="363"/>
      <c r="AB517" s="363"/>
      <c r="AC517" s="363" t="s">
        <v>485</v>
      </c>
      <c r="AD517" s="380" t="s">
        <v>63</v>
      </c>
      <c r="AE517" s="380">
        <v>2</v>
      </c>
      <c r="AF517" s="363" t="s">
        <v>799</v>
      </c>
    </row>
    <row r="518" spans="2:32" ht="15" hidden="1" customHeight="1" x14ac:dyDescent="0.3">
      <c r="B518" s="380" t="s">
        <v>5</v>
      </c>
      <c r="C518" s="482" t="s">
        <v>544</v>
      </c>
      <c r="D518" s="483" t="s">
        <v>1029</v>
      </c>
      <c r="E518" s="419">
        <v>1260004105</v>
      </c>
      <c r="F518" s="488">
        <v>46130</v>
      </c>
      <c r="G518" s="380" t="s">
        <v>55</v>
      </c>
      <c r="H518" s="380">
        <v>1</v>
      </c>
      <c r="I518" s="388">
        <v>145000</v>
      </c>
      <c r="J518" s="380">
        <v>3</v>
      </c>
      <c r="K518" s="389">
        <f t="shared" si="23"/>
        <v>48333.333333333336</v>
      </c>
      <c r="L518" s="513">
        <v>46164</v>
      </c>
      <c r="M518" s="513">
        <v>46528</v>
      </c>
      <c r="N518" s="363" t="s">
        <v>520</v>
      </c>
      <c r="O518" s="380"/>
      <c r="P518" s="380"/>
      <c r="Q518" s="363" t="s">
        <v>1695</v>
      </c>
      <c r="R518" s="363"/>
      <c r="S518" s="363" t="s">
        <v>1696</v>
      </c>
      <c r="T518" s="363"/>
      <c r="U518" s="363" t="s">
        <v>1697</v>
      </c>
      <c r="V518" s="363"/>
      <c r="W518" s="363"/>
      <c r="X518" s="363"/>
      <c r="Y518" s="363"/>
      <c r="Z518" s="363"/>
      <c r="AA518" s="363"/>
      <c r="AB518" s="363"/>
      <c r="AC518" s="363" t="s">
        <v>834</v>
      </c>
      <c r="AD518" s="380" t="s">
        <v>207</v>
      </c>
      <c r="AE518" s="380">
        <v>3</v>
      </c>
      <c r="AF518" s="363" t="s">
        <v>667</v>
      </c>
    </row>
    <row r="519" spans="2:32" ht="15" hidden="1" customHeight="1" x14ac:dyDescent="0.3">
      <c r="B519" s="380" t="s">
        <v>5</v>
      </c>
      <c r="C519" s="482" t="s">
        <v>544</v>
      </c>
      <c r="D519" s="483" t="s">
        <v>447</v>
      </c>
      <c r="E519" s="491">
        <v>1260003465</v>
      </c>
      <c r="F519" s="488">
        <v>46127</v>
      </c>
      <c r="G519" s="380" t="s">
        <v>55</v>
      </c>
      <c r="H519" s="380">
        <v>2</v>
      </c>
      <c r="I519" s="388">
        <v>215400</v>
      </c>
      <c r="J519" s="380">
        <v>3</v>
      </c>
      <c r="K519" s="389">
        <f t="shared" si="23"/>
        <v>71800</v>
      </c>
      <c r="L519" s="504">
        <v>46113</v>
      </c>
      <c r="M519" s="504">
        <v>46477</v>
      </c>
      <c r="N519" s="363" t="s">
        <v>520</v>
      </c>
      <c r="O519" s="380"/>
      <c r="P519" s="380"/>
      <c r="Q519" s="363" t="s">
        <v>1080</v>
      </c>
      <c r="R519" s="363"/>
      <c r="S519" s="363" t="s">
        <v>1108</v>
      </c>
      <c r="T519" s="363"/>
      <c r="U519" s="363" t="s">
        <v>1109</v>
      </c>
      <c r="V519" s="363"/>
      <c r="W519" s="363"/>
      <c r="X519" s="363"/>
      <c r="Y519" s="363"/>
      <c r="Z519" s="363"/>
      <c r="AA519" s="363"/>
      <c r="AB519" s="363"/>
      <c r="AC519" s="363" t="s">
        <v>96</v>
      </c>
      <c r="AD519" s="380" t="s">
        <v>97</v>
      </c>
      <c r="AE519" s="380" t="s">
        <v>494</v>
      </c>
      <c r="AF519" s="363" t="s">
        <v>667</v>
      </c>
    </row>
    <row r="520" spans="2:32" ht="15" hidden="1" customHeight="1" x14ac:dyDescent="0.3">
      <c r="B520" s="380" t="s">
        <v>5</v>
      </c>
      <c r="C520" s="409" t="s">
        <v>751</v>
      </c>
      <c r="D520" s="423" t="s">
        <v>151</v>
      </c>
      <c r="E520" s="408">
        <v>307000844</v>
      </c>
      <c r="F520" s="488">
        <v>46129</v>
      </c>
      <c r="G520" s="380" t="s">
        <v>55</v>
      </c>
      <c r="H520" s="380">
        <v>1</v>
      </c>
      <c r="I520" s="388">
        <v>124440</v>
      </c>
      <c r="J520" s="380">
        <v>4</v>
      </c>
      <c r="K520" s="389">
        <f t="shared" si="23"/>
        <v>31110</v>
      </c>
      <c r="L520" s="505">
        <v>46113</v>
      </c>
      <c r="M520" s="505">
        <v>46477</v>
      </c>
      <c r="N520" s="363" t="s">
        <v>520</v>
      </c>
      <c r="O520" s="380"/>
      <c r="P520" s="380"/>
      <c r="Q520" s="390" t="s">
        <v>397</v>
      </c>
      <c r="R520" s="363" t="s">
        <v>1853</v>
      </c>
      <c r="S520" s="363" t="s">
        <v>496</v>
      </c>
      <c r="T520" s="363"/>
      <c r="U520" s="363" t="s">
        <v>497</v>
      </c>
      <c r="V520" s="363"/>
      <c r="W520" s="363" t="s">
        <v>498</v>
      </c>
      <c r="X520" s="363"/>
      <c r="Y520" s="363"/>
      <c r="Z520" s="363"/>
      <c r="AA520" s="363"/>
      <c r="AB520" s="363"/>
      <c r="AC520" s="363" t="s">
        <v>507</v>
      </c>
      <c r="AD520" s="380" t="s">
        <v>63</v>
      </c>
      <c r="AE520" s="380">
        <v>4</v>
      </c>
      <c r="AF520" s="363" t="s">
        <v>1626</v>
      </c>
    </row>
    <row r="521" spans="2:32" ht="15" hidden="1" customHeight="1" x14ac:dyDescent="0.3">
      <c r="B521" s="380" t="s">
        <v>5</v>
      </c>
      <c r="C521" s="409" t="s">
        <v>875</v>
      </c>
      <c r="D521" s="423" t="s">
        <v>876</v>
      </c>
      <c r="E521" s="484" t="s">
        <v>1698</v>
      </c>
      <c r="F521" s="488">
        <v>46133</v>
      </c>
      <c r="G521" s="380" t="s">
        <v>55</v>
      </c>
      <c r="H521" s="380">
        <v>3</v>
      </c>
      <c r="I521" s="388">
        <v>461100</v>
      </c>
      <c r="J521" s="380">
        <v>3</v>
      </c>
      <c r="K521" s="389">
        <f t="shared" si="23"/>
        <v>153700</v>
      </c>
      <c r="L521" s="505">
        <v>46143</v>
      </c>
      <c r="M521" s="505">
        <v>46507</v>
      </c>
      <c r="N521" s="363" t="s">
        <v>520</v>
      </c>
      <c r="O521" s="380"/>
      <c r="P521" s="380"/>
      <c r="Q521" s="363" t="s">
        <v>348</v>
      </c>
      <c r="R521" s="363"/>
      <c r="S521" s="363" t="s">
        <v>349</v>
      </c>
      <c r="T521" s="363"/>
      <c r="U521" s="363" t="s">
        <v>738</v>
      </c>
      <c r="V521" s="363"/>
      <c r="W521" s="363"/>
      <c r="X521" s="363"/>
      <c r="Y521" s="363"/>
      <c r="Z521" s="363"/>
      <c r="AA521" s="363"/>
      <c r="AB521" s="363"/>
      <c r="AC521" s="363" t="s">
        <v>281</v>
      </c>
      <c r="AD521" s="380" t="s">
        <v>97</v>
      </c>
      <c r="AE521" s="380">
        <v>3</v>
      </c>
      <c r="AF521" s="363" t="s">
        <v>799</v>
      </c>
    </row>
    <row r="522" spans="2:32" ht="15" hidden="1" customHeight="1" x14ac:dyDescent="0.3">
      <c r="B522" s="380" t="s">
        <v>5</v>
      </c>
      <c r="C522" s="409" t="s">
        <v>1699</v>
      </c>
      <c r="D522" s="423" t="s">
        <v>906</v>
      </c>
      <c r="E522" s="408" t="s">
        <v>1700</v>
      </c>
      <c r="F522" s="488">
        <v>46136</v>
      </c>
      <c r="G522" s="380" t="s">
        <v>55</v>
      </c>
      <c r="H522" s="380">
        <v>2</v>
      </c>
      <c r="I522" s="388">
        <v>180000</v>
      </c>
      <c r="J522" s="380">
        <v>3</v>
      </c>
      <c r="K522" s="389">
        <f t="shared" si="23"/>
        <v>60000</v>
      </c>
      <c r="L522" s="505">
        <v>45953</v>
      </c>
      <c r="M522" s="505">
        <v>46317</v>
      </c>
      <c r="N522" s="363" t="s">
        <v>520</v>
      </c>
      <c r="O522" s="380"/>
      <c r="P522" s="380"/>
      <c r="Q522" s="390" t="s">
        <v>1701</v>
      </c>
      <c r="R522" s="363"/>
      <c r="S522" s="390" t="s">
        <v>1702</v>
      </c>
      <c r="T522" s="363" t="s">
        <v>1877</v>
      </c>
      <c r="U522" s="363" t="s">
        <v>1703</v>
      </c>
      <c r="V522" s="363"/>
      <c r="W522" s="363"/>
      <c r="X522" s="363"/>
      <c r="Y522" s="363"/>
      <c r="Z522" s="363"/>
      <c r="AA522" s="363"/>
      <c r="AB522" s="363"/>
      <c r="AC522" s="363" t="s">
        <v>551</v>
      </c>
      <c r="AD522" s="380" t="s">
        <v>207</v>
      </c>
      <c r="AE522" s="380">
        <v>3</v>
      </c>
      <c r="AF522" s="363" t="s">
        <v>1704</v>
      </c>
    </row>
    <row r="523" spans="2:32" ht="15" hidden="1" customHeight="1" x14ac:dyDescent="0.3">
      <c r="B523" s="380" t="s">
        <v>5</v>
      </c>
      <c r="C523" s="478" t="s">
        <v>628</v>
      </c>
      <c r="D523" s="480" t="s">
        <v>910</v>
      </c>
      <c r="E523" s="481" t="s">
        <v>1705</v>
      </c>
      <c r="F523" s="496">
        <v>46128</v>
      </c>
      <c r="G523" s="380" t="s">
        <v>55</v>
      </c>
      <c r="H523" s="380">
        <v>3</v>
      </c>
      <c r="I523" s="388">
        <v>163500</v>
      </c>
      <c r="J523" s="380">
        <v>1</v>
      </c>
      <c r="K523" s="389">
        <f t="shared" si="23"/>
        <v>163500</v>
      </c>
      <c r="L523" s="504">
        <v>46113</v>
      </c>
      <c r="M523" s="504">
        <v>46477</v>
      </c>
      <c r="N523" s="363" t="s">
        <v>520</v>
      </c>
      <c r="O523" s="380"/>
      <c r="P523" s="380"/>
      <c r="Q523" s="363" t="s">
        <v>1706</v>
      </c>
      <c r="R523" s="363"/>
      <c r="S523" s="363"/>
      <c r="T523" s="363"/>
      <c r="U523" s="363"/>
      <c r="V523" s="363"/>
      <c r="W523" s="363"/>
      <c r="X523" s="363"/>
      <c r="Y523" s="363"/>
      <c r="Z523" s="363"/>
      <c r="AA523" s="363"/>
      <c r="AB523" s="363"/>
      <c r="AC523" s="363" t="s">
        <v>485</v>
      </c>
      <c r="AD523" s="380" t="s">
        <v>63</v>
      </c>
      <c r="AE523" s="380">
        <v>2</v>
      </c>
      <c r="AF523" s="363" t="s">
        <v>1488</v>
      </c>
    </row>
    <row r="524" spans="2:32" ht="15" hidden="1" customHeight="1" x14ac:dyDescent="0.3">
      <c r="B524" s="380" t="s">
        <v>5</v>
      </c>
      <c r="C524" s="412" t="s">
        <v>1707</v>
      </c>
      <c r="D524" s="510" t="s">
        <v>176</v>
      </c>
      <c r="E524" s="515">
        <v>26000193</v>
      </c>
      <c r="F524" s="499">
        <v>46118</v>
      </c>
      <c r="G524" s="380" t="s">
        <v>55</v>
      </c>
      <c r="H524" s="380">
        <v>1</v>
      </c>
      <c r="I524" s="388">
        <v>94500</v>
      </c>
      <c r="J524" s="380">
        <v>3</v>
      </c>
      <c r="K524" s="389"/>
      <c r="L524" s="516">
        <v>46113</v>
      </c>
      <c r="M524" s="516">
        <v>46477</v>
      </c>
      <c r="N524" s="363" t="s">
        <v>520</v>
      </c>
      <c r="O524" s="380"/>
      <c r="P524" s="380"/>
      <c r="Q524" s="390" t="s">
        <v>1080</v>
      </c>
      <c r="R524" s="363" t="s">
        <v>1859</v>
      </c>
      <c r="S524" s="363" t="s">
        <v>1108</v>
      </c>
      <c r="T524" s="363"/>
      <c r="U524" s="363" t="s">
        <v>1109</v>
      </c>
      <c r="V524" s="363"/>
      <c r="W524" s="363"/>
      <c r="X524" s="363"/>
      <c r="Y524" s="363"/>
      <c r="Z524" s="363"/>
      <c r="AA524" s="363"/>
      <c r="AB524" s="363"/>
      <c r="AC524" s="363" t="s">
        <v>485</v>
      </c>
      <c r="AD524" s="380" t="s">
        <v>63</v>
      </c>
      <c r="AE524" s="380">
        <v>2</v>
      </c>
      <c r="AF524" s="363" t="s">
        <v>1708</v>
      </c>
    </row>
    <row r="525" spans="2:32" ht="15" hidden="1" customHeight="1" x14ac:dyDescent="0.3">
      <c r="B525" s="380" t="s">
        <v>6</v>
      </c>
      <c r="C525" s="409" t="s">
        <v>663</v>
      </c>
      <c r="D525" s="434" t="s">
        <v>950</v>
      </c>
      <c r="E525" s="380">
        <v>4508018808</v>
      </c>
      <c r="F525" s="488">
        <v>46140</v>
      </c>
      <c r="G525" s="380" t="s">
        <v>55</v>
      </c>
      <c r="H525" s="380">
        <v>6</v>
      </c>
      <c r="I525" s="388">
        <v>479999.88</v>
      </c>
      <c r="J525" s="380">
        <v>3</v>
      </c>
      <c r="K525" s="389">
        <f>I525/J525</f>
        <v>159999.96</v>
      </c>
      <c r="L525" s="517">
        <v>46113</v>
      </c>
      <c r="M525" s="517">
        <v>46477</v>
      </c>
      <c r="N525" s="363" t="s">
        <v>520</v>
      </c>
      <c r="O525" s="380"/>
      <c r="P525" s="380"/>
      <c r="Q525" s="363" t="s">
        <v>1080</v>
      </c>
      <c r="R525" s="363"/>
      <c r="S525" s="363" t="s">
        <v>1108</v>
      </c>
      <c r="T525" s="363"/>
      <c r="U525" s="363" t="s">
        <v>1109</v>
      </c>
      <c r="V525" s="363"/>
      <c r="W525" s="363"/>
      <c r="X525" s="363"/>
      <c r="Y525" s="363"/>
      <c r="Z525" s="363"/>
      <c r="AA525" s="363"/>
      <c r="AB525" s="363"/>
      <c r="AC525" s="363" t="s">
        <v>478</v>
      </c>
      <c r="AD525" s="380" t="s">
        <v>63</v>
      </c>
      <c r="AE525" s="380">
        <v>3</v>
      </c>
      <c r="AF525" s="363" t="s">
        <v>1272</v>
      </c>
    </row>
    <row r="526" spans="2:32" ht="15" hidden="1" customHeight="1" x14ac:dyDescent="0.3">
      <c r="B526" s="380" t="s">
        <v>6</v>
      </c>
      <c r="C526" s="409" t="s">
        <v>150</v>
      </c>
      <c r="D526" s="423" t="s">
        <v>350</v>
      </c>
      <c r="E526" s="408">
        <v>4200384269</v>
      </c>
      <c r="F526" s="488">
        <v>46100</v>
      </c>
      <c r="G526" s="380" t="s">
        <v>55</v>
      </c>
      <c r="H526" s="380">
        <v>1</v>
      </c>
      <c r="I526" s="388">
        <v>123300</v>
      </c>
      <c r="J526" s="380">
        <v>3</v>
      </c>
      <c r="K526" s="389">
        <f>I526/J526</f>
        <v>41100</v>
      </c>
      <c r="L526" s="505">
        <v>46113</v>
      </c>
      <c r="M526" s="505">
        <v>46477</v>
      </c>
      <c r="N526" s="363" t="s">
        <v>520</v>
      </c>
      <c r="O526" s="380"/>
      <c r="P526" s="380"/>
      <c r="Q526" s="390" t="s">
        <v>1080</v>
      </c>
      <c r="R526" s="363" t="s">
        <v>1878</v>
      </c>
      <c r="S526" s="363" t="s">
        <v>1108</v>
      </c>
      <c r="T526" s="363"/>
      <c r="U526" s="363" t="s">
        <v>1109</v>
      </c>
      <c r="V526" s="363"/>
      <c r="W526" s="363"/>
      <c r="X526" s="363"/>
      <c r="Y526" s="363"/>
      <c r="Z526" s="363"/>
      <c r="AA526" s="363"/>
      <c r="AB526" s="363"/>
      <c r="AC526" s="363" t="s">
        <v>834</v>
      </c>
      <c r="AD526" s="380" t="s">
        <v>207</v>
      </c>
      <c r="AE526" s="380">
        <v>2</v>
      </c>
      <c r="AF526" s="363" t="s">
        <v>1272</v>
      </c>
    </row>
    <row r="527" spans="2:32" ht="15" hidden="1" customHeight="1" x14ac:dyDescent="0.3">
      <c r="B527" s="380" t="s">
        <v>6</v>
      </c>
      <c r="C527" s="409" t="s">
        <v>150</v>
      </c>
      <c r="D527" s="423" t="s">
        <v>350</v>
      </c>
      <c r="E527" s="408">
        <v>4200384269</v>
      </c>
      <c r="F527" s="488">
        <v>46100</v>
      </c>
      <c r="G527" s="380" t="s">
        <v>55</v>
      </c>
      <c r="H527" s="380"/>
      <c r="I527" s="388">
        <v>129600</v>
      </c>
      <c r="J527" s="380">
        <v>3</v>
      </c>
      <c r="K527" s="389">
        <f>I527/J527</f>
        <v>43200</v>
      </c>
      <c r="L527" s="507">
        <v>46478</v>
      </c>
      <c r="M527" s="507">
        <v>46843</v>
      </c>
      <c r="N527" s="363" t="s">
        <v>520</v>
      </c>
      <c r="O527" s="380"/>
      <c r="P527" s="380"/>
      <c r="Q527" s="363" t="s">
        <v>1110</v>
      </c>
      <c r="R527" s="363"/>
      <c r="S527" s="363" t="s">
        <v>1742</v>
      </c>
      <c r="T527" s="363"/>
      <c r="U527" s="363" t="s">
        <v>1112</v>
      </c>
      <c r="V527" s="363"/>
      <c r="W527" s="363"/>
      <c r="X527" s="363"/>
      <c r="Y527" s="363"/>
      <c r="Z527" s="363"/>
      <c r="AA527" s="363"/>
      <c r="AB527" s="363"/>
      <c r="AC527" s="363" t="s">
        <v>834</v>
      </c>
      <c r="AD527" s="380" t="s">
        <v>207</v>
      </c>
      <c r="AE527" s="380">
        <v>2</v>
      </c>
      <c r="AF527" s="363" t="s">
        <v>1272</v>
      </c>
    </row>
    <row r="528" spans="2:32" ht="15" hidden="1" customHeight="1" x14ac:dyDescent="0.3">
      <c r="B528" s="380" t="s">
        <v>6</v>
      </c>
      <c r="C528" s="409" t="s">
        <v>150</v>
      </c>
      <c r="D528" s="423" t="s">
        <v>350</v>
      </c>
      <c r="E528" s="408">
        <v>4200384269</v>
      </c>
      <c r="F528" s="488">
        <v>46100</v>
      </c>
      <c r="G528" s="380" t="s">
        <v>55</v>
      </c>
      <c r="H528" s="380"/>
      <c r="I528" s="388">
        <v>136200</v>
      </c>
      <c r="J528" s="380">
        <v>3</v>
      </c>
      <c r="K528" s="389">
        <f>I528/J528</f>
        <v>45400</v>
      </c>
      <c r="L528" s="507">
        <v>46844</v>
      </c>
      <c r="M528" s="507">
        <v>47208</v>
      </c>
      <c r="N528" s="363" t="s">
        <v>520</v>
      </c>
      <c r="O528" s="380"/>
      <c r="P528" s="380"/>
      <c r="Q528" s="363" t="s">
        <v>1743</v>
      </c>
      <c r="R528" s="363"/>
      <c r="S528" s="363" t="s">
        <v>1744</v>
      </c>
      <c r="T528" s="363"/>
      <c r="U528" s="363" t="s">
        <v>1745</v>
      </c>
      <c r="V528" s="363"/>
      <c r="W528" s="363"/>
      <c r="X528" s="363"/>
      <c r="Y528" s="363"/>
      <c r="Z528" s="363"/>
      <c r="AA528" s="363"/>
      <c r="AB528" s="363"/>
      <c r="AC528" s="363" t="s">
        <v>834</v>
      </c>
      <c r="AD528" s="380" t="s">
        <v>207</v>
      </c>
      <c r="AE528" s="380">
        <v>2</v>
      </c>
      <c r="AF528" s="363" t="s">
        <v>1272</v>
      </c>
    </row>
    <row r="529" spans="2:32" ht="15" hidden="1" customHeight="1" x14ac:dyDescent="0.3">
      <c r="B529" s="380" t="s">
        <v>6</v>
      </c>
      <c r="C529" s="482" t="s">
        <v>1746</v>
      </c>
      <c r="D529" s="483" t="s">
        <v>388</v>
      </c>
      <c r="E529" s="468">
        <v>5000146860</v>
      </c>
      <c r="F529" s="501">
        <v>46136</v>
      </c>
      <c r="G529" s="380" t="s">
        <v>55</v>
      </c>
      <c r="H529" s="380">
        <v>1</v>
      </c>
      <c r="I529" s="388">
        <v>89300</v>
      </c>
      <c r="J529" s="380">
        <v>2</v>
      </c>
      <c r="K529" s="389">
        <f>I529/J529</f>
        <v>44650</v>
      </c>
      <c r="L529" s="504">
        <v>46113</v>
      </c>
      <c r="M529" s="504">
        <v>46477</v>
      </c>
      <c r="N529" s="363" t="s">
        <v>520</v>
      </c>
      <c r="O529" s="380"/>
      <c r="P529" s="380" t="s">
        <v>1</v>
      </c>
      <c r="Q529" s="363" t="s">
        <v>467</v>
      </c>
      <c r="R529" s="363"/>
      <c r="S529" s="363" t="s">
        <v>1633</v>
      </c>
      <c r="T529" s="363"/>
      <c r="U529" s="363"/>
      <c r="V529" s="363"/>
      <c r="W529" s="363"/>
      <c r="X529" s="363"/>
      <c r="Y529" s="363"/>
      <c r="Z529" s="363"/>
      <c r="AA529" s="363"/>
      <c r="AB529" s="363"/>
      <c r="AC529" s="363" t="s">
        <v>619</v>
      </c>
      <c r="AD529" s="380" t="s">
        <v>63</v>
      </c>
      <c r="AE529" s="380">
        <v>3</v>
      </c>
      <c r="AF529" s="363" t="s">
        <v>667</v>
      </c>
    </row>
    <row r="530" spans="2:32" ht="15" hidden="1" customHeight="1" x14ac:dyDescent="0.3">
      <c r="B530" s="380" t="s">
        <v>6</v>
      </c>
      <c r="C530" s="482" t="s">
        <v>845</v>
      </c>
      <c r="D530" s="483" t="s">
        <v>846</v>
      </c>
      <c r="E530" s="468">
        <v>901984108</v>
      </c>
      <c r="F530" s="501">
        <v>46136</v>
      </c>
      <c r="G530" s="380" t="s">
        <v>55</v>
      </c>
      <c r="H530" s="380">
        <v>1</v>
      </c>
      <c r="I530" s="388">
        <v>139000</v>
      </c>
      <c r="J530" s="380">
        <v>3</v>
      </c>
      <c r="K530" s="389">
        <f>I530/2</f>
        <v>69500</v>
      </c>
      <c r="L530" s="504">
        <v>46023</v>
      </c>
      <c r="M530" s="504">
        <v>46387</v>
      </c>
      <c r="N530" s="363" t="s">
        <v>520</v>
      </c>
      <c r="O530" s="380"/>
      <c r="P530" s="380" t="s">
        <v>1</v>
      </c>
      <c r="Q530" s="390" t="s">
        <v>347</v>
      </c>
      <c r="R530" s="363" t="s">
        <v>1747</v>
      </c>
      <c r="S530" s="363" t="s">
        <v>348</v>
      </c>
      <c r="T530" s="363"/>
      <c r="U530" s="363" t="s">
        <v>349</v>
      </c>
      <c r="V530" s="363"/>
      <c r="W530" s="363"/>
      <c r="X530" s="363"/>
      <c r="Y530" s="363"/>
      <c r="Z530" s="363"/>
      <c r="AA530" s="363"/>
      <c r="AB530" s="363"/>
      <c r="AC530" s="363" t="s">
        <v>551</v>
      </c>
      <c r="AD530" s="380" t="s">
        <v>207</v>
      </c>
      <c r="AE530" s="380">
        <v>3</v>
      </c>
      <c r="AF530" s="363" t="s">
        <v>1748</v>
      </c>
    </row>
    <row r="531" spans="2:32" ht="15" hidden="1" customHeight="1" x14ac:dyDescent="0.3">
      <c r="B531" s="380" t="s">
        <v>6</v>
      </c>
      <c r="C531" s="430" t="s">
        <v>685</v>
      </c>
      <c r="D531" s="445" t="s">
        <v>151</v>
      </c>
      <c r="E531" s="419">
        <v>4514137209</v>
      </c>
      <c r="F531" s="488">
        <v>46147</v>
      </c>
      <c r="G531" s="380" t="s">
        <v>55</v>
      </c>
      <c r="H531" s="380">
        <v>1</v>
      </c>
      <c r="I531" s="388">
        <v>285000</v>
      </c>
      <c r="J531" s="380">
        <v>3</v>
      </c>
      <c r="K531" s="389">
        <f t="shared" ref="K531:K543" si="24">I531/J531</f>
        <v>95000</v>
      </c>
      <c r="L531" s="504">
        <v>46143</v>
      </c>
      <c r="M531" s="504">
        <v>46507</v>
      </c>
      <c r="N531" s="363" t="s">
        <v>520</v>
      </c>
      <c r="O531" s="380"/>
      <c r="P531" s="380"/>
      <c r="Q531" s="363" t="s">
        <v>348</v>
      </c>
      <c r="R531" s="363"/>
      <c r="S531" s="363" t="s">
        <v>349</v>
      </c>
      <c r="T531" s="363"/>
      <c r="U531" s="363" t="s">
        <v>738</v>
      </c>
      <c r="V531" s="363"/>
      <c r="W531" s="363"/>
      <c r="X531" s="363"/>
      <c r="Y531" s="363"/>
      <c r="Z531" s="363"/>
      <c r="AA531" s="363"/>
      <c r="AB531" s="363"/>
      <c r="AC531" s="363" t="s">
        <v>478</v>
      </c>
      <c r="AD531" s="380" t="s">
        <v>63</v>
      </c>
      <c r="AE531" s="380">
        <v>3</v>
      </c>
      <c r="AF531" s="363" t="s">
        <v>667</v>
      </c>
    </row>
    <row r="532" spans="2:32" ht="15" hidden="1" customHeight="1" x14ac:dyDescent="0.3">
      <c r="B532" s="380" t="s">
        <v>6</v>
      </c>
      <c r="C532" s="363" t="s">
        <v>1749</v>
      </c>
      <c r="D532" s="483" t="s">
        <v>841</v>
      </c>
      <c r="E532" s="468" t="s">
        <v>1750</v>
      </c>
      <c r="F532" s="488">
        <v>46144</v>
      </c>
      <c r="G532" s="380" t="s">
        <v>55</v>
      </c>
      <c r="H532" s="380">
        <v>2</v>
      </c>
      <c r="I532" s="388">
        <v>110000</v>
      </c>
      <c r="J532" s="380">
        <v>1</v>
      </c>
      <c r="K532" s="389">
        <f t="shared" si="24"/>
        <v>110000</v>
      </c>
      <c r="L532" s="504">
        <v>46113</v>
      </c>
      <c r="M532" s="504">
        <v>46477</v>
      </c>
      <c r="N532" s="363" t="s">
        <v>520</v>
      </c>
      <c r="O532" s="380"/>
      <c r="P532" s="380"/>
      <c r="Q532" s="363" t="s">
        <v>646</v>
      </c>
      <c r="R532" s="363"/>
      <c r="S532" s="363"/>
      <c r="T532" s="363"/>
      <c r="U532" s="363"/>
      <c r="V532" s="363"/>
      <c r="W532" s="363"/>
      <c r="X532" s="363"/>
      <c r="Y532" s="363"/>
      <c r="Z532" s="363"/>
      <c r="AA532" s="363"/>
      <c r="AB532" s="363"/>
      <c r="AC532" s="363" t="s">
        <v>485</v>
      </c>
      <c r="AD532" s="380" t="s">
        <v>63</v>
      </c>
      <c r="AE532" s="380">
        <v>2</v>
      </c>
      <c r="AF532" s="363" t="s">
        <v>1751</v>
      </c>
    </row>
    <row r="533" spans="2:32" ht="15" hidden="1" customHeight="1" x14ac:dyDescent="0.3">
      <c r="B533" s="380" t="s">
        <v>6</v>
      </c>
      <c r="C533" s="482" t="s">
        <v>679</v>
      </c>
      <c r="D533" s="483" t="s">
        <v>680</v>
      </c>
      <c r="E533" s="491">
        <v>7000296927</v>
      </c>
      <c r="F533" s="488">
        <v>46140</v>
      </c>
      <c r="G533" s="380" t="s">
        <v>55</v>
      </c>
      <c r="H533" s="380">
        <v>2</v>
      </c>
      <c r="I533" s="388">
        <v>180000</v>
      </c>
      <c r="J533" s="380">
        <v>2</v>
      </c>
      <c r="K533" s="389">
        <f t="shared" si="24"/>
        <v>90000</v>
      </c>
      <c r="L533" s="504">
        <v>46113</v>
      </c>
      <c r="M533" s="504">
        <v>46477</v>
      </c>
      <c r="N533" s="363" t="s">
        <v>520</v>
      </c>
      <c r="O533" s="380"/>
      <c r="P533" s="380"/>
      <c r="Q533" s="363" t="s">
        <v>467</v>
      </c>
      <c r="R533" s="363"/>
      <c r="S533" s="363" t="s">
        <v>1633</v>
      </c>
      <c r="T533" s="363"/>
      <c r="U533" s="363"/>
      <c r="V533" s="363"/>
      <c r="W533" s="363"/>
      <c r="X533" s="363"/>
      <c r="Y533" s="363"/>
      <c r="Z533" s="363"/>
      <c r="AA533" s="363"/>
      <c r="AB533" s="363"/>
      <c r="AC533" s="363" t="s">
        <v>485</v>
      </c>
      <c r="AD533" s="380" t="s">
        <v>63</v>
      </c>
      <c r="AE533" s="380">
        <v>2</v>
      </c>
      <c r="AF533" s="363" t="s">
        <v>1752</v>
      </c>
    </row>
    <row r="534" spans="2:32" ht="15" hidden="1" customHeight="1" x14ac:dyDescent="0.3">
      <c r="B534" s="380" t="s">
        <v>6</v>
      </c>
      <c r="C534" s="482" t="s">
        <v>830</v>
      </c>
      <c r="D534" s="483" t="s">
        <v>831</v>
      </c>
      <c r="E534" s="468">
        <v>3500126806</v>
      </c>
      <c r="F534" s="488">
        <v>46141</v>
      </c>
      <c r="G534" s="380" t="s">
        <v>55</v>
      </c>
      <c r="H534" s="380">
        <v>1</v>
      </c>
      <c r="I534" s="388">
        <v>120000</v>
      </c>
      <c r="J534" s="380">
        <v>3</v>
      </c>
      <c r="K534" s="389">
        <f t="shared" si="24"/>
        <v>40000</v>
      </c>
      <c r="L534" s="504">
        <v>46143</v>
      </c>
      <c r="M534" s="504">
        <v>46507</v>
      </c>
      <c r="N534" s="363" t="s">
        <v>520</v>
      </c>
      <c r="O534" s="380"/>
      <c r="P534" s="380"/>
      <c r="Q534" s="390" t="s">
        <v>348</v>
      </c>
      <c r="R534" s="363" t="s">
        <v>1733</v>
      </c>
      <c r="S534" s="363" t="s">
        <v>349</v>
      </c>
      <c r="T534" s="363"/>
      <c r="U534" s="363" t="s">
        <v>738</v>
      </c>
      <c r="V534" s="363"/>
      <c r="W534" s="363"/>
      <c r="X534" s="363"/>
      <c r="Y534" s="363"/>
      <c r="Z534" s="363"/>
      <c r="AA534" s="363"/>
      <c r="AB534" s="363"/>
      <c r="AC534" s="363" t="s">
        <v>834</v>
      </c>
      <c r="AD534" s="380" t="s">
        <v>207</v>
      </c>
      <c r="AE534" s="380">
        <v>3</v>
      </c>
      <c r="AF534" s="363" t="s">
        <v>1753</v>
      </c>
    </row>
    <row r="535" spans="2:32" ht="15" hidden="1" customHeight="1" x14ac:dyDescent="0.3">
      <c r="B535" s="380" t="s">
        <v>6</v>
      </c>
      <c r="C535" s="409" t="s">
        <v>1206</v>
      </c>
      <c r="D535" s="489" t="s">
        <v>323</v>
      </c>
      <c r="E535" s="408">
        <v>401249055</v>
      </c>
      <c r="F535" s="488">
        <v>46101</v>
      </c>
      <c r="G535" s="380" t="s">
        <v>55</v>
      </c>
      <c r="H535" s="380">
        <v>2</v>
      </c>
      <c r="I535" s="388">
        <v>196002</v>
      </c>
      <c r="J535" s="380">
        <v>2</v>
      </c>
      <c r="K535" s="389">
        <f t="shared" si="24"/>
        <v>98001</v>
      </c>
      <c r="L535" s="505">
        <v>46143</v>
      </c>
      <c r="M535" s="505">
        <v>46507</v>
      </c>
      <c r="N535" s="363" t="s">
        <v>520</v>
      </c>
      <c r="O535" s="380"/>
      <c r="P535" s="380" t="s">
        <v>437</v>
      </c>
      <c r="Q535" s="363" t="s">
        <v>1339</v>
      </c>
      <c r="R535" s="363"/>
      <c r="S535" s="363" t="s">
        <v>1644</v>
      </c>
      <c r="T535" s="363"/>
      <c r="U535" s="363"/>
      <c r="V535" s="363"/>
      <c r="W535" s="363"/>
      <c r="X535" s="363"/>
      <c r="Y535" s="363"/>
      <c r="Z535" s="363"/>
      <c r="AA535" s="363"/>
      <c r="AB535" s="363"/>
      <c r="AC535" s="363" t="s">
        <v>96</v>
      </c>
      <c r="AD535" s="380" t="s">
        <v>97</v>
      </c>
      <c r="AE535" s="380">
        <v>4</v>
      </c>
      <c r="AF535" s="363" t="s">
        <v>1754</v>
      </c>
    </row>
    <row r="536" spans="2:32" ht="15" hidden="1" customHeight="1" x14ac:dyDescent="0.3">
      <c r="B536" s="380" t="s">
        <v>6</v>
      </c>
      <c r="C536" s="409" t="s">
        <v>1206</v>
      </c>
      <c r="D536" s="489" t="s">
        <v>323</v>
      </c>
      <c r="E536" s="408">
        <v>401249055</v>
      </c>
      <c r="F536" s="488">
        <v>46101</v>
      </c>
      <c r="G536" s="380" t="s">
        <v>55</v>
      </c>
      <c r="H536" s="380"/>
      <c r="I536" s="388">
        <v>196002</v>
      </c>
      <c r="J536" s="380">
        <v>2</v>
      </c>
      <c r="K536" s="389">
        <f t="shared" si="24"/>
        <v>98001</v>
      </c>
      <c r="L536" s="505">
        <v>46508</v>
      </c>
      <c r="M536" s="505">
        <v>46873</v>
      </c>
      <c r="N536" s="363" t="s">
        <v>520</v>
      </c>
      <c r="O536" s="380"/>
      <c r="P536" s="380" t="s">
        <v>437</v>
      </c>
      <c r="Q536" s="363" t="s">
        <v>1755</v>
      </c>
      <c r="R536" s="363"/>
      <c r="S536" s="363" t="s">
        <v>1756</v>
      </c>
      <c r="T536" s="363"/>
      <c r="U536" s="363"/>
      <c r="V536" s="363"/>
      <c r="W536" s="363"/>
      <c r="X536" s="363"/>
      <c r="Y536" s="363"/>
      <c r="Z536" s="363"/>
      <c r="AA536" s="363"/>
      <c r="AB536" s="363"/>
      <c r="AC536" s="363" t="s">
        <v>96</v>
      </c>
      <c r="AD536" s="380" t="s">
        <v>97</v>
      </c>
      <c r="AE536" s="380">
        <v>4</v>
      </c>
      <c r="AF536" s="363" t="s">
        <v>1754</v>
      </c>
    </row>
    <row r="537" spans="2:32" ht="15" hidden="1" customHeight="1" x14ac:dyDescent="0.3">
      <c r="B537" s="380" t="s">
        <v>6</v>
      </c>
      <c r="C537" s="409" t="s">
        <v>195</v>
      </c>
      <c r="D537" s="423" t="s">
        <v>858</v>
      </c>
      <c r="E537" s="408" t="s">
        <v>1757</v>
      </c>
      <c r="F537" s="488">
        <v>46104</v>
      </c>
      <c r="G537" s="380" t="s">
        <v>55</v>
      </c>
      <c r="H537" s="380">
        <v>5</v>
      </c>
      <c r="I537" s="388">
        <v>281300</v>
      </c>
      <c r="J537" s="380">
        <v>4</v>
      </c>
      <c r="K537" s="389">
        <f t="shared" si="24"/>
        <v>70325</v>
      </c>
      <c r="L537" s="505">
        <v>46104</v>
      </c>
      <c r="M537" s="505">
        <v>46468</v>
      </c>
      <c r="N537" s="363" t="s">
        <v>520</v>
      </c>
      <c r="O537" s="380"/>
      <c r="P537" s="380"/>
      <c r="Q537" s="390" t="s">
        <v>1758</v>
      </c>
      <c r="R537" s="363" t="s">
        <v>1737</v>
      </c>
      <c r="S537" s="363" t="s">
        <v>1759</v>
      </c>
      <c r="T537" s="363"/>
      <c r="U537" s="363" t="s">
        <v>1760</v>
      </c>
      <c r="V537" s="363"/>
      <c r="W537" s="363" t="s">
        <v>1761</v>
      </c>
      <c r="X537" s="363"/>
      <c r="Y537" s="363"/>
      <c r="Z537" s="363"/>
      <c r="AA537" s="363"/>
      <c r="AB537" s="363"/>
      <c r="AC537" s="363" t="s">
        <v>551</v>
      </c>
      <c r="AD537" s="380" t="s">
        <v>207</v>
      </c>
      <c r="AE537" s="380">
        <v>3</v>
      </c>
      <c r="AF537" s="363" t="s">
        <v>1762</v>
      </c>
    </row>
    <row r="538" spans="2:32" ht="15" hidden="1" customHeight="1" x14ac:dyDescent="0.3">
      <c r="B538" s="380" t="s">
        <v>6</v>
      </c>
      <c r="C538" s="409" t="s">
        <v>195</v>
      </c>
      <c r="D538" s="423" t="s">
        <v>858</v>
      </c>
      <c r="E538" s="408" t="s">
        <v>1757</v>
      </c>
      <c r="F538" s="488">
        <v>46104</v>
      </c>
      <c r="G538" s="380" t="s">
        <v>55</v>
      </c>
      <c r="H538" s="380"/>
      <c r="I538" s="388">
        <v>281300</v>
      </c>
      <c r="J538" s="380">
        <v>4</v>
      </c>
      <c r="K538" s="389">
        <f t="shared" si="24"/>
        <v>70325</v>
      </c>
      <c r="L538" s="505">
        <v>46469</v>
      </c>
      <c r="M538" s="505">
        <v>46834</v>
      </c>
      <c r="N538" s="363" t="s">
        <v>520</v>
      </c>
      <c r="O538" s="380"/>
      <c r="P538" s="380"/>
      <c r="Q538" s="363" t="s">
        <v>1763</v>
      </c>
      <c r="R538" s="363"/>
      <c r="S538" s="363" t="s">
        <v>1764</v>
      </c>
      <c r="T538" s="363"/>
      <c r="U538" s="363" t="s">
        <v>1765</v>
      </c>
      <c r="V538" s="363"/>
      <c r="W538" s="363" t="s">
        <v>1766</v>
      </c>
      <c r="X538" s="363"/>
      <c r="Y538" s="363"/>
      <c r="Z538" s="363"/>
      <c r="AA538" s="363"/>
      <c r="AB538" s="363"/>
      <c r="AC538" s="363" t="s">
        <v>551</v>
      </c>
      <c r="AD538" s="380" t="s">
        <v>207</v>
      </c>
      <c r="AE538" s="380">
        <v>3</v>
      </c>
      <c r="AF538" s="363" t="s">
        <v>1762</v>
      </c>
    </row>
    <row r="539" spans="2:32" ht="15" hidden="1" customHeight="1" x14ac:dyDescent="0.3">
      <c r="B539" s="380" t="s">
        <v>6</v>
      </c>
      <c r="C539" s="409" t="s">
        <v>195</v>
      </c>
      <c r="D539" s="423" t="s">
        <v>858</v>
      </c>
      <c r="E539" s="408" t="s">
        <v>1757</v>
      </c>
      <c r="F539" s="488">
        <v>46104</v>
      </c>
      <c r="G539" s="380" t="s">
        <v>55</v>
      </c>
      <c r="H539" s="380"/>
      <c r="I539" s="388">
        <v>281300</v>
      </c>
      <c r="J539" s="380">
        <v>4</v>
      </c>
      <c r="K539" s="389">
        <f t="shared" si="24"/>
        <v>70325</v>
      </c>
      <c r="L539" s="505">
        <v>46835</v>
      </c>
      <c r="M539" s="505">
        <v>47199</v>
      </c>
      <c r="N539" s="363" t="s">
        <v>520</v>
      </c>
      <c r="O539" s="380"/>
      <c r="P539" s="380"/>
      <c r="Q539" s="363" t="s">
        <v>1767</v>
      </c>
      <c r="R539" s="363"/>
      <c r="S539" s="363" t="s">
        <v>1768</v>
      </c>
      <c r="T539" s="363"/>
      <c r="U539" s="363" t="s">
        <v>1769</v>
      </c>
      <c r="V539" s="363"/>
      <c r="W539" s="363" t="s">
        <v>1770</v>
      </c>
      <c r="X539" s="363"/>
      <c r="Y539" s="363"/>
      <c r="Z539" s="363"/>
      <c r="AA539" s="363"/>
      <c r="AB539" s="363"/>
      <c r="AC539" s="363" t="s">
        <v>551</v>
      </c>
      <c r="AD539" s="380" t="s">
        <v>207</v>
      </c>
      <c r="AE539" s="380">
        <v>3</v>
      </c>
      <c r="AF539" s="363" t="s">
        <v>1762</v>
      </c>
    </row>
    <row r="540" spans="2:32" ht="15" hidden="1" customHeight="1" x14ac:dyDescent="0.3">
      <c r="B540" s="380" t="s">
        <v>6</v>
      </c>
      <c r="C540" s="409" t="s">
        <v>948</v>
      </c>
      <c r="D540" s="423" t="s">
        <v>949</v>
      </c>
      <c r="E540" s="380">
        <v>9000019753</v>
      </c>
      <c r="F540" s="488">
        <v>46149</v>
      </c>
      <c r="G540" s="380" t="s">
        <v>55</v>
      </c>
      <c r="H540" s="380">
        <v>4</v>
      </c>
      <c r="I540" s="388">
        <v>310400</v>
      </c>
      <c r="J540" s="380">
        <v>4</v>
      </c>
      <c r="K540" s="389">
        <f t="shared" si="24"/>
        <v>77600</v>
      </c>
      <c r="L540" s="505">
        <v>46143</v>
      </c>
      <c r="M540" s="505">
        <v>46507</v>
      </c>
      <c r="N540" s="363" t="s">
        <v>520</v>
      </c>
      <c r="O540" s="380"/>
      <c r="P540" s="380"/>
      <c r="Q540" s="390" t="s">
        <v>444</v>
      </c>
      <c r="R540" s="363" t="s">
        <v>1856</v>
      </c>
      <c r="S540" s="363" t="s">
        <v>1443</v>
      </c>
      <c r="T540" s="363"/>
      <c r="U540" s="363" t="s">
        <v>456</v>
      </c>
      <c r="V540" s="363"/>
      <c r="W540" s="363" t="s">
        <v>457</v>
      </c>
      <c r="X540" s="363"/>
      <c r="Y540" s="363"/>
      <c r="Z540" s="363"/>
      <c r="AA540" s="363"/>
      <c r="AB540" s="363"/>
      <c r="AC540" s="363" t="s">
        <v>551</v>
      </c>
      <c r="AD540" s="380" t="s">
        <v>207</v>
      </c>
      <c r="AE540" s="380">
        <v>4</v>
      </c>
      <c r="AF540" s="363" t="s">
        <v>1762</v>
      </c>
    </row>
    <row r="541" spans="2:32" ht="15" hidden="1" customHeight="1" x14ac:dyDescent="0.3">
      <c r="B541" s="380" t="s">
        <v>6</v>
      </c>
      <c r="C541" s="482" t="s">
        <v>663</v>
      </c>
      <c r="D541" s="483" t="s">
        <v>1114</v>
      </c>
      <c r="E541" s="468">
        <v>4508000076</v>
      </c>
      <c r="F541" s="488">
        <v>46127</v>
      </c>
      <c r="G541" s="380" t="s">
        <v>55</v>
      </c>
      <c r="H541" s="380">
        <v>4</v>
      </c>
      <c r="I541" s="388">
        <v>320000</v>
      </c>
      <c r="J541" s="380">
        <v>3</v>
      </c>
      <c r="K541" s="389">
        <f t="shared" si="24"/>
        <v>106666.66666666667</v>
      </c>
      <c r="L541" s="504">
        <v>46113</v>
      </c>
      <c r="M541" s="504">
        <v>46477</v>
      </c>
      <c r="N541" s="363" t="s">
        <v>520</v>
      </c>
      <c r="O541" s="380"/>
      <c r="P541" s="380"/>
      <c r="Q541" s="390" t="s">
        <v>1080</v>
      </c>
      <c r="R541" s="363" t="s">
        <v>1722</v>
      </c>
      <c r="S541" s="363" t="s">
        <v>1108</v>
      </c>
      <c r="T541" s="363"/>
      <c r="U541" s="363" t="s">
        <v>1109</v>
      </c>
      <c r="V541" s="363"/>
      <c r="W541" s="363"/>
      <c r="X541" s="363"/>
      <c r="Y541" s="363"/>
      <c r="Z541" s="363"/>
      <c r="AA541" s="363"/>
      <c r="AB541" s="363"/>
      <c r="AC541" s="363" t="s">
        <v>183</v>
      </c>
      <c r="AD541" s="380" t="s">
        <v>97</v>
      </c>
      <c r="AE541" s="380">
        <v>3</v>
      </c>
      <c r="AF541" s="363" t="s">
        <v>1771</v>
      </c>
    </row>
    <row r="542" spans="2:32" ht="15" hidden="1" customHeight="1" x14ac:dyDescent="0.3">
      <c r="B542" s="380" t="s">
        <v>6</v>
      </c>
      <c r="C542" s="409" t="s">
        <v>595</v>
      </c>
      <c r="D542" s="418" t="s">
        <v>1000</v>
      </c>
      <c r="E542" s="548">
        <v>3110016879</v>
      </c>
      <c r="F542" s="488">
        <v>46074</v>
      </c>
      <c r="G542" s="380" t="s">
        <v>55</v>
      </c>
      <c r="H542" s="380">
        <v>11</v>
      </c>
      <c r="I542" s="388">
        <v>660000</v>
      </c>
      <c r="J542" s="380">
        <v>3</v>
      </c>
      <c r="K542" s="389">
        <f t="shared" si="24"/>
        <v>220000</v>
      </c>
      <c r="L542" s="505">
        <v>46143</v>
      </c>
      <c r="M542" s="505">
        <v>46507</v>
      </c>
      <c r="N542" s="363" t="s">
        <v>520</v>
      </c>
      <c r="O542" s="380"/>
      <c r="P542" s="380"/>
      <c r="Q542" s="363" t="s">
        <v>348</v>
      </c>
      <c r="R542" s="363"/>
      <c r="S542" s="363" t="s">
        <v>349</v>
      </c>
      <c r="T542" s="363"/>
      <c r="U542" s="363" t="s">
        <v>738</v>
      </c>
      <c r="V542" s="363"/>
      <c r="W542" s="363"/>
      <c r="X542" s="363"/>
      <c r="Y542" s="363"/>
      <c r="Z542" s="363"/>
      <c r="AA542" s="363"/>
      <c r="AB542" s="363"/>
      <c r="AC542" s="363" t="s">
        <v>507</v>
      </c>
      <c r="AD542" s="380" t="s">
        <v>63</v>
      </c>
      <c r="AE542" s="380">
        <v>3</v>
      </c>
      <c r="AF542" s="363" t="s">
        <v>1772</v>
      </c>
    </row>
    <row r="543" spans="2:32" ht="15" hidden="1" customHeight="1" x14ac:dyDescent="0.3">
      <c r="B543" s="380" t="s">
        <v>6</v>
      </c>
      <c r="C543" s="409" t="s">
        <v>595</v>
      </c>
      <c r="D543" s="418" t="s">
        <v>1000</v>
      </c>
      <c r="E543" s="462">
        <v>3110016964</v>
      </c>
      <c r="F543" s="488">
        <v>46084</v>
      </c>
      <c r="G543" s="380" t="s">
        <v>55</v>
      </c>
      <c r="H543" s="380">
        <v>1</v>
      </c>
      <c r="I543" s="388">
        <v>75999.990000000005</v>
      </c>
      <c r="J543" s="380">
        <v>3</v>
      </c>
      <c r="K543" s="389">
        <f t="shared" si="24"/>
        <v>25333.33</v>
      </c>
      <c r="L543" s="505">
        <v>46143</v>
      </c>
      <c r="M543" s="505">
        <v>46507</v>
      </c>
      <c r="N543" s="363" t="s">
        <v>520</v>
      </c>
      <c r="O543" s="380"/>
      <c r="P543" s="380"/>
      <c r="Q543" s="363" t="s">
        <v>348</v>
      </c>
      <c r="R543" s="363"/>
      <c r="S543" s="363" t="s">
        <v>349</v>
      </c>
      <c r="T543" s="363"/>
      <c r="U543" s="363" t="s">
        <v>738</v>
      </c>
      <c r="V543" s="363"/>
      <c r="W543" s="363"/>
      <c r="X543" s="363"/>
      <c r="Y543" s="363"/>
      <c r="Z543" s="363"/>
      <c r="AA543" s="363"/>
      <c r="AB543" s="363"/>
      <c r="AC543" s="363" t="s">
        <v>507</v>
      </c>
      <c r="AD543" s="380" t="s">
        <v>63</v>
      </c>
      <c r="AE543" s="380">
        <v>3</v>
      </c>
      <c r="AF543" s="363" t="s">
        <v>1772</v>
      </c>
    </row>
    <row r="544" spans="2:32" ht="15" hidden="1" customHeight="1" x14ac:dyDescent="0.3">
      <c r="B544" s="380" t="s">
        <v>6</v>
      </c>
      <c r="C544" s="409" t="s">
        <v>614</v>
      </c>
      <c r="D544" s="418" t="s">
        <v>1016</v>
      </c>
      <c r="E544" s="459" t="s">
        <v>1773</v>
      </c>
      <c r="F544" s="488">
        <v>46150</v>
      </c>
      <c r="G544" s="380" t="s">
        <v>55</v>
      </c>
      <c r="H544" s="380">
        <v>12</v>
      </c>
      <c r="I544" s="388">
        <v>917280</v>
      </c>
      <c r="J544" s="380">
        <v>3</v>
      </c>
      <c r="K544" s="380"/>
      <c r="L544" s="517">
        <v>46174</v>
      </c>
      <c r="M544" s="517">
        <v>46538</v>
      </c>
      <c r="N544" s="363" t="s">
        <v>520</v>
      </c>
      <c r="O544" s="380"/>
      <c r="P544" s="380"/>
      <c r="Q544" s="363" t="s">
        <v>406</v>
      </c>
      <c r="R544" s="363"/>
      <c r="S544" s="363" t="s">
        <v>407</v>
      </c>
      <c r="T544" s="363"/>
      <c r="U544" s="363" t="s">
        <v>408</v>
      </c>
      <c r="V544" s="363"/>
      <c r="W544" s="363"/>
      <c r="X544" s="363"/>
      <c r="Y544" s="363"/>
      <c r="Z544" s="363"/>
      <c r="AA544" s="363"/>
      <c r="AB544" s="363"/>
      <c r="AC544" s="363" t="s">
        <v>619</v>
      </c>
      <c r="AD544" s="380" t="s">
        <v>63</v>
      </c>
      <c r="AE544" s="380">
        <v>3</v>
      </c>
      <c r="AF544" s="363" t="s">
        <v>1127</v>
      </c>
    </row>
    <row r="545" spans="2:32" ht="15" hidden="1" customHeight="1" x14ac:dyDescent="0.3">
      <c r="B545" s="380" t="s">
        <v>6</v>
      </c>
      <c r="C545" s="429" t="s">
        <v>609</v>
      </c>
      <c r="D545" s="418" t="s">
        <v>1016</v>
      </c>
      <c r="E545" s="419">
        <v>2100062247</v>
      </c>
      <c r="F545" s="488">
        <v>46153</v>
      </c>
      <c r="G545" s="380" t="s">
        <v>55</v>
      </c>
      <c r="H545" s="380">
        <v>1</v>
      </c>
      <c r="I545" s="388">
        <v>66300</v>
      </c>
      <c r="J545" s="380">
        <v>3</v>
      </c>
      <c r="K545" s="389">
        <f t="shared" ref="K545:K556" si="25">I545/J545</f>
        <v>22100</v>
      </c>
      <c r="L545" s="505">
        <v>46153</v>
      </c>
      <c r="M545" s="505">
        <v>46477</v>
      </c>
      <c r="N545" s="363" t="s">
        <v>520</v>
      </c>
      <c r="O545" s="380"/>
      <c r="P545" s="380"/>
      <c r="Q545" s="363" t="s">
        <v>1774</v>
      </c>
      <c r="R545" s="363"/>
      <c r="S545" s="363" t="s">
        <v>1775</v>
      </c>
      <c r="T545" s="363"/>
      <c r="U545" s="363" t="s">
        <v>1776</v>
      </c>
      <c r="V545" s="363"/>
      <c r="W545" s="363"/>
      <c r="X545" s="363"/>
      <c r="Y545" s="363"/>
      <c r="Z545" s="363"/>
      <c r="AA545" s="363"/>
      <c r="AB545" s="363"/>
      <c r="AC545" s="363" t="s">
        <v>619</v>
      </c>
      <c r="AD545" s="380" t="s">
        <v>63</v>
      </c>
      <c r="AE545" s="380">
        <v>3</v>
      </c>
      <c r="AF545" s="363" t="s">
        <v>667</v>
      </c>
    </row>
    <row r="546" spans="2:32" ht="15" hidden="1" customHeight="1" x14ac:dyDescent="0.3">
      <c r="B546" s="380" t="s">
        <v>6</v>
      </c>
      <c r="C546" s="482" t="s">
        <v>800</v>
      </c>
      <c r="D546" s="483" t="s">
        <v>812</v>
      </c>
      <c r="E546" s="468">
        <v>2102601022</v>
      </c>
      <c r="F546" s="488">
        <v>46146</v>
      </c>
      <c r="G546" s="380" t="s">
        <v>55</v>
      </c>
      <c r="H546" s="380">
        <v>4</v>
      </c>
      <c r="I546" s="388">
        <v>270400</v>
      </c>
      <c r="J546" s="380">
        <v>2</v>
      </c>
      <c r="K546" s="389">
        <f t="shared" si="25"/>
        <v>135200</v>
      </c>
      <c r="L546" s="504">
        <v>46113</v>
      </c>
      <c r="M546" s="504">
        <v>46477</v>
      </c>
      <c r="N546" s="363" t="s">
        <v>520</v>
      </c>
      <c r="O546" s="380"/>
      <c r="P546" s="380"/>
      <c r="Q546" s="363" t="s">
        <v>467</v>
      </c>
      <c r="R546" s="363"/>
      <c r="S546" s="363" t="s">
        <v>1633</v>
      </c>
      <c r="T546" s="363"/>
      <c r="U546" s="363"/>
      <c r="V546" s="363"/>
      <c r="W546" s="363"/>
      <c r="X546" s="363"/>
      <c r="Y546" s="363"/>
      <c r="Z546" s="363"/>
      <c r="AA546" s="363"/>
      <c r="AB546" s="363"/>
      <c r="AC546" s="363" t="s">
        <v>485</v>
      </c>
      <c r="AD546" s="380" t="s">
        <v>63</v>
      </c>
      <c r="AE546" s="380">
        <v>2</v>
      </c>
      <c r="AF546" s="363" t="s">
        <v>667</v>
      </c>
    </row>
    <row r="547" spans="2:32" ht="15" hidden="1" customHeight="1" x14ac:dyDescent="0.3">
      <c r="B547" s="380" t="s">
        <v>6</v>
      </c>
      <c r="C547" s="409" t="s">
        <v>857</v>
      </c>
      <c r="D547" s="423" t="s">
        <v>858</v>
      </c>
      <c r="E547" s="419" t="s">
        <v>1777</v>
      </c>
      <c r="F547" s="488">
        <v>46112</v>
      </c>
      <c r="G547" s="380" t="s">
        <v>55</v>
      </c>
      <c r="H547" s="380">
        <v>2</v>
      </c>
      <c r="I547" s="388">
        <v>384000</v>
      </c>
      <c r="J547" s="380">
        <v>3</v>
      </c>
      <c r="K547" s="389">
        <f t="shared" si="25"/>
        <v>128000</v>
      </c>
      <c r="L547" s="505">
        <v>46113</v>
      </c>
      <c r="M547" s="505">
        <v>46477</v>
      </c>
      <c r="N547" s="363" t="s">
        <v>520</v>
      </c>
      <c r="O547" s="380"/>
      <c r="P547" s="380" t="s">
        <v>1</v>
      </c>
      <c r="Q547" s="390" t="s">
        <v>1080</v>
      </c>
      <c r="R547" s="363" t="s">
        <v>1778</v>
      </c>
      <c r="S547" s="363" t="s">
        <v>1108</v>
      </c>
      <c r="T547" s="363"/>
      <c r="U547" s="363" t="s">
        <v>1109</v>
      </c>
      <c r="V547" s="363"/>
      <c r="W547" s="363"/>
      <c r="X547" s="363"/>
      <c r="Y547" s="363"/>
      <c r="Z547" s="363"/>
      <c r="AA547" s="363"/>
      <c r="AB547" s="363"/>
      <c r="AC547" s="363" t="s">
        <v>356</v>
      </c>
      <c r="AD547" s="380" t="s">
        <v>207</v>
      </c>
      <c r="AE547" s="380">
        <v>3</v>
      </c>
      <c r="AF547" s="363" t="s">
        <v>1779</v>
      </c>
    </row>
    <row r="548" spans="2:32" ht="15" hidden="1" customHeight="1" x14ac:dyDescent="0.3">
      <c r="B548" s="380" t="s">
        <v>6</v>
      </c>
      <c r="C548" s="482" t="s">
        <v>195</v>
      </c>
      <c r="D548" s="483" t="s">
        <v>447</v>
      </c>
      <c r="E548" s="380" t="s">
        <v>1780</v>
      </c>
      <c r="F548" s="387">
        <v>46156</v>
      </c>
      <c r="G548" s="380" t="s">
        <v>55</v>
      </c>
      <c r="H548" s="380">
        <v>1</v>
      </c>
      <c r="I548" s="388">
        <v>65500</v>
      </c>
      <c r="J548" s="380">
        <v>4</v>
      </c>
      <c r="K548" s="389">
        <f t="shared" si="25"/>
        <v>16375</v>
      </c>
      <c r="L548" s="507">
        <v>46161</v>
      </c>
      <c r="M548" s="507">
        <v>46525</v>
      </c>
      <c r="N548" s="363" t="s">
        <v>520</v>
      </c>
      <c r="O548" s="380"/>
      <c r="P548" s="380"/>
      <c r="Q548" s="363" t="s">
        <v>1781</v>
      </c>
      <c r="R548" s="363"/>
      <c r="S548" s="363" t="s">
        <v>1782</v>
      </c>
      <c r="T548" s="363"/>
      <c r="U548" s="363" t="s">
        <v>1783</v>
      </c>
      <c r="V548" s="363"/>
      <c r="W548" s="363" t="s">
        <v>1784</v>
      </c>
      <c r="X548" s="363"/>
      <c r="Y548" s="363"/>
      <c r="Z548" s="363"/>
      <c r="AA548" s="363"/>
      <c r="AB548" s="363"/>
      <c r="AC548" s="363" t="s">
        <v>96</v>
      </c>
      <c r="AD548" s="380" t="s">
        <v>97</v>
      </c>
      <c r="AE548" s="380" t="s">
        <v>494</v>
      </c>
      <c r="AF548" s="363" t="s">
        <v>667</v>
      </c>
    </row>
    <row r="549" spans="2:32" ht="15" hidden="1" customHeight="1" x14ac:dyDescent="0.3">
      <c r="B549" s="380" t="s">
        <v>6</v>
      </c>
      <c r="C549" s="482" t="s">
        <v>195</v>
      </c>
      <c r="D549" s="483" t="s">
        <v>447</v>
      </c>
      <c r="E549" s="380" t="s">
        <v>1780</v>
      </c>
      <c r="F549" s="387">
        <v>46156</v>
      </c>
      <c r="G549" s="380" t="s">
        <v>55</v>
      </c>
      <c r="H549" s="380"/>
      <c r="I549" s="388">
        <v>65500</v>
      </c>
      <c r="J549" s="380">
        <v>4</v>
      </c>
      <c r="K549" s="389">
        <f t="shared" si="25"/>
        <v>16375</v>
      </c>
      <c r="L549" s="507">
        <v>46526</v>
      </c>
      <c r="M549" s="507">
        <v>46891</v>
      </c>
      <c r="N549" s="363" t="s">
        <v>520</v>
      </c>
      <c r="O549" s="380"/>
      <c r="P549" s="380"/>
      <c r="Q549" s="363" t="s">
        <v>1785</v>
      </c>
      <c r="R549" s="363"/>
      <c r="S549" s="363" t="s">
        <v>1786</v>
      </c>
      <c r="T549" s="363"/>
      <c r="U549" s="363" t="s">
        <v>1787</v>
      </c>
      <c r="V549" s="363"/>
      <c r="W549" s="363" t="s">
        <v>1788</v>
      </c>
      <c r="X549" s="363"/>
      <c r="Y549" s="363"/>
      <c r="Z549" s="363"/>
      <c r="AA549" s="363"/>
      <c r="AB549" s="363"/>
      <c r="AC549" s="363" t="s">
        <v>96</v>
      </c>
      <c r="AD549" s="380" t="s">
        <v>97</v>
      </c>
      <c r="AE549" s="380" t="s">
        <v>494</v>
      </c>
      <c r="AF549" s="363" t="s">
        <v>667</v>
      </c>
    </row>
    <row r="550" spans="2:32" ht="15" hidden="1" customHeight="1" x14ac:dyDescent="0.3">
      <c r="B550" s="380" t="s">
        <v>6</v>
      </c>
      <c r="C550" s="482" t="s">
        <v>1746</v>
      </c>
      <c r="D550" s="483" t="s">
        <v>1789</v>
      </c>
      <c r="E550" s="468">
        <v>5000146844</v>
      </c>
      <c r="F550" s="488">
        <v>46136</v>
      </c>
      <c r="G550" s="380" t="s">
        <v>55</v>
      </c>
      <c r="H550" s="380">
        <v>1</v>
      </c>
      <c r="I550" s="388">
        <v>120000</v>
      </c>
      <c r="J550" s="380">
        <v>3</v>
      </c>
      <c r="K550" s="389">
        <f t="shared" si="25"/>
        <v>40000</v>
      </c>
      <c r="L550" s="504">
        <v>46158</v>
      </c>
      <c r="M550" s="504">
        <v>46522</v>
      </c>
      <c r="N550" s="363" t="s">
        <v>520</v>
      </c>
      <c r="O550" s="380"/>
      <c r="P550" s="380"/>
      <c r="Q550" s="390" t="s">
        <v>1790</v>
      </c>
      <c r="R550" s="363" t="s">
        <v>1791</v>
      </c>
      <c r="S550" s="363" t="s">
        <v>1792</v>
      </c>
      <c r="T550" s="363"/>
      <c r="U550" s="363" t="s">
        <v>1793</v>
      </c>
      <c r="V550" s="363"/>
      <c r="W550" s="363"/>
      <c r="X550" s="363"/>
      <c r="Y550" s="363"/>
      <c r="Z550" s="363"/>
      <c r="AA550" s="363"/>
      <c r="AB550" s="363"/>
      <c r="AC550" s="363" t="s">
        <v>834</v>
      </c>
      <c r="AD550" s="380" t="s">
        <v>207</v>
      </c>
      <c r="AE550" s="380">
        <v>3</v>
      </c>
      <c r="AF550" s="363" t="s">
        <v>1794</v>
      </c>
    </row>
    <row r="551" spans="2:32" ht="15" hidden="1" customHeight="1" x14ac:dyDescent="0.3">
      <c r="B551" s="380" t="s">
        <v>6</v>
      </c>
      <c r="C551" s="409" t="s">
        <v>1002</v>
      </c>
      <c r="D551" s="418" t="s">
        <v>151</v>
      </c>
      <c r="E551" s="419">
        <v>4518005269</v>
      </c>
      <c r="F551" s="488">
        <v>46156</v>
      </c>
      <c r="G551" s="380" t="s">
        <v>55</v>
      </c>
      <c r="H551" s="380">
        <v>4</v>
      </c>
      <c r="I551" s="388">
        <v>186000</v>
      </c>
      <c r="J551" s="380">
        <v>1</v>
      </c>
      <c r="K551" s="389">
        <f t="shared" si="25"/>
        <v>186000</v>
      </c>
      <c r="L551" s="505">
        <v>46113</v>
      </c>
      <c r="M551" s="505">
        <v>46477</v>
      </c>
      <c r="N551" s="363" t="s">
        <v>520</v>
      </c>
      <c r="O551" s="380"/>
      <c r="P551" s="380" t="s">
        <v>1</v>
      </c>
      <c r="Q551" s="363" t="s">
        <v>646</v>
      </c>
      <c r="R551" s="363"/>
      <c r="S551" s="363"/>
      <c r="T551" s="363"/>
      <c r="U551" s="363"/>
      <c r="V551" s="363"/>
      <c r="W551" s="363"/>
      <c r="X551" s="363"/>
      <c r="Y551" s="363"/>
      <c r="Z551" s="363"/>
      <c r="AA551" s="363"/>
      <c r="AB551" s="363"/>
      <c r="AC551" s="363" t="s">
        <v>507</v>
      </c>
      <c r="AD551" s="380" t="s">
        <v>63</v>
      </c>
      <c r="AE551" s="380">
        <v>1</v>
      </c>
      <c r="AF551" s="363" t="s">
        <v>1795</v>
      </c>
    </row>
    <row r="552" spans="2:32" ht="15" hidden="1" customHeight="1" x14ac:dyDescent="0.3">
      <c r="B552" s="380" t="s">
        <v>6</v>
      </c>
      <c r="C552" s="482" t="s">
        <v>965</v>
      </c>
      <c r="D552" s="483" t="s">
        <v>1088</v>
      </c>
      <c r="E552" s="468">
        <v>5400089448</v>
      </c>
      <c r="F552" s="488">
        <v>46160</v>
      </c>
      <c r="G552" s="380" t="s">
        <v>55</v>
      </c>
      <c r="H552" s="380">
        <v>1</v>
      </c>
      <c r="I552" s="417">
        <v>109270</v>
      </c>
      <c r="J552" s="380">
        <v>4</v>
      </c>
      <c r="K552" s="389">
        <f t="shared" si="25"/>
        <v>27317.5</v>
      </c>
      <c r="L552" s="504">
        <v>46113</v>
      </c>
      <c r="M552" s="504">
        <v>46477</v>
      </c>
      <c r="N552" s="363" t="s">
        <v>520</v>
      </c>
      <c r="O552" s="380"/>
      <c r="P552" s="380"/>
      <c r="Q552" s="390" t="s">
        <v>397</v>
      </c>
      <c r="R552" s="363" t="s">
        <v>1874</v>
      </c>
      <c r="S552" s="363" t="s">
        <v>496</v>
      </c>
      <c r="T552" s="363"/>
      <c r="U552" s="363" t="s">
        <v>497</v>
      </c>
      <c r="V552" s="363"/>
      <c r="W552" s="363" t="s">
        <v>498</v>
      </c>
      <c r="X552" s="363"/>
      <c r="Y552" s="363"/>
      <c r="Z552" s="363"/>
      <c r="AA552" s="363"/>
      <c r="AB552" s="363"/>
      <c r="AC552" s="363" t="s">
        <v>96</v>
      </c>
      <c r="AD552" s="380" t="s">
        <v>97</v>
      </c>
      <c r="AE552" s="380" t="s">
        <v>494</v>
      </c>
      <c r="AF552" s="363" t="s">
        <v>667</v>
      </c>
    </row>
    <row r="553" spans="2:32" ht="15" hidden="1" customHeight="1" x14ac:dyDescent="0.3">
      <c r="B553" s="380" t="s">
        <v>6</v>
      </c>
      <c r="C553" s="409" t="s">
        <v>1796</v>
      </c>
      <c r="D553" s="434" t="s">
        <v>757</v>
      </c>
      <c r="E553" s="380">
        <v>2265007686</v>
      </c>
      <c r="F553" s="488">
        <v>46160</v>
      </c>
      <c r="G553" s="380" t="s">
        <v>55</v>
      </c>
      <c r="H553" s="380">
        <v>10</v>
      </c>
      <c r="I553" s="388">
        <v>835000</v>
      </c>
      <c r="J553" s="380">
        <v>3</v>
      </c>
      <c r="K553" s="389">
        <f t="shared" si="25"/>
        <v>278333.33333333331</v>
      </c>
      <c r="L553" s="505">
        <v>46113</v>
      </c>
      <c r="M553" s="505">
        <v>46477</v>
      </c>
      <c r="N553" s="363" t="s">
        <v>520</v>
      </c>
      <c r="O553" s="380"/>
      <c r="P553" s="380"/>
      <c r="Q553" s="363" t="s">
        <v>1080</v>
      </c>
      <c r="R553" s="363"/>
      <c r="S553" s="363" t="s">
        <v>1108</v>
      </c>
      <c r="T553" s="363"/>
      <c r="U553" s="363" t="s">
        <v>1109</v>
      </c>
      <c r="V553" s="363"/>
      <c r="W553" s="363"/>
      <c r="X553" s="363"/>
      <c r="Y553" s="363"/>
      <c r="Z553" s="363"/>
      <c r="AA553" s="363"/>
      <c r="AB553" s="363"/>
      <c r="AC553" s="363" t="s">
        <v>507</v>
      </c>
      <c r="AD553" s="380" t="s">
        <v>63</v>
      </c>
      <c r="AE553" s="380">
        <v>3</v>
      </c>
      <c r="AF553" s="363" t="s">
        <v>667</v>
      </c>
    </row>
    <row r="554" spans="2:32" ht="15" hidden="1" customHeight="1" x14ac:dyDescent="0.3">
      <c r="B554" s="380" t="s">
        <v>6</v>
      </c>
      <c r="C554" s="482" t="s">
        <v>1797</v>
      </c>
      <c r="D554" s="483" t="s">
        <v>1798</v>
      </c>
      <c r="E554" s="468" t="s">
        <v>1799</v>
      </c>
      <c r="F554" s="488">
        <v>46154</v>
      </c>
      <c r="G554" s="380" t="s">
        <v>55</v>
      </c>
      <c r="H554" s="380">
        <v>1</v>
      </c>
      <c r="I554" s="388">
        <v>105000</v>
      </c>
      <c r="J554" s="380">
        <v>2</v>
      </c>
      <c r="K554" s="389">
        <f t="shared" si="25"/>
        <v>52500</v>
      </c>
      <c r="L554" s="504">
        <v>46158</v>
      </c>
      <c r="M554" s="504">
        <v>46522</v>
      </c>
      <c r="N554" s="363" t="s">
        <v>520</v>
      </c>
      <c r="O554" s="380"/>
      <c r="P554" s="380"/>
      <c r="Q554" s="363" t="s">
        <v>1800</v>
      </c>
      <c r="R554" s="363"/>
      <c r="S554" s="363" t="s">
        <v>1801</v>
      </c>
      <c r="T554" s="363"/>
      <c r="U554" s="363"/>
      <c r="V554" s="363"/>
      <c r="W554" s="363"/>
      <c r="X554" s="363"/>
      <c r="Y554" s="363"/>
      <c r="Z554" s="363"/>
      <c r="AA554" s="363"/>
      <c r="AB554" s="363"/>
      <c r="AC554" s="363" t="s">
        <v>183</v>
      </c>
      <c r="AD554" s="380" t="s">
        <v>97</v>
      </c>
      <c r="AE554" s="380">
        <v>3</v>
      </c>
      <c r="AF554" s="363" t="s">
        <v>1802</v>
      </c>
    </row>
    <row r="555" spans="2:32" ht="15" hidden="1" customHeight="1" x14ac:dyDescent="0.3">
      <c r="B555" s="380" t="s">
        <v>6</v>
      </c>
      <c r="C555" s="482" t="s">
        <v>1797</v>
      </c>
      <c r="D555" s="483" t="s">
        <v>1798</v>
      </c>
      <c r="E555" s="468" t="s">
        <v>1799</v>
      </c>
      <c r="F555" s="488">
        <v>46154</v>
      </c>
      <c r="G555" s="380" t="s">
        <v>55</v>
      </c>
      <c r="H555" s="380"/>
      <c r="I555" s="388">
        <v>105000</v>
      </c>
      <c r="J555" s="380">
        <v>2</v>
      </c>
      <c r="K555" s="389">
        <f t="shared" si="25"/>
        <v>52500</v>
      </c>
      <c r="L555" s="507">
        <v>46523</v>
      </c>
      <c r="M555" s="507">
        <v>46888</v>
      </c>
      <c r="N555" s="363" t="s">
        <v>520</v>
      </c>
      <c r="O555" s="380"/>
      <c r="P555" s="380"/>
      <c r="Q555" s="363" t="s">
        <v>1803</v>
      </c>
      <c r="R555" s="363"/>
      <c r="S555" s="363" t="s">
        <v>1804</v>
      </c>
      <c r="T555" s="363"/>
      <c r="U555" s="363"/>
      <c r="V555" s="363"/>
      <c r="W555" s="363"/>
      <c r="X555" s="363"/>
      <c r="Y555" s="363"/>
      <c r="Z555" s="363"/>
      <c r="AA555" s="363"/>
      <c r="AB555" s="363"/>
      <c r="AC555" s="363" t="s">
        <v>183</v>
      </c>
      <c r="AD555" s="380" t="s">
        <v>97</v>
      </c>
      <c r="AE555" s="380">
        <v>3</v>
      </c>
      <c r="AF555" s="363" t="s">
        <v>1802</v>
      </c>
    </row>
    <row r="556" spans="2:32" ht="15" hidden="1" customHeight="1" x14ac:dyDescent="0.3">
      <c r="B556" s="380" t="s">
        <v>6</v>
      </c>
      <c r="C556" s="482" t="s">
        <v>1797</v>
      </c>
      <c r="D556" s="483" t="s">
        <v>1798</v>
      </c>
      <c r="E556" s="468" t="s">
        <v>1799</v>
      </c>
      <c r="F556" s="488">
        <v>46154</v>
      </c>
      <c r="G556" s="380" t="s">
        <v>55</v>
      </c>
      <c r="H556" s="380"/>
      <c r="I556" s="388">
        <v>105000</v>
      </c>
      <c r="J556" s="380">
        <v>2</v>
      </c>
      <c r="K556" s="389">
        <f t="shared" si="25"/>
        <v>52500</v>
      </c>
      <c r="L556" s="507">
        <v>46889</v>
      </c>
      <c r="M556" s="507">
        <v>47253</v>
      </c>
      <c r="N556" s="363" t="s">
        <v>520</v>
      </c>
      <c r="O556" s="380"/>
      <c r="P556" s="380"/>
      <c r="Q556" s="363" t="s">
        <v>1805</v>
      </c>
      <c r="R556" s="363"/>
      <c r="S556" s="363" t="s">
        <v>1806</v>
      </c>
      <c r="T556" s="363"/>
      <c r="U556" s="363"/>
      <c r="V556" s="363"/>
      <c r="W556" s="363"/>
      <c r="X556" s="363"/>
      <c r="Y556" s="363"/>
      <c r="Z556" s="363"/>
      <c r="AA556" s="363"/>
      <c r="AB556" s="363"/>
      <c r="AC556" s="363" t="s">
        <v>183</v>
      </c>
      <c r="AD556" s="380" t="s">
        <v>97</v>
      </c>
      <c r="AE556" s="380">
        <v>3</v>
      </c>
      <c r="AF556" s="363" t="s">
        <v>1802</v>
      </c>
    </row>
    <row r="557" spans="2:32" ht="15" hidden="1" customHeight="1" x14ac:dyDescent="0.3">
      <c r="B557" s="380" t="s">
        <v>6</v>
      </c>
      <c r="C557" s="482" t="s">
        <v>614</v>
      </c>
      <c r="D557" s="483" t="s">
        <v>884</v>
      </c>
      <c r="E557" s="494" t="s">
        <v>1807</v>
      </c>
      <c r="F557" s="488">
        <v>46150</v>
      </c>
      <c r="G557" s="380" t="s">
        <v>55</v>
      </c>
      <c r="H557" s="380">
        <v>1</v>
      </c>
      <c r="I557" s="388">
        <v>76440</v>
      </c>
      <c r="J557" s="380">
        <v>3</v>
      </c>
      <c r="K557" s="389"/>
      <c r="L557" s="516">
        <v>46174</v>
      </c>
      <c r="M557" s="516">
        <v>46538</v>
      </c>
      <c r="N557" s="363" t="s">
        <v>520</v>
      </c>
      <c r="O557" s="380"/>
      <c r="P557" s="380"/>
      <c r="Q557" s="363" t="s">
        <v>406</v>
      </c>
      <c r="R557" s="363"/>
      <c r="S557" s="363" t="s">
        <v>407</v>
      </c>
      <c r="T557" s="363"/>
      <c r="U557" s="363" t="s">
        <v>1808</v>
      </c>
      <c r="V557" s="363"/>
      <c r="W557" s="363"/>
      <c r="X557" s="363"/>
      <c r="Y557" s="363"/>
      <c r="Z557" s="363"/>
      <c r="AA557" s="363"/>
      <c r="AB557" s="363"/>
      <c r="AC557" s="363" t="s">
        <v>281</v>
      </c>
      <c r="AD557" s="380" t="s">
        <v>97</v>
      </c>
      <c r="AE557" s="380">
        <v>3</v>
      </c>
      <c r="AF557" s="363" t="s">
        <v>1809</v>
      </c>
    </row>
    <row r="558" spans="2:32" ht="15" hidden="1" customHeight="1" x14ac:dyDescent="0.3">
      <c r="B558" s="380" t="s">
        <v>6</v>
      </c>
      <c r="C558" s="409" t="s">
        <v>771</v>
      </c>
      <c r="D558" s="423" t="s">
        <v>388</v>
      </c>
      <c r="E558" s="408">
        <v>6000065535</v>
      </c>
      <c r="F558" s="501">
        <v>46135</v>
      </c>
      <c r="G558" s="380" t="s">
        <v>55</v>
      </c>
      <c r="H558" s="380">
        <v>1</v>
      </c>
      <c r="I558" s="388">
        <v>70700</v>
      </c>
      <c r="J558" s="380">
        <v>2</v>
      </c>
      <c r="K558" s="389">
        <f t="shared" ref="K558:K566" si="26">I558/J558</f>
        <v>35350</v>
      </c>
      <c r="L558" s="505">
        <v>46113</v>
      </c>
      <c r="M558" s="505">
        <v>46477</v>
      </c>
      <c r="N558" s="363" t="s">
        <v>520</v>
      </c>
      <c r="O558" s="380"/>
      <c r="P558" s="380"/>
      <c r="Q558" s="363" t="s">
        <v>467</v>
      </c>
      <c r="R558" s="363"/>
      <c r="S558" s="363" t="s">
        <v>1633</v>
      </c>
      <c r="T558" s="363"/>
      <c r="U558" s="363"/>
      <c r="V558" s="363"/>
      <c r="W558" s="363"/>
      <c r="X558" s="363"/>
      <c r="Y558" s="363"/>
      <c r="Z558" s="363"/>
      <c r="AA558" s="363"/>
      <c r="AB558" s="363"/>
      <c r="AC558" s="363" t="s">
        <v>619</v>
      </c>
      <c r="AD558" s="380" t="s">
        <v>63</v>
      </c>
      <c r="AE558" s="380">
        <v>2</v>
      </c>
      <c r="AF558" s="363" t="s">
        <v>667</v>
      </c>
    </row>
    <row r="559" spans="2:32" ht="15" hidden="1" customHeight="1" x14ac:dyDescent="0.3">
      <c r="B559" s="380" t="s">
        <v>6</v>
      </c>
      <c r="C559" s="482" t="s">
        <v>195</v>
      </c>
      <c r="D559" s="483" t="s">
        <v>447</v>
      </c>
      <c r="E559" s="468" t="s">
        <v>1780</v>
      </c>
      <c r="F559" s="501">
        <v>46156</v>
      </c>
      <c r="G559" s="380" t="s">
        <v>55</v>
      </c>
      <c r="H559" s="380">
        <v>1</v>
      </c>
      <c r="I559" s="388">
        <v>65500</v>
      </c>
      <c r="J559" s="380">
        <v>4</v>
      </c>
      <c r="K559" s="389">
        <f t="shared" si="26"/>
        <v>16375</v>
      </c>
      <c r="L559" s="504">
        <v>46161</v>
      </c>
      <c r="M559" s="504">
        <v>46525</v>
      </c>
      <c r="N559" s="363" t="s">
        <v>520</v>
      </c>
      <c r="O559" s="380"/>
      <c r="P559" s="380"/>
      <c r="Q559" s="363" t="s">
        <v>1781</v>
      </c>
      <c r="R559" s="363"/>
      <c r="S559" s="363" t="s">
        <v>1782</v>
      </c>
      <c r="T559" s="363"/>
      <c r="U559" s="363" t="s">
        <v>1783</v>
      </c>
      <c r="V559" s="363"/>
      <c r="W559" s="363" t="s">
        <v>1784</v>
      </c>
      <c r="X559" s="363"/>
      <c r="Y559" s="363"/>
      <c r="Z559" s="363"/>
      <c r="AA559" s="363"/>
      <c r="AB559" s="363"/>
      <c r="AC559" s="363" t="s">
        <v>96</v>
      </c>
      <c r="AD559" s="380" t="s">
        <v>97</v>
      </c>
      <c r="AE559" s="380" t="s">
        <v>494</v>
      </c>
      <c r="AF559" s="363" t="s">
        <v>667</v>
      </c>
    </row>
    <row r="560" spans="2:32" ht="15" hidden="1" customHeight="1" x14ac:dyDescent="0.3">
      <c r="B560" s="380" t="s">
        <v>6</v>
      </c>
      <c r="C560" s="482" t="s">
        <v>195</v>
      </c>
      <c r="D560" s="483" t="s">
        <v>447</v>
      </c>
      <c r="E560" s="468" t="s">
        <v>1780</v>
      </c>
      <c r="F560" s="501">
        <v>46156</v>
      </c>
      <c r="G560" s="380" t="s">
        <v>55</v>
      </c>
      <c r="H560" s="380"/>
      <c r="I560" s="388">
        <v>65500</v>
      </c>
      <c r="J560" s="380">
        <v>4</v>
      </c>
      <c r="K560" s="389">
        <f t="shared" si="26"/>
        <v>16375</v>
      </c>
      <c r="L560" s="504">
        <v>46526</v>
      </c>
      <c r="M560" s="504">
        <v>46891</v>
      </c>
      <c r="N560" s="363" t="s">
        <v>520</v>
      </c>
      <c r="O560" s="380"/>
      <c r="P560" s="380"/>
      <c r="Q560" s="363" t="s">
        <v>1785</v>
      </c>
      <c r="R560" s="363"/>
      <c r="S560" s="363" t="s">
        <v>1786</v>
      </c>
      <c r="T560" s="363"/>
      <c r="U560" s="363" t="s">
        <v>1787</v>
      </c>
      <c r="V560" s="363"/>
      <c r="W560" s="363" t="s">
        <v>1788</v>
      </c>
      <c r="X560" s="363"/>
      <c r="Y560" s="363"/>
      <c r="Z560" s="363"/>
      <c r="AA560" s="363"/>
      <c r="AB560" s="363"/>
      <c r="AC560" s="363" t="s">
        <v>96</v>
      </c>
      <c r="AD560" s="380" t="s">
        <v>97</v>
      </c>
      <c r="AE560" s="380" t="s">
        <v>494</v>
      </c>
      <c r="AF560" s="363" t="s">
        <v>667</v>
      </c>
    </row>
    <row r="561" spans="1:32" ht="15" hidden="1" customHeight="1" x14ac:dyDescent="0.3">
      <c r="B561" s="380" t="s">
        <v>6</v>
      </c>
      <c r="C561" s="482" t="s">
        <v>1810</v>
      </c>
      <c r="D561" s="483" t="s">
        <v>151</v>
      </c>
      <c r="E561" s="468">
        <v>6700005665</v>
      </c>
      <c r="F561" s="488">
        <v>46136</v>
      </c>
      <c r="G561" s="380" t="s">
        <v>55</v>
      </c>
      <c r="H561" s="380">
        <v>1</v>
      </c>
      <c r="I561" s="388">
        <v>80000.009999999995</v>
      </c>
      <c r="J561" s="380">
        <v>3</v>
      </c>
      <c r="K561" s="389">
        <f t="shared" si="26"/>
        <v>26666.67</v>
      </c>
      <c r="L561" s="504">
        <v>46054</v>
      </c>
      <c r="M561" s="504">
        <v>46418</v>
      </c>
      <c r="N561" s="363" t="s">
        <v>520</v>
      </c>
      <c r="O561" s="380"/>
      <c r="P561" s="380"/>
      <c r="Q561" s="390" t="s">
        <v>404</v>
      </c>
      <c r="R561" s="363" t="s">
        <v>1712</v>
      </c>
      <c r="S561" s="363" t="s">
        <v>406</v>
      </c>
      <c r="T561" s="363"/>
      <c r="U561" s="363" t="s">
        <v>407</v>
      </c>
      <c r="V561" s="363"/>
      <c r="W561" s="363"/>
      <c r="X561" s="363"/>
      <c r="Y561" s="363"/>
      <c r="Z561" s="363"/>
      <c r="AA561" s="363"/>
      <c r="AB561" s="363"/>
      <c r="AC561" s="363" t="s">
        <v>478</v>
      </c>
      <c r="AD561" s="380" t="s">
        <v>63</v>
      </c>
      <c r="AE561" s="380">
        <v>3</v>
      </c>
      <c r="AF561" s="363" t="s">
        <v>667</v>
      </c>
    </row>
    <row r="562" spans="1:32" ht="15" hidden="1" customHeight="1" x14ac:dyDescent="0.3">
      <c r="B562" s="380" t="s">
        <v>6</v>
      </c>
      <c r="C562" s="482" t="s">
        <v>1810</v>
      </c>
      <c r="D562" s="483" t="s">
        <v>151</v>
      </c>
      <c r="E562" s="468">
        <v>6700005665</v>
      </c>
      <c r="F562" s="488">
        <v>46136</v>
      </c>
      <c r="G562" s="380" t="s">
        <v>55</v>
      </c>
      <c r="H562" s="380"/>
      <c r="I562" s="388">
        <v>80000.009999999995</v>
      </c>
      <c r="J562" s="380">
        <v>3</v>
      </c>
      <c r="K562" s="389">
        <f t="shared" si="26"/>
        <v>26666.67</v>
      </c>
      <c r="L562" s="507">
        <v>46419</v>
      </c>
      <c r="M562" s="507">
        <v>46783</v>
      </c>
      <c r="N562" s="363" t="s">
        <v>520</v>
      </c>
      <c r="O562" s="380"/>
      <c r="P562" s="380"/>
      <c r="Q562" s="363" t="s">
        <v>408</v>
      </c>
      <c r="R562" s="363"/>
      <c r="S562" s="363" t="s">
        <v>1811</v>
      </c>
      <c r="T562" s="363"/>
      <c r="U562" s="363" t="s">
        <v>1812</v>
      </c>
      <c r="V562" s="363"/>
      <c r="W562" s="363"/>
      <c r="X562" s="363"/>
      <c r="Y562" s="363"/>
      <c r="Z562" s="363"/>
      <c r="AA562" s="363"/>
      <c r="AB562" s="363"/>
      <c r="AC562" s="363" t="s">
        <v>478</v>
      </c>
      <c r="AD562" s="380" t="s">
        <v>63</v>
      </c>
      <c r="AE562" s="380">
        <v>3</v>
      </c>
      <c r="AF562" s="363" t="s">
        <v>667</v>
      </c>
    </row>
    <row r="563" spans="1:32" ht="15" hidden="1" customHeight="1" x14ac:dyDescent="0.3">
      <c r="B563" s="380" t="s">
        <v>6</v>
      </c>
      <c r="C563" s="482" t="s">
        <v>1810</v>
      </c>
      <c r="D563" s="483" t="s">
        <v>151</v>
      </c>
      <c r="E563" s="468">
        <v>6700005665</v>
      </c>
      <c r="F563" s="488">
        <v>46136</v>
      </c>
      <c r="G563" s="380" t="s">
        <v>55</v>
      </c>
      <c r="H563" s="380"/>
      <c r="I563" s="388">
        <v>80000.009999999995</v>
      </c>
      <c r="J563" s="380">
        <v>3</v>
      </c>
      <c r="K563" s="389">
        <f t="shared" si="26"/>
        <v>26666.67</v>
      </c>
      <c r="L563" s="507">
        <v>46784</v>
      </c>
      <c r="M563" s="507">
        <v>47149</v>
      </c>
      <c r="N563" s="363" t="s">
        <v>520</v>
      </c>
      <c r="O563" s="380"/>
      <c r="P563" s="380"/>
      <c r="Q563" s="363" t="s">
        <v>1813</v>
      </c>
      <c r="R563" s="363"/>
      <c r="S563" s="363" t="s">
        <v>1814</v>
      </c>
      <c r="T563" s="363"/>
      <c r="U563" s="363" t="s">
        <v>1815</v>
      </c>
      <c r="V563" s="363"/>
      <c r="W563" s="363"/>
      <c r="X563" s="363"/>
      <c r="Y563" s="363"/>
      <c r="Z563" s="363"/>
      <c r="AA563" s="363"/>
      <c r="AB563" s="363"/>
      <c r="AC563" s="363" t="s">
        <v>478</v>
      </c>
      <c r="AD563" s="380" t="s">
        <v>63</v>
      </c>
      <c r="AE563" s="380">
        <v>3</v>
      </c>
      <c r="AF563" s="363" t="s">
        <v>667</v>
      </c>
    </row>
    <row r="564" spans="1:32" ht="15" hidden="1" customHeight="1" x14ac:dyDescent="0.3">
      <c r="B564" s="380" t="s">
        <v>6</v>
      </c>
      <c r="C564" s="409" t="s">
        <v>1816</v>
      </c>
      <c r="D564" s="423" t="s">
        <v>1012</v>
      </c>
      <c r="E564" s="488" t="s">
        <v>1817</v>
      </c>
      <c r="F564" s="488">
        <v>46132</v>
      </c>
      <c r="G564" s="380" t="s">
        <v>55</v>
      </c>
      <c r="H564" s="380">
        <v>3</v>
      </c>
      <c r="I564" s="388">
        <v>316800</v>
      </c>
      <c r="J564" s="380">
        <v>3</v>
      </c>
      <c r="K564" s="389">
        <f t="shared" si="26"/>
        <v>105600</v>
      </c>
      <c r="L564" s="505">
        <v>46023</v>
      </c>
      <c r="M564" s="505">
        <v>46387</v>
      </c>
      <c r="N564" s="363" t="s">
        <v>520</v>
      </c>
      <c r="O564" s="380"/>
      <c r="P564" s="380"/>
      <c r="Q564" s="390" t="s">
        <v>347</v>
      </c>
      <c r="R564" s="363" t="s">
        <v>1720</v>
      </c>
      <c r="S564" s="363" t="s">
        <v>348</v>
      </c>
      <c r="T564" s="363"/>
      <c r="U564" s="363" t="s">
        <v>349</v>
      </c>
      <c r="V564" s="363"/>
      <c r="W564" s="363"/>
      <c r="X564" s="363"/>
      <c r="Y564" s="363"/>
      <c r="Z564" s="363"/>
      <c r="AA564" s="363"/>
      <c r="AB564" s="363"/>
      <c r="AC564" s="363" t="s">
        <v>619</v>
      </c>
      <c r="AD564" s="380" t="s">
        <v>63</v>
      </c>
      <c r="AE564" s="380">
        <v>3</v>
      </c>
      <c r="AF564" s="363" t="s">
        <v>667</v>
      </c>
    </row>
    <row r="565" spans="1:32" ht="15" hidden="1" customHeight="1" x14ac:dyDescent="0.3">
      <c r="B565" s="380" t="s">
        <v>6</v>
      </c>
      <c r="C565" s="409" t="s">
        <v>1816</v>
      </c>
      <c r="D565" s="423" t="s">
        <v>1012</v>
      </c>
      <c r="E565" s="488" t="s">
        <v>1817</v>
      </c>
      <c r="F565" s="488">
        <v>46132</v>
      </c>
      <c r="G565" s="380" t="s">
        <v>55</v>
      </c>
      <c r="H565" s="380"/>
      <c r="I565" s="388">
        <v>316800</v>
      </c>
      <c r="J565" s="380">
        <v>3</v>
      </c>
      <c r="K565" s="389">
        <f t="shared" si="26"/>
        <v>105600</v>
      </c>
      <c r="L565" s="507">
        <v>46388</v>
      </c>
      <c r="M565" s="507">
        <v>46752</v>
      </c>
      <c r="N565" s="363" t="s">
        <v>520</v>
      </c>
      <c r="O565" s="380"/>
      <c r="P565" s="380"/>
      <c r="Q565" s="363" t="s">
        <v>738</v>
      </c>
      <c r="R565" s="363"/>
      <c r="S565" s="363" t="s">
        <v>1077</v>
      </c>
      <c r="T565" s="363"/>
      <c r="U565" s="363" t="s">
        <v>1078</v>
      </c>
      <c r="V565" s="363"/>
      <c r="W565" s="363"/>
      <c r="X565" s="363"/>
      <c r="Y565" s="363"/>
      <c r="Z565" s="363"/>
      <c r="AA565" s="363"/>
      <c r="AB565" s="363"/>
      <c r="AC565" s="363" t="s">
        <v>619</v>
      </c>
      <c r="AD565" s="380" t="s">
        <v>63</v>
      </c>
      <c r="AE565" s="380">
        <v>3</v>
      </c>
      <c r="AF565" s="363" t="s">
        <v>667</v>
      </c>
    </row>
    <row r="566" spans="1:32" ht="15" hidden="1" customHeight="1" x14ac:dyDescent="0.3">
      <c r="B566" s="380" t="s">
        <v>6</v>
      </c>
      <c r="C566" s="409" t="s">
        <v>1816</v>
      </c>
      <c r="D566" s="423" t="s">
        <v>1012</v>
      </c>
      <c r="E566" s="488" t="s">
        <v>1817</v>
      </c>
      <c r="F566" s="488">
        <v>46132</v>
      </c>
      <c r="G566" s="380" t="s">
        <v>55</v>
      </c>
      <c r="H566" s="380"/>
      <c r="I566" s="388">
        <v>316800</v>
      </c>
      <c r="J566" s="380">
        <v>3</v>
      </c>
      <c r="K566" s="389">
        <f t="shared" si="26"/>
        <v>105600</v>
      </c>
      <c r="L566" s="507">
        <v>46753</v>
      </c>
      <c r="M566" s="507">
        <v>47118</v>
      </c>
      <c r="N566" s="363" t="s">
        <v>520</v>
      </c>
      <c r="O566" s="380"/>
      <c r="P566" s="380"/>
      <c r="Q566" s="363" t="s">
        <v>1818</v>
      </c>
      <c r="R566" s="363"/>
      <c r="S566" s="363" t="s">
        <v>1819</v>
      </c>
      <c r="T566" s="363"/>
      <c r="U566" s="363" t="s">
        <v>1820</v>
      </c>
      <c r="V566" s="363"/>
      <c r="W566" s="363"/>
      <c r="X566" s="363"/>
      <c r="Y566" s="363"/>
      <c r="Z566" s="363"/>
      <c r="AA566" s="363"/>
      <c r="AB566" s="363"/>
      <c r="AC566" s="363" t="s">
        <v>619</v>
      </c>
      <c r="AD566" s="380" t="s">
        <v>63</v>
      </c>
      <c r="AE566" s="380">
        <v>3</v>
      </c>
      <c r="AF566" s="363" t="s">
        <v>667</v>
      </c>
    </row>
    <row r="567" spans="1:32" ht="15" hidden="1" customHeight="1" x14ac:dyDescent="0.3">
      <c r="B567" s="380" t="s">
        <v>6</v>
      </c>
      <c r="C567" s="551" t="s">
        <v>1821</v>
      </c>
      <c r="D567" s="483" t="s">
        <v>176</v>
      </c>
      <c r="E567" s="468">
        <v>1365722343</v>
      </c>
      <c r="F567" s="488">
        <v>45909</v>
      </c>
      <c r="G567" s="380" t="s">
        <v>55</v>
      </c>
      <c r="H567" s="468">
        <v>5</v>
      </c>
      <c r="I567" s="388">
        <v>438100</v>
      </c>
      <c r="J567" s="380">
        <v>3</v>
      </c>
      <c r="K567" s="389">
        <f>I567/2</f>
        <v>219050</v>
      </c>
      <c r="L567" s="504">
        <v>45910</v>
      </c>
      <c r="M567" s="504">
        <v>46274</v>
      </c>
      <c r="N567" s="363" t="s">
        <v>520</v>
      </c>
      <c r="O567" s="380"/>
      <c r="P567" s="380"/>
      <c r="Q567" s="390" t="s">
        <v>1822</v>
      </c>
      <c r="R567" s="363" t="s">
        <v>1673</v>
      </c>
      <c r="S567" s="390" t="s">
        <v>1664</v>
      </c>
      <c r="T567" s="363" t="s">
        <v>1673</v>
      </c>
      <c r="U567" s="363" t="s">
        <v>1665</v>
      </c>
      <c r="V567" s="363" t="s">
        <v>1823</v>
      </c>
      <c r="W567" s="363"/>
      <c r="X567" s="363"/>
      <c r="Y567" s="363"/>
      <c r="Z567" s="363"/>
      <c r="AA567" s="363"/>
      <c r="AB567" s="363"/>
      <c r="AC567" s="363" t="s">
        <v>183</v>
      </c>
      <c r="AD567" s="380" t="s">
        <v>97</v>
      </c>
      <c r="AE567" s="380">
        <v>2</v>
      </c>
      <c r="AF567" s="363" t="s">
        <v>1824</v>
      </c>
    </row>
    <row r="568" spans="1:32" ht="15" hidden="1" customHeight="1" x14ac:dyDescent="0.3">
      <c r="B568" s="380" t="s">
        <v>6</v>
      </c>
      <c r="C568" s="482" t="s">
        <v>655</v>
      </c>
      <c r="D568" s="483" t="s">
        <v>151</v>
      </c>
      <c r="E568" s="468">
        <v>2016202</v>
      </c>
      <c r="F568" s="488">
        <v>46150</v>
      </c>
      <c r="G568" s="380" t="s">
        <v>55</v>
      </c>
      <c r="H568" s="468">
        <v>4</v>
      </c>
      <c r="I568" s="388">
        <v>279360</v>
      </c>
      <c r="J568" s="380">
        <v>2</v>
      </c>
      <c r="K568" s="389">
        <f>I568/J568</f>
        <v>139680</v>
      </c>
      <c r="L568" s="504">
        <v>46113</v>
      </c>
      <c r="M568" s="504">
        <v>46477</v>
      </c>
      <c r="N568" s="363" t="s">
        <v>520</v>
      </c>
      <c r="O568" s="380"/>
      <c r="P568" s="380"/>
      <c r="Q568" s="363" t="s">
        <v>467</v>
      </c>
      <c r="R568" s="363"/>
      <c r="S568" s="363" t="s">
        <v>1633</v>
      </c>
      <c r="T568" s="363"/>
      <c r="U568" s="363"/>
      <c r="V568" s="363"/>
      <c r="W568" s="363"/>
      <c r="X568" s="363"/>
      <c r="Y568" s="363"/>
      <c r="Z568" s="363"/>
      <c r="AA568" s="363"/>
      <c r="AB568" s="363"/>
      <c r="AC568" s="363" t="s">
        <v>478</v>
      </c>
      <c r="AD568" s="380" t="s">
        <v>63</v>
      </c>
      <c r="AE568" s="380">
        <v>3</v>
      </c>
      <c r="AF568" s="363" t="s">
        <v>667</v>
      </c>
    </row>
    <row r="569" spans="1:32" ht="15" hidden="1" customHeight="1" x14ac:dyDescent="0.3">
      <c r="B569" s="380" t="s">
        <v>6</v>
      </c>
      <c r="C569" s="409" t="s">
        <v>751</v>
      </c>
      <c r="D569" s="423" t="s">
        <v>752</v>
      </c>
      <c r="E569" s="380">
        <v>357000936</v>
      </c>
      <c r="F569" s="488">
        <v>46164</v>
      </c>
      <c r="G569" s="380" t="s">
        <v>55</v>
      </c>
      <c r="H569" s="408">
        <v>1</v>
      </c>
      <c r="I569" s="388">
        <v>89300</v>
      </c>
      <c r="J569" s="380">
        <v>3</v>
      </c>
      <c r="K569" s="389">
        <f>I569/J569</f>
        <v>29766.666666666668</v>
      </c>
      <c r="L569" s="505">
        <v>46174</v>
      </c>
      <c r="M569" s="505">
        <v>46538</v>
      </c>
      <c r="N569" s="363" t="s">
        <v>520</v>
      </c>
      <c r="O569" s="380"/>
      <c r="P569" s="380"/>
      <c r="Q569" s="381" t="s">
        <v>406</v>
      </c>
      <c r="R569" s="363"/>
      <c r="S569" s="363" t="s">
        <v>407</v>
      </c>
      <c r="T569" s="363"/>
      <c r="U569" s="363" t="s">
        <v>408</v>
      </c>
      <c r="V569" s="363"/>
      <c r="W569" s="363"/>
      <c r="X569" s="363"/>
      <c r="Y569" s="363"/>
      <c r="Z569" s="363"/>
      <c r="AA569" s="363"/>
      <c r="AB569" s="363"/>
      <c r="AC569" s="363" t="s">
        <v>1825</v>
      </c>
      <c r="AD569" s="380" t="s">
        <v>1826</v>
      </c>
      <c r="AE569" s="380">
        <v>3</v>
      </c>
      <c r="AF569" s="363" t="s">
        <v>1626</v>
      </c>
    </row>
    <row r="570" spans="1:32" ht="15" hidden="1" customHeight="1" x14ac:dyDescent="0.3">
      <c r="B570" s="380" t="s">
        <v>6</v>
      </c>
      <c r="C570" s="482" t="s">
        <v>822</v>
      </c>
      <c r="D570" s="483" t="s">
        <v>823</v>
      </c>
      <c r="E570" s="494" t="s">
        <v>1827</v>
      </c>
      <c r="F570" s="501">
        <v>46157</v>
      </c>
      <c r="G570" s="380" t="s">
        <v>55</v>
      </c>
      <c r="H570" s="380">
        <v>1</v>
      </c>
      <c r="I570" s="388">
        <v>105000</v>
      </c>
      <c r="J570" s="380">
        <v>2</v>
      </c>
      <c r="K570" s="389">
        <f>I570/J570</f>
        <v>52500</v>
      </c>
      <c r="L570" s="504">
        <v>46128</v>
      </c>
      <c r="M570" s="504">
        <v>46492</v>
      </c>
      <c r="N570" s="363" t="s">
        <v>520</v>
      </c>
      <c r="O570" s="380"/>
      <c r="P570" s="380"/>
      <c r="Q570" s="390" t="s">
        <v>1828</v>
      </c>
      <c r="R570" s="363" t="s">
        <v>1730</v>
      </c>
      <c r="S570" s="363" t="s">
        <v>1829</v>
      </c>
      <c r="T570" s="363"/>
      <c r="U570" s="363"/>
      <c r="V570" s="363"/>
      <c r="W570" s="363"/>
      <c r="X570" s="363"/>
      <c r="Y570" s="363"/>
      <c r="Z570" s="363"/>
      <c r="AA570" s="363"/>
      <c r="AB570" s="363"/>
      <c r="AC570" s="363" t="s">
        <v>183</v>
      </c>
      <c r="AD570" s="380" t="s">
        <v>1171</v>
      </c>
      <c r="AE570" s="380">
        <v>3</v>
      </c>
      <c r="AF570" s="363" t="s">
        <v>829</v>
      </c>
    </row>
    <row r="571" spans="1:32" ht="15" hidden="1" customHeight="1" x14ac:dyDescent="0.3">
      <c r="B571" s="380" t="s">
        <v>6</v>
      </c>
      <c r="C571" s="430" t="s">
        <v>1830</v>
      </c>
      <c r="D571" s="445" t="s">
        <v>1831</v>
      </c>
      <c r="E571" s="419">
        <v>4501930640</v>
      </c>
      <c r="F571" s="488">
        <v>46167</v>
      </c>
      <c r="G571" s="380" t="s">
        <v>55</v>
      </c>
      <c r="H571" s="380">
        <v>1</v>
      </c>
      <c r="I571" s="388">
        <v>93575</v>
      </c>
      <c r="J571" s="380">
        <v>3</v>
      </c>
      <c r="K571" s="389">
        <f>I571/J571</f>
        <v>31191.666666666668</v>
      </c>
      <c r="L571" s="504">
        <v>46157</v>
      </c>
      <c r="M571" s="504">
        <v>46521</v>
      </c>
      <c r="N571" s="363" t="s">
        <v>520</v>
      </c>
      <c r="O571" s="380"/>
      <c r="P571" s="380"/>
      <c r="Q571" s="363" t="s">
        <v>1832</v>
      </c>
      <c r="R571" s="363"/>
      <c r="S571" s="363" t="s">
        <v>1833</v>
      </c>
      <c r="T571" s="363"/>
      <c r="U571" s="363" t="s">
        <v>1834</v>
      </c>
      <c r="V571" s="363"/>
      <c r="W571" s="363"/>
      <c r="X571" s="363"/>
      <c r="Y571" s="363"/>
      <c r="Z571" s="363"/>
      <c r="AA571" s="363"/>
      <c r="AB571" s="363"/>
      <c r="AC571" s="363" t="s">
        <v>619</v>
      </c>
      <c r="AD571" s="380" t="s">
        <v>63</v>
      </c>
      <c r="AE571" s="380">
        <v>3</v>
      </c>
      <c r="AF571" s="363" t="s">
        <v>667</v>
      </c>
    </row>
    <row r="572" spans="1:32" ht="15" hidden="1" customHeight="1" x14ac:dyDescent="0.3">
      <c r="B572" s="380" t="s">
        <v>6</v>
      </c>
      <c r="C572" s="409" t="s">
        <v>1014</v>
      </c>
      <c r="D572" s="418" t="s">
        <v>151</v>
      </c>
      <c r="E572" s="419">
        <v>4500596880</v>
      </c>
      <c r="F572" s="488">
        <v>46162</v>
      </c>
      <c r="G572" s="380" t="s">
        <v>55</v>
      </c>
      <c r="H572" s="380">
        <v>1</v>
      </c>
      <c r="I572" s="388">
        <v>180000</v>
      </c>
      <c r="J572" s="380">
        <v>3</v>
      </c>
      <c r="K572" s="389">
        <f>I572/J572</f>
        <v>60000</v>
      </c>
      <c r="L572" s="505">
        <v>46174</v>
      </c>
      <c r="M572" s="505">
        <v>46538</v>
      </c>
      <c r="N572" s="363" t="s">
        <v>520</v>
      </c>
      <c r="O572" s="380"/>
      <c r="P572" s="380"/>
      <c r="Q572" s="363" t="s">
        <v>406</v>
      </c>
      <c r="R572" s="363"/>
      <c r="S572" s="363" t="s">
        <v>407</v>
      </c>
      <c r="T572" s="363"/>
      <c r="U572" s="363" t="s">
        <v>408</v>
      </c>
      <c r="V572" s="363"/>
      <c r="W572" s="363"/>
      <c r="X572" s="363"/>
      <c r="Y572" s="363"/>
      <c r="Z572" s="363"/>
      <c r="AA572" s="363"/>
      <c r="AB572" s="363"/>
      <c r="AC572" s="363" t="s">
        <v>507</v>
      </c>
      <c r="AD572" s="380" t="s">
        <v>63</v>
      </c>
      <c r="AE572" s="380">
        <v>3</v>
      </c>
      <c r="AF572" s="363" t="s">
        <v>667</v>
      </c>
    </row>
    <row r="573" spans="1:32" ht="15" hidden="1" customHeight="1" x14ac:dyDescent="0.3">
      <c r="B573" s="380" t="s">
        <v>6</v>
      </c>
      <c r="C573" s="409" t="s">
        <v>614</v>
      </c>
      <c r="D573" s="489" t="s">
        <v>447</v>
      </c>
      <c r="E573" s="393" t="s">
        <v>1835</v>
      </c>
      <c r="F573" s="488">
        <v>46149</v>
      </c>
      <c r="G573" s="380" t="s">
        <v>55</v>
      </c>
      <c r="H573" s="408">
        <v>2</v>
      </c>
      <c r="I573" s="388">
        <v>152880</v>
      </c>
      <c r="J573" s="380">
        <v>3</v>
      </c>
      <c r="K573" s="389"/>
      <c r="L573" s="505">
        <v>46113</v>
      </c>
      <c r="M573" s="505">
        <v>46477</v>
      </c>
      <c r="N573" s="363" t="s">
        <v>520</v>
      </c>
      <c r="O573" s="380"/>
      <c r="P573" s="380"/>
      <c r="Q573" s="363" t="s">
        <v>1080</v>
      </c>
      <c r="R573" s="363"/>
      <c r="S573" s="363" t="s">
        <v>1108</v>
      </c>
      <c r="T573" s="363"/>
      <c r="U573" s="363" t="s">
        <v>1109</v>
      </c>
      <c r="V573" s="363"/>
      <c r="W573" s="363"/>
      <c r="X573" s="363"/>
      <c r="Y573" s="363"/>
      <c r="Z573" s="363"/>
      <c r="AA573" s="363"/>
      <c r="AB573" s="363"/>
      <c r="AC573" s="363" t="s">
        <v>281</v>
      </c>
      <c r="AD573" s="380" t="s">
        <v>968</v>
      </c>
      <c r="AE573" s="380">
        <v>3</v>
      </c>
      <c r="AF573" s="363" t="s">
        <v>1836</v>
      </c>
    </row>
    <row r="574" spans="1:32" ht="15" customHeight="1" x14ac:dyDescent="0.3">
      <c r="B574" s="380" t="s">
        <v>6</v>
      </c>
      <c r="C574" s="409" t="s">
        <v>948</v>
      </c>
      <c r="D574" s="409" t="s">
        <v>987</v>
      </c>
      <c r="E574" s="380">
        <v>9000022562</v>
      </c>
      <c r="F574" s="488">
        <v>46167</v>
      </c>
      <c r="G574" s="380" t="s">
        <v>55</v>
      </c>
      <c r="H574" s="408">
        <v>1</v>
      </c>
      <c r="I574" s="388">
        <v>19400</v>
      </c>
      <c r="J574" s="380">
        <v>1</v>
      </c>
      <c r="K574" s="380"/>
      <c r="L574" s="505">
        <v>46113</v>
      </c>
      <c r="M574" s="507">
        <v>46203</v>
      </c>
      <c r="N574" s="363" t="s">
        <v>19</v>
      </c>
      <c r="O574" s="380" t="s">
        <v>9</v>
      </c>
      <c r="P574" s="380"/>
      <c r="Q574" s="390" t="s">
        <v>397</v>
      </c>
      <c r="R574" s="363" t="s">
        <v>1863</v>
      </c>
      <c r="S574" s="363"/>
      <c r="T574" s="363"/>
      <c r="U574" s="363"/>
      <c r="V574" s="363"/>
      <c r="W574" s="363"/>
      <c r="X574" s="363"/>
      <c r="Y574" s="363"/>
      <c r="Z574" s="363"/>
      <c r="AA574" s="363"/>
      <c r="AB574" s="363"/>
      <c r="AC574" s="363" t="s">
        <v>356</v>
      </c>
      <c r="AD574" s="380" t="s">
        <v>207</v>
      </c>
      <c r="AE574" s="380"/>
      <c r="AF574" s="363"/>
    </row>
    <row r="575" spans="1:32" ht="15" hidden="1" customHeight="1" x14ac:dyDescent="0.3">
      <c r="A575" s="376" t="s">
        <v>1879</v>
      </c>
      <c r="B575" s="380" t="s">
        <v>9</v>
      </c>
      <c r="C575" s="409" t="s">
        <v>975</v>
      </c>
      <c r="D575" s="409" t="s">
        <v>976</v>
      </c>
      <c r="E575" s="419">
        <v>6100015292</v>
      </c>
      <c r="F575" s="501">
        <v>46160</v>
      </c>
      <c r="G575" s="380" t="s">
        <v>55</v>
      </c>
      <c r="H575" s="380">
        <v>3</v>
      </c>
      <c r="I575" s="388">
        <v>336000</v>
      </c>
      <c r="J575" s="380">
        <v>3</v>
      </c>
      <c r="K575" s="389">
        <f>I575/J575</f>
        <v>112000</v>
      </c>
      <c r="L575" s="518">
        <v>46074</v>
      </c>
      <c r="M575" s="518">
        <v>46438</v>
      </c>
      <c r="N575" s="363" t="s">
        <v>520</v>
      </c>
      <c r="O575" s="380"/>
      <c r="P575" s="380"/>
      <c r="Q575" s="390" t="s">
        <v>1880</v>
      </c>
      <c r="R575" s="363" t="s">
        <v>1856</v>
      </c>
      <c r="S575" s="363" t="s">
        <v>1881</v>
      </c>
      <c r="T575" s="363"/>
      <c r="U575" s="363" t="s">
        <v>1882</v>
      </c>
      <c r="V575" s="363"/>
      <c r="W575" s="363"/>
      <c r="X575" s="363"/>
      <c r="Y575" s="363"/>
      <c r="Z575" s="363"/>
      <c r="AA575" s="363"/>
      <c r="AB575" s="363"/>
      <c r="AC575" s="363" t="s">
        <v>834</v>
      </c>
      <c r="AD575" s="380" t="s">
        <v>207</v>
      </c>
      <c r="AE575" s="380">
        <v>3</v>
      </c>
      <c r="AF575" s="363" t="s">
        <v>1581</v>
      </c>
    </row>
    <row r="576" spans="1:32" ht="15" hidden="1" customHeight="1" x14ac:dyDescent="0.3">
      <c r="B576" s="380" t="s">
        <v>9</v>
      </c>
      <c r="C576" s="553" t="s">
        <v>775</v>
      </c>
      <c r="D576" s="482" t="s">
        <v>1883</v>
      </c>
      <c r="E576" s="408">
        <v>2710002054</v>
      </c>
      <c r="F576" s="488">
        <v>46168</v>
      </c>
      <c r="G576" s="380" t="s">
        <v>55</v>
      </c>
      <c r="H576" s="380">
        <v>2</v>
      </c>
      <c r="I576" s="388">
        <v>188175</v>
      </c>
      <c r="J576" s="380">
        <v>3</v>
      </c>
      <c r="K576" s="389">
        <f>47775+46312.5</f>
        <v>94087.5</v>
      </c>
      <c r="L576" s="505">
        <v>46113</v>
      </c>
      <c r="M576" s="505">
        <v>46477</v>
      </c>
      <c r="N576" s="363" t="s">
        <v>520</v>
      </c>
      <c r="O576" s="380"/>
      <c r="P576" s="380"/>
      <c r="Q576" s="390" t="s">
        <v>1080</v>
      </c>
      <c r="R576" s="363" t="s">
        <v>1847</v>
      </c>
      <c r="S576" s="363" t="s">
        <v>1108</v>
      </c>
      <c r="T576" s="363" t="s">
        <v>1884</v>
      </c>
      <c r="U576" s="363" t="s">
        <v>1885</v>
      </c>
      <c r="V576" s="363"/>
      <c r="W576" s="363"/>
      <c r="X576" s="363"/>
      <c r="Y576" s="363"/>
      <c r="Z576" s="363"/>
      <c r="AA576" s="363"/>
      <c r="AB576" s="363"/>
      <c r="AC576" s="363" t="s">
        <v>551</v>
      </c>
      <c r="AD576" s="380" t="s">
        <v>207</v>
      </c>
      <c r="AE576" s="380">
        <v>3</v>
      </c>
      <c r="AF576" s="363" t="s">
        <v>1886</v>
      </c>
    </row>
    <row r="577" spans="1:32" ht="15" hidden="1" customHeight="1" x14ac:dyDescent="0.3">
      <c r="B577" s="380" t="s">
        <v>9</v>
      </c>
      <c r="C577" s="553" t="s">
        <v>775</v>
      </c>
      <c r="D577" s="482" t="s">
        <v>1883</v>
      </c>
      <c r="E577" s="408">
        <v>2710002053</v>
      </c>
      <c r="F577" s="488">
        <v>46168</v>
      </c>
      <c r="G577" s="380" t="s">
        <v>55</v>
      </c>
      <c r="H577" s="380">
        <v>2</v>
      </c>
      <c r="I577" s="388">
        <v>160875</v>
      </c>
      <c r="J577" s="380">
        <v>3</v>
      </c>
      <c r="K577" s="389">
        <f>36562.5+43875</f>
        <v>80437.5</v>
      </c>
      <c r="L577" s="517">
        <v>46113</v>
      </c>
      <c r="M577" s="517">
        <v>46477</v>
      </c>
      <c r="N577" s="363" t="s">
        <v>520</v>
      </c>
      <c r="O577" s="380"/>
      <c r="P577" s="380"/>
      <c r="Q577" s="390" t="s">
        <v>1080</v>
      </c>
      <c r="R577" s="363" t="s">
        <v>1854</v>
      </c>
      <c r="S577" s="363" t="s">
        <v>1108</v>
      </c>
      <c r="T577" s="363" t="s">
        <v>1884</v>
      </c>
      <c r="U577" s="363" t="s">
        <v>1885</v>
      </c>
      <c r="V577" s="363"/>
      <c r="W577" s="363"/>
      <c r="X577" s="363"/>
      <c r="Y577" s="363"/>
      <c r="Z577" s="363"/>
      <c r="AA577" s="363"/>
      <c r="AB577" s="363"/>
      <c r="AC577" s="363" t="s">
        <v>551</v>
      </c>
      <c r="AD577" s="380" t="s">
        <v>207</v>
      </c>
      <c r="AE577" s="380">
        <v>3</v>
      </c>
      <c r="AF577" s="363" t="s">
        <v>1886</v>
      </c>
    </row>
    <row r="578" spans="1:32" ht="15" hidden="1" customHeight="1" x14ac:dyDescent="0.3">
      <c r="A578" s="376" t="s">
        <v>1879</v>
      </c>
      <c r="B578" s="380" t="s">
        <v>9</v>
      </c>
      <c r="C578" s="482" t="s">
        <v>1887</v>
      </c>
      <c r="D578" s="482" t="s">
        <v>1031</v>
      </c>
      <c r="E578" s="468">
        <v>4514271746</v>
      </c>
      <c r="F578" s="488">
        <v>46175</v>
      </c>
      <c r="G578" s="380" t="s">
        <v>55</v>
      </c>
      <c r="H578" s="380">
        <v>1</v>
      </c>
      <c r="I578" s="388">
        <v>285000</v>
      </c>
      <c r="J578" s="380">
        <v>3</v>
      </c>
      <c r="K578" s="389">
        <f t="shared" ref="K578:K586" si="27">I578/J578</f>
        <v>95000</v>
      </c>
      <c r="L578" s="504">
        <v>46113</v>
      </c>
      <c r="M578" s="504">
        <v>46477</v>
      </c>
      <c r="N578" s="363" t="s">
        <v>520</v>
      </c>
      <c r="O578" s="380"/>
      <c r="P578" s="380"/>
      <c r="Q578" s="363" t="s">
        <v>1080</v>
      </c>
      <c r="R578" s="363"/>
      <c r="S578" s="363" t="s">
        <v>1108</v>
      </c>
      <c r="T578" s="363"/>
      <c r="U578" s="363" t="s">
        <v>1885</v>
      </c>
      <c r="V578" s="363"/>
      <c r="W578" s="363"/>
      <c r="X578" s="363"/>
      <c r="Y578" s="363"/>
      <c r="Z578" s="363"/>
      <c r="AA578" s="363"/>
      <c r="AB578" s="363"/>
      <c r="AC578" s="363" t="s">
        <v>478</v>
      </c>
      <c r="AD578" s="380" t="s">
        <v>63</v>
      </c>
      <c r="AE578" s="380">
        <v>5</v>
      </c>
      <c r="AF578" s="363" t="s">
        <v>667</v>
      </c>
    </row>
    <row r="579" spans="1:32" ht="15" hidden="1" customHeight="1" x14ac:dyDescent="0.3">
      <c r="A579" s="376" t="s">
        <v>1879</v>
      </c>
      <c r="B579" s="380" t="s">
        <v>9</v>
      </c>
      <c r="C579" s="482" t="s">
        <v>1888</v>
      </c>
      <c r="D579" s="482" t="s">
        <v>151</v>
      </c>
      <c r="E579" s="468">
        <v>4504965642</v>
      </c>
      <c r="F579" s="488">
        <v>46112</v>
      </c>
      <c r="G579" s="380" t="s">
        <v>55</v>
      </c>
      <c r="H579" s="380">
        <v>4</v>
      </c>
      <c r="I579" s="388">
        <v>260000</v>
      </c>
      <c r="J579" s="380">
        <v>2</v>
      </c>
      <c r="K579" s="389">
        <f t="shared" si="27"/>
        <v>130000</v>
      </c>
      <c r="L579" s="504">
        <v>46023</v>
      </c>
      <c r="M579" s="504">
        <v>46387</v>
      </c>
      <c r="N579" s="363" t="s">
        <v>520</v>
      </c>
      <c r="O579" s="380"/>
      <c r="P579" s="380"/>
      <c r="Q579" s="390" t="s">
        <v>607</v>
      </c>
      <c r="R579" s="363" t="s">
        <v>1854</v>
      </c>
      <c r="S579" s="363" t="s">
        <v>1889</v>
      </c>
      <c r="T579" s="363"/>
      <c r="U579" s="363"/>
      <c r="V579" s="363"/>
      <c r="W579" s="363"/>
      <c r="X579" s="363"/>
      <c r="Y579" s="363"/>
      <c r="Z579" s="363"/>
      <c r="AA579" s="363"/>
      <c r="AB579" s="363"/>
      <c r="AC579" s="363" t="s">
        <v>478</v>
      </c>
      <c r="AD579" s="380" t="s">
        <v>63</v>
      </c>
      <c r="AE579" s="380">
        <v>2</v>
      </c>
      <c r="AF579" s="363" t="s">
        <v>667</v>
      </c>
    </row>
    <row r="580" spans="1:32" ht="15" hidden="1" customHeight="1" x14ac:dyDescent="0.3">
      <c r="B580" s="380" t="s">
        <v>9</v>
      </c>
      <c r="C580" s="482" t="s">
        <v>530</v>
      </c>
      <c r="D580" s="482" t="s">
        <v>1016</v>
      </c>
      <c r="E580" s="468" t="s">
        <v>1890</v>
      </c>
      <c r="F580" s="488">
        <v>46174</v>
      </c>
      <c r="G580" s="380" t="s">
        <v>55</v>
      </c>
      <c r="H580" s="380">
        <v>2</v>
      </c>
      <c r="I580" s="388">
        <f>563400/3</f>
        <v>187800</v>
      </c>
      <c r="J580" s="380">
        <v>3</v>
      </c>
      <c r="K580" s="389">
        <f t="shared" si="27"/>
        <v>62600</v>
      </c>
      <c r="L580" s="504">
        <v>46174</v>
      </c>
      <c r="M580" s="504">
        <v>46538</v>
      </c>
      <c r="N580" s="363" t="s">
        <v>520</v>
      </c>
      <c r="O580" s="380"/>
      <c r="P580" s="380"/>
      <c r="Q580" s="381" t="str" cm="1">
        <f t="array" ref="Q580">TEXT(EDATE(L580,{0}),"dd/mm/yyy") &amp; " to " &amp; TEXT(EDATE(L580,{4})-1,"dd/mm/yyyy")</f>
        <v>01/06/2026 to 30/09/2026</v>
      </c>
      <c r="R580" s="363"/>
      <c r="S580" s="381" t="str" cm="1">
        <f t="array" ref="S580">TEXT(EDATE(L580,{4}),"dd/mm/yyy") &amp; " to " &amp; TEXT(EDATE(L580,{8})-1,"dd/mm/yyyy")</f>
        <v>01/10/2026 to 31/01/2027</v>
      </c>
      <c r="T580" s="363"/>
      <c r="U580" s="381" t="str" cm="1">
        <f t="array" ref="U580">TEXT(EDATE(L580,{8}),"dd/mm/yyy") &amp; " to " &amp; TEXT(EDATE(L580,{12})-1,"dd/mm/yyyy")</f>
        <v>01/02/2027 to 31/05/2027</v>
      </c>
      <c r="V580" s="363"/>
      <c r="W580" s="363"/>
      <c r="X580" s="363"/>
      <c r="Y580" s="363"/>
      <c r="Z580" s="363"/>
      <c r="AA580" s="363"/>
      <c r="AB580" s="363"/>
      <c r="AC580" s="363" t="s">
        <v>619</v>
      </c>
      <c r="AD580" s="380" t="s">
        <v>63</v>
      </c>
      <c r="AE580" s="380">
        <v>3</v>
      </c>
      <c r="AF580" s="363" t="s">
        <v>667</v>
      </c>
    </row>
    <row r="581" spans="1:32" ht="15" hidden="1" customHeight="1" x14ac:dyDescent="0.3">
      <c r="B581" s="380" t="s">
        <v>9</v>
      </c>
      <c r="C581" s="482" t="s">
        <v>530</v>
      </c>
      <c r="D581" s="482" t="s">
        <v>1016</v>
      </c>
      <c r="E581" s="468" t="s">
        <v>1890</v>
      </c>
      <c r="F581" s="488">
        <v>46174</v>
      </c>
      <c r="G581" s="380" t="s">
        <v>55</v>
      </c>
      <c r="H581" s="380"/>
      <c r="I581" s="388">
        <f>563400/3</f>
        <v>187800</v>
      </c>
      <c r="J581" s="380">
        <v>3</v>
      </c>
      <c r="K581" s="389">
        <f t="shared" si="27"/>
        <v>62600</v>
      </c>
      <c r="L581" s="504">
        <v>46539</v>
      </c>
      <c r="M581" s="507">
        <v>46904</v>
      </c>
      <c r="N581" s="363" t="s">
        <v>520</v>
      </c>
      <c r="O581" s="380"/>
      <c r="P581" s="380"/>
      <c r="Q581" s="381" t="str" cm="1">
        <f t="array" ref="Q581">TEXT(EDATE(L581,{0}),"dd/mm/yyy") &amp; " to " &amp; TEXT(EDATE(L581,{4})-1,"dd/mm/yyyy")</f>
        <v>01/06/2027 to 30/09/2027</v>
      </c>
      <c r="R581" s="363"/>
      <c r="S581" s="381" t="str" cm="1">
        <f t="array" ref="S581">TEXT(EDATE(L581,{4}),"dd/mm/yyy") &amp; " to " &amp; TEXT(EDATE(L581,{8})-1,"dd/mm/yyyy")</f>
        <v>01/10/2027 to 31/01/2028</v>
      </c>
      <c r="T581" s="363"/>
      <c r="U581" s="381" t="str" cm="1">
        <f t="array" ref="U581">TEXT(EDATE(L581,{8}),"dd/mm/yyy") &amp; " to " &amp; TEXT(EDATE(L581,{12})-1,"dd/mm/yyyy")</f>
        <v>01/02/2028 to 31/05/2028</v>
      </c>
      <c r="V581" s="363"/>
      <c r="W581" s="363"/>
      <c r="X581" s="363"/>
      <c r="Y581" s="363"/>
      <c r="Z581" s="363"/>
      <c r="AA581" s="363"/>
      <c r="AB581" s="363"/>
      <c r="AC581" s="363" t="s">
        <v>619</v>
      </c>
      <c r="AD581" s="380" t="s">
        <v>63</v>
      </c>
      <c r="AE581" s="380">
        <v>3</v>
      </c>
      <c r="AF581" s="363" t="s">
        <v>667</v>
      </c>
    </row>
    <row r="582" spans="1:32" ht="15" hidden="1" customHeight="1" x14ac:dyDescent="0.3">
      <c r="B582" s="380" t="s">
        <v>9</v>
      </c>
      <c r="C582" s="482" t="s">
        <v>530</v>
      </c>
      <c r="D582" s="482" t="s">
        <v>1016</v>
      </c>
      <c r="E582" s="468" t="s">
        <v>1890</v>
      </c>
      <c r="F582" s="488">
        <v>46174</v>
      </c>
      <c r="G582" s="380" t="s">
        <v>55</v>
      </c>
      <c r="H582" s="380"/>
      <c r="I582" s="388">
        <f>563400/3</f>
        <v>187800</v>
      </c>
      <c r="J582" s="380">
        <v>3</v>
      </c>
      <c r="K582" s="389">
        <f t="shared" si="27"/>
        <v>62600</v>
      </c>
      <c r="L582" s="504">
        <v>46905</v>
      </c>
      <c r="M582" s="507">
        <v>47269</v>
      </c>
      <c r="N582" s="363" t="s">
        <v>520</v>
      </c>
      <c r="O582" s="380"/>
      <c r="P582" s="380"/>
      <c r="Q582" s="381" t="str" cm="1">
        <f t="array" ref="Q582">TEXT(EDATE(L582,{0}),"dd/mm/yyy") &amp; " to " &amp; TEXT(EDATE(L582,{4})-1,"dd/mm/yyyy")</f>
        <v>01/06/2028 to 30/09/2028</v>
      </c>
      <c r="R582" s="363"/>
      <c r="S582" s="381" t="str" cm="1">
        <f t="array" ref="S582">TEXT(EDATE(L582,{4}),"dd/mm/yyy") &amp; " to " &amp; TEXT(EDATE(L582,{8})-1,"dd/mm/yyyy")</f>
        <v>01/10/2028 to 31/01/2029</v>
      </c>
      <c r="T582" s="363"/>
      <c r="U582" s="381" t="str" cm="1">
        <f t="array" ref="U582">TEXT(EDATE($L582,{8}),"dd/mm/yyy") &amp; " to " &amp; TEXT(EDATE($L582,{12})-1,"dd/mm/yyyy")</f>
        <v>01/02/2029 to 31/05/2029</v>
      </c>
      <c r="V582" s="363"/>
      <c r="W582" s="363"/>
      <c r="X582" s="363"/>
      <c r="Y582" s="363"/>
      <c r="Z582" s="363"/>
      <c r="AA582" s="363"/>
      <c r="AB582" s="363"/>
      <c r="AC582" s="363" t="s">
        <v>619</v>
      </c>
      <c r="AD582" s="380" t="s">
        <v>63</v>
      </c>
      <c r="AE582" s="380">
        <v>3</v>
      </c>
      <c r="AF582" s="363" t="s">
        <v>667</v>
      </c>
    </row>
    <row r="583" spans="1:32" ht="15" hidden="1" customHeight="1" x14ac:dyDescent="0.3">
      <c r="A583" s="376" t="s">
        <v>1879</v>
      </c>
      <c r="B583" s="380" t="s">
        <v>9</v>
      </c>
      <c r="C583" s="430" t="s">
        <v>1891</v>
      </c>
      <c r="D583" s="430" t="s">
        <v>1892</v>
      </c>
      <c r="E583" s="419">
        <v>4514063024</v>
      </c>
      <c r="F583" s="519">
        <v>46133</v>
      </c>
      <c r="G583" s="380" t="s">
        <v>55</v>
      </c>
      <c r="H583" s="464">
        <v>1</v>
      </c>
      <c r="I583" s="388">
        <v>50000</v>
      </c>
      <c r="J583" s="380">
        <v>3</v>
      </c>
      <c r="K583" s="389">
        <f t="shared" si="27"/>
        <v>16666.666666666668</v>
      </c>
      <c r="L583" s="512">
        <v>46023</v>
      </c>
      <c r="M583" s="512">
        <v>46387</v>
      </c>
      <c r="N583" s="363" t="s">
        <v>520</v>
      </c>
      <c r="O583" s="380"/>
      <c r="P583" s="380"/>
      <c r="Q583" s="394" t="str" cm="1">
        <f t="array" ref="Q583">TEXT(EDATE(L583,{0}),"dd/mm/yyy") &amp; " to " &amp; TEXT(EDATE(L583,{4})-1,"dd/mm/yyyy")</f>
        <v>01/01/2026 to 30/04/2026</v>
      </c>
      <c r="R583" s="363" t="s">
        <v>1852</v>
      </c>
      <c r="S583" s="381" t="str" cm="1">
        <f t="array" ref="S583">TEXT(EDATE(L583,{4}),"dd/mm/yyy") &amp; " to " &amp; TEXT(EDATE(L583,{8})-1,"dd/mm/yyyy")</f>
        <v>01/05/2026 to 31/08/2026</v>
      </c>
      <c r="T583" s="363"/>
      <c r="U583" s="381" t="str" cm="1">
        <f t="array" ref="U583">TEXT(EDATE($L583,{8}),"dd/mm/yyy") &amp; " to " &amp; TEXT(EDATE($L583,{12})-1,"dd/mm/yyyy")</f>
        <v>01/09/2026 to 31/12/2026</v>
      </c>
      <c r="V583" s="363"/>
      <c r="W583" s="363"/>
      <c r="X583" s="363"/>
      <c r="Y583" s="363"/>
      <c r="Z583" s="363"/>
      <c r="AA583" s="363"/>
      <c r="AB583" s="363"/>
      <c r="AC583" s="363" t="s">
        <v>478</v>
      </c>
      <c r="AD583" s="380" t="s">
        <v>63</v>
      </c>
      <c r="AE583" s="380">
        <v>5</v>
      </c>
      <c r="AF583" s="363" t="s">
        <v>667</v>
      </c>
    </row>
    <row r="584" spans="1:32" ht="15" hidden="1" customHeight="1" x14ac:dyDescent="0.3">
      <c r="A584" s="376" t="s">
        <v>1879</v>
      </c>
      <c r="B584" s="380" t="s">
        <v>9</v>
      </c>
      <c r="C584" s="646" t="s">
        <v>130</v>
      </c>
      <c r="D584" s="647" t="s">
        <v>940</v>
      </c>
      <c r="E584" s="648">
        <v>6800051961</v>
      </c>
      <c r="F584" s="488">
        <v>46132</v>
      </c>
      <c r="G584" s="380" t="s">
        <v>55</v>
      </c>
      <c r="H584" s="380">
        <v>1</v>
      </c>
      <c r="I584" s="388">
        <v>89500</v>
      </c>
      <c r="J584" s="380">
        <v>3</v>
      </c>
      <c r="K584" s="389">
        <f t="shared" si="27"/>
        <v>29833.333333333332</v>
      </c>
      <c r="L584" s="505">
        <v>46143</v>
      </c>
      <c r="M584" s="505">
        <v>46507</v>
      </c>
      <c r="N584" s="363" t="s">
        <v>520</v>
      </c>
      <c r="O584" s="380"/>
      <c r="P584" s="380"/>
      <c r="Q584" s="394" t="str" cm="1">
        <f t="array" ref="Q584">TEXT(EDATE(L584,{0}),"dd/mm/yyy") &amp; " to " &amp; TEXT(EDATE(L584,{4})-1,"dd/mm/yyyy")</f>
        <v>01/05/2026 to 31/08/2026</v>
      </c>
      <c r="R584" s="363" t="s">
        <v>1712</v>
      </c>
      <c r="S584" s="381" t="str" cm="1">
        <f t="array" ref="S584">TEXT(EDATE(L584,{4}),"dd/mm/yyy") &amp; " to " &amp; TEXT(EDATE(L584,{8})-1,"dd/mm/yyyy")</f>
        <v>01/09/2026 to 31/12/2026</v>
      </c>
      <c r="T584" s="363"/>
      <c r="U584" s="381" t="str" cm="1">
        <f t="array" ref="U584">TEXT(EDATE($L584,{8}),"dd/mm/yyy") &amp; " to " &amp; TEXT(EDATE($L584,{12})-1,"dd/mm/yyyy")</f>
        <v>01/01/2027 to 30/04/2027</v>
      </c>
      <c r="V584" s="363"/>
      <c r="W584" s="363"/>
      <c r="X584" s="363"/>
      <c r="Y584" s="363"/>
      <c r="Z584" s="363"/>
      <c r="AA584" s="363"/>
      <c r="AB584" s="363"/>
      <c r="AC584" s="363" t="s">
        <v>1893</v>
      </c>
      <c r="AD584" s="380" t="s">
        <v>97</v>
      </c>
      <c r="AE584" s="380">
        <v>2</v>
      </c>
      <c r="AF584" s="363" t="s">
        <v>1894</v>
      </c>
    </row>
    <row r="585" spans="1:32" ht="15" hidden="1" customHeight="1" x14ac:dyDescent="0.3">
      <c r="A585" s="376" t="s">
        <v>1879</v>
      </c>
      <c r="B585" s="380" t="s">
        <v>9</v>
      </c>
      <c r="C585" s="646" t="s">
        <v>130</v>
      </c>
      <c r="D585" s="647" t="s">
        <v>940</v>
      </c>
      <c r="E585" s="649">
        <v>6800051960</v>
      </c>
      <c r="F585" s="488">
        <v>46132</v>
      </c>
      <c r="G585" s="380" t="s">
        <v>55</v>
      </c>
      <c r="H585" s="380">
        <v>5</v>
      </c>
      <c r="I585" s="388">
        <f>89500*5</f>
        <v>447500</v>
      </c>
      <c r="J585" s="380">
        <v>3</v>
      </c>
      <c r="K585" s="389">
        <f t="shared" si="27"/>
        <v>149166.66666666666</v>
      </c>
      <c r="L585" s="505">
        <v>46143</v>
      </c>
      <c r="M585" s="505">
        <v>46507</v>
      </c>
      <c r="N585" s="363" t="s">
        <v>520</v>
      </c>
      <c r="O585" s="380"/>
      <c r="P585" s="380"/>
      <c r="Q585" s="394" t="str" cm="1">
        <f t="array" ref="Q585">TEXT(EDATE(L585,{0}),"dd/mm/yyy") &amp; " to " &amp; TEXT(EDATE(L585,{4})-1,"dd/mm/yyyy")</f>
        <v>01/05/2026 to 31/08/2026</v>
      </c>
      <c r="R585" s="363" t="s">
        <v>1712</v>
      </c>
      <c r="S585" s="381" t="str" cm="1">
        <f t="array" ref="S585">TEXT(EDATE(L585,{4}),"dd/mm/yyy") &amp; " to " &amp; TEXT(EDATE(L585,{8})-1,"dd/mm/yyyy")</f>
        <v>01/09/2026 to 31/12/2026</v>
      </c>
      <c r="T585" s="363"/>
      <c r="U585" s="381" t="str" cm="1">
        <f t="array" ref="U585">TEXT(EDATE($L585,{8}),"dd/mm/yyy") &amp; " to " &amp; TEXT(EDATE($L585,{12})-1,"dd/mm/yyyy")</f>
        <v>01/01/2027 to 30/04/2027</v>
      </c>
      <c r="V585" s="363"/>
      <c r="W585" s="363"/>
      <c r="X585" s="363"/>
      <c r="Y585" s="363"/>
      <c r="Z585" s="363"/>
      <c r="AA585" s="363"/>
      <c r="AB585" s="363"/>
      <c r="AC585" s="363" t="s">
        <v>1893</v>
      </c>
      <c r="AD585" s="380" t="s">
        <v>97</v>
      </c>
      <c r="AE585" s="380">
        <v>2</v>
      </c>
      <c r="AF585" s="363" t="s">
        <v>1894</v>
      </c>
    </row>
    <row r="586" spans="1:32" ht="15" hidden="1" customHeight="1" x14ac:dyDescent="0.3">
      <c r="B586" s="380" t="s">
        <v>9</v>
      </c>
      <c r="C586" s="646" t="s">
        <v>744</v>
      </c>
      <c r="D586" s="647" t="s">
        <v>176</v>
      </c>
      <c r="E586" s="648">
        <v>4500026344</v>
      </c>
      <c r="F586" s="488">
        <v>46092</v>
      </c>
      <c r="G586" s="380" t="s">
        <v>55</v>
      </c>
      <c r="H586" s="380">
        <v>2</v>
      </c>
      <c r="I586" s="388">
        <v>222750</v>
      </c>
      <c r="J586" s="380">
        <v>2</v>
      </c>
      <c r="K586" s="389">
        <f t="shared" si="27"/>
        <v>111375</v>
      </c>
      <c r="L586" s="504">
        <v>46092</v>
      </c>
      <c r="M586" s="504">
        <v>46456</v>
      </c>
      <c r="N586" s="363" t="s">
        <v>520</v>
      </c>
      <c r="O586" s="380"/>
      <c r="P586" s="380"/>
      <c r="Q586" s="381" t="str" cm="1">
        <f t="array" ref="Q586">TEXT(EDATE($L586,{0}),"dd/mm/yyy") &amp; " to " &amp; TEXT(EDATE($L586,{6})-1,"dd/mm/yyyy")</f>
        <v>11/03/2026 to 10/09/2026</v>
      </c>
      <c r="R586" s="363"/>
      <c r="S586" s="381" t="str" cm="1">
        <f t="array" ref="S586">TEXT(EDATE($L586,{6}),"dd/mm/yyy") &amp; " to " &amp; TEXT(EDATE($L586,{12})-1,"dd/mm/yyyy")</f>
        <v>11/09/2026 to 10/03/2027</v>
      </c>
      <c r="T586" s="363"/>
      <c r="U586" s="363"/>
      <c r="V586" s="363"/>
      <c r="W586" s="363"/>
      <c r="X586" s="363"/>
      <c r="Y586" s="363"/>
      <c r="Z586" s="363"/>
      <c r="AA586" s="363"/>
      <c r="AB586" s="363"/>
      <c r="AC586" s="363" t="s">
        <v>1893</v>
      </c>
      <c r="AD586" s="380" t="s">
        <v>97</v>
      </c>
      <c r="AE586" s="380">
        <v>2</v>
      </c>
      <c r="AF586" s="363" t="s">
        <v>667</v>
      </c>
    </row>
    <row r="587" spans="1:32" ht="15" hidden="1" customHeight="1" x14ac:dyDescent="0.3">
      <c r="A587" s="376" t="s">
        <v>1879</v>
      </c>
      <c r="B587" s="380" t="s">
        <v>9</v>
      </c>
      <c r="C587" s="409" t="s">
        <v>614</v>
      </c>
      <c r="D587" s="489" t="s">
        <v>447</v>
      </c>
      <c r="E587" s="520" t="s">
        <v>1895</v>
      </c>
      <c r="F587" s="488">
        <v>46171</v>
      </c>
      <c r="G587" s="380" t="s">
        <v>55</v>
      </c>
      <c r="H587" s="380">
        <v>1</v>
      </c>
      <c r="I587" s="388">
        <v>76440</v>
      </c>
      <c r="J587" s="380">
        <v>3</v>
      </c>
      <c r="K587" s="380"/>
      <c r="L587" s="505">
        <v>46113</v>
      </c>
      <c r="M587" s="505">
        <v>46477</v>
      </c>
      <c r="N587" s="363" t="s">
        <v>520</v>
      </c>
      <c r="O587" s="380"/>
      <c r="P587" s="380"/>
      <c r="Q587" s="381" t="str" cm="1">
        <f t="array" ref="Q587">TEXT(EDATE(L587,{0}),"dd/mm/yyy") &amp; " to " &amp; TEXT(EDATE(L587,{4})-1,"dd/mm/yyyy")</f>
        <v>01/04/2026 to 31/07/2026</v>
      </c>
      <c r="R587" s="363"/>
      <c r="S587" s="381" t="str" cm="1">
        <f t="array" ref="S587">TEXT(EDATE(L587,{4}),"dd/mm/yyy") &amp; " to " &amp; TEXT(EDATE(L587,{8})-1,"dd/mm/yyyy")</f>
        <v>01/08/2026 to 30/11/2026</v>
      </c>
      <c r="T587" s="363"/>
      <c r="U587" s="381" t="str" cm="1">
        <f t="array" ref="U587">TEXT(EDATE($L587,{8}),"dd/mm/yyy") &amp; " to " &amp; TEXT(EDATE($L587,{12})-1,"dd/mm/yyyy")</f>
        <v>01/12/2026 to 31/03/2027</v>
      </c>
      <c r="V587" s="363"/>
      <c r="W587" s="363"/>
      <c r="X587" s="363"/>
      <c r="Y587" s="363"/>
      <c r="Z587" s="363"/>
      <c r="AA587" s="363"/>
      <c r="AB587" s="363"/>
      <c r="AC587" s="363" t="s">
        <v>281</v>
      </c>
      <c r="AD587" s="380" t="s">
        <v>97</v>
      </c>
      <c r="AE587" s="380">
        <v>3</v>
      </c>
      <c r="AF587" s="363" t="s">
        <v>1896</v>
      </c>
    </row>
    <row r="588" spans="1:32" ht="15" hidden="1" customHeight="1" x14ac:dyDescent="0.3">
      <c r="B588" s="380" t="s">
        <v>9</v>
      </c>
      <c r="C588" s="482" t="s">
        <v>614</v>
      </c>
      <c r="D588" s="483" t="s">
        <v>447</v>
      </c>
      <c r="E588" s="494" t="s">
        <v>1897</v>
      </c>
      <c r="F588" s="488">
        <v>46091</v>
      </c>
      <c r="G588" s="380" t="s">
        <v>55</v>
      </c>
      <c r="H588" s="380">
        <v>1</v>
      </c>
      <c r="I588" s="388">
        <v>76440</v>
      </c>
      <c r="J588" s="380">
        <v>3</v>
      </c>
      <c r="K588" s="380"/>
      <c r="L588" s="504">
        <v>46143</v>
      </c>
      <c r="M588" s="504">
        <v>46507</v>
      </c>
      <c r="N588" s="363" t="s">
        <v>520</v>
      </c>
      <c r="O588" s="380"/>
      <c r="P588" s="380"/>
      <c r="Q588" s="381" t="str" cm="1">
        <f t="array" ref="Q588">TEXT(EDATE(L588,{0}),"dd/mm/yyy") &amp; " to " &amp; TEXT(EDATE(L588,{4})-1,"dd/mm/yyyy")</f>
        <v>01/05/2026 to 31/08/2026</v>
      </c>
      <c r="R588" s="363"/>
      <c r="S588" s="381" t="str" cm="1">
        <f t="array" ref="S588">TEXT(EDATE(L588,{4}),"dd/mm/yyy") &amp; " to " &amp; TEXT(EDATE(L588,{8})-1,"dd/mm/yyyy")</f>
        <v>01/09/2026 to 31/12/2026</v>
      </c>
      <c r="T588" s="363"/>
      <c r="U588" s="381" t="str" cm="1">
        <f t="array" ref="U588">TEXT(EDATE($L588,{8}),"dd/mm/yyy") &amp; " to " &amp; TEXT(EDATE($L588,{12})-1,"dd/mm/yyyy")</f>
        <v>01/01/2027 to 30/04/2027</v>
      </c>
      <c r="V588" s="363"/>
      <c r="W588" s="363"/>
      <c r="X588" s="363"/>
      <c r="Y588" s="363"/>
      <c r="Z588" s="363"/>
      <c r="AA588" s="363"/>
      <c r="AB588" s="363"/>
      <c r="AC588" s="363" t="s">
        <v>281</v>
      </c>
      <c r="AD588" s="380" t="s">
        <v>97</v>
      </c>
      <c r="AE588" s="380">
        <v>3</v>
      </c>
      <c r="AF588" s="363" t="s">
        <v>1896</v>
      </c>
    </row>
    <row r="589" spans="1:32" ht="15" hidden="1" customHeight="1" x14ac:dyDescent="0.3">
      <c r="B589" s="380" t="s">
        <v>9</v>
      </c>
      <c r="C589" s="409" t="s">
        <v>614</v>
      </c>
      <c r="D589" s="489" t="s">
        <v>970</v>
      </c>
      <c r="E589" s="380">
        <v>4500050673</v>
      </c>
      <c r="F589" s="488">
        <v>46175</v>
      </c>
      <c r="G589" s="380" t="s">
        <v>55</v>
      </c>
      <c r="H589" s="380">
        <v>2</v>
      </c>
      <c r="I589" s="388">
        <f>I588*2</f>
        <v>152880</v>
      </c>
      <c r="J589" s="380">
        <v>3</v>
      </c>
      <c r="K589" s="380"/>
      <c r="L589" s="505">
        <v>46167</v>
      </c>
      <c r="M589" s="505">
        <v>46531</v>
      </c>
      <c r="N589" s="363" t="s">
        <v>520</v>
      </c>
      <c r="O589" s="380"/>
      <c r="P589" s="380"/>
      <c r="Q589" s="381" t="str" cm="1">
        <f t="array" ref="Q589">TEXT(EDATE(L589,{0}),"dd/mm/yyy") &amp; " to " &amp; TEXT(EDATE(L589,{4})-1,"dd/mm/yyyy")</f>
        <v>25/05/2026 to 24/09/2026</v>
      </c>
      <c r="R589" s="363"/>
      <c r="S589" s="381" t="str" cm="1">
        <f t="array" ref="S589">TEXT(EDATE(L589,{4}),"dd/mm/yyy") &amp; " to " &amp; TEXT(EDATE(L589,{8})-1,"dd/mm/yyyy")</f>
        <v>25/09/2026 to 24/01/2027</v>
      </c>
      <c r="T589" s="363"/>
      <c r="U589" s="381" t="str" cm="1">
        <f t="array" ref="U589">TEXT(EDATE($L589,{8}),"dd/mm/yyy") &amp; " to " &amp; TEXT(EDATE($L589,{12})-1,"dd/mm/yyyy")</f>
        <v>25/01/2027 to 24/05/2027</v>
      </c>
      <c r="V589" s="363"/>
      <c r="W589" s="363"/>
      <c r="X589" s="363"/>
      <c r="Y589" s="363"/>
      <c r="Z589" s="363"/>
      <c r="AA589" s="363"/>
      <c r="AB589" s="363"/>
      <c r="AC589" s="363" t="s">
        <v>281</v>
      </c>
      <c r="AD589" s="380" t="s">
        <v>97</v>
      </c>
      <c r="AE589" s="380">
        <v>3</v>
      </c>
      <c r="AF589" s="363" t="s">
        <v>1896</v>
      </c>
    </row>
    <row r="590" spans="1:32" ht="15" hidden="1" customHeight="1" x14ac:dyDescent="0.3">
      <c r="B590" s="380" t="s">
        <v>9</v>
      </c>
      <c r="C590" s="409" t="s">
        <v>130</v>
      </c>
      <c r="D590" s="434" t="s">
        <v>131</v>
      </c>
      <c r="E590" s="408">
        <v>6800052761</v>
      </c>
      <c r="F590" s="501">
        <v>46181</v>
      </c>
      <c r="G590" s="380" t="s">
        <v>55</v>
      </c>
      <c r="H590" s="408">
        <v>1</v>
      </c>
      <c r="I590" s="388">
        <v>90000</v>
      </c>
      <c r="J590" s="380">
        <v>3</v>
      </c>
      <c r="K590" s="389">
        <f>I590/J590</f>
        <v>30000</v>
      </c>
      <c r="L590" s="517">
        <v>46174</v>
      </c>
      <c r="M590" s="517">
        <v>46538</v>
      </c>
      <c r="N590" s="363" t="s">
        <v>520</v>
      </c>
      <c r="O590" s="380"/>
      <c r="P590" s="380"/>
      <c r="Q590" s="381" t="str" cm="1">
        <f t="array" ref="Q590">TEXT(EDATE(L590,{0}),"dd/mm/yyy") &amp; " to " &amp; TEXT(EDATE(L590,{4})-1,"dd/mm/yyyy")</f>
        <v>01/06/2026 to 30/09/2026</v>
      </c>
      <c r="R590" s="382"/>
      <c r="S590" s="381" t="str" cm="1">
        <f t="array" ref="S590">TEXT(EDATE(L590,{4}),"dd/mm/yyy") &amp; " to " &amp; TEXT(EDATE(L590,{8})-1,"dd/mm/yyyy")</f>
        <v>01/10/2026 to 31/01/2027</v>
      </c>
      <c r="T590" s="363"/>
      <c r="U590" s="381" t="str" cm="1">
        <f t="array" ref="U590">TEXT(EDATE($L590,{8}),"dd/mm/yyy") &amp; " to " &amp; TEXT(EDATE($L590,{12})-1,"dd/mm/yyyy")</f>
        <v>01/02/2027 to 31/05/2027</v>
      </c>
      <c r="V590" s="363"/>
      <c r="W590" s="363"/>
      <c r="X590" s="363"/>
      <c r="Y590" s="363"/>
      <c r="Z590" s="363"/>
      <c r="AA590" s="363"/>
      <c r="AB590" s="363"/>
      <c r="AC590" s="363" t="s">
        <v>485</v>
      </c>
      <c r="AD590" s="380" t="s">
        <v>63</v>
      </c>
      <c r="AE590" s="380">
        <v>2</v>
      </c>
      <c r="AF590" s="363" t="s">
        <v>1898</v>
      </c>
    </row>
    <row r="591" spans="1:32" ht="15" hidden="1" customHeight="1" x14ac:dyDescent="0.3">
      <c r="B591" s="380" t="s">
        <v>9</v>
      </c>
      <c r="C591" s="554" t="s">
        <v>508</v>
      </c>
      <c r="D591" s="521" t="s">
        <v>866</v>
      </c>
      <c r="E591" s="468" t="s">
        <v>1899</v>
      </c>
      <c r="F591" s="488">
        <v>46176</v>
      </c>
      <c r="G591" s="380" t="s">
        <v>55</v>
      </c>
      <c r="H591" s="522">
        <v>2</v>
      </c>
      <c r="I591" s="384">
        <v>185000</v>
      </c>
      <c r="J591" s="367">
        <v>3</v>
      </c>
      <c r="K591" s="370">
        <f>I591/2</f>
        <v>92500</v>
      </c>
      <c r="L591" s="523">
        <v>46188</v>
      </c>
      <c r="M591" s="524">
        <v>46552</v>
      </c>
      <c r="N591" s="363" t="s">
        <v>520</v>
      </c>
      <c r="Q591" s="381" t="str" cm="1">
        <f t="array" ref="Q591">TEXT(EDATE(L591,{0}),"dd/mm/yyy") &amp; " to " &amp; TEXT(EDATE(L591,{4})-1,"dd/mm/yyyy")</f>
        <v>15/06/2026 to 14/10/2026</v>
      </c>
      <c r="R591" s="376" t="s">
        <v>1900</v>
      </c>
      <c r="S591" s="381" t="str" cm="1">
        <f t="array" ref="S591">TEXT(EDATE(L591,{4}),"dd/mm/yyy") &amp; " to " &amp; TEXT(EDATE(L591,{8})-1,"dd/mm/yyyy")</f>
        <v>15/10/2026 to 14/02/2027</v>
      </c>
      <c r="T591" s="376" t="s">
        <v>1901</v>
      </c>
      <c r="U591" s="381" t="str" cm="1">
        <f t="array" ref="U591">TEXT(EDATE($L591,{8}),"dd/mm/yyy") &amp; " to " &amp; TEXT(EDATE($L591,{12})-1,"dd/mm/yyyy")</f>
        <v>15/02/2027 to 14/06/2027</v>
      </c>
      <c r="AC591" s="376" t="s">
        <v>96</v>
      </c>
      <c r="AD591" s="367" t="s">
        <v>97</v>
      </c>
      <c r="AE591" s="367">
        <v>2</v>
      </c>
      <c r="AF591" s="376" t="s">
        <v>1902</v>
      </c>
    </row>
    <row r="592" spans="1:32" ht="15" hidden="1" customHeight="1" x14ac:dyDescent="0.3">
      <c r="A592" s="376" t="s">
        <v>1879</v>
      </c>
      <c r="B592" s="380" t="s">
        <v>9</v>
      </c>
      <c r="C592" s="364" t="s">
        <v>1903</v>
      </c>
      <c r="D592" s="521" t="s">
        <v>151</v>
      </c>
      <c r="E592" s="419">
        <v>4501011273</v>
      </c>
      <c r="F592" s="488">
        <v>46168</v>
      </c>
      <c r="G592" s="525" t="s">
        <v>55</v>
      </c>
      <c r="H592" s="380">
        <v>1</v>
      </c>
      <c r="I592" s="384">
        <v>90000</v>
      </c>
      <c r="J592" s="367">
        <v>3</v>
      </c>
      <c r="K592" s="370">
        <f>I592/2</f>
        <v>45000</v>
      </c>
      <c r="L592" s="543">
        <v>46113</v>
      </c>
      <c r="M592" s="544">
        <v>46477</v>
      </c>
      <c r="N592" s="363" t="s">
        <v>520</v>
      </c>
      <c r="Q592" s="381" t="str" cm="1">
        <f t="array" ref="Q592">TEXT(EDATE(L592,{0}),"dd/mm/yyy") &amp; " to " &amp; TEXT(EDATE(L592,{4})-1,"dd/mm/yyyy")</f>
        <v>01/04/2026 to 31/07/2026</v>
      </c>
      <c r="S592" s="381" t="str" cm="1">
        <f t="array" ref="S592">TEXT(EDATE(L592,{4}),"dd/mm/yyy") &amp; " to " &amp; TEXT(EDATE(L592,{8})-1,"dd/mm/yyyy")</f>
        <v>01/08/2026 to 30/11/2026</v>
      </c>
      <c r="U592" s="381" t="str" cm="1">
        <f t="array" ref="U592">TEXT(EDATE($L592,{8}),"dd/mm/yyy") &amp; " to " &amp; TEXT(EDATE($L592,{12})-1,"dd/mm/yyyy")</f>
        <v>01/12/2026 to 31/03/2027</v>
      </c>
      <c r="AC592" s="376" t="s">
        <v>478</v>
      </c>
      <c r="AD592" s="367" t="s">
        <v>63</v>
      </c>
      <c r="AE592" s="367">
        <v>2</v>
      </c>
      <c r="AF592" s="376" t="s">
        <v>667</v>
      </c>
    </row>
    <row r="593" spans="1:32" ht="15" hidden="1" customHeight="1" x14ac:dyDescent="0.3">
      <c r="B593" s="380" t="s">
        <v>9</v>
      </c>
      <c r="C593" s="364" t="s">
        <v>658</v>
      </c>
      <c r="D593" s="521" t="s">
        <v>388</v>
      </c>
      <c r="E593" s="468" t="s">
        <v>1904</v>
      </c>
      <c r="F593" s="488">
        <v>46126</v>
      </c>
      <c r="G593" s="525" t="s">
        <v>55</v>
      </c>
      <c r="H593" s="540">
        <v>1</v>
      </c>
      <c r="I593" s="384">
        <v>73500</v>
      </c>
      <c r="J593" s="367">
        <v>2</v>
      </c>
      <c r="K593" s="370">
        <f>I593/2</f>
        <v>36750</v>
      </c>
      <c r="L593" s="543">
        <v>46082</v>
      </c>
      <c r="M593" s="544">
        <v>46446</v>
      </c>
      <c r="N593" s="363" t="s">
        <v>520</v>
      </c>
      <c r="Q593" s="381" t="str" cm="1">
        <f t="array" ref="Q593">TEXT(EDATE($L593,{0}),"dd/mm/yyy") &amp; " to " &amp; TEXT(EDATE($L593,{6})-1,"dd/mm/yyyy")</f>
        <v>01/03/2026 to 31/08/2026</v>
      </c>
      <c r="R593" s="382"/>
      <c r="S593" s="381" t="str" cm="1">
        <f t="array" ref="S593">TEXT(EDATE($L593,{6}),"dd/mm/yyy") &amp; " to " &amp; TEXT(EDATE($L593,{12})-1,"dd/mm/yyyy")</f>
        <v>01/09/2026 to 28/02/2027</v>
      </c>
      <c r="AC593" s="376" t="s">
        <v>619</v>
      </c>
      <c r="AD593" s="367" t="s">
        <v>63</v>
      </c>
      <c r="AE593" s="367">
        <v>3</v>
      </c>
      <c r="AF593" s="376" t="s">
        <v>667</v>
      </c>
    </row>
    <row r="594" spans="1:32" ht="15" hidden="1" customHeight="1" x14ac:dyDescent="0.3">
      <c r="B594" s="380" t="s">
        <v>9</v>
      </c>
      <c r="C594" s="526" t="s">
        <v>734</v>
      </c>
      <c r="D594" s="527" t="s">
        <v>323</v>
      </c>
      <c r="E594" s="419">
        <v>101289109</v>
      </c>
      <c r="F594" s="488">
        <v>46185</v>
      </c>
      <c r="G594" s="525" t="s">
        <v>55</v>
      </c>
      <c r="H594" s="380">
        <v>4</v>
      </c>
      <c r="I594" s="384">
        <v>322680</v>
      </c>
      <c r="J594" s="367">
        <v>3</v>
      </c>
      <c r="K594" s="370">
        <f>I594/J594</f>
        <v>107560</v>
      </c>
      <c r="L594" s="545">
        <v>46174</v>
      </c>
      <c r="M594" s="545">
        <v>46507</v>
      </c>
      <c r="N594" s="363" t="s">
        <v>520</v>
      </c>
      <c r="Q594" s="381" t="str" cm="1">
        <f t="array" ref="Q594">TEXT(EDATE($L594,{0}),"dd/mm/yyy") &amp; " to " &amp; TEXT(EDATE($L594,{4})-1,"dd/mm/yyyy")</f>
        <v>01/06/2026 to 30/09/2026</v>
      </c>
      <c r="R594" s="363"/>
      <c r="S594" s="381" t="str" cm="1">
        <f t="array" ref="S594">TEXT(EDATE($L594,{4}),"dd/mm/yyy") &amp; " to " &amp; TEXT(EDATE($L594,{8})-1,"dd/mm/yyyy")</f>
        <v>01/10/2026 to 31/01/2027</v>
      </c>
      <c r="T594" s="363"/>
      <c r="U594" s="381" t="s">
        <v>457</v>
      </c>
      <c r="AC594" s="376" t="s">
        <v>96</v>
      </c>
      <c r="AD594" s="367" t="s">
        <v>97</v>
      </c>
      <c r="AE594" s="367" t="s">
        <v>494</v>
      </c>
      <c r="AF594" s="376" t="s">
        <v>1905</v>
      </c>
    </row>
    <row r="595" spans="1:32" ht="15" hidden="1" customHeight="1" x14ac:dyDescent="0.3">
      <c r="A595" s="376" t="s">
        <v>1879</v>
      </c>
      <c r="B595" s="380" t="s">
        <v>9</v>
      </c>
      <c r="C595" s="600" t="s">
        <v>775</v>
      </c>
      <c r="D595" s="601" t="s">
        <v>776</v>
      </c>
      <c r="E595" s="541">
        <v>2710002115</v>
      </c>
      <c r="F595" s="343">
        <v>46185</v>
      </c>
      <c r="G595" s="525" t="s">
        <v>55</v>
      </c>
      <c r="H595" s="380">
        <v>2</v>
      </c>
      <c r="I595" s="384">
        <v>129320</v>
      </c>
      <c r="J595" s="367">
        <v>3</v>
      </c>
      <c r="K595" s="370">
        <f>I595/2</f>
        <v>64660</v>
      </c>
      <c r="L595" s="602">
        <v>46113</v>
      </c>
      <c r="M595" s="603">
        <v>46477</v>
      </c>
      <c r="N595" s="363" t="s">
        <v>520</v>
      </c>
      <c r="Q595" s="394" t="str" cm="1">
        <f t="array" ref="Q595">TEXT(EDATE($L595,{0}),"dd/mm/yyy") &amp; " to " &amp; TEXT(EDATE($L595,{4})-1,"dd/mm/yyyy")</f>
        <v>01/04/2026 to 31/07/2026</v>
      </c>
      <c r="R595" s="376" t="s">
        <v>1874</v>
      </c>
      <c r="S595" s="381" t="str" cm="1">
        <f t="array" ref="S595">TEXT(EDATE($L595,{4}),"dd/mm/yyy") &amp; " to " &amp; TEXT(EDATE($L595,{8})-1,"dd/mm/yyyy")</f>
        <v>01/08/2026 to 30/11/2026</v>
      </c>
      <c r="T595" s="376" t="s">
        <v>1906</v>
      </c>
      <c r="U595" s="381" t="str" cm="1">
        <f t="array" ref="U595">TEXT(EDATE($L595,{8}),"dd/mm/yyy") &amp; " to " &amp; TEXT(EDATE($L595,{12})-1,"dd/mm/yyyy")</f>
        <v>01/12/2026 to 31/03/2027</v>
      </c>
      <c r="AC595" s="376" t="s">
        <v>551</v>
      </c>
      <c r="AD595" s="367" t="s">
        <v>207</v>
      </c>
      <c r="AE595" s="367">
        <v>3</v>
      </c>
      <c r="AF595" s="376" t="s">
        <v>1907</v>
      </c>
    </row>
    <row r="596" spans="1:32" ht="15" hidden="1" customHeight="1" x14ac:dyDescent="0.3">
      <c r="B596" s="380" t="s">
        <v>9</v>
      </c>
      <c r="C596" s="556" t="s">
        <v>658</v>
      </c>
      <c r="D596" s="557" t="s">
        <v>151</v>
      </c>
      <c r="E596" s="50">
        <v>6500016201</v>
      </c>
      <c r="F596" s="343">
        <v>46188</v>
      </c>
      <c r="G596" s="525" t="s">
        <v>55</v>
      </c>
      <c r="H596" s="540">
        <v>8</v>
      </c>
      <c r="I596" s="384">
        <v>448000</v>
      </c>
      <c r="J596" s="367">
        <v>1</v>
      </c>
      <c r="K596" s="370">
        <f t="shared" ref="K596:K603" si="28">I596/J596</f>
        <v>448000</v>
      </c>
      <c r="L596" s="558">
        <v>46113</v>
      </c>
      <c r="M596" s="559">
        <v>46477</v>
      </c>
      <c r="N596" s="363" t="s">
        <v>520</v>
      </c>
      <c r="Q596" s="376" t="s">
        <v>646</v>
      </c>
      <c r="AC596" s="376" t="s">
        <v>507</v>
      </c>
      <c r="AD596" s="367" t="s">
        <v>63</v>
      </c>
      <c r="AE596" s="367">
        <v>2</v>
      </c>
      <c r="AF596" s="376" t="s">
        <v>1908</v>
      </c>
    </row>
    <row r="597" spans="1:32" ht="15" hidden="1" customHeight="1" x14ac:dyDescent="0.3">
      <c r="A597" s="376" t="s">
        <v>1879</v>
      </c>
      <c r="B597" s="380" t="s">
        <v>9</v>
      </c>
      <c r="C597" s="37" t="s">
        <v>1909</v>
      </c>
      <c r="D597" s="557" t="s">
        <v>151</v>
      </c>
      <c r="E597" s="174">
        <v>4601561729</v>
      </c>
      <c r="F597" s="343">
        <v>46189</v>
      </c>
      <c r="G597" s="525" t="s">
        <v>55</v>
      </c>
      <c r="H597" s="380">
        <v>2</v>
      </c>
      <c r="I597" s="384">
        <f>84999+84999</f>
        <v>169998</v>
      </c>
      <c r="J597" s="367">
        <v>3</v>
      </c>
      <c r="K597" s="370">
        <f t="shared" si="28"/>
        <v>56666</v>
      </c>
      <c r="L597" s="602">
        <v>46113</v>
      </c>
      <c r="M597" s="603">
        <v>46477</v>
      </c>
      <c r="N597" s="363" t="s">
        <v>520</v>
      </c>
      <c r="Q597" s="394" t="str" cm="1">
        <f t="array" ref="Q597">TEXT(EDATE($L597,{0}),"dd/mm/yyy") &amp; " to " &amp; TEXT(EDATE($L597,{4})-1,"dd/mm/yyyy")</f>
        <v>01/04/2026 to 31/07/2026</v>
      </c>
      <c r="R597" s="363" t="s">
        <v>1844</v>
      </c>
      <c r="S597" s="381" t="str" cm="1">
        <f t="array" ref="S597">TEXT(EDATE($L597,{4}),"dd/mm/yyy") &amp; " to " &amp; TEXT(EDATE($L597,{8})-1,"dd/mm/yyyy")</f>
        <v>01/08/2026 to 30/11/2026</v>
      </c>
      <c r="T597" s="363"/>
      <c r="U597" s="381" t="str" cm="1">
        <f t="array" ref="U597">TEXT(EDATE($L597,{8}),"dd/mm/yyy") &amp; " to " &amp; TEXT(EDATE($L597,{12})-1,"dd/mm/yyyy")</f>
        <v>01/12/2026 to 31/03/2027</v>
      </c>
      <c r="AC597" s="376" t="s">
        <v>478</v>
      </c>
      <c r="AD597" s="367" t="s">
        <v>63</v>
      </c>
      <c r="AE597" s="367">
        <v>3</v>
      </c>
      <c r="AF597" s="376" t="s">
        <v>667</v>
      </c>
    </row>
    <row r="598" spans="1:32" ht="15" hidden="1" customHeight="1" x14ac:dyDescent="0.3">
      <c r="B598" s="380" t="s">
        <v>9</v>
      </c>
      <c r="C598" s="556" t="s">
        <v>1069</v>
      </c>
      <c r="D598" s="557" t="s">
        <v>1137</v>
      </c>
      <c r="E598" s="50">
        <v>4400023545</v>
      </c>
      <c r="F598" s="343">
        <v>46191</v>
      </c>
      <c r="G598" s="525" t="s">
        <v>55</v>
      </c>
      <c r="H598" s="380">
        <v>1</v>
      </c>
      <c r="I598" s="384">
        <v>50000.01</v>
      </c>
      <c r="J598" s="367">
        <v>3</v>
      </c>
      <c r="K598" s="370">
        <f t="shared" si="28"/>
        <v>16666.670000000002</v>
      </c>
      <c r="L598" s="558">
        <v>46204</v>
      </c>
      <c r="M598" s="559">
        <v>46568</v>
      </c>
      <c r="N598" s="363" t="s">
        <v>520</v>
      </c>
      <c r="Q598" s="381" t="str" cm="1">
        <f t="array" ref="Q598">TEXT(EDATE($L598,{0}),"dd/mm/yyy") &amp; " to " &amp; TEXT(EDATE($L598,{4})-1,"dd/mm/yyyy")</f>
        <v>01/07/2026 to 31/10/2026</v>
      </c>
      <c r="R598" s="363"/>
      <c r="S598" s="381" t="str" cm="1">
        <f t="array" ref="S598">TEXT(EDATE($L598,{4}),"dd/mm/yyy") &amp; " to " &amp; TEXT(EDATE($L598,{8})-1,"dd/mm/yyyy")</f>
        <v>01/11/2026 to 28/02/2027</v>
      </c>
      <c r="T598" s="363"/>
      <c r="U598" s="381" t="str" cm="1">
        <f t="array" ref="U598">TEXT(EDATE($L598,{8}),"dd/mm/yyy") &amp; " to " &amp; TEXT(EDATE($L598,{12})-1,"dd/mm/yyyy")</f>
        <v>01/03/2027 to 30/06/2027</v>
      </c>
      <c r="AC598" s="376" t="s">
        <v>478</v>
      </c>
      <c r="AD598" s="367" t="s">
        <v>63</v>
      </c>
      <c r="AE598" s="367">
        <v>5</v>
      </c>
      <c r="AF598" s="376" t="s">
        <v>667</v>
      </c>
    </row>
    <row r="599" spans="1:32" ht="15" hidden="1" customHeight="1" x14ac:dyDescent="0.3">
      <c r="B599" s="380" t="s">
        <v>9</v>
      </c>
      <c r="C599" s="37" t="s">
        <v>1203</v>
      </c>
      <c r="D599" s="560" t="s">
        <v>997</v>
      </c>
      <c r="E599" s="50" t="s">
        <v>1910</v>
      </c>
      <c r="F599" s="343">
        <v>46191</v>
      </c>
      <c r="G599" s="525" t="s">
        <v>55</v>
      </c>
      <c r="H599" s="540">
        <v>1</v>
      </c>
      <c r="I599" s="384">
        <v>85000.05</v>
      </c>
      <c r="J599" s="367">
        <v>3</v>
      </c>
      <c r="K599" s="370">
        <f t="shared" si="28"/>
        <v>28333.350000000002</v>
      </c>
      <c r="L599" s="604">
        <v>46204</v>
      </c>
      <c r="M599" s="605">
        <v>46568</v>
      </c>
      <c r="N599" s="363" t="s">
        <v>520</v>
      </c>
      <c r="Q599" s="381" t="str" cm="1">
        <f t="array" ref="Q599">TEXT(EDATE($L599,{0}),"dd/mm/yyy") &amp; " to " &amp; TEXT(EDATE($L599,{4})-1,"dd/mm/yyyy")</f>
        <v>01/07/2026 to 31/10/2026</v>
      </c>
      <c r="S599" s="381" t="str" cm="1">
        <f t="array" ref="S599">TEXT(EDATE($L599,{4}),"dd/mm/yyy") &amp; " to " &amp; TEXT(EDATE($L599,{8})-1,"dd/mm/yyyy")</f>
        <v>01/11/2026 to 28/02/2027</v>
      </c>
      <c r="U599" s="381" t="str" cm="1">
        <f t="array" ref="U599">TEXT(EDATE($L599,{8}),"dd/mm/yyy") &amp; " to " &amp; TEXT(EDATE($L599,{12})-1,"dd/mm/yyyy")</f>
        <v>01/03/2027 to 30/06/2027</v>
      </c>
      <c r="AC599" s="376" t="s">
        <v>96</v>
      </c>
      <c r="AD599" s="367" t="s">
        <v>97</v>
      </c>
      <c r="AE599" s="367" t="s">
        <v>494</v>
      </c>
      <c r="AF599" s="376" t="s">
        <v>667</v>
      </c>
    </row>
    <row r="600" spans="1:32" ht="15" hidden="1" customHeight="1" x14ac:dyDescent="0.3">
      <c r="B600" s="380" t="s">
        <v>9</v>
      </c>
      <c r="C600" s="37" t="s">
        <v>1911</v>
      </c>
      <c r="D600" s="37" t="s">
        <v>1282</v>
      </c>
      <c r="E600" s="125">
        <v>9200017243</v>
      </c>
      <c r="F600" s="606">
        <v>46165</v>
      </c>
      <c r="G600" s="525" t="s">
        <v>55</v>
      </c>
      <c r="H600" s="380">
        <v>1</v>
      </c>
      <c r="I600" s="384">
        <v>91998</v>
      </c>
      <c r="J600" s="367">
        <v>3</v>
      </c>
      <c r="K600" s="370">
        <f t="shared" si="28"/>
        <v>30666</v>
      </c>
      <c r="L600" s="604">
        <v>46196</v>
      </c>
      <c r="M600" s="605">
        <v>46560</v>
      </c>
      <c r="N600" s="363" t="s">
        <v>520</v>
      </c>
      <c r="Q600" s="381" t="str" cm="1">
        <f t="array" ref="Q600">TEXT(EDATE($L600,{0}),"dd/mm/yyy") &amp; " to " &amp; TEXT(EDATE($L600,{4})-1,"dd/mm/yyyy")</f>
        <v>23/06/2026 to 22/10/2026</v>
      </c>
      <c r="S600" s="381" t="str" cm="1">
        <f t="array" ref="S600">TEXT(EDATE($L600,{4}),"dd/mm/yyy") &amp; " to " &amp; TEXT(EDATE($L600,{8})-1,"dd/mm/yyyy")</f>
        <v>23/10/2026 to 22/02/2027</v>
      </c>
      <c r="U600" s="381" t="str" cm="1">
        <f t="array" ref="U600">TEXT(EDATE($L600,{8}),"dd/mm/yyy") &amp; " to " &amp; TEXT(EDATE($L600,{12})-1,"dd/mm/yyyy")</f>
        <v>23/02/2027 to 22/06/2027</v>
      </c>
      <c r="AC600" s="376" t="s">
        <v>1912</v>
      </c>
      <c r="AD600" s="367" t="s">
        <v>97</v>
      </c>
      <c r="AE600" s="380">
        <v>3</v>
      </c>
      <c r="AF600" s="366" t="s">
        <v>1345</v>
      </c>
    </row>
    <row r="601" spans="1:32" ht="15" hidden="1" customHeight="1" x14ac:dyDescent="0.3">
      <c r="B601" s="380" t="s">
        <v>9</v>
      </c>
      <c r="C601" s="561" t="s">
        <v>604</v>
      </c>
      <c r="D601" s="561" t="s">
        <v>1913</v>
      </c>
      <c r="E601" s="50">
        <v>5700221111</v>
      </c>
      <c r="F601" s="343">
        <v>46182</v>
      </c>
      <c r="G601" s="525" t="s">
        <v>55</v>
      </c>
      <c r="H601" s="540">
        <v>1</v>
      </c>
      <c r="I601" s="384">
        <v>118335</v>
      </c>
      <c r="J601" s="367">
        <v>2</v>
      </c>
      <c r="K601" s="370">
        <f t="shared" si="28"/>
        <v>59167.5</v>
      </c>
      <c r="L601" s="605">
        <v>46170</v>
      </c>
      <c r="M601" s="605">
        <v>46534</v>
      </c>
      <c r="N601" s="363" t="s">
        <v>520</v>
      </c>
      <c r="P601" s="367" t="s">
        <v>1</v>
      </c>
      <c r="Q601" s="381" t="str" cm="1">
        <f t="array" ref="Q601">TEXT(EDATE($L601,{0}),"dd/mm/yyy") &amp; " to " &amp; TEXT(EDATE($L601,{6})-1,"dd/mm/yyyy")</f>
        <v>28/05/2026 to 27/11/2026</v>
      </c>
      <c r="R601" s="382"/>
      <c r="S601" s="381" t="str" cm="1">
        <f t="array" ref="S601">TEXT(EDATE($L601,{6}),"dd/mm/yyy") &amp; " to " &amp; TEXT(EDATE($L601,{12})-1,"dd/mm/yyyy")</f>
        <v>28/11/2026 to 27/05/2027</v>
      </c>
      <c r="AC601" s="376" t="s">
        <v>1912</v>
      </c>
      <c r="AD601" s="367" t="s">
        <v>97</v>
      </c>
      <c r="AE601" s="367">
        <v>2</v>
      </c>
      <c r="AF601" s="366" t="s">
        <v>799</v>
      </c>
    </row>
    <row r="602" spans="1:32" ht="15" hidden="1" customHeight="1" x14ac:dyDescent="0.3">
      <c r="B602" s="380" t="s">
        <v>9</v>
      </c>
      <c r="C602" s="39" t="s">
        <v>130</v>
      </c>
      <c r="D602" s="562" t="s">
        <v>1572</v>
      </c>
      <c r="E602" s="330">
        <v>6800051942</v>
      </c>
      <c r="F602" s="343">
        <v>46129</v>
      </c>
      <c r="G602" s="525" t="s">
        <v>55</v>
      </c>
      <c r="H602" s="380">
        <v>1</v>
      </c>
      <c r="I602" s="384">
        <v>88000</v>
      </c>
      <c r="J602" s="367">
        <v>2</v>
      </c>
      <c r="K602" s="370">
        <f t="shared" si="28"/>
        <v>44000</v>
      </c>
      <c r="L602" s="348">
        <v>46126</v>
      </c>
      <c r="M602" s="348">
        <v>46490</v>
      </c>
      <c r="N602" s="363" t="s">
        <v>520</v>
      </c>
      <c r="Q602" s="381" t="str" cm="1">
        <f t="array" ref="Q602">TEXT(EDATE($L602,{0}),"dd/mm/yyy") &amp; " to " &amp; TEXT(EDATE($L602,{6})-1,"dd/mm/yyyy")</f>
        <v>14/04/2026 to 13/10/2026</v>
      </c>
      <c r="S602" s="381" t="str" cm="1">
        <f t="array" ref="S602">TEXT(EDATE($L602,{6}),"dd/mm/yyy") &amp; " to " &amp; TEXT(EDATE($L602,{12})-1,"dd/mm/yyyy")</f>
        <v>14/10/2026 to 13/04/2027</v>
      </c>
      <c r="AC602" s="376" t="s">
        <v>1893</v>
      </c>
      <c r="AD602" s="367" t="s">
        <v>97</v>
      </c>
      <c r="AE602" s="367">
        <v>2</v>
      </c>
      <c r="AF602" s="376" t="s">
        <v>1914</v>
      </c>
    </row>
    <row r="603" spans="1:32" ht="15" hidden="1" customHeight="1" x14ac:dyDescent="0.3">
      <c r="B603" s="380" t="s">
        <v>9</v>
      </c>
      <c r="C603" s="563" t="s">
        <v>1915</v>
      </c>
      <c r="D603" s="564" t="s">
        <v>1916</v>
      </c>
      <c r="E603" s="50">
        <v>6200828878</v>
      </c>
      <c r="F603" s="343">
        <v>46185</v>
      </c>
      <c r="G603" s="525" t="s">
        <v>55</v>
      </c>
      <c r="H603" s="540">
        <v>1</v>
      </c>
      <c r="I603" s="384">
        <v>75000</v>
      </c>
      <c r="J603" s="367">
        <v>3</v>
      </c>
      <c r="K603" s="370">
        <f t="shared" si="28"/>
        <v>25000</v>
      </c>
      <c r="L603" s="374">
        <v>46174</v>
      </c>
      <c r="M603" s="374">
        <v>46538</v>
      </c>
      <c r="N603" s="363" t="s">
        <v>998</v>
      </c>
      <c r="Q603" s="381" t="str" cm="1">
        <f t="array" ref="Q603">TEXT(EDATE($L603,{0}),"dd/mm/yyy") &amp; " to " &amp; TEXT(EDATE($L603,{4})-1,"dd/mm/yyyy")</f>
        <v>01/06/2026 to 30/09/2026</v>
      </c>
      <c r="S603" s="381" t="str" cm="1">
        <f t="array" ref="S603">TEXT(EDATE($L603,{4}),"dd/mm/yyy") &amp; " to " &amp; TEXT(EDATE($L603,{8})-1,"dd/mm/yyyy")</f>
        <v>01/10/2026 to 31/01/2027</v>
      </c>
      <c r="U603" s="381" t="str" cm="1">
        <f t="array" ref="U603">TEXT(EDATE($L603,{8}),"dd/mm/yyy") &amp; " to " &amp; TEXT(EDATE($L603,{12})-1,"dd/mm/yyyy")</f>
        <v>01/02/2027 to 31/05/2027</v>
      </c>
      <c r="AC603" s="376" t="s">
        <v>478</v>
      </c>
      <c r="AD603" s="367" t="s">
        <v>63</v>
      </c>
    </row>
    <row r="604" spans="1:32" ht="15" hidden="1" customHeight="1" x14ac:dyDescent="0.3">
      <c r="B604" s="380" t="s">
        <v>9</v>
      </c>
      <c r="C604" s="39" t="s">
        <v>614</v>
      </c>
      <c r="D604" s="562" t="s">
        <v>447</v>
      </c>
      <c r="E604" s="546" t="s">
        <v>1917</v>
      </c>
      <c r="F604" s="343">
        <v>46190</v>
      </c>
      <c r="G604" s="525" t="s">
        <v>55</v>
      </c>
      <c r="H604" s="380">
        <v>15</v>
      </c>
      <c r="I604" s="384">
        <v>1146599</v>
      </c>
      <c r="J604" s="367">
        <v>3</v>
      </c>
      <c r="L604" s="348">
        <v>46204</v>
      </c>
      <c r="M604" s="348">
        <v>46538</v>
      </c>
      <c r="N604" s="363" t="s">
        <v>520</v>
      </c>
      <c r="Q604" s="381" t="str" cm="1">
        <f t="array" ref="Q604">TEXT(EDATE($L604,{0}),"dd/mm/yyy") &amp; " to " &amp; TEXT(EDATE($L604,{4})-1,"dd/mm/yyyy")</f>
        <v>01/07/2026 to 31/10/2026</v>
      </c>
      <c r="R604" s="363"/>
      <c r="S604" s="381" t="str" cm="1">
        <f t="array" ref="S604">TEXT(EDATE($L604,{4}),"dd/mm/yyy") &amp; " to " &amp; TEXT(EDATE($L604,{8})-1,"dd/mm/yyyy")</f>
        <v>01/11/2026 to 28/02/2027</v>
      </c>
      <c r="T604" s="363"/>
      <c r="U604" s="381" t="s">
        <v>1247</v>
      </c>
      <c r="AC604" s="376" t="s">
        <v>281</v>
      </c>
      <c r="AD604" s="367" t="s">
        <v>97</v>
      </c>
      <c r="AE604" s="367">
        <v>3</v>
      </c>
    </row>
    <row r="605" spans="1:32" ht="15" hidden="1" customHeight="1" x14ac:dyDescent="0.3">
      <c r="B605" s="380" t="s">
        <v>9</v>
      </c>
      <c r="C605" s="565" t="s">
        <v>1918</v>
      </c>
      <c r="D605" s="566" t="s">
        <v>388</v>
      </c>
      <c r="E605" s="269" t="s">
        <v>1919</v>
      </c>
      <c r="F605" s="343">
        <v>46195</v>
      </c>
      <c r="G605" s="525" t="s">
        <v>55</v>
      </c>
      <c r="H605" s="540">
        <v>3</v>
      </c>
      <c r="I605" s="384">
        <v>220500</v>
      </c>
      <c r="J605" s="367">
        <v>2</v>
      </c>
      <c r="K605" s="370">
        <f>I605/J605</f>
        <v>110250</v>
      </c>
      <c r="L605" s="567">
        <v>46174</v>
      </c>
      <c r="M605" s="567">
        <v>46538</v>
      </c>
      <c r="N605" s="363" t="s">
        <v>520</v>
      </c>
      <c r="Q605" s="381" t="str" cm="1">
        <f t="array" ref="Q605">TEXT(EDATE($L605,{0}),"dd/mm/yyy") &amp; " to " &amp; TEXT(EDATE($L605,{6})-1,"dd/mm/yyyy")</f>
        <v>01/06/2026 to 30/11/2026</v>
      </c>
      <c r="R605" s="382"/>
      <c r="S605" s="381" t="str" cm="1">
        <f t="array" ref="S605">TEXT(EDATE($L605,{6}),"dd/mm/yyy") &amp; " to " &amp; TEXT(EDATE($L605,{12})-1,"dd/mm/yyyy")</f>
        <v>01/12/2026 to 31/05/2027</v>
      </c>
      <c r="AC605" s="376" t="s">
        <v>478</v>
      </c>
      <c r="AD605" s="367" t="s">
        <v>63</v>
      </c>
      <c r="AE605" s="367">
        <v>5</v>
      </c>
      <c r="AF605" s="376" t="s">
        <v>667</v>
      </c>
    </row>
    <row r="606" spans="1:32" ht="15" hidden="1" customHeight="1" x14ac:dyDescent="0.3">
      <c r="B606" s="380" t="s">
        <v>9</v>
      </c>
      <c r="C606" s="565" t="s">
        <v>1346</v>
      </c>
      <c r="D606" s="566" t="s">
        <v>1920</v>
      </c>
      <c r="E606" s="269" t="s">
        <v>1921</v>
      </c>
      <c r="F606" s="343">
        <v>46133</v>
      </c>
      <c r="G606" s="525" t="s">
        <v>55</v>
      </c>
      <c r="H606" s="540">
        <v>1</v>
      </c>
      <c r="I606" s="384">
        <v>90000</v>
      </c>
      <c r="J606" s="367">
        <v>2</v>
      </c>
      <c r="K606" s="370">
        <f>I606/J606</f>
        <v>45000</v>
      </c>
      <c r="L606" s="567">
        <v>46113</v>
      </c>
      <c r="M606" s="567">
        <v>46477</v>
      </c>
      <c r="N606" s="363" t="s">
        <v>520</v>
      </c>
      <c r="Q606" s="381" t="str" cm="1">
        <f t="array" ref="Q606">TEXT(EDATE($L606,{0}),"dd/mm/yyy") &amp; " to " &amp; TEXT(EDATE($L606,{6})-1,"dd/mm/yyyy")</f>
        <v>01/04/2026 to 30/09/2026</v>
      </c>
      <c r="S606" s="381" t="str" cm="1">
        <f t="array" ref="S606">TEXT(EDATE($L606,{6}),"dd/mm/yyy") &amp; " to " &amp; TEXT(EDATE($L606,{12})-1,"dd/mm/yyyy")</f>
        <v>01/10/2026 to 31/03/2027</v>
      </c>
      <c r="AC606" s="376" t="s">
        <v>96</v>
      </c>
      <c r="AD606" s="367" t="s">
        <v>97</v>
      </c>
      <c r="AE606" s="367">
        <v>3</v>
      </c>
      <c r="AF606" s="376" t="s">
        <v>667</v>
      </c>
    </row>
    <row r="607" spans="1:32" ht="15" hidden="1" customHeight="1" x14ac:dyDescent="0.3">
      <c r="B607" s="380" t="s">
        <v>9</v>
      </c>
      <c r="C607" s="568" t="s">
        <v>508</v>
      </c>
      <c r="D607" s="566" t="s">
        <v>866</v>
      </c>
      <c r="E607" s="269" t="s">
        <v>1922</v>
      </c>
      <c r="F607" s="343">
        <v>46193</v>
      </c>
      <c r="G607" s="525" t="s">
        <v>55</v>
      </c>
      <c r="H607" s="540">
        <v>8</v>
      </c>
      <c r="I607" s="384">
        <v>740000</v>
      </c>
      <c r="J607" s="367">
        <v>3</v>
      </c>
      <c r="K607" s="370">
        <f>I607/2</f>
        <v>370000</v>
      </c>
      <c r="L607" s="567">
        <v>46204</v>
      </c>
      <c r="M607" s="567">
        <v>46568</v>
      </c>
      <c r="N607" s="363" t="s">
        <v>520</v>
      </c>
      <c r="Q607" s="381" t="str" cm="1">
        <f t="array" ref="Q607">TEXT(EDATE($L607,{0}),"dd/mm/yyy") &amp; " to " &amp; TEXT(EDATE($L607,{4})-1,"dd/mm/yyyy")</f>
        <v>01/07/2026 to 31/10/2026</v>
      </c>
      <c r="R607" s="363"/>
      <c r="S607" s="381" t="str" cm="1">
        <f t="array" ref="S607">TEXT(EDATE($L607,{4}),"dd/mm/yyy") &amp; " to " &amp; TEXT(EDATE($L607,{8})-1,"dd/mm/yyyy")</f>
        <v>01/11/2026 to 28/02/2027</v>
      </c>
      <c r="T607" s="363"/>
      <c r="U607" s="381" t="str" cm="1">
        <f t="array" ref="U607">TEXT(EDATE($L607,{8}),"dd/mm/yyy") &amp; " to " &amp; TEXT(EDATE($L607,{12})-1,"dd/mm/yyyy")</f>
        <v>01/03/2027 to 30/06/2027</v>
      </c>
      <c r="AC607" s="376" t="s">
        <v>96</v>
      </c>
      <c r="AD607" s="367" t="s">
        <v>97</v>
      </c>
      <c r="AE607" s="367" t="s">
        <v>494</v>
      </c>
      <c r="AF607" s="376" t="s">
        <v>1902</v>
      </c>
    </row>
    <row r="608" spans="1:32" ht="15" hidden="1" customHeight="1" x14ac:dyDescent="0.3">
      <c r="A608" s="376" t="s">
        <v>1879</v>
      </c>
      <c r="B608" s="380" t="s">
        <v>9</v>
      </c>
      <c r="C608" s="565" t="s">
        <v>1923</v>
      </c>
      <c r="D608" s="566" t="s">
        <v>757</v>
      </c>
      <c r="E608" s="50">
        <v>2265007719</v>
      </c>
      <c r="F608" s="343">
        <v>46165</v>
      </c>
      <c r="G608" s="525" t="s">
        <v>55</v>
      </c>
      <c r="H608" s="540">
        <v>1</v>
      </c>
      <c r="I608" s="384">
        <v>83499.899999999994</v>
      </c>
      <c r="J608" s="367">
        <v>3</v>
      </c>
      <c r="K608" s="370">
        <f>I608/J608</f>
        <v>27833.3</v>
      </c>
      <c r="L608" s="567">
        <v>46113</v>
      </c>
      <c r="M608" s="567">
        <v>46477</v>
      </c>
      <c r="N608" s="363" t="s">
        <v>520</v>
      </c>
      <c r="Q608" s="381" t="str" cm="1">
        <f t="array" ref="Q608">TEXT(EDATE($L608,{0}),"dd/mm/yyy") &amp; " to " &amp; TEXT(EDATE($L608,{4})-1,"dd/mm/yyyy")</f>
        <v>01/04/2026 to 31/07/2026</v>
      </c>
      <c r="S608" s="381" t="str" cm="1">
        <f t="array" ref="S608">TEXT(EDATE($L608,{4}),"dd/mm/yyy") &amp; " to " &amp; TEXT(EDATE($L608,{8})-1,"dd/mm/yyyy")</f>
        <v>01/08/2026 to 30/11/2026</v>
      </c>
      <c r="U608" s="381" t="str" cm="1">
        <f t="array" ref="U608">TEXT(EDATE($L608,{8}),"dd/mm/yyy") &amp; " to " &amp; TEXT(EDATE($L608,{12})-1,"dd/mm/yyyy")</f>
        <v>01/12/2026 to 31/03/2027</v>
      </c>
      <c r="AC608" s="376" t="s">
        <v>507</v>
      </c>
      <c r="AD608" s="367" t="s">
        <v>63</v>
      </c>
      <c r="AE608" s="367">
        <v>3</v>
      </c>
      <c r="AF608" s="376" t="s">
        <v>799</v>
      </c>
    </row>
    <row r="609" spans="1:32" ht="15" hidden="1" customHeight="1" x14ac:dyDescent="0.3">
      <c r="A609" s="376" t="s">
        <v>1879</v>
      </c>
      <c r="B609" s="380" t="s">
        <v>9</v>
      </c>
      <c r="C609" s="39" t="s">
        <v>926</v>
      </c>
      <c r="D609" s="232" t="s">
        <v>932</v>
      </c>
      <c r="E609" s="50" t="s">
        <v>1924</v>
      </c>
      <c r="F609" s="343">
        <v>46199</v>
      </c>
      <c r="G609" s="525" t="s">
        <v>55</v>
      </c>
      <c r="H609" s="380">
        <v>1</v>
      </c>
      <c r="I609" s="384">
        <v>78000</v>
      </c>
      <c r="J609" s="367">
        <v>3</v>
      </c>
      <c r="K609" s="370">
        <f>I609/J609</f>
        <v>26000</v>
      </c>
      <c r="L609" s="569">
        <v>46113</v>
      </c>
      <c r="M609" s="569">
        <v>46477</v>
      </c>
      <c r="N609" s="363" t="s">
        <v>520</v>
      </c>
      <c r="Q609" s="381" t="str" cm="1">
        <f t="array" ref="Q609">TEXT(EDATE($L609,{0}),"dd/mm/yyy") &amp; " to " &amp; TEXT(EDATE($L609,{4})-1,"dd/mm/yyyy")</f>
        <v>01/04/2026 to 31/07/2026</v>
      </c>
      <c r="S609" s="381" t="str" cm="1">
        <f t="array" ref="S609">TEXT(EDATE($L609,{4}),"dd/mm/yyy") &amp; " to " &amp; TEXT(EDATE($L609,{8})-1,"dd/mm/yyyy")</f>
        <v>01/08/2026 to 30/11/2026</v>
      </c>
      <c r="U609" s="381" t="str" cm="1">
        <f t="array" ref="U609">TEXT(EDATE($L609,{8}),"dd/mm/yyy") &amp; " to " &amp; TEXT(EDATE($L609,{12})-1,"dd/mm/yyyy")</f>
        <v>01/12/2026 to 31/03/2027</v>
      </c>
      <c r="AC609" s="376" t="s">
        <v>507</v>
      </c>
      <c r="AD609" s="367" t="s">
        <v>63</v>
      </c>
      <c r="AE609" s="367">
        <v>3</v>
      </c>
      <c r="AF609" s="376" t="s">
        <v>1345</v>
      </c>
    </row>
    <row r="610" spans="1:32" ht="15" hidden="1" customHeight="1" x14ac:dyDescent="0.3">
      <c r="B610" s="380" t="s">
        <v>9</v>
      </c>
      <c r="C610" s="565" t="s">
        <v>789</v>
      </c>
      <c r="D610" s="566" t="s">
        <v>1925</v>
      </c>
      <c r="E610" s="269">
        <v>8480253149</v>
      </c>
      <c r="F610" s="343">
        <v>46189</v>
      </c>
      <c r="G610" s="525" t="s">
        <v>55</v>
      </c>
      <c r="H610" s="380">
        <v>1</v>
      </c>
      <c r="I610" s="384">
        <v>82500</v>
      </c>
      <c r="J610" s="367">
        <v>3</v>
      </c>
      <c r="K610" s="370">
        <f>I610/J610</f>
        <v>27500</v>
      </c>
      <c r="L610" s="567">
        <v>46174</v>
      </c>
      <c r="M610" s="567">
        <v>46538</v>
      </c>
      <c r="N610" s="363" t="s">
        <v>520</v>
      </c>
      <c r="Q610" s="381" t="str" cm="1">
        <f t="array" ref="Q610">TEXT(EDATE($L610,{0}),"dd/mm/yyy") &amp; " to " &amp; TEXT(EDATE($L610,{4})-1,"dd/mm/yyyy")</f>
        <v>01/06/2026 to 30/09/2026</v>
      </c>
      <c r="S610" s="381" t="str" cm="1">
        <f t="array" ref="S610">TEXT(EDATE($L610,{4}),"dd/mm/yyy") &amp; " to " &amp; TEXT(EDATE($L610,{8})-1,"dd/mm/yyyy")</f>
        <v>01/10/2026 to 31/01/2027</v>
      </c>
      <c r="U610" s="381" t="str" cm="1">
        <f t="array" ref="U610">TEXT(EDATE($L610,{8}),"dd/mm/yyy") &amp; " to " &amp; TEXT(EDATE($L610,{12})-1,"dd/mm/yyyy")</f>
        <v>01/02/2027 to 31/05/2027</v>
      </c>
      <c r="AC610" s="376" t="s">
        <v>1912</v>
      </c>
      <c r="AD610" s="367" t="s">
        <v>97</v>
      </c>
      <c r="AE610" s="367">
        <v>3</v>
      </c>
      <c r="AF610" s="376" t="s">
        <v>1345</v>
      </c>
    </row>
    <row r="611" spans="1:32" ht="15" hidden="1" customHeight="1" x14ac:dyDescent="0.3">
      <c r="B611" s="380" t="s">
        <v>9</v>
      </c>
      <c r="C611" s="39" t="s">
        <v>727</v>
      </c>
      <c r="D611" s="232" t="s">
        <v>984</v>
      </c>
      <c r="E611" s="125">
        <v>4100041000</v>
      </c>
      <c r="F611" s="343">
        <v>46181</v>
      </c>
      <c r="G611" s="525" t="s">
        <v>55</v>
      </c>
      <c r="H611" s="540">
        <v>4</v>
      </c>
      <c r="I611" s="384">
        <v>644828</v>
      </c>
      <c r="J611" s="367">
        <v>3</v>
      </c>
      <c r="L611" s="348">
        <v>46174</v>
      </c>
      <c r="M611" s="348">
        <v>46538</v>
      </c>
      <c r="N611" s="363" t="s">
        <v>520</v>
      </c>
      <c r="Q611" s="381" t="str" cm="1">
        <f t="array" ref="Q611">TEXT(EDATE($L611,{0}),"dd/mm/yyy") &amp; " to " &amp; TEXT(EDATE($L611,{4})-1,"dd/mm/yyyy")</f>
        <v>01/06/2026 to 30/09/2026</v>
      </c>
      <c r="S611" s="381" t="str" cm="1">
        <f t="array" ref="S611">TEXT(EDATE($L611,{4}),"dd/mm/yyy") &amp; " to " &amp; TEXT(EDATE($L611,{8})-1,"dd/mm/yyyy")</f>
        <v>01/10/2026 to 31/01/2027</v>
      </c>
      <c r="U611" s="381" t="str" cm="1">
        <f t="array" ref="U611">TEXT(EDATE($L611,{8}),"dd/mm/yyy") &amp; " to " &amp; TEXT(EDATE($L611,{12})-1,"dd/mm/yyyy")</f>
        <v>01/02/2027 to 31/05/2027</v>
      </c>
      <c r="AC611" s="376" t="s">
        <v>1912</v>
      </c>
      <c r="AD611" s="367" t="s">
        <v>97</v>
      </c>
      <c r="AE611" s="367">
        <v>3</v>
      </c>
      <c r="AF611" s="376" t="s">
        <v>1926</v>
      </c>
    </row>
    <row r="612" spans="1:32" ht="15" hidden="1" customHeight="1" x14ac:dyDescent="0.3">
      <c r="B612" s="380" t="s">
        <v>9</v>
      </c>
      <c r="C612" s="565" t="s">
        <v>1128</v>
      </c>
      <c r="D612" s="566" t="s">
        <v>1129</v>
      </c>
      <c r="E612" s="269">
        <v>4503070714</v>
      </c>
      <c r="F612" s="343">
        <v>46198</v>
      </c>
      <c r="G612" s="634" t="s">
        <v>55</v>
      </c>
      <c r="H612" s="540">
        <v>4</v>
      </c>
      <c r="I612" s="384">
        <v>281872</v>
      </c>
      <c r="J612" s="367">
        <v>4</v>
      </c>
      <c r="K612" s="370">
        <f>I612/J612</f>
        <v>70468</v>
      </c>
      <c r="L612" s="567">
        <v>46174</v>
      </c>
      <c r="M612" s="567">
        <v>46538</v>
      </c>
      <c r="N612" s="363" t="s">
        <v>520</v>
      </c>
      <c r="Q612" s="381" t="str" cm="1">
        <f t="array" ref="Q612">TEXT(EDATE($L612,{0}),"dd/mm/yyy") &amp; " to " &amp; TEXT(EDATE($L612,{3})-1,"dd/mm/yyyy")</f>
        <v>01/06/2026 to 31/08/2026</v>
      </c>
      <c r="R612" s="363"/>
      <c r="S612" s="381" t="str" cm="1">
        <f t="array" ref="S612">TEXT(EDATE($L612,{3}),"dd/mm/yyy") &amp; " to " &amp; TEXT(EDATE($L612,{6})-1,"dd/mm/yyyy")</f>
        <v>01/09/2026 to 30/11/2026</v>
      </c>
      <c r="T612" s="363"/>
      <c r="U612" s="381" t="str" cm="1">
        <f t="array" ref="U612">TEXT(EDATE($L612,{6}),"dd/mm/yyy") &amp; " to " &amp; TEXT(EDATE($L612,{9})-1,"dd/mm/yyyy")</f>
        <v>01/12/2026 to 28/02/2027</v>
      </c>
      <c r="V612" s="363"/>
      <c r="W612" s="381" t="str" cm="1">
        <f t="array" ref="W612">TEXT(EDATE($L612,{9}),"dd/mm/yyy") &amp; " to " &amp; TEXT(EDATE($L612,{12})-1,"dd/mm/yyyy")</f>
        <v>01/03/2027 to 31/05/2027</v>
      </c>
      <c r="AC612" s="376" t="s">
        <v>1912</v>
      </c>
      <c r="AD612" s="367" t="s">
        <v>97</v>
      </c>
      <c r="AE612" s="367">
        <v>4</v>
      </c>
      <c r="AF612" s="376" t="s">
        <v>1345</v>
      </c>
    </row>
    <row r="613" spans="1:32" ht="15" hidden="1" customHeight="1" x14ac:dyDescent="0.3">
      <c r="B613" s="380" t="s">
        <v>9</v>
      </c>
      <c r="C613" s="630" t="s">
        <v>926</v>
      </c>
      <c r="D613" s="632" t="s">
        <v>151</v>
      </c>
      <c r="E613" s="26" t="s">
        <v>1927</v>
      </c>
      <c r="F613" s="633">
        <v>46197</v>
      </c>
      <c r="G613" s="380" t="s">
        <v>55</v>
      </c>
      <c r="H613" s="380">
        <v>1</v>
      </c>
      <c r="I613" s="388">
        <v>78000</v>
      </c>
      <c r="J613" s="367">
        <v>3</v>
      </c>
      <c r="K613" s="370">
        <f>I613/J613</f>
        <v>26000</v>
      </c>
      <c r="L613" s="631">
        <v>46174</v>
      </c>
      <c r="M613" s="631">
        <v>46538</v>
      </c>
      <c r="N613" s="363" t="s">
        <v>520</v>
      </c>
      <c r="Q613" s="381" t="str" cm="1">
        <f t="array" ref="Q613">TEXT(EDATE($L613,{0}),"dd/mm/yyy") &amp; " to " &amp; TEXT(EDATE($L613,{4})-1,"dd/mm/yyyy")</f>
        <v>01/06/2026 to 30/09/2026</v>
      </c>
      <c r="R613" s="363"/>
      <c r="S613" s="381" t="str" cm="1">
        <f t="array" ref="S613">TEXT(EDATE($L613,{4}),"dd/mm/yyy") &amp; " to " &amp; TEXT(EDATE($L613,{8})-1,"dd/mm/yyyy")</f>
        <v>01/10/2026 to 31/01/2027</v>
      </c>
      <c r="T613" s="363"/>
      <c r="U613" s="381" t="str" cm="1">
        <f t="array" ref="U613">TEXT(EDATE($L613,{8}),"dd/mm/yyy") &amp; " to " &amp; TEXT(EDATE($L613,{12})-1,"dd/mm/yyyy")</f>
        <v>01/02/2027 to 31/05/2027</v>
      </c>
      <c r="AC613" s="376" t="s">
        <v>507</v>
      </c>
      <c r="AD613" s="367" t="s">
        <v>63</v>
      </c>
      <c r="AE613" s="367">
        <v>3</v>
      </c>
      <c r="AF613" s="376" t="s">
        <v>1345</v>
      </c>
    </row>
  </sheetData>
  <autoFilter ref="A6:AF613" xr:uid="{F96C625B-5068-4AC8-8385-052F45982FBD}">
    <filterColumn colId="13">
      <filters>
        <filter val="Expired"/>
      </filters>
    </filterColumn>
    <filterColumn colId="14">
      <filters>
        <filter val="June"/>
      </filters>
    </filterColumn>
  </autoFilter>
  <mergeCells count="3">
    <mergeCell ref="A1:B1"/>
    <mergeCell ref="A2:B2"/>
    <mergeCell ref="L5:M5"/>
  </mergeCells>
  <conditionalFormatting sqref="E265:E590 E2:E263 E595:E1048576">
    <cfRule type="duplicateValues" dxfId="37" priority="13485"/>
  </conditionalFormatting>
  <conditionalFormatting sqref="E591">
    <cfRule type="duplicateValues" dxfId="36" priority="13446"/>
  </conditionalFormatting>
  <conditionalFormatting sqref="E592">
    <cfRule type="duplicateValues" dxfId="35" priority="13447"/>
  </conditionalFormatting>
  <conditionalFormatting sqref="E593">
    <cfRule type="duplicateValues" dxfId="34" priority="13448"/>
  </conditionalFormatting>
  <conditionalFormatting sqref="E594">
    <cfRule type="duplicateValues" dxfId="33" priority="13449"/>
  </conditionalFormatting>
  <conditionalFormatting sqref="R591:R592 T591:T592 V591:AF592 I591:K594 O591:P595 T593:AF593 V594:AF595 D595:E595 R595 T595 F595:F613 I595:M613 O596:AF596 C596:E606 V597:AF599 O597:P613 R599:R600 T599:T600 V600:AD600 AF600 T601:AF602 R602:R603 T603 V603:AF604 T605:AF606 R606 D607:E607 V607:AF611 R608:R611 T608:T611 C608:E613 X612:AF612 V613:AF613 B614:AF1048576">
    <cfRule type="expression" dxfId="32" priority="5">
      <formula>$B591:$AF591&lt;&gt;""</formula>
    </cfRule>
  </conditionalFormatting>
  <pageMargins left="0.7" right="0.7" top="0.75" bottom="0.75" header="0.3" footer="0.3"/>
  <pageSetup scale="1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C625-77A2-4CEB-B17C-3DD416505E35}">
  <sheetPr filterMode="1">
    <pageSetUpPr fitToPage="1"/>
  </sheetPr>
  <dimension ref="A1:AH658"/>
  <sheetViews>
    <sheetView topLeftCell="E1" workbookViewId="0">
      <selection activeCell="G4" sqref="G4"/>
    </sheetView>
  </sheetViews>
  <sheetFormatPr defaultColWidth="9.109375" defaultRowHeight="15" customHeight="1" x14ac:dyDescent="0.3"/>
  <cols>
    <col min="1" max="1" width="7.88671875" style="376" customWidth="1"/>
    <col min="2" max="2" width="25.5546875" style="367" customWidth="1"/>
    <col min="3" max="3" width="41.88671875" style="376" customWidth="1"/>
    <col min="4" max="4" width="19.88671875" style="366" customWidth="1"/>
    <col min="5" max="5" width="37.88671875" style="367" customWidth="1"/>
    <col min="6" max="6" width="12.33203125" style="367" customWidth="1"/>
    <col min="7" max="7" width="16.44140625" style="367" customWidth="1"/>
    <col min="8" max="8" width="17.5546875" style="367" customWidth="1"/>
    <col min="9" max="9" width="16.5546875" style="384" customWidth="1"/>
    <col min="10" max="11" width="14.88671875" style="367" customWidth="1"/>
    <col min="12" max="12" width="13.5546875" style="369" customWidth="1"/>
    <col min="13" max="13" width="13" style="369" customWidth="1"/>
    <col min="14" max="14" width="14" style="660" customWidth="1"/>
    <col min="15" max="15" width="16.44140625" style="677" customWidth="1"/>
    <col min="16" max="16" width="20.88671875" style="376" customWidth="1"/>
    <col min="17" max="17" width="16.5546875" style="367" customWidth="1"/>
    <col min="18" max="18" width="22.33203125" style="367" customWidth="1"/>
    <col min="19" max="19" width="25.44140625" style="376" customWidth="1"/>
    <col min="20" max="20" width="24.109375" style="376" customWidth="1"/>
    <col min="21" max="21" width="25.5546875" style="376" customWidth="1"/>
    <col min="22" max="22" width="19.6640625" style="376" customWidth="1"/>
    <col min="23" max="23" width="26" style="376" customWidth="1"/>
    <col min="24" max="24" width="18.6640625" style="376" customWidth="1"/>
    <col min="25" max="25" width="26.109375" style="376" customWidth="1"/>
    <col min="26" max="26" width="26.6640625" style="376" customWidth="1"/>
    <col min="27" max="27" width="25.88671875" style="376" customWidth="1"/>
    <col min="28" max="28" width="10.6640625" style="376" customWidth="1"/>
    <col min="29" max="30" width="24.5546875" style="376" customWidth="1"/>
    <col min="31" max="31" width="15.44140625" style="376" customWidth="1"/>
    <col min="32" max="32" width="9.5546875" style="367" customWidth="1"/>
    <col min="33" max="33" width="9.44140625" style="367" customWidth="1"/>
    <col min="34" max="34" width="63.88671875" style="376" customWidth="1"/>
    <col min="35" max="35" width="11.5546875" style="376" bestFit="1" customWidth="1"/>
    <col min="36" max="38" width="9.109375" style="376"/>
    <col min="39" max="39" width="11.6640625" style="376" bestFit="1" customWidth="1"/>
    <col min="40" max="16384" width="9.109375" style="376"/>
  </cols>
  <sheetData>
    <row r="1" spans="1:34" ht="14.4" customHeight="1" x14ac:dyDescent="0.3">
      <c r="A1" s="837" t="s">
        <v>15</v>
      </c>
      <c r="B1" s="837"/>
      <c r="C1" s="365"/>
      <c r="D1" s="366" t="s">
        <v>16</v>
      </c>
      <c r="E1" s="702"/>
      <c r="F1" s="367" t="s">
        <v>1928</v>
      </c>
      <c r="G1" s="711" t="s">
        <v>1929</v>
      </c>
      <c r="H1" s="369">
        <f>492-22</f>
        <v>470</v>
      </c>
      <c r="I1" s="388">
        <v>82466.12</v>
      </c>
      <c r="J1" s="371">
        <f>I1*18%</f>
        <v>14843.901599999999</v>
      </c>
      <c r="K1" s="372">
        <f>J1+I1</f>
        <v>97310.021599999993</v>
      </c>
      <c r="L1" s="372">
        <f>I1*2%</f>
        <v>1649.3224</v>
      </c>
      <c r="M1" s="373">
        <f>I1+L1</f>
        <v>84115.4424</v>
      </c>
      <c r="N1" s="660">
        <f>K1-L1</f>
        <v>95660.699199999988</v>
      </c>
      <c r="O1" s="677">
        <f>I1-L1</f>
        <v>80816.797599999991</v>
      </c>
      <c r="R1" s="550"/>
      <c r="S1" s="374"/>
      <c r="T1" s="375"/>
      <c r="U1" s="374"/>
      <c r="W1" s="377"/>
    </row>
    <row r="2" spans="1:34" ht="15" customHeight="1" x14ac:dyDescent="0.3">
      <c r="A2" s="653" t="s">
        <v>1930</v>
      </c>
      <c r="B2" s="376"/>
      <c r="C2" s="652"/>
      <c r="D2" s="366" t="s">
        <v>18</v>
      </c>
      <c r="G2" s="712">
        <v>1562</v>
      </c>
      <c r="H2" s="367">
        <v>1587</v>
      </c>
      <c r="I2" s="709">
        <f>1199-1135</f>
        <v>64</v>
      </c>
      <c r="J2" s="635" t="s">
        <v>20</v>
      </c>
      <c r="K2" s="636" t="s">
        <v>21</v>
      </c>
      <c r="L2" s="637" t="s">
        <v>22</v>
      </c>
      <c r="M2" s="638" t="s">
        <v>23</v>
      </c>
      <c r="N2" s="661" t="s">
        <v>24</v>
      </c>
      <c r="O2" s="678" t="s">
        <v>25</v>
      </c>
      <c r="R2" s="380">
        <v>2</v>
      </c>
      <c r="S2" s="381" t="e" cm="1">
        <f t="array" ref="S2">TEXT(EDATE($L2,{0}),"dd/mm/yyy") &amp; " to " &amp; TEXT(EDATE($L2,{6})-1,"dd/mm/yyyy")</f>
        <v>#VALUE!</v>
      </c>
      <c r="T2" s="533"/>
      <c r="U2" s="381" t="e" cm="1">
        <f t="array" ref="U2">TEXT(EDATE($L2,{6}),"dd/mm/yyy") &amp; " to " &amp; TEXT(EDATE($L2,{12})-1,"dd/mm/yyyy")</f>
        <v>#VALUE!</v>
      </c>
      <c r="V2" s="363"/>
      <c r="W2" s="363"/>
      <c r="X2" s="363"/>
      <c r="Y2" s="363"/>
    </row>
    <row r="3" spans="1:34" ht="14.4" x14ac:dyDescent="0.3">
      <c r="A3" s="376" t="s">
        <v>1840</v>
      </c>
      <c r="C3" s="555"/>
      <c r="D3" s="366" t="s">
        <v>1661</v>
      </c>
      <c r="F3" s="367">
        <v>25</v>
      </c>
      <c r="G3" s="713">
        <v>470</v>
      </c>
      <c r="H3" s="367">
        <v>425</v>
      </c>
      <c r="I3" s="370">
        <f>1191-H4</f>
        <v>29</v>
      </c>
      <c r="J3" s="370"/>
      <c r="K3" s="370"/>
      <c r="L3" s="372"/>
      <c r="M3" s="383"/>
      <c r="R3" s="380">
        <v>3</v>
      </c>
      <c r="S3" s="381" t="str" cm="1">
        <f t="array" ref="S3">TEXT(EDATE($L3,{0}),"dd/mm/yyy") &amp; " to " &amp; TEXT(EDATE($L3,{4})-1,"dd/mm/yyyy")</f>
        <v>00/01/1900 to 29/04/1900</v>
      </c>
      <c r="T3" s="363"/>
      <c r="U3" s="381" t="str" cm="1">
        <f t="array" ref="U3">TEXT(EDATE($L3,{4}),"dd/mm/yyy") &amp; " to " &amp; TEXT(EDATE($L3,{8})-1,"dd/mm/yyyy")</f>
        <v>30/04/1900 to 30/08/1900</v>
      </c>
      <c r="V3" s="363"/>
      <c r="W3" s="381" t="str" cm="1">
        <f t="array" ref="W3">TEXT(EDATE($L3,{8}),"dd/mm/yyy") &amp; " to " &amp; TEXT(EDATE($L3,{12})-1,"dd/mm/yyyy")</f>
        <v>31/08/1900 to 30/12/1900</v>
      </c>
      <c r="X3" s="363"/>
      <c r="Y3" s="363"/>
    </row>
    <row r="4" spans="1:34" ht="14.4" x14ac:dyDescent="0.3">
      <c r="A4" s="376" t="s">
        <v>1931</v>
      </c>
      <c r="G4" s="713">
        <f>G2-G3</f>
        <v>1092</v>
      </c>
      <c r="H4" s="367">
        <f>H2-H3</f>
        <v>1162</v>
      </c>
      <c r="J4" s="370"/>
      <c r="K4" s="370"/>
      <c r="L4" s="372"/>
      <c r="M4" s="383"/>
      <c r="R4" s="380">
        <v>4</v>
      </c>
      <c r="S4" s="381" t="str" cm="1">
        <f t="array" ref="S4">TEXT(EDATE($L4,{0}),"dd/mm/yyy") &amp; " to " &amp; TEXT(EDATE($L4,{3})-1,"dd/mm/yyyy")</f>
        <v>00/01/1900 to 30/03/1900</v>
      </c>
      <c r="T4" s="363"/>
      <c r="U4" s="381" t="str" cm="1">
        <f t="array" ref="U4">TEXT(EDATE($L4,{3}),"dd/mm/yyy") &amp; " to " &amp; TEXT(EDATE($L4,{6})-1,"dd/mm/yyyy")</f>
        <v>31/03/1900 to 29/06/1900</v>
      </c>
      <c r="V4" s="363"/>
      <c r="W4" s="381" t="str" cm="1">
        <f t="array" ref="W4">TEXT(EDATE($L4,{6}),"dd/mm/yyy") &amp; " to " &amp; TEXT(EDATE($L4,{9})-1,"dd/mm/yyyy")</f>
        <v>30/06/1900 to 29/09/1900</v>
      </c>
      <c r="X4" s="363"/>
      <c r="Y4" s="381" t="str" cm="1">
        <f t="array" ref="Y4">TEXT(EDATE($L4,{9}),"dd/mm/yyy") &amp; " to " &amp; TEXT(EDATE($L4,{12})-1,"dd/mm/yyyy")</f>
        <v>30/09/1900 to 30/12/1900</v>
      </c>
    </row>
    <row r="5" spans="1:34" ht="14.4" x14ac:dyDescent="0.3">
      <c r="J5" s="371"/>
      <c r="K5" s="371"/>
      <c r="L5" s="836"/>
      <c r="M5" s="836"/>
      <c r="P5" s="385"/>
    </row>
    <row r="6" spans="1:34" s="367" customFormat="1" ht="15.6" x14ac:dyDescent="0.3">
      <c r="B6" s="380" t="s">
        <v>27</v>
      </c>
      <c r="C6" s="386" t="s">
        <v>28</v>
      </c>
      <c r="D6" s="386" t="s">
        <v>29</v>
      </c>
      <c r="E6" s="380" t="s">
        <v>30</v>
      </c>
      <c r="F6" s="380" t="s">
        <v>31</v>
      </c>
      <c r="G6" s="380" t="s">
        <v>32</v>
      </c>
      <c r="H6" s="380" t="s">
        <v>33</v>
      </c>
      <c r="I6" s="533" t="s">
        <v>34</v>
      </c>
      <c r="J6" s="380" t="s">
        <v>35</v>
      </c>
      <c r="K6" s="539" t="s">
        <v>36</v>
      </c>
      <c r="L6" s="534" t="s">
        <v>37</v>
      </c>
      <c r="M6" s="534" t="s">
        <v>38</v>
      </c>
      <c r="N6" s="662" t="s">
        <v>1932</v>
      </c>
      <c r="O6" s="679" t="s">
        <v>1933</v>
      </c>
      <c r="P6" s="380" t="s">
        <v>39</v>
      </c>
      <c r="Q6" s="380" t="s">
        <v>40</v>
      </c>
      <c r="R6" s="380" t="s">
        <v>41</v>
      </c>
      <c r="S6" s="380" t="s">
        <v>42</v>
      </c>
      <c r="T6" s="380"/>
      <c r="U6" s="380" t="s">
        <v>43</v>
      </c>
      <c r="V6" s="380"/>
      <c r="W6" s="380" t="s">
        <v>44</v>
      </c>
      <c r="X6" s="380"/>
      <c r="Y6" s="380" t="s">
        <v>45</v>
      </c>
      <c r="Z6" s="380"/>
      <c r="AA6" s="380" t="s">
        <v>46</v>
      </c>
      <c r="AB6" s="380"/>
      <c r="AC6" s="380" t="s">
        <v>47</v>
      </c>
      <c r="AD6" s="380"/>
      <c r="AE6" s="380" t="s">
        <v>48</v>
      </c>
      <c r="AF6" s="380" t="s">
        <v>49</v>
      </c>
      <c r="AG6" s="380" t="s">
        <v>50</v>
      </c>
      <c r="AH6" s="380" t="s">
        <v>51</v>
      </c>
    </row>
    <row r="7" spans="1:34" ht="14.4" hidden="1" x14ac:dyDescent="0.3">
      <c r="B7" s="380" t="s">
        <v>14</v>
      </c>
      <c r="C7" s="363" t="s">
        <v>52</v>
      </c>
      <c r="D7" s="386" t="s">
        <v>53</v>
      </c>
      <c r="E7" s="380" t="s">
        <v>54</v>
      </c>
      <c r="F7" s="387">
        <v>44996</v>
      </c>
      <c r="G7" s="380" t="s">
        <v>55</v>
      </c>
      <c r="H7" s="380"/>
      <c r="I7" s="388">
        <v>91500</v>
      </c>
      <c r="J7" s="380">
        <v>3</v>
      </c>
      <c r="K7" s="389">
        <f t="shared" ref="K7:K38" si="0">I7/J7</f>
        <v>30500</v>
      </c>
      <c r="L7" s="381">
        <v>44998</v>
      </c>
      <c r="M7" s="381">
        <v>45363</v>
      </c>
      <c r="N7" s="663"/>
      <c r="O7" s="680"/>
      <c r="P7" s="381"/>
      <c r="Q7" s="387"/>
      <c r="R7" s="381"/>
      <c r="S7" s="390" t="s">
        <v>56</v>
      </c>
      <c r="T7" s="363" t="s">
        <v>57</v>
      </c>
      <c r="U7" s="390" t="s">
        <v>58</v>
      </c>
      <c r="V7" s="363" t="s">
        <v>59</v>
      </c>
      <c r="W7" s="390" t="s">
        <v>60</v>
      </c>
      <c r="X7" s="363" t="s">
        <v>61</v>
      </c>
      <c r="Y7" s="363"/>
      <c r="Z7" s="363"/>
      <c r="AA7" s="363"/>
      <c r="AB7" s="363"/>
      <c r="AC7" s="363"/>
      <c r="AD7" s="363"/>
      <c r="AE7" s="363" t="s">
        <v>62</v>
      </c>
      <c r="AF7" s="380" t="s">
        <v>63</v>
      </c>
      <c r="AG7" s="380">
        <v>4</v>
      </c>
      <c r="AH7" s="363"/>
    </row>
    <row r="8" spans="1:34" ht="14.4" hidden="1" x14ac:dyDescent="0.3">
      <c r="B8" s="380" t="s">
        <v>14</v>
      </c>
      <c r="C8" s="363" t="s">
        <v>52</v>
      </c>
      <c r="D8" s="386" t="s">
        <v>53</v>
      </c>
      <c r="E8" s="380" t="s">
        <v>54</v>
      </c>
      <c r="F8" s="387">
        <v>44996</v>
      </c>
      <c r="G8" s="380" t="s">
        <v>55</v>
      </c>
      <c r="H8" s="380"/>
      <c r="I8" s="388">
        <v>91500</v>
      </c>
      <c r="J8" s="380">
        <v>3</v>
      </c>
      <c r="K8" s="389">
        <f t="shared" si="0"/>
        <v>30500</v>
      </c>
      <c r="L8" s="381">
        <v>45364</v>
      </c>
      <c r="M8" s="381">
        <v>45728</v>
      </c>
      <c r="N8" s="663"/>
      <c r="O8" s="680"/>
      <c r="P8" s="363"/>
      <c r="Q8" s="380"/>
      <c r="R8" s="363"/>
      <c r="S8" s="390" t="s">
        <v>64</v>
      </c>
      <c r="T8" s="363" t="s">
        <v>65</v>
      </c>
      <c r="U8" s="390" t="s">
        <v>66</v>
      </c>
      <c r="V8" s="363" t="s">
        <v>67</v>
      </c>
      <c r="W8" s="390" t="s">
        <v>68</v>
      </c>
      <c r="X8" s="363" t="s">
        <v>69</v>
      </c>
      <c r="Y8" s="363"/>
      <c r="Z8" s="363"/>
      <c r="AA8" s="363"/>
      <c r="AB8" s="363"/>
      <c r="AC8" s="363"/>
      <c r="AD8" s="363"/>
      <c r="AE8" s="363" t="s">
        <v>62</v>
      </c>
      <c r="AF8" s="380" t="s">
        <v>63</v>
      </c>
      <c r="AG8" s="380">
        <v>4</v>
      </c>
      <c r="AH8" s="363"/>
    </row>
    <row r="9" spans="1:34" ht="14.4" x14ac:dyDescent="0.3">
      <c r="B9" s="380" t="s">
        <v>14</v>
      </c>
      <c r="C9" s="547" t="s">
        <v>52</v>
      </c>
      <c r="D9" s="386" t="s">
        <v>53</v>
      </c>
      <c r="E9" s="380" t="s">
        <v>54</v>
      </c>
      <c r="F9" s="387">
        <v>44996</v>
      </c>
      <c r="G9" s="380" t="s">
        <v>55</v>
      </c>
      <c r="H9" s="380">
        <v>1</v>
      </c>
      <c r="I9" s="388">
        <v>99000</v>
      </c>
      <c r="J9" s="380">
        <v>3</v>
      </c>
      <c r="K9" s="389">
        <f t="shared" si="0"/>
        <v>33000</v>
      </c>
      <c r="L9" s="381">
        <v>45729</v>
      </c>
      <c r="M9" s="381">
        <v>46093</v>
      </c>
      <c r="N9" s="663"/>
      <c r="O9" s="680"/>
      <c r="P9" s="363" t="s">
        <v>19</v>
      </c>
      <c r="Q9" s="380" t="s">
        <v>3</v>
      </c>
      <c r="R9" s="363"/>
      <c r="S9" s="390" t="s">
        <v>70</v>
      </c>
      <c r="T9" s="363" t="s">
        <v>71</v>
      </c>
      <c r="U9" s="390" t="s">
        <v>72</v>
      </c>
      <c r="V9" s="363" t="s">
        <v>73</v>
      </c>
      <c r="W9" s="390" t="s">
        <v>74</v>
      </c>
      <c r="X9" s="363" t="s">
        <v>75</v>
      </c>
      <c r="Y9" s="363"/>
      <c r="Z9" s="363"/>
      <c r="AA9" s="363"/>
      <c r="AB9" s="363"/>
      <c r="AC9" s="363"/>
      <c r="AD9" s="363"/>
      <c r="AE9" s="363" t="s">
        <v>62</v>
      </c>
      <c r="AF9" s="380" t="s">
        <v>63</v>
      </c>
      <c r="AG9" s="380">
        <v>4</v>
      </c>
      <c r="AH9" s="363"/>
    </row>
    <row r="10" spans="1:34" ht="14.4" x14ac:dyDescent="0.3">
      <c r="B10" s="380" t="s">
        <v>14</v>
      </c>
      <c r="C10" s="363" t="s">
        <v>76</v>
      </c>
      <c r="D10" s="386" t="s">
        <v>77</v>
      </c>
      <c r="E10" s="380">
        <v>6700004761</v>
      </c>
      <c r="F10" s="387">
        <v>45678</v>
      </c>
      <c r="G10" s="380" t="s">
        <v>55</v>
      </c>
      <c r="H10" s="380">
        <v>1</v>
      </c>
      <c r="I10" s="388">
        <v>77001</v>
      </c>
      <c r="J10" s="380">
        <v>3</v>
      </c>
      <c r="K10" s="389">
        <f t="shared" si="0"/>
        <v>25667</v>
      </c>
      <c r="L10" s="381">
        <v>45689</v>
      </c>
      <c r="M10" s="381">
        <v>46053</v>
      </c>
      <c r="N10" s="663"/>
      <c r="O10" s="680"/>
      <c r="P10" s="363" t="s">
        <v>19</v>
      </c>
      <c r="Q10" s="380" t="s">
        <v>0</v>
      </c>
      <c r="R10" s="363"/>
      <c r="S10" s="390" t="s">
        <v>79</v>
      </c>
      <c r="T10" s="363" t="s">
        <v>80</v>
      </c>
      <c r="U10" s="390" t="s">
        <v>81</v>
      </c>
      <c r="V10" s="363" t="s">
        <v>82</v>
      </c>
      <c r="W10" s="390" t="s">
        <v>83</v>
      </c>
      <c r="X10" s="363" t="s">
        <v>84</v>
      </c>
      <c r="Y10" s="363"/>
      <c r="Z10" s="363"/>
      <c r="AA10" s="363"/>
      <c r="AB10" s="363"/>
      <c r="AC10" s="363"/>
      <c r="AD10" s="363"/>
      <c r="AE10" s="363" t="s">
        <v>62</v>
      </c>
      <c r="AF10" s="380" t="s">
        <v>63</v>
      </c>
      <c r="AG10" s="380">
        <v>3</v>
      </c>
      <c r="AH10" s="363"/>
    </row>
    <row r="11" spans="1:34" ht="14.4" hidden="1" x14ac:dyDescent="0.3">
      <c r="B11" s="380" t="s">
        <v>14</v>
      </c>
      <c r="C11" s="363" t="s">
        <v>85</v>
      </c>
      <c r="D11" s="386" t="s">
        <v>86</v>
      </c>
      <c r="E11" s="380" t="s">
        <v>87</v>
      </c>
      <c r="F11" s="387">
        <v>45045</v>
      </c>
      <c r="G11" s="380" t="s">
        <v>55</v>
      </c>
      <c r="H11" s="380"/>
      <c r="I11" s="388">
        <v>58000</v>
      </c>
      <c r="J11" s="380">
        <v>4</v>
      </c>
      <c r="K11" s="389">
        <f t="shared" si="0"/>
        <v>14500</v>
      </c>
      <c r="L11" s="381">
        <v>45065</v>
      </c>
      <c r="M11" s="381">
        <v>45430</v>
      </c>
      <c r="N11" s="663"/>
      <c r="O11" s="680"/>
      <c r="P11" s="363"/>
      <c r="Q11" s="380"/>
      <c r="R11" s="363"/>
      <c r="S11" s="390" t="s">
        <v>88</v>
      </c>
      <c r="T11" s="363" t="s">
        <v>89</v>
      </c>
      <c r="U11" s="390" t="s">
        <v>90</v>
      </c>
      <c r="V11" s="363" t="s">
        <v>91</v>
      </c>
      <c r="W11" s="390" t="s">
        <v>92</v>
      </c>
      <c r="X11" s="363" t="s">
        <v>93</v>
      </c>
      <c r="Y11" s="390" t="s">
        <v>94</v>
      </c>
      <c r="Z11" s="363" t="s">
        <v>95</v>
      </c>
      <c r="AA11" s="363"/>
      <c r="AB11" s="363"/>
      <c r="AC11" s="363"/>
      <c r="AD11" s="363"/>
      <c r="AE11" s="363" t="s">
        <v>96</v>
      </c>
      <c r="AF11" s="380" t="s">
        <v>97</v>
      </c>
      <c r="AG11" s="380" t="s">
        <v>98</v>
      </c>
      <c r="AH11" s="363"/>
    </row>
    <row r="12" spans="1:34" ht="14.4" hidden="1" x14ac:dyDescent="0.3">
      <c r="B12" s="380" t="s">
        <v>14</v>
      </c>
      <c r="C12" s="363" t="s">
        <v>85</v>
      </c>
      <c r="D12" s="386" t="s">
        <v>86</v>
      </c>
      <c r="E12" s="380" t="s">
        <v>87</v>
      </c>
      <c r="F12" s="387">
        <v>45045</v>
      </c>
      <c r="G12" s="380" t="s">
        <v>55</v>
      </c>
      <c r="H12" s="380"/>
      <c r="I12" s="388">
        <v>58000</v>
      </c>
      <c r="J12" s="380">
        <v>4</v>
      </c>
      <c r="K12" s="389">
        <f t="shared" si="0"/>
        <v>14500</v>
      </c>
      <c r="L12" s="381">
        <v>45431</v>
      </c>
      <c r="M12" s="381">
        <v>45795</v>
      </c>
      <c r="N12" s="663"/>
      <c r="O12" s="680"/>
      <c r="P12" s="363"/>
      <c r="Q12" s="380"/>
      <c r="R12" s="363"/>
      <c r="S12" s="390" t="s">
        <v>99</v>
      </c>
      <c r="T12" s="363" t="s">
        <v>100</v>
      </c>
      <c r="U12" s="390" t="s">
        <v>101</v>
      </c>
      <c r="V12" s="363" t="s">
        <v>102</v>
      </c>
      <c r="W12" s="390" t="s">
        <v>103</v>
      </c>
      <c r="X12" s="363" t="s">
        <v>104</v>
      </c>
      <c r="Y12" s="390" t="s">
        <v>105</v>
      </c>
      <c r="Z12" s="363" t="s">
        <v>106</v>
      </c>
      <c r="AA12" s="363"/>
      <c r="AB12" s="363"/>
      <c r="AC12" s="363"/>
      <c r="AD12" s="363"/>
      <c r="AE12" s="363" t="s">
        <v>96</v>
      </c>
      <c r="AF12" s="380" t="s">
        <v>97</v>
      </c>
      <c r="AG12" s="380" t="s">
        <v>98</v>
      </c>
      <c r="AH12" s="363"/>
    </row>
    <row r="13" spans="1:34" ht="14.4" x14ac:dyDescent="0.3">
      <c r="B13" s="380" t="s">
        <v>14</v>
      </c>
      <c r="C13" s="363" t="s">
        <v>85</v>
      </c>
      <c r="D13" s="386" t="s">
        <v>86</v>
      </c>
      <c r="E13" s="380" t="s">
        <v>87</v>
      </c>
      <c r="F13" s="387">
        <v>45045</v>
      </c>
      <c r="G13" s="380" t="s">
        <v>55</v>
      </c>
      <c r="H13" s="380">
        <v>1</v>
      </c>
      <c r="I13" s="388">
        <v>58000</v>
      </c>
      <c r="J13" s="380">
        <v>4</v>
      </c>
      <c r="K13" s="391">
        <f t="shared" si="0"/>
        <v>14500</v>
      </c>
      <c r="L13" s="381">
        <v>45796</v>
      </c>
      <c r="M13" s="381">
        <v>46160</v>
      </c>
      <c r="N13" s="663"/>
      <c r="O13" s="680"/>
      <c r="P13" s="363" t="s">
        <v>19</v>
      </c>
      <c r="Q13" s="380" t="s">
        <v>6</v>
      </c>
      <c r="R13" s="363"/>
      <c r="S13" s="390" t="s">
        <v>107</v>
      </c>
      <c r="T13" s="363" t="s">
        <v>108</v>
      </c>
      <c r="U13" s="390" t="s">
        <v>109</v>
      </c>
      <c r="V13" s="363" t="s">
        <v>110</v>
      </c>
      <c r="W13" s="390" t="s">
        <v>111</v>
      </c>
      <c r="X13" s="363" t="s">
        <v>112</v>
      </c>
      <c r="Y13" s="390" t="s">
        <v>113</v>
      </c>
      <c r="Z13" s="363" t="s">
        <v>114</v>
      </c>
      <c r="AA13" s="363"/>
      <c r="AB13" s="363"/>
      <c r="AC13" s="363"/>
      <c r="AD13" s="363"/>
      <c r="AE13" s="363" t="s">
        <v>96</v>
      </c>
      <c r="AF13" s="380" t="s">
        <v>97</v>
      </c>
      <c r="AG13" s="380" t="s">
        <v>98</v>
      </c>
      <c r="AH13" s="363"/>
    </row>
    <row r="14" spans="1:34" ht="14.4" x14ac:dyDescent="0.3">
      <c r="B14" s="380" t="s">
        <v>14</v>
      </c>
      <c r="C14" s="363" t="s">
        <v>52</v>
      </c>
      <c r="D14" s="386" t="s">
        <v>115</v>
      </c>
      <c r="E14" s="380" t="s">
        <v>116</v>
      </c>
      <c r="F14" s="387">
        <v>45006</v>
      </c>
      <c r="G14" s="380" t="s">
        <v>55</v>
      </c>
      <c r="H14" s="380">
        <v>3</v>
      </c>
      <c r="I14" s="388">
        <v>1313415</v>
      </c>
      <c r="J14" s="380">
        <v>6</v>
      </c>
      <c r="K14" s="391">
        <f t="shared" si="0"/>
        <v>218902.5</v>
      </c>
      <c r="L14" s="381">
        <v>45078</v>
      </c>
      <c r="M14" s="381">
        <v>46173</v>
      </c>
      <c r="N14" s="663"/>
      <c r="O14" s="680"/>
      <c r="P14" s="363" t="s">
        <v>19</v>
      </c>
      <c r="Q14" s="380" t="s">
        <v>6</v>
      </c>
      <c r="R14" s="363"/>
      <c r="S14" s="390" t="s">
        <v>117</v>
      </c>
      <c r="T14" s="363" t="s">
        <v>118</v>
      </c>
      <c r="U14" s="390" t="s">
        <v>119</v>
      </c>
      <c r="V14" s="363" t="s">
        <v>120</v>
      </c>
      <c r="W14" s="390" t="s">
        <v>121</v>
      </c>
      <c r="X14" s="363" t="s">
        <v>122</v>
      </c>
      <c r="Y14" s="390" t="s">
        <v>123</v>
      </c>
      <c r="Z14" s="363" t="s">
        <v>124</v>
      </c>
      <c r="AA14" s="390" t="s">
        <v>125</v>
      </c>
      <c r="AB14" s="363" t="s">
        <v>126</v>
      </c>
      <c r="AC14" s="390" t="s">
        <v>127</v>
      </c>
      <c r="AD14" s="363" t="s">
        <v>1710</v>
      </c>
      <c r="AE14" s="363" t="s">
        <v>128</v>
      </c>
      <c r="AF14" s="380" t="s">
        <v>129</v>
      </c>
      <c r="AG14" s="380" t="s">
        <v>98</v>
      </c>
      <c r="AH14" s="363"/>
    </row>
    <row r="15" spans="1:34" ht="14.4" hidden="1" x14ac:dyDescent="0.3">
      <c r="B15" s="380" t="s">
        <v>14</v>
      </c>
      <c r="C15" s="363" t="s">
        <v>130</v>
      </c>
      <c r="D15" s="386" t="s">
        <v>131</v>
      </c>
      <c r="E15" s="380">
        <v>6800037118</v>
      </c>
      <c r="F15" s="387">
        <v>45096</v>
      </c>
      <c r="G15" s="380" t="s">
        <v>55</v>
      </c>
      <c r="H15" s="380"/>
      <c r="I15" s="388">
        <f>258000/3</f>
        <v>86000</v>
      </c>
      <c r="J15" s="380">
        <v>3</v>
      </c>
      <c r="K15" s="389">
        <f t="shared" si="0"/>
        <v>28666.666666666668</v>
      </c>
      <c r="L15" s="381">
        <v>45096</v>
      </c>
      <c r="M15" s="381">
        <v>45461</v>
      </c>
      <c r="N15" s="663"/>
      <c r="O15" s="680"/>
      <c r="P15" s="363"/>
      <c r="Q15" s="380"/>
      <c r="R15" s="363"/>
      <c r="S15" s="390" t="s">
        <v>132</v>
      </c>
      <c r="T15" s="363" t="s">
        <v>133</v>
      </c>
      <c r="U15" s="390" t="s">
        <v>134</v>
      </c>
      <c r="V15" s="363" t="s">
        <v>135</v>
      </c>
      <c r="W15" s="390" t="s">
        <v>136</v>
      </c>
      <c r="X15" s="363" t="s">
        <v>61</v>
      </c>
      <c r="Y15" s="363"/>
      <c r="Z15" s="363"/>
      <c r="AA15" s="363"/>
      <c r="AB15" s="363"/>
      <c r="AC15" s="363"/>
      <c r="AD15" s="363"/>
      <c r="AE15" s="363" t="s">
        <v>137</v>
      </c>
      <c r="AF15" s="380" t="s">
        <v>63</v>
      </c>
      <c r="AG15" s="380">
        <v>2</v>
      </c>
      <c r="AH15" s="363"/>
    </row>
    <row r="16" spans="1:34" ht="14.4" hidden="1" x14ac:dyDescent="0.3">
      <c r="B16" s="380" t="s">
        <v>14</v>
      </c>
      <c r="C16" s="363" t="s">
        <v>130</v>
      </c>
      <c r="D16" s="386" t="s">
        <v>131</v>
      </c>
      <c r="E16" s="380">
        <v>6800037118</v>
      </c>
      <c r="F16" s="387">
        <v>45096</v>
      </c>
      <c r="G16" s="380" t="s">
        <v>55</v>
      </c>
      <c r="H16" s="380"/>
      <c r="I16" s="388">
        <f>258000/3</f>
        <v>86000</v>
      </c>
      <c r="J16" s="380">
        <v>3</v>
      </c>
      <c r="K16" s="389">
        <f t="shared" si="0"/>
        <v>28666.666666666668</v>
      </c>
      <c r="L16" s="381">
        <v>45462</v>
      </c>
      <c r="M16" s="381">
        <v>45826</v>
      </c>
      <c r="N16" s="663"/>
      <c r="O16" s="680"/>
      <c r="P16" s="363"/>
      <c r="Q16" s="380"/>
      <c r="R16" s="363"/>
      <c r="S16" s="390" t="s">
        <v>138</v>
      </c>
      <c r="T16" s="363" t="s">
        <v>139</v>
      </c>
      <c r="U16" s="390" t="s">
        <v>140</v>
      </c>
      <c r="V16" s="363" t="s">
        <v>141</v>
      </c>
      <c r="W16" s="390" t="s">
        <v>142</v>
      </c>
      <c r="X16" s="363" t="s">
        <v>143</v>
      </c>
      <c r="Y16" s="363"/>
      <c r="Z16" s="363"/>
      <c r="AA16" s="363"/>
      <c r="AB16" s="363"/>
      <c r="AC16" s="363"/>
      <c r="AD16" s="363"/>
      <c r="AE16" s="363" t="s">
        <v>137</v>
      </c>
      <c r="AF16" s="380" t="s">
        <v>63</v>
      </c>
      <c r="AG16" s="380">
        <v>2</v>
      </c>
      <c r="AH16" s="363"/>
    </row>
    <row r="17" spans="2:34" ht="14.4" x14ac:dyDescent="0.3">
      <c r="B17" s="380" t="s">
        <v>14</v>
      </c>
      <c r="C17" s="363" t="s">
        <v>130</v>
      </c>
      <c r="D17" s="386" t="s">
        <v>131</v>
      </c>
      <c r="E17" s="380">
        <v>6800037118</v>
      </c>
      <c r="F17" s="387">
        <v>45096</v>
      </c>
      <c r="G17" s="380" t="s">
        <v>55</v>
      </c>
      <c r="H17" s="380">
        <v>1</v>
      </c>
      <c r="I17" s="388">
        <f>258000/3</f>
        <v>86000</v>
      </c>
      <c r="J17" s="380">
        <v>3</v>
      </c>
      <c r="K17" s="389">
        <f t="shared" si="0"/>
        <v>28666.666666666668</v>
      </c>
      <c r="L17" s="381">
        <v>45827</v>
      </c>
      <c r="M17" s="381">
        <v>46191</v>
      </c>
      <c r="N17" s="663"/>
      <c r="O17" s="680"/>
      <c r="P17" s="363" t="s">
        <v>19</v>
      </c>
      <c r="Q17" s="380" t="s">
        <v>9</v>
      </c>
      <c r="R17" s="363"/>
      <c r="S17" s="390" t="s">
        <v>144</v>
      </c>
      <c r="T17" s="363" t="s">
        <v>145</v>
      </c>
      <c r="U17" s="390" t="s">
        <v>146</v>
      </c>
      <c r="V17" s="363" t="s">
        <v>147</v>
      </c>
      <c r="W17" s="390" t="s">
        <v>148</v>
      </c>
      <c r="X17" s="363" t="s">
        <v>149</v>
      </c>
      <c r="Y17" s="363"/>
      <c r="Z17" s="363"/>
      <c r="AA17" s="363"/>
      <c r="AB17" s="363"/>
      <c r="AC17" s="363"/>
      <c r="AD17" s="363"/>
      <c r="AE17" s="363" t="s">
        <v>137</v>
      </c>
      <c r="AF17" s="380" t="s">
        <v>63</v>
      </c>
      <c r="AG17" s="380">
        <v>2</v>
      </c>
      <c r="AH17" s="363"/>
    </row>
    <row r="18" spans="2:34" ht="14.4" hidden="1" x14ac:dyDescent="0.3">
      <c r="B18" s="380" t="s">
        <v>14</v>
      </c>
      <c r="C18" s="392" t="s">
        <v>150</v>
      </c>
      <c r="D18" s="386" t="s">
        <v>151</v>
      </c>
      <c r="E18" s="380">
        <v>4200258422</v>
      </c>
      <c r="F18" s="387">
        <v>45126</v>
      </c>
      <c r="G18" s="380" t="s">
        <v>55</v>
      </c>
      <c r="H18" s="380"/>
      <c r="I18" s="388">
        <v>91728</v>
      </c>
      <c r="J18" s="380">
        <v>4</v>
      </c>
      <c r="K18" s="389">
        <f t="shared" si="0"/>
        <v>22932</v>
      </c>
      <c r="L18" s="381">
        <v>45108</v>
      </c>
      <c r="M18" s="381">
        <v>45473</v>
      </c>
      <c r="N18" s="663"/>
      <c r="O18" s="680"/>
      <c r="P18" s="363"/>
      <c r="Q18" s="380"/>
      <c r="R18" s="363"/>
      <c r="S18" s="390" t="s">
        <v>152</v>
      </c>
      <c r="T18" s="363" t="s">
        <v>153</v>
      </c>
      <c r="U18" s="390" t="s">
        <v>154</v>
      </c>
      <c r="V18" s="363" t="s">
        <v>155</v>
      </c>
      <c r="W18" s="390" t="s">
        <v>156</v>
      </c>
      <c r="X18" s="363" t="s">
        <v>157</v>
      </c>
      <c r="Y18" s="390" t="s">
        <v>158</v>
      </c>
      <c r="Z18" s="363" t="s">
        <v>159</v>
      </c>
      <c r="AA18" s="363"/>
      <c r="AB18" s="363"/>
      <c r="AC18" s="363"/>
      <c r="AD18" s="363"/>
      <c r="AE18" s="363" t="s">
        <v>62</v>
      </c>
      <c r="AF18" s="380" t="s">
        <v>63</v>
      </c>
      <c r="AG18" s="380">
        <v>4</v>
      </c>
      <c r="AH18" s="363"/>
    </row>
    <row r="19" spans="2:34" ht="14.4" hidden="1" x14ac:dyDescent="0.3">
      <c r="B19" s="380" t="s">
        <v>14</v>
      </c>
      <c r="C19" s="392" t="s">
        <v>150</v>
      </c>
      <c r="D19" s="386" t="s">
        <v>151</v>
      </c>
      <c r="E19" s="380">
        <v>4200258422</v>
      </c>
      <c r="F19" s="387">
        <v>45126</v>
      </c>
      <c r="G19" s="380" t="s">
        <v>55</v>
      </c>
      <c r="H19" s="380"/>
      <c r="I19" s="388">
        <v>96313</v>
      </c>
      <c r="J19" s="380">
        <v>4</v>
      </c>
      <c r="K19" s="389">
        <f t="shared" si="0"/>
        <v>24078.25</v>
      </c>
      <c r="L19" s="381">
        <v>45474</v>
      </c>
      <c r="M19" s="381">
        <v>45838</v>
      </c>
      <c r="N19" s="663"/>
      <c r="O19" s="680"/>
      <c r="P19" s="363"/>
      <c r="Q19" s="380"/>
      <c r="R19" s="363"/>
      <c r="S19" s="390" t="s">
        <v>160</v>
      </c>
      <c r="T19" s="363" t="s">
        <v>161</v>
      </c>
      <c r="U19" s="390" t="s">
        <v>162</v>
      </c>
      <c r="V19" s="363" t="s">
        <v>163</v>
      </c>
      <c r="W19" s="390" t="s">
        <v>164</v>
      </c>
      <c r="X19" s="363" t="s">
        <v>165</v>
      </c>
      <c r="Y19" s="390" t="s">
        <v>166</v>
      </c>
      <c r="Z19" s="363" t="s">
        <v>167</v>
      </c>
      <c r="AA19" s="363"/>
      <c r="AB19" s="363"/>
      <c r="AC19" s="363"/>
      <c r="AD19" s="363"/>
      <c r="AE19" s="363" t="s">
        <v>62</v>
      </c>
      <c r="AF19" s="380" t="s">
        <v>63</v>
      </c>
      <c r="AG19" s="380">
        <v>4</v>
      </c>
      <c r="AH19" s="363"/>
    </row>
    <row r="20" spans="2:34" ht="14.4" x14ac:dyDescent="0.3">
      <c r="B20" s="380" t="s">
        <v>14</v>
      </c>
      <c r="C20" s="392" t="s">
        <v>150</v>
      </c>
      <c r="D20" s="386" t="s">
        <v>151</v>
      </c>
      <c r="E20" s="380">
        <v>4200258422</v>
      </c>
      <c r="F20" s="387">
        <v>45126</v>
      </c>
      <c r="G20" s="380" t="s">
        <v>55</v>
      </c>
      <c r="H20" s="380">
        <v>1</v>
      </c>
      <c r="I20" s="388">
        <v>96313</v>
      </c>
      <c r="J20" s="380">
        <v>4</v>
      </c>
      <c r="K20" s="389">
        <f t="shared" si="0"/>
        <v>24078.25</v>
      </c>
      <c r="L20" s="381">
        <v>45839</v>
      </c>
      <c r="M20" s="381">
        <v>46203</v>
      </c>
      <c r="N20" s="663"/>
      <c r="O20" s="680"/>
      <c r="P20" s="363" t="s">
        <v>19</v>
      </c>
      <c r="Q20" s="380" t="s">
        <v>9</v>
      </c>
      <c r="R20" s="363"/>
      <c r="S20" s="390" t="s">
        <v>168</v>
      </c>
      <c r="T20" s="363" t="s">
        <v>169</v>
      </c>
      <c r="U20" s="390" t="s">
        <v>170</v>
      </c>
      <c r="V20" s="363" t="s">
        <v>171</v>
      </c>
      <c r="W20" s="390" t="s">
        <v>172</v>
      </c>
      <c r="X20" s="363" t="s">
        <v>173</v>
      </c>
      <c r="Y20" s="390" t="s">
        <v>174</v>
      </c>
      <c r="Z20" s="363" t="s">
        <v>1843</v>
      </c>
      <c r="AA20" s="363"/>
      <c r="AB20" s="363"/>
      <c r="AC20" s="363"/>
      <c r="AD20" s="363"/>
      <c r="AE20" s="363" t="s">
        <v>62</v>
      </c>
      <c r="AF20" s="380" t="s">
        <v>63</v>
      </c>
      <c r="AG20" s="380">
        <v>4</v>
      </c>
      <c r="AH20" s="363"/>
    </row>
    <row r="21" spans="2:34" ht="14.4" hidden="1" x14ac:dyDescent="0.3">
      <c r="B21" s="380" t="s">
        <v>14</v>
      </c>
      <c r="C21" s="363" t="s">
        <v>175</v>
      </c>
      <c r="D21" s="386" t="s">
        <v>176</v>
      </c>
      <c r="E21" s="393" t="s">
        <v>177</v>
      </c>
      <c r="F21" s="387">
        <v>45184</v>
      </c>
      <c r="G21" s="380" t="s">
        <v>55</v>
      </c>
      <c r="H21" s="380"/>
      <c r="I21" s="388">
        <v>88500</v>
      </c>
      <c r="J21" s="380">
        <v>3</v>
      </c>
      <c r="K21" s="389">
        <f t="shared" si="0"/>
        <v>29500</v>
      </c>
      <c r="L21" s="381">
        <v>45108</v>
      </c>
      <c r="M21" s="381">
        <v>45473</v>
      </c>
      <c r="N21" s="663"/>
      <c r="O21" s="680"/>
      <c r="P21" s="363"/>
      <c r="Q21" s="380"/>
      <c r="R21" s="363"/>
      <c r="S21" s="390" t="s">
        <v>178</v>
      </c>
      <c r="T21" s="363"/>
      <c r="U21" s="390" t="s">
        <v>179</v>
      </c>
      <c r="V21" s="363" t="s">
        <v>180</v>
      </c>
      <c r="W21" s="390" t="s">
        <v>181</v>
      </c>
      <c r="X21" s="363" t="s">
        <v>182</v>
      </c>
      <c r="Y21" s="363"/>
      <c r="Z21" s="363"/>
      <c r="AA21" s="363"/>
      <c r="AB21" s="363"/>
      <c r="AC21" s="363"/>
      <c r="AD21" s="363"/>
      <c r="AE21" s="363" t="s">
        <v>183</v>
      </c>
      <c r="AF21" s="380" t="s">
        <v>97</v>
      </c>
      <c r="AG21" s="380"/>
      <c r="AH21" s="363"/>
    </row>
    <row r="22" spans="2:34" ht="14.4" hidden="1" x14ac:dyDescent="0.3">
      <c r="B22" s="380" t="s">
        <v>14</v>
      </c>
      <c r="C22" s="363" t="s">
        <v>175</v>
      </c>
      <c r="D22" s="386" t="s">
        <v>176</v>
      </c>
      <c r="E22" s="393" t="s">
        <v>177</v>
      </c>
      <c r="F22" s="387">
        <v>45184</v>
      </c>
      <c r="G22" s="380" t="s">
        <v>55</v>
      </c>
      <c r="H22" s="380"/>
      <c r="I22" s="388">
        <v>88500</v>
      </c>
      <c r="J22" s="380">
        <v>3</v>
      </c>
      <c r="K22" s="389">
        <f t="shared" si="0"/>
        <v>29500</v>
      </c>
      <c r="L22" s="381">
        <v>45474</v>
      </c>
      <c r="M22" s="381">
        <v>45838</v>
      </c>
      <c r="N22" s="663"/>
      <c r="O22" s="680"/>
      <c r="P22" s="363"/>
      <c r="Q22" s="380"/>
      <c r="R22" s="363"/>
      <c r="S22" s="390" t="s">
        <v>184</v>
      </c>
      <c r="T22" s="363" t="s">
        <v>185</v>
      </c>
      <c r="U22" s="390" t="s">
        <v>186</v>
      </c>
      <c r="V22" s="363" t="s">
        <v>187</v>
      </c>
      <c r="W22" s="390" t="s">
        <v>188</v>
      </c>
      <c r="X22" s="363" t="s">
        <v>189</v>
      </c>
      <c r="Y22" s="363"/>
      <c r="Z22" s="363"/>
      <c r="AA22" s="363"/>
      <c r="AB22" s="363"/>
      <c r="AC22" s="363"/>
      <c r="AD22" s="363"/>
      <c r="AE22" s="363" t="s">
        <v>183</v>
      </c>
      <c r="AF22" s="380" t="s">
        <v>97</v>
      </c>
      <c r="AG22" s="380"/>
      <c r="AH22" s="363"/>
    </row>
    <row r="23" spans="2:34" ht="14.4" x14ac:dyDescent="0.3">
      <c r="B23" s="380" t="s">
        <v>14</v>
      </c>
      <c r="C23" s="363" t="s">
        <v>175</v>
      </c>
      <c r="D23" s="386" t="s">
        <v>176</v>
      </c>
      <c r="E23" s="393" t="s">
        <v>177</v>
      </c>
      <c r="F23" s="387">
        <v>45184</v>
      </c>
      <c r="G23" s="380" t="s">
        <v>55</v>
      </c>
      <c r="H23" s="380">
        <v>1</v>
      </c>
      <c r="I23" s="388">
        <v>88500</v>
      </c>
      <c r="J23" s="380">
        <v>3</v>
      </c>
      <c r="K23" s="389">
        <f t="shared" si="0"/>
        <v>29500</v>
      </c>
      <c r="L23" s="381">
        <v>45839</v>
      </c>
      <c r="M23" s="381">
        <v>46203</v>
      </c>
      <c r="N23" s="663"/>
      <c r="O23" s="680"/>
      <c r="P23" s="363" t="s">
        <v>19</v>
      </c>
      <c r="Q23" s="380" t="s">
        <v>9</v>
      </c>
      <c r="R23" s="363"/>
      <c r="S23" s="390" t="s">
        <v>190</v>
      </c>
      <c r="T23" s="363" t="s">
        <v>191</v>
      </c>
      <c r="U23" s="390" t="s">
        <v>192</v>
      </c>
      <c r="V23" s="363" t="s">
        <v>193</v>
      </c>
      <c r="W23" s="390" t="s">
        <v>194</v>
      </c>
      <c r="X23" s="363" t="s">
        <v>1844</v>
      </c>
      <c r="Y23" s="363"/>
      <c r="Z23" s="363"/>
      <c r="AA23" s="363"/>
      <c r="AB23" s="363"/>
      <c r="AC23" s="363"/>
      <c r="AD23" s="363"/>
      <c r="AE23" s="363" t="s">
        <v>183</v>
      </c>
      <c r="AF23" s="380" t="s">
        <v>97</v>
      </c>
      <c r="AG23" s="380"/>
      <c r="AH23" s="363"/>
    </row>
    <row r="24" spans="2:34" ht="14.4" hidden="1" x14ac:dyDescent="0.3">
      <c r="B24" s="380" t="s">
        <v>14</v>
      </c>
      <c r="C24" s="363" t="s">
        <v>195</v>
      </c>
      <c r="D24" s="386" t="s">
        <v>196</v>
      </c>
      <c r="E24" s="393" t="s">
        <v>197</v>
      </c>
      <c r="F24" s="387">
        <v>45210</v>
      </c>
      <c r="G24" s="380" t="s">
        <v>55</v>
      </c>
      <c r="H24" s="380"/>
      <c r="I24" s="388">
        <v>741000</v>
      </c>
      <c r="J24" s="380">
        <v>4</v>
      </c>
      <c r="K24" s="389">
        <f t="shared" si="0"/>
        <v>185250</v>
      </c>
      <c r="L24" s="381">
        <v>45203</v>
      </c>
      <c r="M24" s="381">
        <v>45568</v>
      </c>
      <c r="N24" s="663"/>
      <c r="O24" s="680"/>
      <c r="P24" s="363"/>
      <c r="Q24" s="380"/>
      <c r="R24" s="363"/>
      <c r="S24" s="390" t="s">
        <v>198</v>
      </c>
      <c r="T24" s="363" t="s">
        <v>199</v>
      </c>
      <c r="U24" s="394" t="s">
        <v>200</v>
      </c>
      <c r="V24" s="363" t="s">
        <v>201</v>
      </c>
      <c r="W24" s="390" t="s">
        <v>202</v>
      </c>
      <c r="X24" s="363" t="s">
        <v>203</v>
      </c>
      <c r="Y24" s="390" t="s">
        <v>204</v>
      </c>
      <c r="Z24" s="363" t="s">
        <v>205</v>
      </c>
      <c r="AA24" s="363"/>
      <c r="AB24" s="363"/>
      <c r="AC24" s="363"/>
      <c r="AD24" s="363"/>
      <c r="AE24" s="363" t="s">
        <v>206</v>
      </c>
      <c r="AF24" s="380" t="s">
        <v>207</v>
      </c>
      <c r="AG24" s="380">
        <v>39</v>
      </c>
      <c r="AH24" s="363"/>
    </row>
    <row r="25" spans="2:34" ht="14.4" hidden="1" x14ac:dyDescent="0.3">
      <c r="B25" s="380" t="s">
        <v>14</v>
      </c>
      <c r="C25" s="363" t="s">
        <v>195</v>
      </c>
      <c r="D25" s="386" t="s">
        <v>196</v>
      </c>
      <c r="E25" s="393" t="s">
        <v>197</v>
      </c>
      <c r="F25" s="387">
        <v>45210</v>
      </c>
      <c r="G25" s="380" t="s">
        <v>55</v>
      </c>
      <c r="H25" s="380"/>
      <c r="I25" s="388">
        <v>741000</v>
      </c>
      <c r="J25" s="380">
        <v>4</v>
      </c>
      <c r="K25" s="389">
        <f t="shared" si="0"/>
        <v>185250</v>
      </c>
      <c r="L25" s="381">
        <v>45569</v>
      </c>
      <c r="M25" s="381">
        <v>45933</v>
      </c>
      <c r="N25" s="663"/>
      <c r="O25" s="680"/>
      <c r="P25" s="363"/>
      <c r="Q25" s="380"/>
      <c r="R25" s="363"/>
      <c r="S25" s="390" t="s">
        <v>208</v>
      </c>
      <c r="T25" s="363" t="s">
        <v>209</v>
      </c>
      <c r="U25" s="394" t="s">
        <v>210</v>
      </c>
      <c r="V25" s="363" t="s">
        <v>211</v>
      </c>
      <c r="W25" s="390" t="s">
        <v>212</v>
      </c>
      <c r="X25" s="363" t="s">
        <v>213</v>
      </c>
      <c r="Y25" s="390" t="s">
        <v>214</v>
      </c>
      <c r="Z25" s="363" t="s">
        <v>169</v>
      </c>
      <c r="AA25" s="363"/>
      <c r="AB25" s="363"/>
      <c r="AC25" s="363"/>
      <c r="AD25" s="363"/>
      <c r="AE25" s="363" t="s">
        <v>206</v>
      </c>
      <c r="AF25" s="380" t="s">
        <v>207</v>
      </c>
      <c r="AG25" s="380">
        <v>39</v>
      </c>
      <c r="AH25" s="363"/>
    </row>
    <row r="26" spans="2:34" ht="14.4" hidden="1" x14ac:dyDescent="0.3">
      <c r="B26" s="380" t="s">
        <v>14</v>
      </c>
      <c r="C26" s="363" t="s">
        <v>85</v>
      </c>
      <c r="D26" s="386" t="s">
        <v>86</v>
      </c>
      <c r="E26" s="393" t="s">
        <v>215</v>
      </c>
      <c r="F26" s="387">
        <v>45204</v>
      </c>
      <c r="G26" s="380" t="s">
        <v>55</v>
      </c>
      <c r="H26" s="380"/>
      <c r="I26" s="388">
        <f>696000/3</f>
        <v>232000</v>
      </c>
      <c r="J26" s="380">
        <v>4</v>
      </c>
      <c r="K26" s="389">
        <f t="shared" si="0"/>
        <v>58000</v>
      </c>
      <c r="L26" s="381">
        <v>45200</v>
      </c>
      <c r="M26" s="381">
        <v>45565</v>
      </c>
      <c r="N26" s="663"/>
      <c r="O26" s="680"/>
      <c r="P26" s="363"/>
      <c r="Q26" s="380"/>
      <c r="R26" s="363"/>
      <c r="S26" s="390" t="s">
        <v>216</v>
      </c>
      <c r="T26" s="363" t="s">
        <v>217</v>
      </c>
      <c r="U26" s="390" t="s">
        <v>156</v>
      </c>
      <c r="V26" s="363" t="s">
        <v>218</v>
      </c>
      <c r="W26" s="390" t="s">
        <v>158</v>
      </c>
      <c r="X26" s="363" t="s">
        <v>219</v>
      </c>
      <c r="Y26" s="390" t="s">
        <v>220</v>
      </c>
      <c r="Z26" s="363" t="s">
        <v>221</v>
      </c>
      <c r="AA26" s="363"/>
      <c r="AB26" s="363"/>
      <c r="AC26" s="363"/>
      <c r="AD26" s="363"/>
      <c r="AE26" s="363" t="s">
        <v>96</v>
      </c>
      <c r="AF26" s="380" t="s">
        <v>97</v>
      </c>
      <c r="AG26" s="380" t="s">
        <v>98</v>
      </c>
      <c r="AH26" s="363"/>
    </row>
    <row r="27" spans="2:34" ht="14.4" hidden="1" x14ac:dyDescent="0.3">
      <c r="B27" s="380" t="s">
        <v>14</v>
      </c>
      <c r="C27" s="363" t="s">
        <v>85</v>
      </c>
      <c r="D27" s="386" t="s">
        <v>86</v>
      </c>
      <c r="E27" s="393" t="s">
        <v>215</v>
      </c>
      <c r="F27" s="387">
        <v>45204</v>
      </c>
      <c r="G27" s="380" t="s">
        <v>55</v>
      </c>
      <c r="H27" s="380"/>
      <c r="I27" s="388">
        <f>696000/3</f>
        <v>232000</v>
      </c>
      <c r="J27" s="380">
        <v>4</v>
      </c>
      <c r="K27" s="389">
        <f t="shared" si="0"/>
        <v>58000</v>
      </c>
      <c r="L27" s="381">
        <v>45566</v>
      </c>
      <c r="M27" s="381">
        <v>45930</v>
      </c>
      <c r="N27" s="663"/>
      <c r="O27" s="680"/>
      <c r="P27" s="363"/>
      <c r="Q27" s="380"/>
      <c r="R27" s="363"/>
      <c r="S27" s="390" t="s">
        <v>222</v>
      </c>
      <c r="T27" s="363" t="s">
        <v>223</v>
      </c>
      <c r="U27" s="390" t="s">
        <v>164</v>
      </c>
      <c r="V27" s="363" t="s">
        <v>224</v>
      </c>
      <c r="W27" s="390" t="s">
        <v>166</v>
      </c>
      <c r="X27" s="363" t="s">
        <v>225</v>
      </c>
      <c r="Y27" s="390" t="s">
        <v>226</v>
      </c>
      <c r="Z27" s="363" t="s">
        <v>227</v>
      </c>
      <c r="AA27" s="363"/>
      <c r="AB27" s="363"/>
      <c r="AC27" s="363"/>
      <c r="AD27" s="363"/>
      <c r="AE27" s="363" t="s">
        <v>96</v>
      </c>
      <c r="AF27" s="380" t="s">
        <v>97</v>
      </c>
      <c r="AG27" s="380" t="s">
        <v>98</v>
      </c>
      <c r="AH27" s="363"/>
    </row>
    <row r="28" spans="2:34" ht="14.4" hidden="1" x14ac:dyDescent="0.3">
      <c r="B28" s="380" t="s">
        <v>14</v>
      </c>
      <c r="C28" s="363" t="s">
        <v>85</v>
      </c>
      <c r="D28" s="386" t="s">
        <v>86</v>
      </c>
      <c r="E28" s="393" t="s">
        <v>215</v>
      </c>
      <c r="F28" s="387">
        <v>45204</v>
      </c>
      <c r="G28" s="380" t="s">
        <v>55</v>
      </c>
      <c r="H28" s="380">
        <v>4</v>
      </c>
      <c r="I28" s="395">
        <f>696000/3</f>
        <v>232000</v>
      </c>
      <c r="J28" s="380">
        <v>4</v>
      </c>
      <c r="K28" s="389">
        <f t="shared" si="0"/>
        <v>58000</v>
      </c>
      <c r="L28" s="381">
        <v>45931</v>
      </c>
      <c r="M28" s="381">
        <v>46295</v>
      </c>
      <c r="N28" s="663"/>
      <c r="O28" s="680"/>
      <c r="P28" s="363"/>
      <c r="Q28" s="380"/>
      <c r="R28" s="363"/>
      <c r="S28" s="390" t="s">
        <v>228</v>
      </c>
      <c r="T28" s="363" t="s">
        <v>229</v>
      </c>
      <c r="U28" s="390" t="s">
        <v>172</v>
      </c>
      <c r="V28" s="363" t="s">
        <v>230</v>
      </c>
      <c r="W28" s="390" t="s">
        <v>174</v>
      </c>
      <c r="X28" s="363" t="s">
        <v>1845</v>
      </c>
      <c r="Y28" s="363" t="s">
        <v>231</v>
      </c>
      <c r="Z28" s="363"/>
      <c r="AA28" s="363"/>
      <c r="AB28" s="363"/>
      <c r="AC28" s="363"/>
      <c r="AD28" s="363"/>
      <c r="AE28" s="363" t="s">
        <v>96</v>
      </c>
      <c r="AF28" s="380" t="s">
        <v>97</v>
      </c>
      <c r="AG28" s="380" t="s">
        <v>98</v>
      </c>
      <c r="AH28" s="363"/>
    </row>
    <row r="29" spans="2:34" ht="14.4" hidden="1" x14ac:dyDescent="0.3">
      <c r="B29" s="380" t="s">
        <v>14</v>
      </c>
      <c r="C29" s="363" t="s">
        <v>232</v>
      </c>
      <c r="D29" s="386" t="s">
        <v>86</v>
      </c>
      <c r="E29" s="380">
        <v>115885</v>
      </c>
      <c r="F29" s="387">
        <v>45269</v>
      </c>
      <c r="G29" s="380" t="s">
        <v>55</v>
      </c>
      <c r="H29" s="380"/>
      <c r="I29" s="388">
        <f>432000/3</f>
        <v>144000</v>
      </c>
      <c r="J29" s="380">
        <v>4</v>
      </c>
      <c r="K29" s="389">
        <f t="shared" si="0"/>
        <v>36000</v>
      </c>
      <c r="L29" s="381">
        <v>45261</v>
      </c>
      <c r="M29" s="381">
        <v>45626</v>
      </c>
      <c r="N29" s="663"/>
      <c r="O29" s="680"/>
      <c r="P29" s="363"/>
      <c r="Q29" s="380"/>
      <c r="R29" s="363"/>
      <c r="S29" s="390" t="s">
        <v>233</v>
      </c>
      <c r="T29" s="363" t="s">
        <v>234</v>
      </c>
      <c r="U29" s="390" t="s">
        <v>235</v>
      </c>
      <c r="V29" s="363" t="s">
        <v>203</v>
      </c>
      <c r="W29" s="390" t="s">
        <v>236</v>
      </c>
      <c r="X29" s="363" t="s">
        <v>237</v>
      </c>
      <c r="Y29" s="390" t="s">
        <v>238</v>
      </c>
      <c r="Z29" s="363" t="s">
        <v>239</v>
      </c>
      <c r="AA29" s="363"/>
      <c r="AB29" s="363"/>
      <c r="AC29" s="363"/>
      <c r="AD29" s="363"/>
      <c r="AE29" s="363" t="s">
        <v>96</v>
      </c>
      <c r="AF29" s="380" t="s">
        <v>97</v>
      </c>
      <c r="AG29" s="380" t="s">
        <v>98</v>
      </c>
      <c r="AH29" s="363"/>
    </row>
    <row r="30" spans="2:34" ht="14.4" hidden="1" x14ac:dyDescent="0.3">
      <c r="B30" s="380" t="s">
        <v>14</v>
      </c>
      <c r="C30" s="363" t="s">
        <v>232</v>
      </c>
      <c r="D30" s="386" t="s">
        <v>86</v>
      </c>
      <c r="E30" s="380">
        <v>115885</v>
      </c>
      <c r="F30" s="387">
        <v>45269</v>
      </c>
      <c r="G30" s="380" t="s">
        <v>55</v>
      </c>
      <c r="H30" s="380"/>
      <c r="I30" s="388">
        <f>432000/3</f>
        <v>144000</v>
      </c>
      <c r="J30" s="380">
        <v>4</v>
      </c>
      <c r="K30" s="389">
        <f t="shared" si="0"/>
        <v>36000</v>
      </c>
      <c r="L30" s="381">
        <v>45627</v>
      </c>
      <c r="M30" s="381">
        <v>45991</v>
      </c>
      <c r="N30" s="663"/>
      <c r="O30" s="680"/>
      <c r="P30" s="363"/>
      <c r="Q30" s="380"/>
      <c r="R30" s="363"/>
      <c r="S30" s="390" t="s">
        <v>240</v>
      </c>
      <c r="T30" s="363" t="s">
        <v>241</v>
      </c>
      <c r="U30" s="390" t="s">
        <v>242</v>
      </c>
      <c r="V30" s="363" t="s">
        <v>243</v>
      </c>
      <c r="W30" s="390" t="s">
        <v>244</v>
      </c>
      <c r="X30" s="363" t="s">
        <v>245</v>
      </c>
      <c r="Y30" s="390" t="s">
        <v>246</v>
      </c>
      <c r="Z30" s="363" t="s">
        <v>247</v>
      </c>
      <c r="AA30" s="363"/>
      <c r="AB30" s="363"/>
      <c r="AC30" s="363"/>
      <c r="AD30" s="363"/>
      <c r="AE30" s="363" t="s">
        <v>96</v>
      </c>
      <c r="AF30" s="380" t="s">
        <v>97</v>
      </c>
      <c r="AG30" s="380" t="s">
        <v>98</v>
      </c>
      <c r="AH30" s="363"/>
    </row>
    <row r="31" spans="2:34" ht="14.4" hidden="1" x14ac:dyDescent="0.3">
      <c r="B31" s="380" t="s">
        <v>14</v>
      </c>
      <c r="C31" s="363" t="s">
        <v>232</v>
      </c>
      <c r="D31" s="386" t="s">
        <v>86</v>
      </c>
      <c r="E31" s="380">
        <v>115885</v>
      </c>
      <c r="F31" s="387">
        <v>45269</v>
      </c>
      <c r="G31" s="380" t="s">
        <v>55</v>
      </c>
      <c r="H31" s="380">
        <v>2</v>
      </c>
      <c r="I31" s="388">
        <f>432000/3</f>
        <v>144000</v>
      </c>
      <c r="J31" s="380">
        <v>4</v>
      </c>
      <c r="K31" s="391">
        <f t="shared" si="0"/>
        <v>36000</v>
      </c>
      <c r="L31" s="381">
        <v>45992</v>
      </c>
      <c r="M31" s="381">
        <v>46356</v>
      </c>
      <c r="N31" s="663"/>
      <c r="O31" s="680"/>
      <c r="P31" s="363"/>
      <c r="Q31" s="380"/>
      <c r="R31" s="363"/>
      <c r="S31" s="390" t="s">
        <v>248</v>
      </c>
      <c r="T31" s="363" t="s">
        <v>249</v>
      </c>
      <c r="U31" s="390" t="s">
        <v>250</v>
      </c>
      <c r="V31" s="363" t="s">
        <v>251</v>
      </c>
      <c r="W31" s="363" t="s">
        <v>252</v>
      </c>
      <c r="X31" s="363"/>
      <c r="Y31" s="363" t="s">
        <v>253</v>
      </c>
      <c r="Z31" s="363"/>
      <c r="AA31" s="363"/>
      <c r="AB31" s="363"/>
      <c r="AC31" s="363"/>
      <c r="AD31" s="363"/>
      <c r="AE31" s="363" t="s">
        <v>96</v>
      </c>
      <c r="AF31" s="380" t="s">
        <v>97</v>
      </c>
      <c r="AG31" s="380" t="s">
        <v>98</v>
      </c>
      <c r="AH31" s="363"/>
    </row>
    <row r="32" spans="2:34" ht="14.4" hidden="1" x14ac:dyDescent="0.3">
      <c r="B32" s="380" t="s">
        <v>14</v>
      </c>
      <c r="C32" s="363" t="s">
        <v>254</v>
      </c>
      <c r="D32" s="386" t="s">
        <v>86</v>
      </c>
      <c r="E32" s="380" t="s">
        <v>255</v>
      </c>
      <c r="F32" s="387">
        <v>45323</v>
      </c>
      <c r="G32" s="380" t="s">
        <v>55</v>
      </c>
      <c r="H32" s="380"/>
      <c r="I32" s="388">
        <f>354000/2</f>
        <v>177000</v>
      </c>
      <c r="J32" s="380">
        <v>4</v>
      </c>
      <c r="K32" s="389">
        <f t="shared" si="0"/>
        <v>44250</v>
      </c>
      <c r="L32" s="381">
        <v>45323</v>
      </c>
      <c r="M32" s="381">
        <v>45688</v>
      </c>
      <c r="N32" s="663"/>
      <c r="O32" s="680"/>
      <c r="P32" s="363"/>
      <c r="Q32" s="380"/>
      <c r="R32" s="380"/>
      <c r="S32" s="390" t="s">
        <v>256</v>
      </c>
      <c r="T32" s="363" t="s">
        <v>257</v>
      </c>
      <c r="U32" s="390" t="s">
        <v>258</v>
      </c>
      <c r="V32" s="363" t="s">
        <v>259</v>
      </c>
      <c r="W32" s="390" t="s">
        <v>260</v>
      </c>
      <c r="X32" s="363" t="s">
        <v>261</v>
      </c>
      <c r="Y32" s="390" t="s">
        <v>262</v>
      </c>
      <c r="Z32" s="390" t="s">
        <v>263</v>
      </c>
      <c r="AA32" s="363"/>
      <c r="AB32" s="363"/>
      <c r="AC32" s="363"/>
      <c r="AD32" s="363"/>
      <c r="AE32" s="363" t="s">
        <v>96</v>
      </c>
      <c r="AF32" s="380" t="s">
        <v>97</v>
      </c>
      <c r="AG32" s="380" t="s">
        <v>98</v>
      </c>
      <c r="AH32" s="363"/>
    </row>
    <row r="33" spans="2:34" ht="14.4" hidden="1" x14ac:dyDescent="0.3">
      <c r="B33" s="380" t="s">
        <v>14</v>
      </c>
      <c r="C33" s="363" t="s">
        <v>254</v>
      </c>
      <c r="D33" s="386" t="s">
        <v>86</v>
      </c>
      <c r="E33" s="380" t="s">
        <v>255</v>
      </c>
      <c r="F33" s="387">
        <v>45323</v>
      </c>
      <c r="G33" s="380" t="s">
        <v>55</v>
      </c>
      <c r="H33" s="380"/>
      <c r="I33" s="388">
        <f>354000/2</f>
        <v>177000</v>
      </c>
      <c r="J33" s="380">
        <v>4</v>
      </c>
      <c r="K33" s="389">
        <f t="shared" si="0"/>
        <v>44250</v>
      </c>
      <c r="L33" s="381">
        <v>45689</v>
      </c>
      <c r="M33" s="381">
        <v>46053</v>
      </c>
      <c r="N33" s="663"/>
      <c r="O33" s="680"/>
      <c r="P33" s="363"/>
      <c r="Q33" s="380"/>
      <c r="R33" s="380"/>
      <c r="S33" s="390" t="s">
        <v>264</v>
      </c>
      <c r="T33" s="363" t="s">
        <v>265</v>
      </c>
      <c r="U33" s="390" t="s">
        <v>266</v>
      </c>
      <c r="V33" s="363" t="s">
        <v>145</v>
      </c>
      <c r="W33" s="390" t="s">
        <v>267</v>
      </c>
      <c r="X33" s="363" t="s">
        <v>268</v>
      </c>
      <c r="Y33" s="390" t="s">
        <v>269</v>
      </c>
      <c r="Z33" s="363" t="s">
        <v>270</v>
      </c>
      <c r="AA33" s="363"/>
      <c r="AB33" s="363"/>
      <c r="AC33" s="363"/>
      <c r="AD33" s="363"/>
      <c r="AE33" s="363" t="s">
        <v>96</v>
      </c>
      <c r="AF33" s="380" t="s">
        <v>97</v>
      </c>
      <c r="AG33" s="380" t="s">
        <v>98</v>
      </c>
      <c r="AH33" s="363"/>
    </row>
    <row r="34" spans="2:34" ht="14.4" hidden="1" x14ac:dyDescent="0.3">
      <c r="B34" s="380" t="s">
        <v>14</v>
      </c>
      <c r="C34" s="363" t="s">
        <v>271</v>
      </c>
      <c r="D34" s="386" t="s">
        <v>86</v>
      </c>
      <c r="E34" s="380" t="s">
        <v>272</v>
      </c>
      <c r="F34" s="387">
        <v>45260</v>
      </c>
      <c r="G34" s="380" t="s">
        <v>55</v>
      </c>
      <c r="H34" s="380"/>
      <c r="I34" s="388">
        <v>186960</v>
      </c>
      <c r="J34" s="380">
        <v>4</v>
      </c>
      <c r="K34" s="389">
        <f t="shared" si="0"/>
        <v>46740</v>
      </c>
      <c r="L34" s="381">
        <v>45260</v>
      </c>
      <c r="M34" s="381">
        <v>45625</v>
      </c>
      <c r="N34" s="663"/>
      <c r="O34" s="680"/>
      <c r="P34" s="363"/>
      <c r="Q34" s="380"/>
      <c r="R34" s="380"/>
      <c r="S34" s="390" t="s">
        <v>273</v>
      </c>
      <c r="T34" s="363" t="s">
        <v>274</v>
      </c>
      <c r="U34" s="390" t="s">
        <v>275</v>
      </c>
      <c r="V34" s="363" t="s">
        <v>276</v>
      </c>
      <c r="W34" s="390" t="s">
        <v>277</v>
      </c>
      <c r="X34" s="363" t="s">
        <v>278</v>
      </c>
      <c r="Y34" s="390" t="s">
        <v>279</v>
      </c>
      <c r="Z34" s="363" t="s">
        <v>280</v>
      </c>
      <c r="AA34" s="363"/>
      <c r="AB34" s="363"/>
      <c r="AC34" s="363"/>
      <c r="AD34" s="363"/>
      <c r="AE34" s="363" t="s">
        <v>281</v>
      </c>
      <c r="AF34" s="380" t="s">
        <v>97</v>
      </c>
      <c r="AG34" s="380" t="s">
        <v>98</v>
      </c>
      <c r="AH34" s="363"/>
    </row>
    <row r="35" spans="2:34" ht="14.4" hidden="1" x14ac:dyDescent="0.3">
      <c r="B35" s="380" t="s">
        <v>14</v>
      </c>
      <c r="C35" s="363" t="s">
        <v>271</v>
      </c>
      <c r="D35" s="386" t="s">
        <v>86</v>
      </c>
      <c r="E35" s="380" t="s">
        <v>272</v>
      </c>
      <c r="F35" s="387">
        <v>45260</v>
      </c>
      <c r="G35" s="380" t="s">
        <v>55</v>
      </c>
      <c r="H35" s="380"/>
      <c r="I35" s="388">
        <v>186960</v>
      </c>
      <c r="J35" s="380">
        <v>4</v>
      </c>
      <c r="K35" s="389">
        <f t="shared" si="0"/>
        <v>46740</v>
      </c>
      <c r="L35" s="381">
        <v>45626</v>
      </c>
      <c r="M35" s="381">
        <v>45990</v>
      </c>
      <c r="N35" s="663"/>
      <c r="O35" s="680"/>
      <c r="P35" s="363"/>
      <c r="Q35" s="380"/>
      <c r="R35" s="380"/>
      <c r="S35" s="390" t="s">
        <v>282</v>
      </c>
      <c r="T35" s="363" t="s">
        <v>283</v>
      </c>
      <c r="U35" s="390" t="s">
        <v>284</v>
      </c>
      <c r="V35" s="363" t="s">
        <v>285</v>
      </c>
      <c r="W35" s="390" t="s">
        <v>286</v>
      </c>
      <c r="X35" s="363" t="s">
        <v>287</v>
      </c>
      <c r="Y35" s="390" t="s">
        <v>288</v>
      </c>
      <c r="Z35" s="363" t="s">
        <v>289</v>
      </c>
      <c r="AA35" s="363"/>
      <c r="AB35" s="363"/>
      <c r="AC35" s="363"/>
      <c r="AD35" s="363"/>
      <c r="AE35" s="363" t="s">
        <v>281</v>
      </c>
      <c r="AF35" s="380" t="s">
        <v>97</v>
      </c>
      <c r="AG35" s="380" t="s">
        <v>98</v>
      </c>
      <c r="AH35" s="363"/>
    </row>
    <row r="36" spans="2:34" ht="14.4" hidden="1" x14ac:dyDescent="0.3">
      <c r="B36" s="380" t="s">
        <v>14</v>
      </c>
      <c r="C36" s="363" t="s">
        <v>271</v>
      </c>
      <c r="D36" s="386" t="s">
        <v>86</v>
      </c>
      <c r="E36" s="380" t="s">
        <v>272</v>
      </c>
      <c r="F36" s="387">
        <v>45260</v>
      </c>
      <c r="G36" s="380" t="s">
        <v>55</v>
      </c>
      <c r="H36" s="380">
        <v>2</v>
      </c>
      <c r="I36" s="388">
        <v>186960</v>
      </c>
      <c r="J36" s="380">
        <v>4</v>
      </c>
      <c r="K36" s="391">
        <f t="shared" si="0"/>
        <v>46740</v>
      </c>
      <c r="L36" s="381">
        <v>45991</v>
      </c>
      <c r="M36" s="381">
        <v>46355</v>
      </c>
      <c r="N36" s="663"/>
      <c r="O36" s="680"/>
      <c r="P36" s="363"/>
      <c r="Q36" s="380"/>
      <c r="R36" s="380"/>
      <c r="S36" s="390" t="s">
        <v>290</v>
      </c>
      <c r="T36" s="363" t="s">
        <v>291</v>
      </c>
      <c r="U36" s="390" t="s">
        <v>292</v>
      </c>
      <c r="V36" s="363" t="s">
        <v>1711</v>
      </c>
      <c r="W36" s="363" t="s">
        <v>293</v>
      </c>
      <c r="X36" s="363"/>
      <c r="Y36" s="363" t="s">
        <v>294</v>
      </c>
      <c r="Z36" s="363"/>
      <c r="AA36" s="363"/>
      <c r="AB36" s="363"/>
      <c r="AC36" s="363"/>
      <c r="AD36" s="363"/>
      <c r="AE36" s="363" t="s">
        <v>281</v>
      </c>
      <c r="AF36" s="380" t="s">
        <v>97</v>
      </c>
      <c r="AG36" s="380" t="s">
        <v>98</v>
      </c>
      <c r="AH36" s="363"/>
    </row>
    <row r="37" spans="2:34" ht="14.4" hidden="1" x14ac:dyDescent="0.3">
      <c r="B37" s="380" t="s">
        <v>14</v>
      </c>
      <c r="C37" s="363" t="s">
        <v>295</v>
      </c>
      <c r="D37" s="386" t="s">
        <v>296</v>
      </c>
      <c r="E37" s="380" t="s">
        <v>297</v>
      </c>
      <c r="F37" s="387">
        <v>45337</v>
      </c>
      <c r="G37" s="380" t="s">
        <v>55</v>
      </c>
      <c r="H37" s="380"/>
      <c r="I37" s="388">
        <v>898776</v>
      </c>
      <c r="J37" s="380">
        <v>3</v>
      </c>
      <c r="K37" s="389">
        <f t="shared" si="0"/>
        <v>299592</v>
      </c>
      <c r="L37" s="381">
        <v>45352</v>
      </c>
      <c r="M37" s="381">
        <v>45716</v>
      </c>
      <c r="N37" s="663"/>
      <c r="O37" s="680"/>
      <c r="P37" s="363"/>
      <c r="Q37" s="380"/>
      <c r="R37" s="380"/>
      <c r="S37" s="390" t="s">
        <v>298</v>
      </c>
      <c r="T37" s="363" t="s">
        <v>299</v>
      </c>
      <c r="U37" s="390" t="s">
        <v>300</v>
      </c>
      <c r="V37" s="363" t="s">
        <v>122</v>
      </c>
      <c r="W37" s="390" t="s">
        <v>301</v>
      </c>
      <c r="X37" s="363" t="s">
        <v>302</v>
      </c>
      <c r="Y37" s="363"/>
      <c r="Z37" s="363"/>
      <c r="AA37" s="363"/>
      <c r="AB37" s="363"/>
      <c r="AC37" s="363"/>
      <c r="AD37" s="363"/>
      <c r="AE37" s="363" t="s">
        <v>281</v>
      </c>
      <c r="AF37" s="380" t="s">
        <v>97</v>
      </c>
      <c r="AG37" s="380">
        <f>9*3</f>
        <v>27</v>
      </c>
      <c r="AH37" s="363"/>
    </row>
    <row r="38" spans="2:34" ht="14.4" x14ac:dyDescent="0.3">
      <c r="B38" s="380" t="s">
        <v>14</v>
      </c>
      <c r="C38" s="363" t="s">
        <v>295</v>
      </c>
      <c r="D38" s="386" t="s">
        <v>296</v>
      </c>
      <c r="E38" s="380" t="s">
        <v>297</v>
      </c>
      <c r="F38" s="387">
        <v>45337</v>
      </c>
      <c r="G38" s="380" t="s">
        <v>55</v>
      </c>
      <c r="H38" s="380">
        <v>9</v>
      </c>
      <c r="I38" s="388">
        <v>898776</v>
      </c>
      <c r="J38" s="380">
        <v>3</v>
      </c>
      <c r="K38" s="389">
        <f t="shared" si="0"/>
        <v>299592</v>
      </c>
      <c r="L38" s="381">
        <v>45717</v>
      </c>
      <c r="M38" s="381">
        <v>46081</v>
      </c>
      <c r="N38" s="663"/>
      <c r="O38" s="680"/>
      <c r="P38" s="363" t="s">
        <v>19</v>
      </c>
      <c r="Q38" s="380" t="s">
        <v>2</v>
      </c>
      <c r="R38" s="380"/>
      <c r="S38" s="390" t="s">
        <v>303</v>
      </c>
      <c r="T38" s="363" t="s">
        <v>304</v>
      </c>
      <c r="U38" s="390" t="s">
        <v>305</v>
      </c>
      <c r="V38" s="363" t="s">
        <v>306</v>
      </c>
      <c r="W38" s="390" t="s">
        <v>307</v>
      </c>
      <c r="X38" s="363" t="s">
        <v>193</v>
      </c>
      <c r="Y38" s="363"/>
      <c r="Z38" s="363"/>
      <c r="AA38" s="363"/>
      <c r="AB38" s="363"/>
      <c r="AC38" s="363"/>
      <c r="AD38" s="363"/>
      <c r="AE38" s="363" t="s">
        <v>281</v>
      </c>
      <c r="AF38" s="380" t="s">
        <v>97</v>
      </c>
      <c r="AG38" s="380">
        <f>9*3</f>
        <v>27</v>
      </c>
      <c r="AH38" s="363"/>
    </row>
    <row r="39" spans="2:34" ht="14.4" hidden="1" x14ac:dyDescent="0.3">
      <c r="B39" s="380" t="s">
        <v>14</v>
      </c>
      <c r="C39" s="363" t="s">
        <v>76</v>
      </c>
      <c r="D39" s="386" t="s">
        <v>151</v>
      </c>
      <c r="E39" s="380">
        <v>4700004976</v>
      </c>
      <c r="F39" s="387">
        <v>45097</v>
      </c>
      <c r="G39" s="380" t="s">
        <v>55</v>
      </c>
      <c r="H39" s="380"/>
      <c r="I39" s="388">
        <f>261000/3</f>
        <v>87000</v>
      </c>
      <c r="J39" s="380">
        <v>3</v>
      </c>
      <c r="K39" s="389">
        <f t="shared" ref="K39:K70" si="1">I39/J39</f>
        <v>29000</v>
      </c>
      <c r="L39" s="381">
        <v>45078</v>
      </c>
      <c r="M39" s="381">
        <v>45443</v>
      </c>
      <c r="N39" s="663"/>
      <c r="O39" s="680"/>
      <c r="P39" s="363"/>
      <c r="Q39" s="380"/>
      <c r="R39" s="380"/>
      <c r="S39" s="390" t="s">
        <v>308</v>
      </c>
      <c r="T39" s="363" t="s">
        <v>309</v>
      </c>
      <c r="U39" s="390" t="s">
        <v>310</v>
      </c>
      <c r="V39" s="363" t="s">
        <v>311</v>
      </c>
      <c r="W39" s="390" t="s">
        <v>312</v>
      </c>
      <c r="X39" s="363" t="s">
        <v>313</v>
      </c>
      <c r="Y39" s="363"/>
      <c r="Z39" s="363"/>
      <c r="AA39" s="363"/>
      <c r="AB39" s="363"/>
      <c r="AC39" s="363"/>
      <c r="AD39" s="363"/>
      <c r="AE39" s="363" t="s">
        <v>62</v>
      </c>
      <c r="AF39" s="380" t="s">
        <v>63</v>
      </c>
      <c r="AG39" s="380"/>
      <c r="AH39" s="363"/>
    </row>
    <row r="40" spans="2:34" ht="14.4" hidden="1" x14ac:dyDescent="0.3">
      <c r="B40" s="380" t="s">
        <v>14</v>
      </c>
      <c r="C40" s="363" t="s">
        <v>76</v>
      </c>
      <c r="D40" s="386" t="s">
        <v>151</v>
      </c>
      <c r="E40" s="380">
        <v>4700004976</v>
      </c>
      <c r="F40" s="387">
        <v>45097</v>
      </c>
      <c r="G40" s="380" t="s">
        <v>55</v>
      </c>
      <c r="H40" s="380"/>
      <c r="I40" s="388">
        <f>261000/3</f>
        <v>87000</v>
      </c>
      <c r="J40" s="380">
        <v>3</v>
      </c>
      <c r="K40" s="389">
        <f t="shared" si="1"/>
        <v>29000</v>
      </c>
      <c r="L40" s="381">
        <v>45444</v>
      </c>
      <c r="M40" s="381">
        <v>45808</v>
      </c>
      <c r="N40" s="663"/>
      <c r="O40" s="680"/>
      <c r="P40" s="363"/>
      <c r="Q40" s="380"/>
      <c r="R40" s="380"/>
      <c r="S40" s="390" t="s">
        <v>314</v>
      </c>
      <c r="T40" s="363" t="s">
        <v>315</v>
      </c>
      <c r="U40" s="390" t="s">
        <v>316</v>
      </c>
      <c r="V40" s="363" t="s">
        <v>317</v>
      </c>
      <c r="W40" s="390" t="s">
        <v>318</v>
      </c>
      <c r="X40" s="363" t="s">
        <v>319</v>
      </c>
      <c r="Y40" s="363"/>
      <c r="Z40" s="363"/>
      <c r="AA40" s="363"/>
      <c r="AB40" s="363"/>
      <c r="AC40" s="363"/>
      <c r="AD40" s="363"/>
      <c r="AE40" s="363" t="s">
        <v>62</v>
      </c>
      <c r="AF40" s="380" t="s">
        <v>63</v>
      </c>
      <c r="AG40" s="380"/>
      <c r="AH40" s="363"/>
    </row>
    <row r="41" spans="2:34" ht="14.4" x14ac:dyDescent="0.3">
      <c r="B41" s="380" t="s">
        <v>14</v>
      </c>
      <c r="C41" s="363" t="s">
        <v>76</v>
      </c>
      <c r="D41" s="386" t="s">
        <v>151</v>
      </c>
      <c r="E41" s="380">
        <v>4700004976</v>
      </c>
      <c r="F41" s="387">
        <v>45097</v>
      </c>
      <c r="G41" s="380" t="s">
        <v>55</v>
      </c>
      <c r="H41" s="380">
        <v>1</v>
      </c>
      <c r="I41" s="388">
        <f>261000/3</f>
        <v>87000</v>
      </c>
      <c r="J41" s="380">
        <v>3</v>
      </c>
      <c r="K41" s="391">
        <f t="shared" si="1"/>
        <v>29000</v>
      </c>
      <c r="L41" s="381">
        <v>45809</v>
      </c>
      <c r="M41" s="381">
        <v>46173</v>
      </c>
      <c r="N41" s="663"/>
      <c r="O41" s="680"/>
      <c r="P41" s="363" t="s">
        <v>19</v>
      </c>
      <c r="Q41" s="380" t="s">
        <v>6</v>
      </c>
      <c r="R41" s="380"/>
      <c r="S41" s="390" t="s">
        <v>81</v>
      </c>
      <c r="T41" s="363" t="s">
        <v>82</v>
      </c>
      <c r="U41" s="390" t="s">
        <v>83</v>
      </c>
      <c r="V41" s="363" t="s">
        <v>320</v>
      </c>
      <c r="W41" s="390" t="s">
        <v>321</v>
      </c>
      <c r="X41" s="363" t="s">
        <v>1712</v>
      </c>
      <c r="Y41" s="363"/>
      <c r="Z41" s="363"/>
      <c r="AA41" s="363"/>
      <c r="AB41" s="363"/>
      <c r="AC41" s="363"/>
      <c r="AD41" s="363"/>
      <c r="AE41" s="363" t="s">
        <v>62</v>
      </c>
      <c r="AF41" s="380" t="s">
        <v>63</v>
      </c>
      <c r="AG41" s="380"/>
      <c r="AH41" s="363"/>
    </row>
    <row r="42" spans="2:34" ht="14.4" x14ac:dyDescent="0.3">
      <c r="B42" s="380" t="s">
        <v>14</v>
      </c>
      <c r="C42" s="363" t="s">
        <v>322</v>
      </c>
      <c r="D42" s="386" t="s">
        <v>323</v>
      </c>
      <c r="E42" s="380">
        <v>401186595</v>
      </c>
      <c r="F42" s="387">
        <v>45357</v>
      </c>
      <c r="G42" s="380" t="s">
        <v>55</v>
      </c>
      <c r="H42" s="380">
        <v>2</v>
      </c>
      <c r="I42" s="388">
        <v>380004</v>
      </c>
      <c r="J42" s="380">
        <v>4</v>
      </c>
      <c r="K42" s="389">
        <f t="shared" si="1"/>
        <v>95001</v>
      </c>
      <c r="L42" s="381">
        <v>45413</v>
      </c>
      <c r="M42" s="381">
        <v>46142</v>
      </c>
      <c r="N42" s="663"/>
      <c r="O42" s="680"/>
      <c r="P42" s="363" t="s">
        <v>19</v>
      </c>
      <c r="Q42" s="380" t="s">
        <v>5</v>
      </c>
      <c r="R42" s="380"/>
      <c r="S42" s="390" t="s">
        <v>324</v>
      </c>
      <c r="T42" s="363" t="s">
        <v>325</v>
      </c>
      <c r="U42" s="390" t="s">
        <v>326</v>
      </c>
      <c r="V42" s="363" t="s">
        <v>327</v>
      </c>
      <c r="W42" s="390" t="s">
        <v>328</v>
      </c>
      <c r="X42" s="363" t="s">
        <v>329</v>
      </c>
      <c r="Y42" s="390" t="s">
        <v>330</v>
      </c>
      <c r="Z42" s="363" t="s">
        <v>331</v>
      </c>
      <c r="AA42" s="363"/>
      <c r="AB42" s="363"/>
      <c r="AC42" s="363"/>
      <c r="AD42" s="363"/>
      <c r="AE42" s="363" t="s">
        <v>96</v>
      </c>
      <c r="AF42" s="380" t="s">
        <v>97</v>
      </c>
      <c r="AG42" s="380">
        <v>16</v>
      </c>
      <c r="AH42" s="363" t="s">
        <v>332</v>
      </c>
    </row>
    <row r="43" spans="2:34" ht="14.4" hidden="1" x14ac:dyDescent="0.3">
      <c r="B43" s="380" t="s">
        <v>14</v>
      </c>
      <c r="C43" s="363" t="s">
        <v>333</v>
      </c>
      <c r="D43" s="386" t="s">
        <v>151</v>
      </c>
      <c r="E43" s="380">
        <v>8163932</v>
      </c>
      <c r="F43" s="387">
        <v>45418</v>
      </c>
      <c r="G43" s="380" t="s">
        <v>55</v>
      </c>
      <c r="H43" s="380"/>
      <c r="I43" s="388">
        <f>232497/3</f>
        <v>77499</v>
      </c>
      <c r="J43" s="380">
        <v>3</v>
      </c>
      <c r="K43" s="389">
        <f t="shared" si="1"/>
        <v>25833</v>
      </c>
      <c r="L43" s="381">
        <v>45292</v>
      </c>
      <c r="M43" s="381">
        <v>45657</v>
      </c>
      <c r="N43" s="663"/>
      <c r="O43" s="680"/>
      <c r="P43" s="363"/>
      <c r="Q43" s="380"/>
      <c r="R43" s="380"/>
      <c r="S43" s="390" t="s">
        <v>334</v>
      </c>
      <c r="T43" s="363" t="s">
        <v>335</v>
      </c>
      <c r="U43" s="390" t="s">
        <v>336</v>
      </c>
      <c r="V43" s="363" t="s">
        <v>337</v>
      </c>
      <c r="W43" s="390" t="s">
        <v>338</v>
      </c>
      <c r="X43" s="363" t="s">
        <v>339</v>
      </c>
      <c r="Y43" s="363"/>
      <c r="Z43" s="363"/>
      <c r="AA43" s="363"/>
      <c r="AB43" s="363"/>
      <c r="AC43" s="363"/>
      <c r="AD43" s="363"/>
      <c r="AE43" s="363" t="s">
        <v>62</v>
      </c>
      <c r="AF43" s="380" t="s">
        <v>63</v>
      </c>
      <c r="AG43" s="380">
        <v>3</v>
      </c>
      <c r="AH43" s="363" t="s">
        <v>340</v>
      </c>
    </row>
    <row r="44" spans="2:34" ht="14.4" hidden="1" x14ac:dyDescent="0.3">
      <c r="B44" s="380" t="s">
        <v>14</v>
      </c>
      <c r="C44" s="363" t="s">
        <v>333</v>
      </c>
      <c r="D44" s="386" t="s">
        <v>151</v>
      </c>
      <c r="E44" s="380">
        <v>8163932</v>
      </c>
      <c r="F44" s="387">
        <v>45418</v>
      </c>
      <c r="G44" s="380" t="s">
        <v>55</v>
      </c>
      <c r="H44" s="380"/>
      <c r="I44" s="388">
        <f>232497/3</f>
        <v>77499</v>
      </c>
      <c r="J44" s="380">
        <v>3</v>
      </c>
      <c r="K44" s="389">
        <f t="shared" si="1"/>
        <v>25833</v>
      </c>
      <c r="L44" s="381">
        <v>45658</v>
      </c>
      <c r="M44" s="381">
        <v>46022</v>
      </c>
      <c r="N44" s="663"/>
      <c r="O44" s="680"/>
      <c r="P44" s="363"/>
      <c r="Q44" s="380"/>
      <c r="R44" s="380"/>
      <c r="S44" s="390" t="s">
        <v>341</v>
      </c>
      <c r="T44" s="363" t="s">
        <v>342</v>
      </c>
      <c r="U44" s="390" t="s">
        <v>343</v>
      </c>
      <c r="V44" s="363" t="s">
        <v>344</v>
      </c>
      <c r="W44" s="390" t="s">
        <v>345</v>
      </c>
      <c r="X44" s="363" t="s">
        <v>346</v>
      </c>
      <c r="Y44" s="363"/>
      <c r="Z44" s="363"/>
      <c r="AA44" s="363"/>
      <c r="AB44" s="363"/>
      <c r="AC44" s="363"/>
      <c r="AD44" s="363"/>
      <c r="AE44" s="363" t="s">
        <v>62</v>
      </c>
      <c r="AF44" s="380" t="s">
        <v>63</v>
      </c>
      <c r="AG44" s="380">
        <v>3</v>
      </c>
      <c r="AH44" s="363" t="s">
        <v>340</v>
      </c>
    </row>
    <row r="45" spans="2:34" ht="14.4" hidden="1" x14ac:dyDescent="0.3">
      <c r="B45" s="380" t="s">
        <v>14</v>
      </c>
      <c r="C45" s="363" t="s">
        <v>333</v>
      </c>
      <c r="D45" s="386" t="s">
        <v>151</v>
      </c>
      <c r="E45" s="380">
        <v>8163932</v>
      </c>
      <c r="F45" s="387">
        <v>45418</v>
      </c>
      <c r="G45" s="380" t="s">
        <v>55</v>
      </c>
      <c r="H45" s="380">
        <v>1</v>
      </c>
      <c r="I45" s="388">
        <f>232497/3</f>
        <v>77499</v>
      </c>
      <c r="J45" s="380">
        <v>3</v>
      </c>
      <c r="K45" s="389">
        <f t="shared" si="1"/>
        <v>25833</v>
      </c>
      <c r="L45" s="381">
        <v>46023</v>
      </c>
      <c r="M45" s="381">
        <v>46387</v>
      </c>
      <c r="N45" s="663"/>
      <c r="O45" s="680"/>
      <c r="P45" s="363"/>
      <c r="Q45" s="380"/>
      <c r="R45" s="380"/>
      <c r="S45" s="390" t="s">
        <v>347</v>
      </c>
      <c r="T45" s="363" t="s">
        <v>986</v>
      </c>
      <c r="U45" s="363" t="s">
        <v>348</v>
      </c>
      <c r="V45" s="363"/>
      <c r="W45" s="363" t="s">
        <v>349</v>
      </c>
      <c r="X45" s="363"/>
      <c r="Y45" s="363"/>
      <c r="Z45" s="363"/>
      <c r="AA45" s="363"/>
      <c r="AB45" s="363"/>
      <c r="AC45" s="363"/>
      <c r="AD45" s="363"/>
      <c r="AE45" s="363" t="s">
        <v>62</v>
      </c>
      <c r="AF45" s="380" t="s">
        <v>63</v>
      </c>
      <c r="AG45" s="380">
        <v>3</v>
      </c>
      <c r="AH45" s="363" t="s">
        <v>340</v>
      </c>
    </row>
    <row r="46" spans="2:34" ht="14.4" hidden="1" x14ac:dyDescent="0.3">
      <c r="B46" s="380" t="s">
        <v>14</v>
      </c>
      <c r="C46" s="392" t="s">
        <v>150</v>
      </c>
      <c r="D46" s="386" t="s">
        <v>350</v>
      </c>
      <c r="E46" s="380">
        <v>4200269912</v>
      </c>
      <c r="F46" s="387">
        <v>45355</v>
      </c>
      <c r="G46" s="380" t="s">
        <v>55</v>
      </c>
      <c r="H46" s="380"/>
      <c r="I46" s="388">
        <v>117500</v>
      </c>
      <c r="J46" s="380">
        <v>3</v>
      </c>
      <c r="K46" s="389">
        <f t="shared" si="1"/>
        <v>39166.666666666664</v>
      </c>
      <c r="L46" s="381">
        <v>45383</v>
      </c>
      <c r="M46" s="381">
        <v>45747</v>
      </c>
      <c r="N46" s="663"/>
      <c r="O46" s="680"/>
      <c r="P46" s="363"/>
      <c r="Q46" s="380"/>
      <c r="R46" s="380"/>
      <c r="S46" s="390" t="s">
        <v>351</v>
      </c>
      <c r="T46" s="363" t="s">
        <v>352</v>
      </c>
      <c r="U46" s="390" t="s">
        <v>353</v>
      </c>
      <c r="V46" s="363" t="s">
        <v>102</v>
      </c>
      <c r="W46" s="390" t="s">
        <v>354</v>
      </c>
      <c r="X46" s="363" t="s">
        <v>355</v>
      </c>
      <c r="Y46" s="363"/>
      <c r="Z46" s="363"/>
      <c r="AA46" s="363"/>
      <c r="AB46" s="363"/>
      <c r="AC46" s="363"/>
      <c r="AD46" s="363"/>
      <c r="AE46" s="363" t="s">
        <v>356</v>
      </c>
      <c r="AF46" s="380" t="s">
        <v>207</v>
      </c>
      <c r="AG46" s="380">
        <v>2</v>
      </c>
      <c r="AH46" s="363" t="s">
        <v>340</v>
      </c>
    </row>
    <row r="47" spans="2:34" ht="14.4" x14ac:dyDescent="0.3">
      <c r="B47" s="380" t="s">
        <v>14</v>
      </c>
      <c r="C47" s="392" t="s">
        <v>150</v>
      </c>
      <c r="D47" s="386" t="s">
        <v>350</v>
      </c>
      <c r="E47" s="380">
        <v>4200269912</v>
      </c>
      <c r="F47" s="387">
        <v>45355</v>
      </c>
      <c r="G47" s="380" t="s">
        <v>55</v>
      </c>
      <c r="H47" s="380">
        <v>1</v>
      </c>
      <c r="I47" s="388">
        <v>117500</v>
      </c>
      <c r="J47" s="380">
        <v>3</v>
      </c>
      <c r="K47" s="389">
        <f t="shared" si="1"/>
        <v>39166.666666666664</v>
      </c>
      <c r="L47" s="381">
        <v>45748</v>
      </c>
      <c r="M47" s="381">
        <v>46112</v>
      </c>
      <c r="N47" s="663"/>
      <c r="O47" s="680"/>
      <c r="P47" s="363" t="s">
        <v>19</v>
      </c>
      <c r="Q47" s="380" t="s">
        <v>3</v>
      </c>
      <c r="R47" s="380"/>
      <c r="S47" s="390" t="s">
        <v>357</v>
      </c>
      <c r="T47" s="363" t="s">
        <v>358</v>
      </c>
      <c r="U47" s="390" t="s">
        <v>359</v>
      </c>
      <c r="V47" s="363" t="s">
        <v>360</v>
      </c>
      <c r="W47" s="390" t="s">
        <v>361</v>
      </c>
      <c r="X47" s="363" t="s">
        <v>173</v>
      </c>
      <c r="Y47" s="363"/>
      <c r="Z47" s="363"/>
      <c r="AA47" s="363"/>
      <c r="AB47" s="363"/>
      <c r="AC47" s="363"/>
      <c r="AD47" s="363"/>
      <c r="AE47" s="363" t="s">
        <v>356</v>
      </c>
      <c r="AF47" s="380" t="s">
        <v>207</v>
      </c>
      <c r="AG47" s="380">
        <v>2</v>
      </c>
      <c r="AH47" s="363" t="s">
        <v>362</v>
      </c>
    </row>
    <row r="48" spans="2:34" ht="14.4" hidden="1" x14ac:dyDescent="0.3">
      <c r="B48" s="380" t="s">
        <v>14</v>
      </c>
      <c r="C48" s="363" t="s">
        <v>363</v>
      </c>
      <c r="D48" s="386" t="s">
        <v>364</v>
      </c>
      <c r="E48" s="380" t="s">
        <v>365</v>
      </c>
      <c r="F48" s="387">
        <v>45442</v>
      </c>
      <c r="G48" s="380" t="s">
        <v>55</v>
      </c>
      <c r="H48" s="380"/>
      <c r="I48" s="388">
        <v>362880</v>
      </c>
      <c r="J48" s="380">
        <v>2</v>
      </c>
      <c r="K48" s="389">
        <f t="shared" si="1"/>
        <v>181440</v>
      </c>
      <c r="L48" s="381">
        <v>45442</v>
      </c>
      <c r="M48" s="381">
        <v>45806</v>
      </c>
      <c r="N48" s="663"/>
      <c r="O48" s="680"/>
      <c r="P48" s="363"/>
      <c r="Q48" s="380"/>
      <c r="R48" s="380"/>
      <c r="S48" s="390" t="s">
        <v>366</v>
      </c>
      <c r="T48" s="363" t="s">
        <v>367</v>
      </c>
      <c r="U48" s="390" t="s">
        <v>368</v>
      </c>
      <c r="V48" s="363" t="s">
        <v>369</v>
      </c>
      <c r="W48" s="363"/>
      <c r="X48" s="363"/>
      <c r="Y48" s="363"/>
      <c r="Z48" s="363"/>
      <c r="AA48" s="363"/>
      <c r="AB48" s="363"/>
      <c r="AC48" s="363"/>
      <c r="AD48" s="363"/>
      <c r="AE48" s="363" t="s">
        <v>356</v>
      </c>
      <c r="AF48" s="380" t="s">
        <v>207</v>
      </c>
      <c r="AG48" s="380">
        <v>12</v>
      </c>
      <c r="AH48" s="363" t="s">
        <v>340</v>
      </c>
    </row>
    <row r="49" spans="2:34" ht="14.4" x14ac:dyDescent="0.3">
      <c r="B49" s="380" t="s">
        <v>14</v>
      </c>
      <c r="C49" s="363" t="s">
        <v>363</v>
      </c>
      <c r="D49" s="386" t="s">
        <v>364</v>
      </c>
      <c r="E49" s="380" t="s">
        <v>365</v>
      </c>
      <c r="F49" s="387">
        <v>45442</v>
      </c>
      <c r="G49" s="380" t="s">
        <v>55</v>
      </c>
      <c r="H49" s="380">
        <v>6</v>
      </c>
      <c r="I49" s="388">
        <v>362880</v>
      </c>
      <c r="J49" s="380">
        <v>2</v>
      </c>
      <c r="K49" s="389">
        <f t="shared" si="1"/>
        <v>181440</v>
      </c>
      <c r="L49" s="381">
        <v>45807</v>
      </c>
      <c r="M49" s="381">
        <v>46171</v>
      </c>
      <c r="N49" s="663"/>
      <c r="O49" s="680"/>
      <c r="P49" s="363" t="s">
        <v>19</v>
      </c>
      <c r="Q49" s="380" t="s">
        <v>6</v>
      </c>
      <c r="R49" s="380"/>
      <c r="S49" s="390" t="s">
        <v>370</v>
      </c>
      <c r="T49" s="363" t="s">
        <v>371</v>
      </c>
      <c r="U49" s="390" t="s">
        <v>372</v>
      </c>
      <c r="V49" s="363" t="s">
        <v>373</v>
      </c>
      <c r="W49" s="363"/>
      <c r="X49" s="363"/>
      <c r="Y49" s="363"/>
      <c r="Z49" s="363"/>
      <c r="AA49" s="363"/>
      <c r="AB49" s="363"/>
      <c r="AC49" s="363"/>
      <c r="AD49" s="363"/>
      <c r="AE49" s="363" t="s">
        <v>356</v>
      </c>
      <c r="AF49" s="380" t="s">
        <v>207</v>
      </c>
      <c r="AG49" s="380">
        <v>12</v>
      </c>
      <c r="AH49" s="363" t="s">
        <v>340</v>
      </c>
    </row>
    <row r="50" spans="2:34" ht="14.4" hidden="1" x14ac:dyDescent="0.3">
      <c r="B50" s="380" t="s">
        <v>14</v>
      </c>
      <c r="C50" s="363" t="s">
        <v>374</v>
      </c>
      <c r="D50" s="386" t="s">
        <v>375</v>
      </c>
      <c r="E50" s="380">
        <v>2260058861</v>
      </c>
      <c r="F50" s="387">
        <v>45450</v>
      </c>
      <c r="G50" s="380" t="s">
        <v>55</v>
      </c>
      <c r="H50" s="380"/>
      <c r="I50" s="388">
        <f>607992/2</f>
        <v>303996</v>
      </c>
      <c r="J50" s="380">
        <v>3</v>
      </c>
      <c r="K50" s="389">
        <f t="shared" si="1"/>
        <v>101332</v>
      </c>
      <c r="L50" s="381">
        <v>45383</v>
      </c>
      <c r="M50" s="381">
        <v>45747</v>
      </c>
      <c r="N50" s="663"/>
      <c r="O50" s="680"/>
      <c r="P50" s="363"/>
      <c r="Q50" s="380"/>
      <c r="R50" s="380"/>
      <c r="S50" s="390" t="s">
        <v>351</v>
      </c>
      <c r="T50" s="363" t="s">
        <v>376</v>
      </c>
      <c r="U50" s="390" t="s">
        <v>353</v>
      </c>
      <c r="V50" s="363" t="s">
        <v>377</v>
      </c>
      <c r="W50" s="390" t="s">
        <v>354</v>
      </c>
      <c r="X50" s="363" t="s">
        <v>378</v>
      </c>
      <c r="Y50" s="363"/>
      <c r="Z50" s="363"/>
      <c r="AA50" s="363"/>
      <c r="AB50" s="363"/>
      <c r="AC50" s="363"/>
      <c r="AD50" s="363"/>
      <c r="AE50" s="363" t="s">
        <v>62</v>
      </c>
      <c r="AF50" s="380" t="s">
        <v>63</v>
      </c>
      <c r="AG50" s="380">
        <v>12</v>
      </c>
      <c r="AH50" s="363" t="s">
        <v>340</v>
      </c>
    </row>
    <row r="51" spans="2:34" ht="14.4" x14ac:dyDescent="0.3">
      <c r="B51" s="380" t="s">
        <v>14</v>
      </c>
      <c r="C51" s="363" t="s">
        <v>374</v>
      </c>
      <c r="D51" s="386" t="s">
        <v>375</v>
      </c>
      <c r="E51" s="396">
        <v>2260058861</v>
      </c>
      <c r="F51" s="387">
        <v>45450</v>
      </c>
      <c r="G51" s="380" t="s">
        <v>55</v>
      </c>
      <c r="H51" s="380">
        <v>4</v>
      </c>
      <c r="I51" s="388">
        <f>607992/2</f>
        <v>303996</v>
      </c>
      <c r="J51" s="380">
        <v>3</v>
      </c>
      <c r="K51" s="389">
        <f t="shared" si="1"/>
        <v>101332</v>
      </c>
      <c r="L51" s="381">
        <v>45748</v>
      </c>
      <c r="M51" s="381">
        <v>46112</v>
      </c>
      <c r="N51" s="663"/>
      <c r="O51" s="680"/>
      <c r="P51" s="363" t="s">
        <v>19</v>
      </c>
      <c r="Q51" s="380" t="s">
        <v>3</v>
      </c>
      <c r="R51" s="380"/>
      <c r="S51" s="390" t="s">
        <v>357</v>
      </c>
      <c r="T51" s="363" t="s">
        <v>379</v>
      </c>
      <c r="U51" s="390" t="s">
        <v>359</v>
      </c>
      <c r="V51" s="363" t="s">
        <v>289</v>
      </c>
      <c r="W51" s="390" t="s">
        <v>361</v>
      </c>
      <c r="X51" s="363" t="s">
        <v>380</v>
      </c>
      <c r="Y51" s="363"/>
      <c r="Z51" s="363"/>
      <c r="AA51" s="363"/>
      <c r="AB51" s="363"/>
      <c r="AC51" s="363"/>
      <c r="AD51" s="363"/>
      <c r="AE51" s="363" t="s">
        <v>62</v>
      </c>
      <c r="AF51" s="380" t="s">
        <v>63</v>
      </c>
      <c r="AG51" s="380">
        <v>12</v>
      </c>
      <c r="AH51" s="363" t="s">
        <v>340</v>
      </c>
    </row>
    <row r="52" spans="2:34" ht="14.4" hidden="1" x14ac:dyDescent="0.3">
      <c r="B52" s="380" t="s">
        <v>14</v>
      </c>
      <c r="C52" s="363" t="s">
        <v>381</v>
      </c>
      <c r="D52" s="386" t="s">
        <v>86</v>
      </c>
      <c r="E52" s="397" t="s">
        <v>382</v>
      </c>
      <c r="F52" s="387">
        <v>45467</v>
      </c>
      <c r="G52" s="380" t="s">
        <v>55</v>
      </c>
      <c r="H52" s="380"/>
      <c r="I52" s="388">
        <f>3582696/2</f>
        <v>1791348</v>
      </c>
      <c r="J52" s="380">
        <v>3</v>
      </c>
      <c r="K52" s="389">
        <f t="shared" si="1"/>
        <v>597116</v>
      </c>
      <c r="L52" s="381">
        <v>45474</v>
      </c>
      <c r="M52" s="381">
        <v>45838</v>
      </c>
      <c r="N52" s="663"/>
      <c r="O52" s="680"/>
      <c r="P52" s="363"/>
      <c r="Q52" s="380"/>
      <c r="R52" s="380"/>
      <c r="S52" s="390" t="s">
        <v>184</v>
      </c>
      <c r="T52" s="363" t="s">
        <v>383</v>
      </c>
      <c r="U52" s="390" t="s">
        <v>186</v>
      </c>
      <c r="V52" s="363" t="s">
        <v>104</v>
      </c>
      <c r="W52" s="390" t="s">
        <v>188</v>
      </c>
      <c r="X52" s="363" t="s">
        <v>384</v>
      </c>
      <c r="Y52" s="363"/>
      <c r="Z52" s="363"/>
      <c r="AA52" s="363"/>
      <c r="AB52" s="363"/>
      <c r="AC52" s="363"/>
      <c r="AD52" s="363"/>
      <c r="AE52" s="363" t="s">
        <v>96</v>
      </c>
      <c r="AF52" s="380" t="s">
        <v>97</v>
      </c>
      <c r="AG52" s="380" t="s">
        <v>98</v>
      </c>
      <c r="AH52" s="363" t="s">
        <v>385</v>
      </c>
    </row>
    <row r="53" spans="2:34" ht="14.4" x14ac:dyDescent="0.3">
      <c r="B53" s="380" t="s">
        <v>14</v>
      </c>
      <c r="C53" s="363" t="s">
        <v>381</v>
      </c>
      <c r="D53" s="386" t="s">
        <v>86</v>
      </c>
      <c r="E53" s="397" t="s">
        <v>382</v>
      </c>
      <c r="F53" s="387">
        <v>45467</v>
      </c>
      <c r="G53" s="380" t="s">
        <v>55</v>
      </c>
      <c r="H53" s="380">
        <v>26</v>
      </c>
      <c r="I53" s="388">
        <f>3582696/2</f>
        <v>1791348</v>
      </c>
      <c r="J53" s="380">
        <v>3</v>
      </c>
      <c r="K53" s="389">
        <f t="shared" si="1"/>
        <v>597116</v>
      </c>
      <c r="L53" s="381">
        <v>45839</v>
      </c>
      <c r="M53" s="381">
        <v>46203</v>
      </c>
      <c r="N53" s="663"/>
      <c r="O53" s="680"/>
      <c r="P53" s="363" t="s">
        <v>19</v>
      </c>
      <c r="Q53" s="380" t="s">
        <v>9</v>
      </c>
      <c r="R53" s="380"/>
      <c r="S53" s="390" t="s">
        <v>190</v>
      </c>
      <c r="T53" s="363" t="s">
        <v>110</v>
      </c>
      <c r="U53" s="390" t="s">
        <v>192</v>
      </c>
      <c r="V53" s="363" t="s">
        <v>386</v>
      </c>
      <c r="W53" s="390" t="s">
        <v>194</v>
      </c>
      <c r="X53" s="363" t="s">
        <v>1846</v>
      </c>
      <c r="Y53" s="363"/>
      <c r="Z53" s="363"/>
      <c r="AA53" s="363"/>
      <c r="AB53" s="363"/>
      <c r="AC53" s="363"/>
      <c r="AD53" s="363"/>
      <c r="AE53" s="363" t="s">
        <v>96</v>
      </c>
      <c r="AF53" s="380" t="s">
        <v>97</v>
      </c>
      <c r="AG53" s="380" t="s">
        <v>98</v>
      </c>
      <c r="AH53" s="363" t="s">
        <v>385</v>
      </c>
    </row>
    <row r="54" spans="2:34" ht="14.4" hidden="1" x14ac:dyDescent="0.3">
      <c r="B54" s="380" t="s">
        <v>14</v>
      </c>
      <c r="C54" s="363" t="s">
        <v>387</v>
      </c>
      <c r="D54" s="386" t="s">
        <v>388</v>
      </c>
      <c r="E54" s="380">
        <v>4500023979</v>
      </c>
      <c r="F54" s="387">
        <v>45488</v>
      </c>
      <c r="G54" s="380" t="s">
        <v>55</v>
      </c>
      <c r="H54" s="380"/>
      <c r="I54" s="388">
        <v>67651</v>
      </c>
      <c r="J54" s="380">
        <v>4</v>
      </c>
      <c r="K54" s="389">
        <f t="shared" si="1"/>
        <v>16912.75</v>
      </c>
      <c r="L54" s="381">
        <v>45474</v>
      </c>
      <c r="M54" s="381">
        <v>45838</v>
      </c>
      <c r="N54" s="663"/>
      <c r="O54" s="680"/>
      <c r="P54" s="363"/>
      <c r="Q54" s="380"/>
      <c r="R54" s="380"/>
      <c r="S54" s="390" t="s">
        <v>160</v>
      </c>
      <c r="T54" s="363" t="s">
        <v>389</v>
      </c>
      <c r="U54" s="390" t="s">
        <v>222</v>
      </c>
      <c r="V54" s="363" t="s">
        <v>163</v>
      </c>
      <c r="W54" s="390" t="s">
        <v>390</v>
      </c>
      <c r="X54" s="363" t="s">
        <v>378</v>
      </c>
      <c r="Y54" s="390" t="s">
        <v>391</v>
      </c>
      <c r="Z54" s="363" t="s">
        <v>392</v>
      </c>
      <c r="AA54" s="363"/>
      <c r="AB54" s="363"/>
      <c r="AC54" s="363"/>
      <c r="AD54" s="363"/>
      <c r="AE54" s="363" t="s">
        <v>393</v>
      </c>
      <c r="AF54" s="380" t="s">
        <v>63</v>
      </c>
      <c r="AG54" s="380">
        <v>4</v>
      </c>
      <c r="AH54" s="363" t="s">
        <v>332</v>
      </c>
    </row>
    <row r="55" spans="2:34" ht="14.4" hidden="1" x14ac:dyDescent="0.3">
      <c r="B55" s="398" t="s">
        <v>14</v>
      </c>
      <c r="C55" s="399" t="s">
        <v>387</v>
      </c>
      <c r="D55" s="400" t="s">
        <v>388</v>
      </c>
      <c r="E55" s="398">
        <v>4500023979</v>
      </c>
      <c r="F55" s="401">
        <v>45488</v>
      </c>
      <c r="G55" s="380" t="s">
        <v>55</v>
      </c>
      <c r="H55" s="402"/>
      <c r="I55" s="388">
        <v>67651</v>
      </c>
      <c r="J55" s="380">
        <v>4</v>
      </c>
      <c r="K55" s="389">
        <f t="shared" si="1"/>
        <v>16912.75</v>
      </c>
      <c r="L55" s="381">
        <v>45839</v>
      </c>
      <c r="M55" s="381">
        <v>46203</v>
      </c>
      <c r="N55" s="663"/>
      <c r="O55" s="680"/>
      <c r="P55" s="363"/>
      <c r="Q55" s="380"/>
      <c r="R55" s="380"/>
      <c r="S55" s="390" t="s">
        <v>168</v>
      </c>
      <c r="T55" s="363" t="s">
        <v>394</v>
      </c>
      <c r="U55" s="390" t="s">
        <v>228</v>
      </c>
      <c r="V55" s="363" t="s">
        <v>395</v>
      </c>
      <c r="W55" s="403" t="s">
        <v>396</v>
      </c>
      <c r="X55" s="363"/>
      <c r="Y55" s="403" t="s">
        <v>397</v>
      </c>
      <c r="Z55" s="363"/>
      <c r="AA55" s="363"/>
      <c r="AB55" s="363"/>
      <c r="AC55" s="363"/>
      <c r="AD55" s="363"/>
      <c r="AE55" s="363" t="s">
        <v>393</v>
      </c>
      <c r="AF55" s="380" t="s">
        <v>63</v>
      </c>
      <c r="AG55" s="380">
        <v>4</v>
      </c>
      <c r="AH55" s="363" t="s">
        <v>332</v>
      </c>
    </row>
    <row r="56" spans="2:34" ht="14.4" hidden="1" x14ac:dyDescent="0.3">
      <c r="B56" s="380" t="s">
        <v>14</v>
      </c>
      <c r="C56" s="392" t="s">
        <v>150</v>
      </c>
      <c r="D56" s="386" t="s">
        <v>398</v>
      </c>
      <c r="E56" s="380">
        <v>4200280308</v>
      </c>
      <c r="F56" s="387">
        <v>45443</v>
      </c>
      <c r="G56" s="380" t="s">
        <v>55</v>
      </c>
      <c r="H56" s="380"/>
      <c r="I56" s="388">
        <v>117600</v>
      </c>
      <c r="J56" s="380">
        <v>3</v>
      </c>
      <c r="K56" s="389">
        <f t="shared" si="1"/>
        <v>39200</v>
      </c>
      <c r="L56" s="381">
        <v>45444</v>
      </c>
      <c r="M56" s="381">
        <v>45808</v>
      </c>
      <c r="N56" s="663"/>
      <c r="O56" s="680"/>
      <c r="P56" s="363"/>
      <c r="Q56" s="380"/>
      <c r="R56" s="380"/>
      <c r="S56" s="390" t="s">
        <v>314</v>
      </c>
      <c r="T56" s="363" t="s">
        <v>399</v>
      </c>
      <c r="U56" s="390" t="s">
        <v>316</v>
      </c>
      <c r="V56" s="363" t="s">
        <v>400</v>
      </c>
      <c r="W56" s="390" t="s">
        <v>79</v>
      </c>
      <c r="X56" s="363" t="s">
        <v>401</v>
      </c>
      <c r="Y56" s="363"/>
      <c r="Z56" s="363"/>
      <c r="AA56" s="363"/>
      <c r="AB56" s="363"/>
      <c r="AC56" s="363"/>
      <c r="AD56" s="363"/>
      <c r="AE56" s="363" t="s">
        <v>128</v>
      </c>
      <c r="AF56" s="380" t="s">
        <v>129</v>
      </c>
      <c r="AG56" s="380">
        <v>4</v>
      </c>
      <c r="AH56" s="363"/>
    </row>
    <row r="57" spans="2:34" ht="14.4" hidden="1" x14ac:dyDescent="0.3">
      <c r="B57" s="380" t="s">
        <v>14</v>
      </c>
      <c r="C57" s="392" t="s">
        <v>150</v>
      </c>
      <c r="D57" s="386" t="s">
        <v>398</v>
      </c>
      <c r="E57" s="380">
        <v>4200280308</v>
      </c>
      <c r="F57" s="387">
        <v>45443</v>
      </c>
      <c r="G57" s="380" t="s">
        <v>55</v>
      </c>
      <c r="H57" s="380"/>
      <c r="I57" s="388">
        <v>123480</v>
      </c>
      <c r="J57" s="380">
        <v>3</v>
      </c>
      <c r="K57" s="391">
        <f t="shared" si="1"/>
        <v>41160</v>
      </c>
      <c r="L57" s="381">
        <v>45809</v>
      </c>
      <c r="M57" s="381">
        <v>46173</v>
      </c>
      <c r="N57" s="663"/>
      <c r="O57" s="680"/>
      <c r="P57" s="363"/>
      <c r="Q57" s="380"/>
      <c r="R57" s="380"/>
      <c r="S57" s="390" t="s">
        <v>81</v>
      </c>
      <c r="T57" s="363" t="s">
        <v>402</v>
      </c>
      <c r="U57" s="390" t="s">
        <v>83</v>
      </c>
      <c r="V57" s="363" t="s">
        <v>403</v>
      </c>
      <c r="W57" s="390" t="s">
        <v>404</v>
      </c>
      <c r="X57" s="363" t="s">
        <v>1847</v>
      </c>
      <c r="Y57" s="363"/>
      <c r="Z57" s="363"/>
      <c r="AA57" s="363"/>
      <c r="AB57" s="363"/>
      <c r="AC57" s="363"/>
      <c r="AD57" s="363"/>
      <c r="AE57" s="363" t="s">
        <v>128</v>
      </c>
      <c r="AF57" s="380" t="s">
        <v>129</v>
      </c>
      <c r="AG57" s="380">
        <v>4</v>
      </c>
      <c r="AH57" s="363" t="s">
        <v>405</v>
      </c>
    </row>
    <row r="58" spans="2:34" ht="14.4" hidden="1" x14ac:dyDescent="0.3">
      <c r="B58" s="380" t="s">
        <v>14</v>
      </c>
      <c r="C58" s="392" t="s">
        <v>150</v>
      </c>
      <c r="D58" s="386" t="s">
        <v>398</v>
      </c>
      <c r="E58" s="380">
        <v>4200280308</v>
      </c>
      <c r="F58" s="387">
        <v>45443</v>
      </c>
      <c r="G58" s="380" t="s">
        <v>55</v>
      </c>
      <c r="H58" s="380">
        <v>2</v>
      </c>
      <c r="I58" s="388">
        <v>129654</v>
      </c>
      <c r="J58" s="380">
        <v>3</v>
      </c>
      <c r="K58" s="389">
        <f t="shared" si="1"/>
        <v>43218</v>
      </c>
      <c r="L58" s="381">
        <v>46174</v>
      </c>
      <c r="M58" s="381">
        <v>46538</v>
      </c>
      <c r="N58" s="663"/>
      <c r="O58" s="680"/>
      <c r="P58" s="363"/>
      <c r="Q58" s="380"/>
      <c r="R58" s="380"/>
      <c r="S58" s="363" t="s">
        <v>406</v>
      </c>
      <c r="T58" s="363"/>
      <c r="U58" s="363" t="s">
        <v>407</v>
      </c>
      <c r="V58" s="363"/>
      <c r="W58" s="363" t="s">
        <v>408</v>
      </c>
      <c r="X58" s="363"/>
      <c r="Y58" s="363"/>
      <c r="Z58" s="363"/>
      <c r="AA58" s="363"/>
      <c r="AB58" s="363"/>
      <c r="AC58" s="363"/>
      <c r="AD58" s="363"/>
      <c r="AE58" s="363" t="s">
        <v>128</v>
      </c>
      <c r="AF58" s="380" t="s">
        <v>129</v>
      </c>
      <c r="AG58" s="380">
        <v>4</v>
      </c>
      <c r="AH58" s="363" t="s">
        <v>405</v>
      </c>
    </row>
    <row r="59" spans="2:34" ht="14.4" hidden="1" x14ac:dyDescent="0.3">
      <c r="B59" s="380" t="s">
        <v>14</v>
      </c>
      <c r="C59" s="363" t="s">
        <v>409</v>
      </c>
      <c r="D59" s="386" t="s">
        <v>86</v>
      </c>
      <c r="E59" s="397" t="s">
        <v>410</v>
      </c>
      <c r="F59" s="404">
        <v>45558</v>
      </c>
      <c r="G59" s="380" t="s">
        <v>55</v>
      </c>
      <c r="H59" s="380"/>
      <c r="I59" s="388">
        <f>290488/2</f>
        <v>145244</v>
      </c>
      <c r="J59" s="380">
        <v>3</v>
      </c>
      <c r="K59" s="389">
        <f t="shared" si="1"/>
        <v>48414.666666666664</v>
      </c>
      <c r="L59" s="381">
        <v>45566</v>
      </c>
      <c r="M59" s="381">
        <v>45930</v>
      </c>
      <c r="N59" s="663"/>
      <c r="O59" s="680"/>
      <c r="P59" s="363"/>
      <c r="Q59" s="380"/>
      <c r="R59" s="380"/>
      <c r="S59" s="390" t="s">
        <v>411</v>
      </c>
      <c r="T59" s="363" t="s">
        <v>412</v>
      </c>
      <c r="U59" s="390" t="s">
        <v>318</v>
      </c>
      <c r="V59" s="363" t="s">
        <v>413</v>
      </c>
      <c r="W59" s="390" t="s">
        <v>414</v>
      </c>
      <c r="X59" s="363" t="s">
        <v>415</v>
      </c>
      <c r="Y59" s="363"/>
      <c r="Z59" s="363"/>
      <c r="AA59" s="363"/>
      <c r="AB59" s="363"/>
      <c r="AC59" s="363"/>
      <c r="AD59" s="363"/>
      <c r="AE59" s="363" t="s">
        <v>281</v>
      </c>
      <c r="AF59" s="380" t="s">
        <v>97</v>
      </c>
      <c r="AG59" s="380">
        <v>6</v>
      </c>
      <c r="AH59" s="363" t="s">
        <v>332</v>
      </c>
    </row>
    <row r="60" spans="2:34" ht="14.4" hidden="1" x14ac:dyDescent="0.3">
      <c r="B60" s="380" t="s">
        <v>14</v>
      </c>
      <c r="C60" s="363" t="s">
        <v>409</v>
      </c>
      <c r="D60" s="386" t="s">
        <v>86</v>
      </c>
      <c r="E60" s="397" t="s">
        <v>410</v>
      </c>
      <c r="F60" s="404">
        <v>45558</v>
      </c>
      <c r="G60" s="380" t="s">
        <v>55</v>
      </c>
      <c r="H60" s="380">
        <v>2</v>
      </c>
      <c r="I60" s="388">
        <f>290488/2</f>
        <v>145244</v>
      </c>
      <c r="J60" s="380">
        <v>3</v>
      </c>
      <c r="K60" s="391">
        <f t="shared" si="1"/>
        <v>48414.666666666664</v>
      </c>
      <c r="L60" s="381">
        <v>45931</v>
      </c>
      <c r="M60" s="381">
        <v>46295</v>
      </c>
      <c r="N60" s="663"/>
      <c r="O60" s="680"/>
      <c r="P60" s="363"/>
      <c r="Q60" s="380"/>
      <c r="R60" s="380"/>
      <c r="S60" s="390" t="s">
        <v>416</v>
      </c>
      <c r="T60" s="363" t="s">
        <v>417</v>
      </c>
      <c r="U60" s="390" t="s">
        <v>321</v>
      </c>
      <c r="V60" s="363" t="s">
        <v>1524</v>
      </c>
      <c r="W60" s="363" t="s">
        <v>418</v>
      </c>
      <c r="X60" s="363"/>
      <c r="Y60" s="363"/>
      <c r="Z60" s="363"/>
      <c r="AA60" s="363"/>
      <c r="AB60" s="363"/>
      <c r="AC60" s="363"/>
      <c r="AD60" s="363"/>
      <c r="AE60" s="363" t="s">
        <v>281</v>
      </c>
      <c r="AF60" s="380" t="s">
        <v>97</v>
      </c>
      <c r="AG60" s="380">
        <v>6</v>
      </c>
      <c r="AH60" s="363" t="s">
        <v>332</v>
      </c>
    </row>
    <row r="61" spans="2:34" ht="14.4" hidden="1" x14ac:dyDescent="0.3">
      <c r="B61" s="380" t="s">
        <v>14</v>
      </c>
      <c r="C61" s="363" t="s">
        <v>419</v>
      </c>
      <c r="D61" s="386" t="s">
        <v>151</v>
      </c>
      <c r="E61" s="380">
        <v>4508706140</v>
      </c>
      <c r="F61" s="387">
        <v>45566</v>
      </c>
      <c r="G61" s="380" t="s">
        <v>55</v>
      </c>
      <c r="H61" s="380"/>
      <c r="I61" s="388">
        <f>59400+59400+54000+32000</f>
        <v>204800</v>
      </c>
      <c r="J61" s="380">
        <v>2</v>
      </c>
      <c r="K61" s="389">
        <f t="shared" si="1"/>
        <v>102400</v>
      </c>
      <c r="L61" s="381">
        <v>45505</v>
      </c>
      <c r="M61" s="381">
        <v>45869</v>
      </c>
      <c r="N61" s="663"/>
      <c r="O61" s="680"/>
      <c r="P61" s="363"/>
      <c r="Q61" s="380"/>
      <c r="R61" s="380" t="s">
        <v>1</v>
      </c>
      <c r="S61" s="390" t="s">
        <v>420</v>
      </c>
      <c r="T61" s="363" t="s">
        <v>421</v>
      </c>
      <c r="U61" s="390" t="s">
        <v>422</v>
      </c>
      <c r="V61" s="363" t="s">
        <v>423</v>
      </c>
      <c r="W61" s="363"/>
      <c r="X61" s="363"/>
      <c r="Y61" s="363"/>
      <c r="Z61" s="363"/>
      <c r="AA61" s="363"/>
      <c r="AB61" s="363"/>
      <c r="AC61" s="363"/>
      <c r="AD61" s="363"/>
      <c r="AE61" s="363" t="s">
        <v>62</v>
      </c>
      <c r="AF61" s="380" t="s">
        <v>63</v>
      </c>
      <c r="AG61" s="380">
        <v>9</v>
      </c>
      <c r="AH61" s="363" t="s">
        <v>332</v>
      </c>
    </row>
    <row r="62" spans="2:34" ht="14.4" hidden="1" x14ac:dyDescent="0.3">
      <c r="B62" s="380" t="s">
        <v>14</v>
      </c>
      <c r="C62" s="363" t="s">
        <v>419</v>
      </c>
      <c r="D62" s="386" t="s">
        <v>151</v>
      </c>
      <c r="E62" s="380">
        <v>4508706140</v>
      </c>
      <c r="F62" s="387">
        <v>45566</v>
      </c>
      <c r="G62" s="380" t="s">
        <v>55</v>
      </c>
      <c r="H62" s="380"/>
      <c r="I62" s="388">
        <f>59400+59400+54000+32000</f>
        <v>204800</v>
      </c>
      <c r="J62" s="380">
        <v>2</v>
      </c>
      <c r="K62" s="389">
        <f t="shared" si="1"/>
        <v>102400</v>
      </c>
      <c r="L62" s="381">
        <v>45870</v>
      </c>
      <c r="M62" s="381">
        <v>46234</v>
      </c>
      <c r="N62" s="663"/>
      <c r="O62" s="680"/>
      <c r="P62" s="363"/>
      <c r="Q62" s="380"/>
      <c r="R62" s="380" t="s">
        <v>1</v>
      </c>
      <c r="S62" s="390" t="s">
        <v>424</v>
      </c>
      <c r="T62" s="363" t="s">
        <v>425</v>
      </c>
      <c r="U62" s="390" t="s">
        <v>426</v>
      </c>
      <c r="V62" s="363" t="s">
        <v>1934</v>
      </c>
      <c r="W62" s="363"/>
      <c r="X62" s="363"/>
      <c r="Y62" s="363"/>
      <c r="Z62" s="363"/>
      <c r="AA62" s="363"/>
      <c r="AB62" s="363"/>
      <c r="AC62" s="363"/>
      <c r="AD62" s="363"/>
      <c r="AE62" s="363" t="s">
        <v>62</v>
      </c>
      <c r="AF62" s="380" t="s">
        <v>63</v>
      </c>
      <c r="AG62" s="380">
        <v>9</v>
      </c>
      <c r="AH62" s="363" t="s">
        <v>332</v>
      </c>
    </row>
    <row r="63" spans="2:34" ht="14.4" hidden="1" x14ac:dyDescent="0.3">
      <c r="B63" s="380" t="s">
        <v>14</v>
      </c>
      <c r="C63" s="363" t="s">
        <v>419</v>
      </c>
      <c r="D63" s="386" t="s">
        <v>151</v>
      </c>
      <c r="E63" s="542">
        <v>4508706140</v>
      </c>
      <c r="F63" s="387">
        <v>45566</v>
      </c>
      <c r="G63" s="380" t="s">
        <v>55</v>
      </c>
      <c r="H63" s="380">
        <v>3</v>
      </c>
      <c r="I63" s="388">
        <f>59400+59400+54000+32000</f>
        <v>204800</v>
      </c>
      <c r="J63" s="380">
        <v>2</v>
      </c>
      <c r="K63" s="389">
        <f t="shared" si="1"/>
        <v>102400</v>
      </c>
      <c r="L63" s="381">
        <v>46235</v>
      </c>
      <c r="M63" s="381">
        <v>46599</v>
      </c>
      <c r="N63" s="663"/>
      <c r="O63" s="680"/>
      <c r="P63" s="363"/>
      <c r="Q63" s="380"/>
      <c r="R63" s="380" t="s">
        <v>1</v>
      </c>
      <c r="S63" s="363" t="s">
        <v>427</v>
      </c>
      <c r="T63" s="363"/>
      <c r="U63" s="363" t="s">
        <v>428</v>
      </c>
      <c r="V63" s="363"/>
      <c r="W63" s="363"/>
      <c r="X63" s="363"/>
      <c r="Y63" s="363"/>
      <c r="Z63" s="363"/>
      <c r="AA63" s="363"/>
      <c r="AB63" s="363"/>
      <c r="AC63" s="363"/>
      <c r="AD63" s="363"/>
      <c r="AE63" s="363" t="s">
        <v>62</v>
      </c>
      <c r="AF63" s="380" t="s">
        <v>63</v>
      </c>
      <c r="AG63" s="380">
        <v>9</v>
      </c>
      <c r="AH63" s="363" t="s">
        <v>332</v>
      </c>
    </row>
    <row r="64" spans="2:34" ht="14.4" hidden="1" x14ac:dyDescent="0.3">
      <c r="B64" s="380" t="s">
        <v>14</v>
      </c>
      <c r="C64" s="363" t="s">
        <v>419</v>
      </c>
      <c r="D64" s="386" t="s">
        <v>151</v>
      </c>
      <c r="E64" s="380">
        <v>4508706120</v>
      </c>
      <c r="F64" s="387">
        <v>45566</v>
      </c>
      <c r="G64" s="380" t="s">
        <v>55</v>
      </c>
      <c r="H64" s="380"/>
      <c r="I64" s="388">
        <f t="shared" ref="I64:I69" si="2">54000+54000+32000</f>
        <v>140000</v>
      </c>
      <c r="J64" s="380">
        <v>2</v>
      </c>
      <c r="K64" s="389">
        <f t="shared" si="1"/>
        <v>70000</v>
      </c>
      <c r="L64" s="381">
        <v>45505</v>
      </c>
      <c r="M64" s="381">
        <v>45869</v>
      </c>
      <c r="N64" s="663"/>
      <c r="O64" s="680"/>
      <c r="P64" s="363"/>
      <c r="Q64" s="380"/>
      <c r="R64" s="380" t="s">
        <v>1</v>
      </c>
      <c r="S64" s="390" t="s">
        <v>420</v>
      </c>
      <c r="T64" s="363" t="s">
        <v>421</v>
      </c>
      <c r="U64" s="390" t="s">
        <v>422</v>
      </c>
      <c r="V64" s="363" t="s">
        <v>429</v>
      </c>
      <c r="W64" s="363"/>
      <c r="X64" s="363"/>
      <c r="Y64" s="363"/>
      <c r="Z64" s="363"/>
      <c r="AA64" s="363"/>
      <c r="AB64" s="363"/>
      <c r="AC64" s="363"/>
      <c r="AD64" s="363"/>
      <c r="AE64" s="363" t="s">
        <v>62</v>
      </c>
      <c r="AF64" s="380" t="s">
        <v>63</v>
      </c>
      <c r="AG64" s="380">
        <v>9</v>
      </c>
      <c r="AH64" s="363" t="s">
        <v>332</v>
      </c>
    </row>
    <row r="65" spans="2:34" ht="14.4" hidden="1" x14ac:dyDescent="0.3">
      <c r="B65" s="380" t="s">
        <v>14</v>
      </c>
      <c r="C65" s="363" t="s">
        <v>419</v>
      </c>
      <c r="D65" s="386" t="s">
        <v>151</v>
      </c>
      <c r="E65" s="380">
        <v>4508706120</v>
      </c>
      <c r="F65" s="387">
        <v>45566</v>
      </c>
      <c r="G65" s="380" t="s">
        <v>55</v>
      </c>
      <c r="H65" s="380"/>
      <c r="I65" s="388">
        <f t="shared" si="2"/>
        <v>140000</v>
      </c>
      <c r="J65" s="380">
        <v>2</v>
      </c>
      <c r="K65" s="389">
        <f t="shared" si="1"/>
        <v>70000</v>
      </c>
      <c r="L65" s="381">
        <v>45870</v>
      </c>
      <c r="M65" s="381">
        <v>46234</v>
      </c>
      <c r="N65" s="663">
        <v>154831</v>
      </c>
      <c r="O65" s="680"/>
      <c r="P65" s="363"/>
      <c r="Q65" s="380"/>
      <c r="R65" s="380" t="s">
        <v>1</v>
      </c>
      <c r="S65" s="390" t="s">
        <v>424</v>
      </c>
      <c r="T65" s="363" t="s">
        <v>430</v>
      </c>
      <c r="U65" s="390" t="s">
        <v>426</v>
      </c>
      <c r="V65" s="363" t="s">
        <v>1935</v>
      </c>
      <c r="W65" s="363"/>
      <c r="X65" s="363"/>
      <c r="Y65" s="363"/>
      <c r="Z65" s="363"/>
      <c r="AA65" s="363"/>
      <c r="AB65" s="363"/>
      <c r="AC65" s="363"/>
      <c r="AD65" s="363"/>
      <c r="AE65" s="363" t="s">
        <v>62</v>
      </c>
      <c r="AF65" s="380" t="s">
        <v>63</v>
      </c>
      <c r="AG65" s="380">
        <v>9</v>
      </c>
      <c r="AH65" s="363" t="s">
        <v>332</v>
      </c>
    </row>
    <row r="66" spans="2:34" ht="14.4" hidden="1" x14ac:dyDescent="0.3">
      <c r="B66" s="380" t="s">
        <v>14</v>
      </c>
      <c r="C66" s="363" t="s">
        <v>419</v>
      </c>
      <c r="D66" s="386" t="s">
        <v>151</v>
      </c>
      <c r="E66" s="380">
        <v>4508706120</v>
      </c>
      <c r="F66" s="387">
        <v>45566</v>
      </c>
      <c r="G66" s="380" t="s">
        <v>55</v>
      </c>
      <c r="H66" s="380">
        <v>2</v>
      </c>
      <c r="I66" s="388">
        <f t="shared" si="2"/>
        <v>140000</v>
      </c>
      <c r="J66" s="380">
        <v>2</v>
      </c>
      <c r="K66" s="389">
        <f t="shared" si="1"/>
        <v>70000</v>
      </c>
      <c r="L66" s="381">
        <v>46235</v>
      </c>
      <c r="M66" s="381">
        <v>46599</v>
      </c>
      <c r="N66" s="663"/>
      <c r="O66" s="680"/>
      <c r="P66" s="363"/>
      <c r="Q66" s="380"/>
      <c r="R66" s="380" t="s">
        <v>1</v>
      </c>
      <c r="S66" s="363" t="s">
        <v>427</v>
      </c>
      <c r="T66" s="363"/>
      <c r="U66" s="363" t="s">
        <v>428</v>
      </c>
      <c r="V66" s="363"/>
      <c r="W66" s="363"/>
      <c r="X66" s="363"/>
      <c r="Y66" s="363"/>
      <c r="Z66" s="363"/>
      <c r="AA66" s="363"/>
      <c r="AB66" s="363"/>
      <c r="AC66" s="363"/>
      <c r="AD66" s="363"/>
      <c r="AE66" s="363" t="s">
        <v>62</v>
      </c>
      <c r="AF66" s="380" t="s">
        <v>63</v>
      </c>
      <c r="AG66" s="380">
        <v>9</v>
      </c>
      <c r="AH66" s="363" t="s">
        <v>332</v>
      </c>
    </row>
    <row r="67" spans="2:34" ht="14.4" hidden="1" x14ac:dyDescent="0.3">
      <c r="B67" s="380" t="s">
        <v>14</v>
      </c>
      <c r="C67" s="363" t="s">
        <v>419</v>
      </c>
      <c r="D67" s="386" t="s">
        <v>151</v>
      </c>
      <c r="E67" s="380">
        <v>4508706133</v>
      </c>
      <c r="F67" s="387">
        <v>45566</v>
      </c>
      <c r="G67" s="380" t="s">
        <v>55</v>
      </c>
      <c r="H67" s="380"/>
      <c r="I67" s="388">
        <f t="shared" si="2"/>
        <v>140000</v>
      </c>
      <c r="J67" s="380">
        <v>2</v>
      </c>
      <c r="K67" s="389">
        <f t="shared" si="1"/>
        <v>70000</v>
      </c>
      <c r="L67" s="381">
        <v>45505</v>
      </c>
      <c r="M67" s="381">
        <v>45869</v>
      </c>
      <c r="N67" s="663"/>
      <c r="O67" s="680"/>
      <c r="P67" s="363"/>
      <c r="Q67" s="380"/>
      <c r="R67" s="380" t="s">
        <v>1</v>
      </c>
      <c r="S67" s="390" t="s">
        <v>420</v>
      </c>
      <c r="T67" s="363" t="s">
        <v>421</v>
      </c>
      <c r="U67" s="390" t="s">
        <v>422</v>
      </c>
      <c r="V67" s="363" t="s">
        <v>431</v>
      </c>
      <c r="W67" s="363"/>
      <c r="X67" s="363"/>
      <c r="Y67" s="363"/>
      <c r="Z67" s="363"/>
      <c r="AA67" s="363"/>
      <c r="AB67" s="363"/>
      <c r="AC67" s="363"/>
      <c r="AD67" s="363"/>
      <c r="AE67" s="363" t="s">
        <v>62</v>
      </c>
      <c r="AF67" s="380" t="s">
        <v>63</v>
      </c>
      <c r="AG67" s="380">
        <v>9</v>
      </c>
      <c r="AH67" s="363" t="s">
        <v>332</v>
      </c>
    </row>
    <row r="68" spans="2:34" ht="14.4" hidden="1" x14ac:dyDescent="0.3">
      <c r="B68" s="380" t="s">
        <v>14</v>
      </c>
      <c r="C68" s="363" t="s">
        <v>419</v>
      </c>
      <c r="D68" s="386" t="s">
        <v>151</v>
      </c>
      <c r="E68" s="380">
        <v>4508706133</v>
      </c>
      <c r="F68" s="387">
        <v>45566</v>
      </c>
      <c r="G68" s="380" t="s">
        <v>55</v>
      </c>
      <c r="H68" s="380"/>
      <c r="I68" s="388">
        <f t="shared" si="2"/>
        <v>140000</v>
      </c>
      <c r="J68" s="380">
        <v>2</v>
      </c>
      <c r="K68" s="389">
        <f t="shared" si="1"/>
        <v>70000</v>
      </c>
      <c r="L68" s="381">
        <v>45870</v>
      </c>
      <c r="M68" s="381">
        <v>46234</v>
      </c>
      <c r="N68" s="663"/>
      <c r="O68" s="680"/>
      <c r="P68" s="363"/>
      <c r="Q68" s="380"/>
      <c r="R68" s="380" t="s">
        <v>1</v>
      </c>
      <c r="S68" s="390" t="s">
        <v>424</v>
      </c>
      <c r="T68" s="363" t="s">
        <v>432</v>
      </c>
      <c r="U68" s="390" t="s">
        <v>426</v>
      </c>
      <c r="V68" s="363" t="s">
        <v>1936</v>
      </c>
      <c r="W68" s="363"/>
      <c r="X68" s="363"/>
      <c r="Y68" s="363"/>
      <c r="Z68" s="363"/>
      <c r="AA68" s="363"/>
      <c r="AB68" s="363"/>
      <c r="AC68" s="363"/>
      <c r="AD68" s="363"/>
      <c r="AE68" s="363" t="s">
        <v>62</v>
      </c>
      <c r="AF68" s="380" t="s">
        <v>63</v>
      </c>
      <c r="AG68" s="380">
        <v>9</v>
      </c>
      <c r="AH68" s="363" t="s">
        <v>332</v>
      </c>
    </row>
    <row r="69" spans="2:34" ht="14.4" hidden="1" x14ac:dyDescent="0.3">
      <c r="B69" s="380" t="s">
        <v>14</v>
      </c>
      <c r="C69" s="363" t="s">
        <v>419</v>
      </c>
      <c r="D69" s="386" t="s">
        <v>151</v>
      </c>
      <c r="E69" s="380">
        <v>4508706133</v>
      </c>
      <c r="F69" s="387">
        <v>45566</v>
      </c>
      <c r="G69" s="380" t="s">
        <v>55</v>
      </c>
      <c r="H69" s="380">
        <v>2</v>
      </c>
      <c r="I69" s="388">
        <f t="shared" si="2"/>
        <v>140000</v>
      </c>
      <c r="J69" s="380">
        <v>2</v>
      </c>
      <c r="K69" s="389">
        <f t="shared" si="1"/>
        <v>70000</v>
      </c>
      <c r="L69" s="381">
        <v>46235</v>
      </c>
      <c r="M69" s="381">
        <v>46599</v>
      </c>
      <c r="N69" s="663"/>
      <c r="O69" s="680"/>
      <c r="P69" s="363"/>
      <c r="Q69" s="380"/>
      <c r="R69" s="380" t="s">
        <v>1</v>
      </c>
      <c r="S69" s="363" t="s">
        <v>427</v>
      </c>
      <c r="T69" s="363"/>
      <c r="U69" s="363" t="s">
        <v>428</v>
      </c>
      <c r="V69" s="363"/>
      <c r="W69" s="363"/>
      <c r="X69" s="363"/>
      <c r="Y69" s="363"/>
      <c r="Z69" s="363"/>
      <c r="AA69" s="363"/>
      <c r="AB69" s="363"/>
      <c r="AC69" s="363"/>
      <c r="AD69" s="363"/>
      <c r="AE69" s="363" t="s">
        <v>62</v>
      </c>
      <c r="AF69" s="380" t="s">
        <v>63</v>
      </c>
      <c r="AG69" s="380">
        <v>9</v>
      </c>
      <c r="AH69" s="363" t="s">
        <v>332</v>
      </c>
    </row>
    <row r="70" spans="2:34" ht="14.4" hidden="1" x14ac:dyDescent="0.3">
      <c r="B70" s="380" t="s">
        <v>14</v>
      </c>
      <c r="C70" s="363" t="s">
        <v>433</v>
      </c>
      <c r="D70" s="386" t="s">
        <v>434</v>
      </c>
      <c r="E70" s="405" t="s">
        <v>435</v>
      </c>
      <c r="F70" s="406">
        <v>45581</v>
      </c>
      <c r="G70" s="407" t="s">
        <v>436</v>
      </c>
      <c r="H70" s="380"/>
      <c r="I70" s="388">
        <f>(6572290/118*100)/2</f>
        <v>2784868.6440677969</v>
      </c>
      <c r="J70" s="380">
        <v>4</v>
      </c>
      <c r="K70" s="389">
        <f t="shared" si="1"/>
        <v>696217.16101694922</v>
      </c>
      <c r="L70" s="381">
        <v>45597</v>
      </c>
      <c r="M70" s="381">
        <v>45961</v>
      </c>
      <c r="N70" s="663"/>
      <c r="O70" s="680"/>
      <c r="P70" s="363"/>
      <c r="Q70" s="380"/>
      <c r="R70" s="380" t="s">
        <v>437</v>
      </c>
      <c r="S70" s="390" t="s">
        <v>262</v>
      </c>
      <c r="T70" s="363" t="s">
        <v>438</v>
      </c>
      <c r="U70" s="390" t="s">
        <v>264</v>
      </c>
      <c r="V70" s="363" t="s">
        <v>124</v>
      </c>
      <c r="W70" s="390" t="s">
        <v>266</v>
      </c>
      <c r="X70" s="363" t="s">
        <v>439</v>
      </c>
      <c r="Y70" s="390" t="s">
        <v>267</v>
      </c>
      <c r="Z70" s="363" t="s">
        <v>440</v>
      </c>
      <c r="AA70" s="363"/>
      <c r="AB70" s="363"/>
      <c r="AC70" s="363"/>
      <c r="AD70" s="363"/>
      <c r="AE70" s="363" t="s">
        <v>281</v>
      </c>
      <c r="AF70" s="380" t="s">
        <v>97</v>
      </c>
      <c r="AG70" s="380" t="s">
        <v>98</v>
      </c>
      <c r="AH70" s="363" t="s">
        <v>332</v>
      </c>
    </row>
    <row r="71" spans="2:34" ht="14.4" hidden="1" x14ac:dyDescent="0.3">
      <c r="B71" s="380" t="s">
        <v>14</v>
      </c>
      <c r="C71" s="363" t="s">
        <v>433</v>
      </c>
      <c r="D71" s="386" t="s">
        <v>434</v>
      </c>
      <c r="E71" s="405" t="s">
        <v>435</v>
      </c>
      <c r="F71" s="406">
        <v>45581</v>
      </c>
      <c r="G71" s="407" t="s">
        <v>436</v>
      </c>
      <c r="H71" s="380">
        <v>10</v>
      </c>
      <c r="I71" s="388">
        <f>(6572290/118*100)/2</f>
        <v>2784868.6440677969</v>
      </c>
      <c r="J71" s="380">
        <v>4</v>
      </c>
      <c r="K71" s="389">
        <f t="shared" ref="K71:K96" si="3">I71/J71</f>
        <v>696217.16101694922</v>
      </c>
      <c r="L71" s="381">
        <v>45962</v>
      </c>
      <c r="M71" s="381">
        <v>46326</v>
      </c>
      <c r="N71" s="663"/>
      <c r="O71" s="680"/>
      <c r="P71" s="363"/>
      <c r="Q71" s="380"/>
      <c r="R71" s="380" t="s">
        <v>437</v>
      </c>
      <c r="S71" s="390" t="s">
        <v>269</v>
      </c>
      <c r="T71" s="363" t="s">
        <v>441</v>
      </c>
      <c r="U71" s="390" t="s">
        <v>442</v>
      </c>
      <c r="V71" s="363" t="s">
        <v>443</v>
      </c>
      <c r="W71" s="390" t="s">
        <v>444</v>
      </c>
      <c r="X71" s="363" t="s">
        <v>1937</v>
      </c>
      <c r="Y71" s="363" t="s">
        <v>445</v>
      </c>
      <c r="Z71" s="363"/>
      <c r="AA71" s="363"/>
      <c r="AB71" s="363"/>
      <c r="AC71" s="363"/>
      <c r="AD71" s="363"/>
      <c r="AE71" s="363" t="s">
        <v>281</v>
      </c>
      <c r="AF71" s="380" t="s">
        <v>97</v>
      </c>
      <c r="AG71" s="380" t="s">
        <v>98</v>
      </c>
      <c r="AH71" s="363" t="s">
        <v>332</v>
      </c>
    </row>
    <row r="72" spans="2:34" ht="14.4" hidden="1" x14ac:dyDescent="0.3">
      <c r="B72" s="380" t="s">
        <v>14</v>
      </c>
      <c r="C72" s="363" t="s">
        <v>446</v>
      </c>
      <c r="D72" s="386" t="s">
        <v>447</v>
      </c>
      <c r="E72" s="405" t="s">
        <v>448</v>
      </c>
      <c r="F72" s="406">
        <v>45589</v>
      </c>
      <c r="G72" s="380" t="s">
        <v>55</v>
      </c>
      <c r="H72" s="380"/>
      <c r="I72" s="388">
        <f>44887.5*4</f>
        <v>179550</v>
      </c>
      <c r="J72" s="380">
        <v>4</v>
      </c>
      <c r="K72" s="389">
        <f t="shared" si="3"/>
        <v>44887.5</v>
      </c>
      <c r="L72" s="381">
        <v>45597</v>
      </c>
      <c r="M72" s="381">
        <v>45961</v>
      </c>
      <c r="N72" s="663"/>
      <c r="O72" s="680"/>
      <c r="P72" s="363"/>
      <c r="Q72" s="380"/>
      <c r="R72" s="380"/>
      <c r="S72" s="390" t="s">
        <v>262</v>
      </c>
      <c r="T72" s="390" t="s">
        <v>449</v>
      </c>
      <c r="U72" s="390" t="s">
        <v>264</v>
      </c>
      <c r="V72" s="363" t="s">
        <v>450</v>
      </c>
      <c r="W72" s="390" t="s">
        <v>266</v>
      </c>
      <c r="X72" s="363" t="s">
        <v>451</v>
      </c>
      <c r="Y72" s="390" t="s">
        <v>267</v>
      </c>
      <c r="Z72" s="363" t="s">
        <v>452</v>
      </c>
      <c r="AA72" s="363"/>
      <c r="AB72" s="363"/>
      <c r="AC72" s="363"/>
      <c r="AD72" s="363"/>
      <c r="AE72" s="363" t="s">
        <v>96</v>
      </c>
      <c r="AF72" s="380" t="s">
        <v>97</v>
      </c>
      <c r="AG72" s="380" t="s">
        <v>98</v>
      </c>
      <c r="AH72" s="363" t="s">
        <v>453</v>
      </c>
    </row>
    <row r="73" spans="2:34" ht="14.4" hidden="1" x14ac:dyDescent="0.3">
      <c r="B73" s="380" t="s">
        <v>14</v>
      </c>
      <c r="C73" s="363" t="s">
        <v>446</v>
      </c>
      <c r="D73" s="386" t="s">
        <v>447</v>
      </c>
      <c r="E73" s="405" t="s">
        <v>448</v>
      </c>
      <c r="F73" s="406">
        <v>45589</v>
      </c>
      <c r="G73" s="380" t="s">
        <v>55</v>
      </c>
      <c r="H73" s="380"/>
      <c r="I73" s="388">
        <f>47133.75*4</f>
        <v>188535</v>
      </c>
      <c r="J73" s="380">
        <v>4</v>
      </c>
      <c r="K73" s="389">
        <f t="shared" si="3"/>
        <v>47133.75</v>
      </c>
      <c r="L73" s="381">
        <v>45962</v>
      </c>
      <c r="M73" s="381">
        <v>46326</v>
      </c>
      <c r="N73" s="663">
        <v>154884</v>
      </c>
      <c r="O73" s="680">
        <v>4711</v>
      </c>
      <c r="P73" s="363"/>
      <c r="Q73" s="380"/>
      <c r="R73" s="380"/>
      <c r="S73" s="390" t="s">
        <v>269</v>
      </c>
      <c r="T73" s="363" t="s">
        <v>454</v>
      </c>
      <c r="U73" s="390" t="s">
        <v>442</v>
      </c>
      <c r="V73" s="363" t="s">
        <v>455</v>
      </c>
      <c r="W73" s="390" t="s">
        <v>444</v>
      </c>
      <c r="X73" s="363" t="s">
        <v>1938</v>
      </c>
      <c r="Y73" s="363" t="s">
        <v>445</v>
      </c>
      <c r="Z73" s="363"/>
      <c r="AA73" s="363"/>
      <c r="AB73" s="363"/>
      <c r="AC73" s="363"/>
      <c r="AD73" s="363"/>
      <c r="AE73" s="363" t="s">
        <v>96</v>
      </c>
      <c r="AF73" s="380" t="s">
        <v>97</v>
      </c>
      <c r="AG73" s="380" t="s">
        <v>98</v>
      </c>
      <c r="AH73" s="363" t="s">
        <v>453</v>
      </c>
    </row>
    <row r="74" spans="2:34" ht="14.4" hidden="1" x14ac:dyDescent="0.3">
      <c r="B74" s="380" t="s">
        <v>14</v>
      </c>
      <c r="C74" s="363" t="s">
        <v>446</v>
      </c>
      <c r="D74" s="386" t="s">
        <v>447</v>
      </c>
      <c r="E74" s="405" t="s">
        <v>448</v>
      </c>
      <c r="F74" s="406">
        <v>45589</v>
      </c>
      <c r="G74" s="380" t="s">
        <v>55</v>
      </c>
      <c r="H74" s="380">
        <v>3</v>
      </c>
      <c r="I74" s="388">
        <f>49488.75*4</f>
        <v>197955</v>
      </c>
      <c r="J74" s="380">
        <v>4</v>
      </c>
      <c r="K74" s="389">
        <f t="shared" si="3"/>
        <v>49488.75</v>
      </c>
      <c r="L74" s="381">
        <v>46327</v>
      </c>
      <c r="M74" s="381">
        <v>46691</v>
      </c>
      <c r="N74" s="663"/>
      <c r="O74" s="680"/>
      <c r="P74" s="363"/>
      <c r="Q74" s="380"/>
      <c r="R74" s="380"/>
      <c r="S74" s="363" t="s">
        <v>456</v>
      </c>
      <c r="T74" s="363"/>
      <c r="U74" s="363" t="s">
        <v>457</v>
      </c>
      <c r="V74" s="363"/>
      <c r="W74" s="363" t="s">
        <v>458</v>
      </c>
      <c r="X74" s="363"/>
      <c r="Y74" s="363" t="s">
        <v>459</v>
      </c>
      <c r="Z74" s="363"/>
      <c r="AA74" s="363"/>
      <c r="AB74" s="363"/>
      <c r="AC74" s="363"/>
      <c r="AD74" s="363"/>
      <c r="AE74" s="363" t="s">
        <v>96</v>
      </c>
      <c r="AF74" s="380" t="s">
        <v>97</v>
      </c>
      <c r="AG74" s="380" t="s">
        <v>98</v>
      </c>
      <c r="AH74" s="363" t="s">
        <v>453</v>
      </c>
    </row>
    <row r="75" spans="2:34" ht="14.4" hidden="1" x14ac:dyDescent="0.3">
      <c r="B75" s="380" t="s">
        <v>14</v>
      </c>
      <c r="C75" s="363" t="s">
        <v>460</v>
      </c>
      <c r="D75" s="386" t="s">
        <v>151</v>
      </c>
      <c r="E75" s="408">
        <v>1240038765</v>
      </c>
      <c r="F75" s="387">
        <v>45591</v>
      </c>
      <c r="G75" s="380" t="s">
        <v>55</v>
      </c>
      <c r="H75" s="380">
        <v>1</v>
      </c>
      <c r="I75" s="388">
        <v>150000</v>
      </c>
      <c r="J75" s="380">
        <v>4</v>
      </c>
      <c r="K75" s="389">
        <f t="shared" si="3"/>
        <v>37500</v>
      </c>
      <c r="L75" s="381">
        <v>45566</v>
      </c>
      <c r="M75" s="381">
        <v>46295</v>
      </c>
      <c r="N75" s="663"/>
      <c r="O75" s="680"/>
      <c r="P75" s="363"/>
      <c r="Q75" s="380"/>
      <c r="R75" s="380"/>
      <c r="S75" s="390" t="s">
        <v>461</v>
      </c>
      <c r="T75" s="363" t="s">
        <v>462</v>
      </c>
      <c r="U75" s="390" t="s">
        <v>463</v>
      </c>
      <c r="V75" s="363" t="s">
        <v>464</v>
      </c>
      <c r="W75" s="390" t="s">
        <v>465</v>
      </c>
      <c r="X75" s="363" t="s">
        <v>466</v>
      </c>
      <c r="Y75" s="363" t="s">
        <v>467</v>
      </c>
      <c r="Z75" s="363"/>
      <c r="AA75" s="363"/>
      <c r="AB75" s="363"/>
      <c r="AC75" s="363"/>
      <c r="AD75" s="363"/>
      <c r="AE75" s="363" t="s">
        <v>62</v>
      </c>
      <c r="AF75" s="380" t="s">
        <v>63</v>
      </c>
      <c r="AG75" s="380">
        <v>6</v>
      </c>
      <c r="AH75" s="363" t="s">
        <v>332</v>
      </c>
    </row>
    <row r="76" spans="2:34" ht="14.4" hidden="1" x14ac:dyDescent="0.3">
      <c r="B76" s="380" t="s">
        <v>14</v>
      </c>
      <c r="C76" s="409" t="s">
        <v>480</v>
      </c>
      <c r="D76" s="386" t="s">
        <v>481</v>
      </c>
      <c r="E76" s="380">
        <v>5300005783</v>
      </c>
      <c r="F76" s="387">
        <v>45467</v>
      </c>
      <c r="G76" s="380" t="s">
        <v>55</v>
      </c>
      <c r="H76" s="380"/>
      <c r="I76" s="388">
        <f>882000/3</f>
        <v>294000</v>
      </c>
      <c r="J76" s="380">
        <v>2</v>
      </c>
      <c r="K76" s="389">
        <f t="shared" si="3"/>
        <v>147000</v>
      </c>
      <c r="L76" s="381">
        <v>45658</v>
      </c>
      <c r="M76" s="381">
        <v>46022</v>
      </c>
      <c r="N76" s="663"/>
      <c r="O76" s="680"/>
      <c r="P76" s="363"/>
      <c r="Q76" s="380"/>
      <c r="R76" s="380" t="s">
        <v>1</v>
      </c>
      <c r="S76" s="390" t="s">
        <v>482</v>
      </c>
      <c r="T76" s="363" t="s">
        <v>189</v>
      </c>
      <c r="U76" s="390" t="s">
        <v>483</v>
      </c>
      <c r="V76" s="363" t="s">
        <v>484</v>
      </c>
      <c r="W76" s="363"/>
      <c r="X76" s="363"/>
      <c r="Y76" s="363"/>
      <c r="Z76" s="363"/>
      <c r="AA76" s="363"/>
      <c r="AB76" s="363"/>
      <c r="AC76" s="363"/>
      <c r="AD76" s="363"/>
      <c r="AE76" s="363" t="s">
        <v>485</v>
      </c>
      <c r="AF76" s="380" t="s">
        <v>63</v>
      </c>
      <c r="AG76" s="380">
        <v>6</v>
      </c>
      <c r="AH76" s="363" t="s">
        <v>332</v>
      </c>
    </row>
    <row r="77" spans="2:34" ht="14.4" hidden="1" x14ac:dyDescent="0.3">
      <c r="B77" s="380" t="s">
        <v>14</v>
      </c>
      <c r="C77" s="409" t="s">
        <v>480</v>
      </c>
      <c r="D77" s="386" t="s">
        <v>481</v>
      </c>
      <c r="E77" s="380">
        <v>5300005783</v>
      </c>
      <c r="F77" s="387">
        <v>45467</v>
      </c>
      <c r="G77" s="380" t="s">
        <v>55</v>
      </c>
      <c r="H77" s="380"/>
      <c r="I77" s="388">
        <f>882000/3</f>
        <v>294000</v>
      </c>
      <c r="J77" s="380">
        <v>2</v>
      </c>
      <c r="K77" s="389">
        <f t="shared" si="3"/>
        <v>147000</v>
      </c>
      <c r="L77" s="381">
        <v>46023</v>
      </c>
      <c r="M77" s="381">
        <v>46387</v>
      </c>
      <c r="N77" s="663"/>
      <c r="O77" s="680"/>
      <c r="P77" s="363"/>
      <c r="Q77" s="380"/>
      <c r="R77" s="380" t="s">
        <v>1</v>
      </c>
      <c r="S77" s="390" t="s">
        <v>486</v>
      </c>
      <c r="T77" s="363" t="s">
        <v>1713</v>
      </c>
      <c r="U77" s="363" t="s">
        <v>487</v>
      </c>
      <c r="V77" s="363"/>
      <c r="W77" s="363"/>
      <c r="X77" s="363"/>
      <c r="Y77" s="363"/>
      <c r="Z77" s="363"/>
      <c r="AA77" s="363"/>
      <c r="AB77" s="363"/>
      <c r="AC77" s="363"/>
      <c r="AD77" s="363"/>
      <c r="AE77" s="363" t="s">
        <v>485</v>
      </c>
      <c r="AF77" s="380" t="s">
        <v>63</v>
      </c>
      <c r="AG77" s="380">
        <v>6</v>
      </c>
      <c r="AH77" s="363" t="s">
        <v>332</v>
      </c>
    </row>
    <row r="78" spans="2:34" ht="14.4" hidden="1" x14ac:dyDescent="0.3">
      <c r="B78" s="380" t="s">
        <v>14</v>
      </c>
      <c r="C78" s="409" t="s">
        <v>480</v>
      </c>
      <c r="D78" s="386" t="s">
        <v>481</v>
      </c>
      <c r="E78" s="380">
        <v>5300005783</v>
      </c>
      <c r="F78" s="387">
        <v>45467</v>
      </c>
      <c r="G78" s="380" t="s">
        <v>55</v>
      </c>
      <c r="H78" s="380">
        <v>3</v>
      </c>
      <c r="I78" s="388">
        <f>882000/3</f>
        <v>294000</v>
      </c>
      <c r="J78" s="380">
        <v>2</v>
      </c>
      <c r="K78" s="389">
        <f t="shared" si="3"/>
        <v>147000</v>
      </c>
      <c r="L78" s="381">
        <v>46388</v>
      </c>
      <c r="M78" s="381">
        <v>46752</v>
      </c>
      <c r="N78" s="663"/>
      <c r="O78" s="680"/>
      <c r="P78" s="363"/>
      <c r="Q78" s="380"/>
      <c r="R78" s="380" t="s">
        <v>1</v>
      </c>
      <c r="S78" s="363" t="s">
        <v>488</v>
      </c>
      <c r="T78" s="363"/>
      <c r="U78" s="363" t="s">
        <v>489</v>
      </c>
      <c r="V78" s="363"/>
      <c r="W78" s="363"/>
      <c r="X78" s="363"/>
      <c r="Y78" s="363"/>
      <c r="Z78" s="363"/>
      <c r="AA78" s="363"/>
      <c r="AB78" s="363"/>
      <c r="AC78" s="363"/>
      <c r="AD78" s="363"/>
      <c r="AE78" s="363" t="s">
        <v>485</v>
      </c>
      <c r="AF78" s="380" t="s">
        <v>63</v>
      </c>
      <c r="AG78" s="380">
        <v>6</v>
      </c>
      <c r="AH78" s="363" t="s">
        <v>332</v>
      </c>
    </row>
    <row r="79" spans="2:34" ht="14.4" hidden="1" x14ac:dyDescent="0.3">
      <c r="B79" s="380" t="s">
        <v>14</v>
      </c>
      <c r="C79" s="409" t="s">
        <v>490</v>
      </c>
      <c r="D79" s="386" t="s">
        <v>447</v>
      </c>
      <c r="E79" s="411">
        <v>1000036136</v>
      </c>
      <c r="F79" s="387">
        <v>45644</v>
      </c>
      <c r="G79" s="380" t="s">
        <v>55</v>
      </c>
      <c r="H79" s="380"/>
      <c r="I79" s="388">
        <f>68706.75*4</f>
        <v>274827</v>
      </c>
      <c r="J79" s="380">
        <v>4</v>
      </c>
      <c r="K79" s="389">
        <f t="shared" si="3"/>
        <v>68706.75</v>
      </c>
      <c r="L79" s="381">
        <v>45658</v>
      </c>
      <c r="M79" s="381">
        <v>46022</v>
      </c>
      <c r="N79" s="663"/>
      <c r="O79" s="680"/>
      <c r="P79" s="363"/>
      <c r="Q79" s="380"/>
      <c r="R79" s="380"/>
      <c r="S79" s="390" t="s">
        <v>390</v>
      </c>
      <c r="T79" s="363" t="s">
        <v>491</v>
      </c>
      <c r="U79" s="390" t="s">
        <v>391</v>
      </c>
      <c r="V79" s="363" t="s">
        <v>384</v>
      </c>
      <c r="W79" s="390" t="s">
        <v>168</v>
      </c>
      <c r="X79" s="363" t="s">
        <v>492</v>
      </c>
      <c r="Y79" s="390" t="s">
        <v>228</v>
      </c>
      <c r="Z79" s="363" t="s">
        <v>493</v>
      </c>
      <c r="AA79" s="363"/>
      <c r="AB79" s="363"/>
      <c r="AC79" s="363"/>
      <c r="AD79" s="363"/>
      <c r="AE79" s="363" t="s">
        <v>281</v>
      </c>
      <c r="AF79" s="380" t="s">
        <v>97</v>
      </c>
      <c r="AG79" s="380" t="s">
        <v>494</v>
      </c>
      <c r="AH79" s="363"/>
    </row>
    <row r="80" spans="2:34" ht="14.4" hidden="1" x14ac:dyDescent="0.3">
      <c r="B80" s="380" t="s">
        <v>14</v>
      </c>
      <c r="C80" s="409" t="s">
        <v>490</v>
      </c>
      <c r="D80" s="386" t="s">
        <v>447</v>
      </c>
      <c r="E80" s="411">
        <v>1000036136</v>
      </c>
      <c r="F80" s="387">
        <v>45644</v>
      </c>
      <c r="G80" s="380" t="s">
        <v>55</v>
      </c>
      <c r="H80" s="380"/>
      <c r="I80" s="388">
        <f>68706.75*4</f>
        <v>274827</v>
      </c>
      <c r="J80" s="380">
        <v>4</v>
      </c>
      <c r="K80" s="389">
        <f t="shared" si="3"/>
        <v>68706.75</v>
      </c>
      <c r="L80" s="381">
        <v>46023</v>
      </c>
      <c r="M80" s="381">
        <v>46387</v>
      </c>
      <c r="N80" s="663"/>
      <c r="O80" s="680"/>
      <c r="P80" s="363"/>
      <c r="Q80" s="380"/>
      <c r="R80" s="380"/>
      <c r="S80" s="390" t="s">
        <v>396</v>
      </c>
      <c r="T80" s="363" t="s">
        <v>495</v>
      </c>
      <c r="U80" s="390" t="s">
        <v>397</v>
      </c>
      <c r="V80" s="363" t="s">
        <v>1843</v>
      </c>
      <c r="W80" s="363" t="s">
        <v>496</v>
      </c>
      <c r="X80" s="363"/>
      <c r="Y80" s="363" t="s">
        <v>497</v>
      </c>
      <c r="Z80" s="363"/>
      <c r="AA80" s="363"/>
      <c r="AB80" s="363"/>
      <c r="AC80" s="363"/>
      <c r="AD80" s="363"/>
      <c r="AE80" s="363" t="s">
        <v>281</v>
      </c>
      <c r="AF80" s="380" t="s">
        <v>97</v>
      </c>
      <c r="AG80" s="380" t="s">
        <v>494</v>
      </c>
      <c r="AH80" s="363"/>
    </row>
    <row r="81" spans="2:34" ht="14.4" hidden="1" x14ac:dyDescent="0.3">
      <c r="B81" s="380" t="s">
        <v>14</v>
      </c>
      <c r="C81" s="409" t="s">
        <v>490</v>
      </c>
      <c r="D81" s="386" t="s">
        <v>447</v>
      </c>
      <c r="E81" s="411">
        <v>1000036136</v>
      </c>
      <c r="F81" s="387">
        <v>45644</v>
      </c>
      <c r="G81" s="380" t="s">
        <v>55</v>
      </c>
      <c r="H81" s="380">
        <v>4</v>
      </c>
      <c r="I81" s="388">
        <f>68706.75*4</f>
        <v>274827</v>
      </c>
      <c r="J81" s="380">
        <v>4</v>
      </c>
      <c r="K81" s="389">
        <f t="shared" si="3"/>
        <v>68706.75</v>
      </c>
      <c r="L81" s="381">
        <v>46388</v>
      </c>
      <c r="M81" s="381">
        <v>46752</v>
      </c>
      <c r="N81" s="663"/>
      <c r="O81" s="680"/>
      <c r="P81" s="363"/>
      <c r="Q81" s="380"/>
      <c r="R81" s="380"/>
      <c r="S81" s="363" t="s">
        <v>498</v>
      </c>
      <c r="T81" s="363"/>
      <c r="U81" s="363" t="s">
        <v>499</v>
      </c>
      <c r="V81" s="363"/>
      <c r="W81" s="363" t="s">
        <v>500</v>
      </c>
      <c r="X81" s="363"/>
      <c r="Y81" s="363" t="s">
        <v>501</v>
      </c>
      <c r="Z81" s="363"/>
      <c r="AA81" s="363"/>
      <c r="AB81" s="363"/>
      <c r="AC81" s="363"/>
      <c r="AD81" s="363"/>
      <c r="AE81" s="363" t="s">
        <v>281</v>
      </c>
      <c r="AF81" s="380" t="s">
        <v>97</v>
      </c>
      <c r="AG81" s="380" t="s">
        <v>494</v>
      </c>
      <c r="AH81" s="363"/>
    </row>
    <row r="82" spans="2:34" ht="14.4" x14ac:dyDescent="0.3">
      <c r="B82" s="380" t="s">
        <v>14</v>
      </c>
      <c r="C82" s="412" t="s">
        <v>508</v>
      </c>
      <c r="D82" s="413" t="s">
        <v>509</v>
      </c>
      <c r="E82" s="416" t="s">
        <v>510</v>
      </c>
      <c r="F82" s="415">
        <v>45661</v>
      </c>
      <c r="G82" s="380" t="s">
        <v>55</v>
      </c>
      <c r="H82" s="380">
        <v>1</v>
      </c>
      <c r="I82" s="417">
        <v>89000</v>
      </c>
      <c r="J82" s="380">
        <v>3</v>
      </c>
      <c r="K82" s="389">
        <f t="shared" si="3"/>
        <v>29666.666666666668</v>
      </c>
      <c r="L82" s="381">
        <v>45667</v>
      </c>
      <c r="M82" s="381">
        <v>46031</v>
      </c>
      <c r="N82" s="663"/>
      <c r="O82" s="680"/>
      <c r="P82" s="363" t="s">
        <v>19</v>
      </c>
      <c r="Q82" s="380" t="s">
        <v>0</v>
      </c>
      <c r="R82" s="380"/>
      <c r="S82" s="390" t="s">
        <v>511</v>
      </c>
      <c r="T82" s="363" t="s">
        <v>512</v>
      </c>
      <c r="U82" s="390" t="s">
        <v>513</v>
      </c>
      <c r="V82" s="363" t="s">
        <v>514</v>
      </c>
      <c r="W82" s="390" t="s">
        <v>515</v>
      </c>
      <c r="X82" s="363" t="s">
        <v>516</v>
      </c>
      <c r="Y82" s="363"/>
      <c r="Z82" s="363"/>
      <c r="AA82" s="363"/>
      <c r="AB82" s="363"/>
      <c r="AC82" s="363"/>
      <c r="AD82" s="363"/>
      <c r="AE82" s="363" t="s">
        <v>96</v>
      </c>
      <c r="AF82" s="380" t="s">
        <v>97</v>
      </c>
      <c r="AG82" s="380" t="s">
        <v>494</v>
      </c>
      <c r="AH82" s="535" t="s">
        <v>517</v>
      </c>
    </row>
    <row r="83" spans="2:34" ht="14.4" hidden="1" x14ac:dyDescent="0.3">
      <c r="B83" s="380" t="s">
        <v>14</v>
      </c>
      <c r="C83" s="409" t="s">
        <v>518</v>
      </c>
      <c r="D83" s="418" t="s">
        <v>519</v>
      </c>
      <c r="E83" s="380">
        <v>4516924874</v>
      </c>
      <c r="F83" s="387">
        <v>45660</v>
      </c>
      <c r="G83" s="380" t="s">
        <v>55</v>
      </c>
      <c r="H83" s="380"/>
      <c r="I83" s="388">
        <v>219500</v>
      </c>
      <c r="J83" s="380">
        <v>4</v>
      </c>
      <c r="K83" s="389">
        <f t="shared" si="3"/>
        <v>54875</v>
      </c>
      <c r="L83" s="381">
        <v>45658</v>
      </c>
      <c r="M83" s="381">
        <v>46022</v>
      </c>
      <c r="N83" s="663"/>
      <c r="O83" s="680"/>
      <c r="P83" s="363" t="s">
        <v>520</v>
      </c>
      <c r="Q83" s="380" t="s">
        <v>0</v>
      </c>
      <c r="R83" s="380"/>
      <c r="S83" s="390" t="s">
        <v>390</v>
      </c>
      <c r="T83" s="363" t="s">
        <v>521</v>
      </c>
      <c r="U83" s="390" t="s">
        <v>391</v>
      </c>
      <c r="V83" s="363" t="s">
        <v>522</v>
      </c>
      <c r="W83" s="390" t="s">
        <v>523</v>
      </c>
      <c r="X83" s="363" t="s">
        <v>524</v>
      </c>
      <c r="Y83" s="390" t="s">
        <v>228</v>
      </c>
      <c r="Z83" s="363" t="s">
        <v>525</v>
      </c>
      <c r="AA83" s="363"/>
      <c r="AB83" s="363"/>
      <c r="AC83" s="363"/>
      <c r="AD83" s="363"/>
      <c r="AE83" s="363" t="s">
        <v>485</v>
      </c>
      <c r="AF83" s="380" t="s">
        <v>63</v>
      </c>
      <c r="AG83" s="380">
        <f>6</f>
        <v>6</v>
      </c>
      <c r="AH83" s="363"/>
    </row>
    <row r="84" spans="2:34" ht="14.4" hidden="1" x14ac:dyDescent="0.3">
      <c r="B84" s="380" t="s">
        <v>14</v>
      </c>
      <c r="C84" s="409" t="s">
        <v>518</v>
      </c>
      <c r="D84" s="418" t="s">
        <v>519</v>
      </c>
      <c r="E84" s="380">
        <v>4516924874</v>
      </c>
      <c r="F84" s="387">
        <v>45660</v>
      </c>
      <c r="G84" s="380" t="s">
        <v>55</v>
      </c>
      <c r="H84" s="380">
        <v>2</v>
      </c>
      <c r="I84" s="388">
        <v>142300</v>
      </c>
      <c r="J84" s="380">
        <v>4</v>
      </c>
      <c r="K84" s="389">
        <f t="shared" si="3"/>
        <v>35575</v>
      </c>
      <c r="L84" s="381">
        <v>46023</v>
      </c>
      <c r="M84" s="381">
        <v>46387</v>
      </c>
      <c r="N84" s="663"/>
      <c r="O84" s="680"/>
      <c r="P84" s="363" t="s">
        <v>520</v>
      </c>
      <c r="Q84" s="380" t="s">
        <v>0</v>
      </c>
      <c r="R84" s="380"/>
      <c r="S84" s="394" t="s">
        <v>396</v>
      </c>
      <c r="T84" s="363" t="s">
        <v>526</v>
      </c>
      <c r="U84" s="390" t="s">
        <v>397</v>
      </c>
      <c r="V84" s="363" t="s">
        <v>1849</v>
      </c>
      <c r="W84" s="363" t="s">
        <v>496</v>
      </c>
      <c r="X84" s="363"/>
      <c r="Y84" s="363" t="s">
        <v>497</v>
      </c>
      <c r="Z84" s="363"/>
      <c r="AA84" s="363"/>
      <c r="AB84" s="363"/>
      <c r="AC84" s="363"/>
      <c r="AD84" s="363"/>
      <c r="AE84" s="363" t="s">
        <v>485</v>
      </c>
      <c r="AF84" s="380" t="s">
        <v>63</v>
      </c>
      <c r="AG84" s="380">
        <v>6</v>
      </c>
      <c r="AH84" s="363"/>
    </row>
    <row r="85" spans="2:34" ht="14.4" x14ac:dyDescent="0.3">
      <c r="B85" s="380" t="s">
        <v>14</v>
      </c>
      <c r="C85" s="409" t="s">
        <v>527</v>
      </c>
      <c r="D85" s="386" t="s">
        <v>151</v>
      </c>
      <c r="E85" s="419">
        <v>38369028</v>
      </c>
      <c r="F85" s="387">
        <v>45664</v>
      </c>
      <c r="G85" s="380" t="s">
        <v>55</v>
      </c>
      <c r="H85" s="380">
        <v>1</v>
      </c>
      <c r="I85" s="388">
        <v>67000</v>
      </c>
      <c r="J85" s="380">
        <v>1</v>
      </c>
      <c r="K85" s="389">
        <f t="shared" si="3"/>
        <v>67000</v>
      </c>
      <c r="L85" s="381">
        <v>45670</v>
      </c>
      <c r="M85" s="381">
        <v>46034</v>
      </c>
      <c r="N85" s="663"/>
      <c r="O85" s="680"/>
      <c r="P85" s="363" t="s">
        <v>19</v>
      </c>
      <c r="Q85" s="380" t="s">
        <v>0</v>
      </c>
      <c r="R85" s="380"/>
      <c r="S85" s="390" t="s">
        <v>528</v>
      </c>
      <c r="T85" s="363" t="s">
        <v>451</v>
      </c>
      <c r="U85" s="363"/>
      <c r="V85" s="363"/>
      <c r="W85" s="363"/>
      <c r="X85" s="363"/>
      <c r="Y85" s="363"/>
      <c r="Z85" s="363"/>
      <c r="AA85" s="363"/>
      <c r="AB85" s="363"/>
      <c r="AC85" s="363"/>
      <c r="AD85" s="363"/>
      <c r="AE85" s="363" t="s">
        <v>507</v>
      </c>
      <c r="AF85" s="380" t="s">
        <v>63</v>
      </c>
      <c r="AG85" s="380">
        <v>2</v>
      </c>
      <c r="AH85" s="363"/>
    </row>
    <row r="86" spans="2:34" ht="14.4" x14ac:dyDescent="0.3">
      <c r="B86" s="380" t="s">
        <v>14</v>
      </c>
      <c r="C86" s="409" t="s">
        <v>527</v>
      </c>
      <c r="D86" s="386" t="s">
        <v>151</v>
      </c>
      <c r="E86" s="419">
        <v>38414491</v>
      </c>
      <c r="F86" s="387">
        <v>45671</v>
      </c>
      <c r="G86" s="380" t="s">
        <v>55</v>
      </c>
      <c r="H86" s="380">
        <v>1</v>
      </c>
      <c r="I86" s="388">
        <v>67000</v>
      </c>
      <c r="J86" s="380">
        <v>1</v>
      </c>
      <c r="K86" s="389">
        <f t="shared" si="3"/>
        <v>67000</v>
      </c>
      <c r="L86" s="381">
        <v>45672</v>
      </c>
      <c r="M86" s="381">
        <v>46036</v>
      </c>
      <c r="N86" s="663"/>
      <c r="O86" s="680"/>
      <c r="P86" s="363" t="s">
        <v>19</v>
      </c>
      <c r="Q86" s="380" t="s">
        <v>0</v>
      </c>
      <c r="R86" s="380"/>
      <c r="S86" s="390" t="s">
        <v>529</v>
      </c>
      <c r="T86" s="363" t="s">
        <v>451</v>
      </c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 t="s">
        <v>507</v>
      </c>
      <c r="AF86" s="380" t="s">
        <v>63</v>
      </c>
      <c r="AG86" s="380">
        <v>2</v>
      </c>
      <c r="AH86" s="363"/>
    </row>
    <row r="87" spans="2:34" ht="14.4" hidden="1" x14ac:dyDescent="0.3">
      <c r="B87" s="380" t="s">
        <v>14</v>
      </c>
      <c r="C87" s="420" t="s">
        <v>530</v>
      </c>
      <c r="D87" s="421" t="s">
        <v>176</v>
      </c>
      <c r="E87" s="380">
        <v>16882528</v>
      </c>
      <c r="F87" s="387">
        <v>45670</v>
      </c>
      <c r="G87" s="380" t="s">
        <v>55</v>
      </c>
      <c r="H87" s="380"/>
      <c r="I87" s="388">
        <f>568000/4</f>
        <v>142000</v>
      </c>
      <c r="J87" s="380">
        <v>4</v>
      </c>
      <c r="K87" s="389">
        <f t="shared" si="3"/>
        <v>35500</v>
      </c>
      <c r="L87" s="381">
        <v>45670</v>
      </c>
      <c r="M87" s="381">
        <v>46764</v>
      </c>
      <c r="N87" s="663"/>
      <c r="O87" s="680"/>
      <c r="P87" s="363" t="s">
        <v>520</v>
      </c>
      <c r="Q87" s="380" t="s">
        <v>0</v>
      </c>
      <c r="R87" s="380"/>
      <c r="S87" s="422" t="s">
        <v>531</v>
      </c>
      <c r="T87" s="363"/>
      <c r="U87" s="422" t="s">
        <v>532</v>
      </c>
      <c r="V87" s="363"/>
      <c r="W87" s="422" t="s">
        <v>533</v>
      </c>
      <c r="X87" s="363"/>
      <c r="Y87" s="422" t="s">
        <v>534</v>
      </c>
      <c r="Z87" s="363"/>
      <c r="AA87" s="363"/>
      <c r="AB87" s="363"/>
      <c r="AC87" s="363"/>
      <c r="AD87" s="363"/>
      <c r="AE87" s="363" t="s">
        <v>183</v>
      </c>
      <c r="AF87" s="380" t="s">
        <v>97</v>
      </c>
      <c r="AG87" s="380">
        <v>4</v>
      </c>
      <c r="AH87" s="363"/>
    </row>
    <row r="88" spans="2:34" ht="14.4" hidden="1" x14ac:dyDescent="0.3">
      <c r="B88" s="380" t="s">
        <v>14</v>
      </c>
      <c r="C88" s="420" t="s">
        <v>530</v>
      </c>
      <c r="D88" s="421" t="s">
        <v>535</v>
      </c>
      <c r="E88" s="380">
        <v>16882528</v>
      </c>
      <c r="F88" s="387">
        <v>45670</v>
      </c>
      <c r="G88" s="380" t="s">
        <v>55</v>
      </c>
      <c r="H88" s="380"/>
      <c r="I88" s="388">
        <f>568000/4</f>
        <v>142000</v>
      </c>
      <c r="J88" s="380">
        <v>4</v>
      </c>
      <c r="K88" s="389">
        <f t="shared" si="3"/>
        <v>35500</v>
      </c>
      <c r="L88" s="381">
        <v>45670</v>
      </c>
      <c r="M88" s="381">
        <v>46764</v>
      </c>
      <c r="N88" s="663"/>
      <c r="O88" s="680"/>
      <c r="P88" s="363" t="s">
        <v>520</v>
      </c>
      <c r="Q88" s="380" t="s">
        <v>0</v>
      </c>
      <c r="R88" s="380"/>
      <c r="S88" s="390" t="s">
        <v>531</v>
      </c>
      <c r="T88" s="363" t="s">
        <v>536</v>
      </c>
      <c r="U88" s="390" t="s">
        <v>532</v>
      </c>
      <c r="V88" s="363" t="s">
        <v>439</v>
      </c>
      <c r="W88" s="390" t="s">
        <v>533</v>
      </c>
      <c r="X88" s="363" t="s">
        <v>537</v>
      </c>
      <c r="Y88" s="390" t="s">
        <v>534</v>
      </c>
      <c r="Z88" s="363" t="s">
        <v>320</v>
      </c>
      <c r="AA88" s="363"/>
      <c r="AB88" s="363"/>
      <c r="AC88" s="363"/>
      <c r="AD88" s="363"/>
      <c r="AE88" s="363" t="s">
        <v>183</v>
      </c>
      <c r="AF88" s="380" t="s">
        <v>97</v>
      </c>
      <c r="AG88" s="380">
        <v>4</v>
      </c>
      <c r="AH88" s="363"/>
    </row>
    <row r="89" spans="2:34" ht="14.4" hidden="1" x14ac:dyDescent="0.3">
      <c r="B89" s="380" t="s">
        <v>14</v>
      </c>
      <c r="C89" s="420" t="s">
        <v>530</v>
      </c>
      <c r="D89" s="421" t="s">
        <v>538</v>
      </c>
      <c r="E89" s="380">
        <v>16882528</v>
      </c>
      <c r="F89" s="387">
        <v>45670</v>
      </c>
      <c r="G89" s="380" t="s">
        <v>55</v>
      </c>
      <c r="H89" s="380"/>
      <c r="I89" s="388">
        <f>568000/4</f>
        <v>142000</v>
      </c>
      <c r="J89" s="380">
        <v>4</v>
      </c>
      <c r="K89" s="389">
        <f t="shared" si="3"/>
        <v>35500</v>
      </c>
      <c r="L89" s="381">
        <v>45670</v>
      </c>
      <c r="M89" s="381">
        <v>46764</v>
      </c>
      <c r="N89" s="663"/>
      <c r="O89" s="680"/>
      <c r="P89" s="363" t="s">
        <v>520</v>
      </c>
      <c r="Q89" s="380" t="s">
        <v>0</v>
      </c>
      <c r="R89" s="380"/>
      <c r="S89" s="390" t="s">
        <v>531</v>
      </c>
      <c r="T89" s="363" t="s">
        <v>241</v>
      </c>
      <c r="U89" s="390" t="s">
        <v>532</v>
      </c>
      <c r="V89" s="363" t="s">
        <v>439</v>
      </c>
      <c r="W89" s="390" t="s">
        <v>533</v>
      </c>
      <c r="X89" s="363" t="s">
        <v>539</v>
      </c>
      <c r="Y89" s="390" t="s">
        <v>534</v>
      </c>
      <c r="Z89" s="363" t="s">
        <v>417</v>
      </c>
      <c r="AA89" s="363"/>
      <c r="AB89" s="363"/>
      <c r="AC89" s="363"/>
      <c r="AD89" s="363"/>
      <c r="AE89" s="363" t="s">
        <v>485</v>
      </c>
      <c r="AF89" s="380" t="s">
        <v>63</v>
      </c>
      <c r="AG89" s="380">
        <v>4</v>
      </c>
      <c r="AH89" s="363"/>
    </row>
    <row r="90" spans="2:34" ht="14.4" hidden="1" x14ac:dyDescent="0.3">
      <c r="B90" s="380" t="s">
        <v>14</v>
      </c>
      <c r="C90" s="420" t="s">
        <v>530</v>
      </c>
      <c r="D90" s="421" t="s">
        <v>540</v>
      </c>
      <c r="E90" s="380">
        <v>16882528</v>
      </c>
      <c r="F90" s="387">
        <v>45670</v>
      </c>
      <c r="G90" s="380" t="s">
        <v>55</v>
      </c>
      <c r="H90" s="380"/>
      <c r="I90" s="388">
        <f>568000/4</f>
        <v>142000</v>
      </c>
      <c r="J90" s="380">
        <v>4</v>
      </c>
      <c r="K90" s="389">
        <f t="shared" si="3"/>
        <v>35500</v>
      </c>
      <c r="L90" s="381">
        <v>45670</v>
      </c>
      <c r="M90" s="381">
        <v>46764</v>
      </c>
      <c r="N90" s="663"/>
      <c r="O90" s="680"/>
      <c r="P90" s="363" t="s">
        <v>520</v>
      </c>
      <c r="Q90" s="380" t="s">
        <v>0</v>
      </c>
      <c r="R90" s="380"/>
      <c r="S90" s="390" t="s">
        <v>531</v>
      </c>
      <c r="T90" s="363" t="s">
        <v>541</v>
      </c>
      <c r="U90" s="390" t="s">
        <v>532</v>
      </c>
      <c r="V90" s="363" t="s">
        <v>439</v>
      </c>
      <c r="W90" s="390" t="s">
        <v>533</v>
      </c>
      <c r="X90" s="363" t="s">
        <v>542</v>
      </c>
      <c r="Y90" s="390" t="s">
        <v>534</v>
      </c>
      <c r="Z90" s="363" t="s">
        <v>543</v>
      </c>
      <c r="AA90" s="363"/>
      <c r="AB90" s="363"/>
      <c r="AC90" s="363"/>
      <c r="AD90" s="363"/>
      <c r="AE90" s="363" t="s">
        <v>128</v>
      </c>
      <c r="AF90" s="380" t="s">
        <v>129</v>
      </c>
      <c r="AG90" s="380">
        <v>4</v>
      </c>
      <c r="AH90" s="363"/>
    </row>
    <row r="91" spans="2:34" ht="14.4" x14ac:dyDescent="0.3">
      <c r="B91" s="380" t="s">
        <v>14</v>
      </c>
      <c r="C91" s="409" t="s">
        <v>544</v>
      </c>
      <c r="D91" s="423" t="s">
        <v>545</v>
      </c>
      <c r="E91" s="419">
        <v>1240051506</v>
      </c>
      <c r="F91" s="387">
        <v>45670</v>
      </c>
      <c r="G91" s="380" t="s">
        <v>55</v>
      </c>
      <c r="H91" s="380">
        <v>2</v>
      </c>
      <c r="I91" s="388">
        <v>144999.96</v>
      </c>
      <c r="J91" s="380">
        <v>3</v>
      </c>
      <c r="K91" s="389">
        <f t="shared" si="3"/>
        <v>48333.32</v>
      </c>
      <c r="L91" s="381">
        <v>45670</v>
      </c>
      <c r="M91" s="381">
        <v>46034</v>
      </c>
      <c r="N91" s="663"/>
      <c r="O91" s="680"/>
      <c r="P91" s="363" t="s">
        <v>19</v>
      </c>
      <c r="Q91" s="380" t="s">
        <v>0</v>
      </c>
      <c r="R91" s="380"/>
      <c r="S91" s="390" t="s">
        <v>546</v>
      </c>
      <c r="T91" s="363" t="s">
        <v>547</v>
      </c>
      <c r="U91" s="390" t="s">
        <v>548</v>
      </c>
      <c r="V91" s="363" t="s">
        <v>549</v>
      </c>
      <c r="W91" s="390" t="s">
        <v>550</v>
      </c>
      <c r="X91" s="363" t="s">
        <v>537</v>
      </c>
      <c r="Y91" s="363"/>
      <c r="Z91" s="363"/>
      <c r="AA91" s="363"/>
      <c r="AB91" s="363"/>
      <c r="AC91" s="363"/>
      <c r="AD91" s="363"/>
      <c r="AE91" s="363" t="s">
        <v>551</v>
      </c>
      <c r="AF91" s="380" t="s">
        <v>207</v>
      </c>
      <c r="AG91" s="380">
        <v>3</v>
      </c>
      <c r="AH91" s="363"/>
    </row>
    <row r="92" spans="2:34" ht="14.4" hidden="1" x14ac:dyDescent="0.3">
      <c r="B92" s="380" t="s">
        <v>14</v>
      </c>
      <c r="C92" s="409" t="s">
        <v>552</v>
      </c>
      <c r="D92" s="418" t="s">
        <v>151</v>
      </c>
      <c r="E92" s="380" t="s">
        <v>553</v>
      </c>
      <c r="F92" s="387">
        <v>45677</v>
      </c>
      <c r="G92" s="380" t="s">
        <v>55</v>
      </c>
      <c r="H92" s="380"/>
      <c r="I92" s="388">
        <f>332160/2</f>
        <v>166080</v>
      </c>
      <c r="J92" s="380">
        <v>3</v>
      </c>
      <c r="K92" s="389">
        <f t="shared" si="3"/>
        <v>55360</v>
      </c>
      <c r="L92" s="381">
        <v>45658</v>
      </c>
      <c r="M92" s="381">
        <v>46022</v>
      </c>
      <c r="N92" s="663"/>
      <c r="O92" s="680"/>
      <c r="P92" s="363" t="s">
        <v>520</v>
      </c>
      <c r="Q92" s="380" t="s">
        <v>0</v>
      </c>
      <c r="R92" s="380"/>
      <c r="S92" s="390" t="s">
        <v>554</v>
      </c>
      <c r="T92" s="363" t="s">
        <v>555</v>
      </c>
      <c r="U92" s="390" t="s">
        <v>343</v>
      </c>
      <c r="V92" s="363" t="s">
        <v>227</v>
      </c>
      <c r="W92" s="390" t="s">
        <v>345</v>
      </c>
      <c r="X92" s="363" t="s">
        <v>417</v>
      </c>
      <c r="Y92" s="363"/>
      <c r="Z92" s="363"/>
      <c r="AA92" s="363"/>
      <c r="AB92" s="363"/>
      <c r="AC92" s="363"/>
      <c r="AD92" s="363"/>
      <c r="AE92" s="363" t="s">
        <v>507</v>
      </c>
      <c r="AF92" s="380" t="s">
        <v>63</v>
      </c>
      <c r="AG92" s="380">
        <v>3</v>
      </c>
      <c r="AH92" s="363"/>
    </row>
    <row r="93" spans="2:34" ht="14.4" hidden="1" x14ac:dyDescent="0.3">
      <c r="B93" s="380" t="s">
        <v>14</v>
      </c>
      <c r="C93" s="409" t="s">
        <v>552</v>
      </c>
      <c r="D93" s="418" t="s">
        <v>151</v>
      </c>
      <c r="E93" s="493" t="s">
        <v>553</v>
      </c>
      <c r="F93" s="387">
        <v>45677</v>
      </c>
      <c r="G93" s="380" t="s">
        <v>55</v>
      </c>
      <c r="H93" s="380">
        <v>2</v>
      </c>
      <c r="I93" s="388">
        <f>332160/2</f>
        <v>166080</v>
      </c>
      <c r="J93" s="380">
        <v>3</v>
      </c>
      <c r="K93" s="389">
        <f t="shared" si="3"/>
        <v>55360</v>
      </c>
      <c r="L93" s="381">
        <v>46023</v>
      </c>
      <c r="M93" s="381">
        <v>46387</v>
      </c>
      <c r="N93" s="663"/>
      <c r="O93" s="680"/>
      <c r="P93" s="363" t="s">
        <v>520</v>
      </c>
      <c r="Q93" s="380" t="s">
        <v>0</v>
      </c>
      <c r="R93" s="380"/>
      <c r="S93" s="390" t="s">
        <v>347</v>
      </c>
      <c r="T93" s="363" t="s">
        <v>556</v>
      </c>
      <c r="U93" s="363" t="s">
        <v>348</v>
      </c>
      <c r="V93" s="363"/>
      <c r="W93" s="363" t="s">
        <v>349</v>
      </c>
      <c r="X93" s="363"/>
      <c r="Y93" s="363"/>
      <c r="Z93" s="363"/>
      <c r="AA93" s="363"/>
      <c r="AB93" s="363"/>
      <c r="AC93" s="363"/>
      <c r="AD93" s="363"/>
      <c r="AE93" s="363" t="s">
        <v>507</v>
      </c>
      <c r="AF93" s="380" t="s">
        <v>63</v>
      </c>
      <c r="AG93" s="380">
        <v>3</v>
      </c>
      <c r="AH93" s="363"/>
    </row>
    <row r="94" spans="2:34" ht="14.4" x14ac:dyDescent="0.3">
      <c r="B94" s="380" t="s">
        <v>14</v>
      </c>
      <c r="C94" s="409" t="s">
        <v>557</v>
      </c>
      <c r="D94" s="386" t="s">
        <v>558</v>
      </c>
      <c r="E94" s="424" t="s">
        <v>559</v>
      </c>
      <c r="F94" s="387">
        <v>45688</v>
      </c>
      <c r="G94" s="380" t="s">
        <v>55</v>
      </c>
      <c r="H94" s="380">
        <v>1</v>
      </c>
      <c r="I94" s="388">
        <v>134698</v>
      </c>
      <c r="J94" s="380">
        <v>4</v>
      </c>
      <c r="K94" s="389">
        <f t="shared" si="3"/>
        <v>33674.5</v>
      </c>
      <c r="L94" s="381">
        <v>45688</v>
      </c>
      <c r="M94" s="381">
        <v>46052</v>
      </c>
      <c r="N94" s="663"/>
      <c r="O94" s="680"/>
      <c r="P94" s="363" t="s">
        <v>19</v>
      </c>
      <c r="Q94" s="380" t="s">
        <v>0</v>
      </c>
      <c r="R94" s="380"/>
      <c r="S94" s="390" t="s">
        <v>560</v>
      </c>
      <c r="T94" s="363" t="s">
        <v>561</v>
      </c>
      <c r="U94" s="390" t="s">
        <v>266</v>
      </c>
      <c r="V94" s="363" t="s">
        <v>562</v>
      </c>
      <c r="W94" s="390" t="s">
        <v>267</v>
      </c>
      <c r="X94" s="363" t="s">
        <v>563</v>
      </c>
      <c r="Y94" s="390" t="s">
        <v>564</v>
      </c>
      <c r="Z94" s="363" t="s">
        <v>84</v>
      </c>
      <c r="AA94" s="363"/>
      <c r="AB94" s="363"/>
      <c r="AC94" s="363"/>
      <c r="AD94" s="363"/>
      <c r="AE94" s="363" t="s">
        <v>281</v>
      </c>
      <c r="AF94" s="380" t="s">
        <v>97</v>
      </c>
      <c r="AG94" s="380" t="s">
        <v>494</v>
      </c>
      <c r="AH94" s="363"/>
    </row>
    <row r="95" spans="2:34" ht="14.4" x14ac:dyDescent="0.3">
      <c r="B95" s="380" t="s">
        <v>14</v>
      </c>
      <c r="C95" s="409" t="s">
        <v>565</v>
      </c>
      <c r="D95" s="386" t="s">
        <v>566</v>
      </c>
      <c r="E95" s="424">
        <v>1011705960</v>
      </c>
      <c r="F95" s="387">
        <v>45692</v>
      </c>
      <c r="G95" s="380" t="s">
        <v>55</v>
      </c>
      <c r="H95" s="380">
        <v>1</v>
      </c>
      <c r="I95" s="388">
        <v>75000</v>
      </c>
      <c r="J95" s="380">
        <v>2</v>
      </c>
      <c r="K95" s="389">
        <f t="shared" si="3"/>
        <v>37500</v>
      </c>
      <c r="L95" s="381">
        <v>45689</v>
      </c>
      <c r="M95" s="381">
        <v>46053</v>
      </c>
      <c r="N95" s="663"/>
      <c r="O95" s="680"/>
      <c r="P95" s="363" t="s">
        <v>19</v>
      </c>
      <c r="Q95" s="380" t="s">
        <v>0</v>
      </c>
      <c r="R95" s="380"/>
      <c r="S95" s="390" t="s">
        <v>567</v>
      </c>
      <c r="T95" s="363" t="s">
        <v>555</v>
      </c>
      <c r="U95" s="390" t="s">
        <v>424</v>
      </c>
      <c r="V95" s="363" t="s">
        <v>493</v>
      </c>
      <c r="W95" s="363"/>
      <c r="X95" s="363"/>
      <c r="Y95" s="363"/>
      <c r="Z95" s="363"/>
      <c r="AA95" s="363"/>
      <c r="AB95" s="363"/>
      <c r="AC95" s="363"/>
      <c r="AD95" s="363"/>
      <c r="AE95" s="363" t="s">
        <v>551</v>
      </c>
      <c r="AF95" s="380" t="s">
        <v>207</v>
      </c>
      <c r="AG95" s="380">
        <v>2</v>
      </c>
      <c r="AH95" s="363"/>
    </row>
    <row r="96" spans="2:34" ht="14.4" x14ac:dyDescent="0.3">
      <c r="B96" s="380" t="s">
        <v>14</v>
      </c>
      <c r="C96" s="412" t="s">
        <v>568</v>
      </c>
      <c r="D96" s="413" t="s">
        <v>151</v>
      </c>
      <c r="E96" s="425">
        <v>7700326717</v>
      </c>
      <c r="F96" s="415">
        <v>45693</v>
      </c>
      <c r="G96" s="380" t="s">
        <v>55</v>
      </c>
      <c r="H96" s="380"/>
      <c r="I96" s="388">
        <f>93000*3</f>
        <v>279000</v>
      </c>
      <c r="J96" s="380">
        <v>3</v>
      </c>
      <c r="K96" s="389">
        <f t="shared" si="3"/>
        <v>93000</v>
      </c>
      <c r="L96" s="381">
        <v>45705</v>
      </c>
      <c r="M96" s="381">
        <v>46069</v>
      </c>
      <c r="N96" s="663"/>
      <c r="O96" s="680"/>
      <c r="P96" s="363" t="s">
        <v>19</v>
      </c>
      <c r="Q96" s="380" t="s">
        <v>2</v>
      </c>
      <c r="R96" s="380"/>
      <c r="S96" s="390" t="s">
        <v>569</v>
      </c>
      <c r="T96" s="363" t="s">
        <v>570</v>
      </c>
      <c r="U96" s="390" t="s">
        <v>571</v>
      </c>
      <c r="V96" s="363" t="s">
        <v>126</v>
      </c>
      <c r="W96" s="390" t="s">
        <v>572</v>
      </c>
      <c r="X96" s="363" t="s">
        <v>573</v>
      </c>
      <c r="Y96" s="363"/>
      <c r="Z96" s="363"/>
      <c r="AA96" s="363"/>
      <c r="AB96" s="363"/>
      <c r="AC96" s="363"/>
      <c r="AD96" s="363"/>
      <c r="AE96" s="363" t="s">
        <v>507</v>
      </c>
      <c r="AF96" s="380" t="s">
        <v>63</v>
      </c>
      <c r="AG96" s="380">
        <v>3</v>
      </c>
      <c r="AH96" s="363"/>
    </row>
    <row r="97" spans="2:34" ht="14.4" hidden="1" x14ac:dyDescent="0.3">
      <c r="B97" s="380" t="s">
        <v>14</v>
      </c>
      <c r="C97" s="412" t="s">
        <v>568</v>
      </c>
      <c r="D97" s="413" t="s">
        <v>151</v>
      </c>
      <c r="E97" s="425">
        <v>7700326717</v>
      </c>
      <c r="F97" s="415">
        <v>45693</v>
      </c>
      <c r="G97" s="380" t="s">
        <v>55</v>
      </c>
      <c r="H97" s="380"/>
      <c r="I97" s="388">
        <f>279000+93000</f>
        <v>372000</v>
      </c>
      <c r="J97" s="380">
        <v>3</v>
      </c>
      <c r="K97" s="389"/>
      <c r="L97" s="381">
        <v>46070</v>
      </c>
      <c r="M97" s="381">
        <v>46434</v>
      </c>
      <c r="N97" s="663"/>
      <c r="O97" s="680"/>
      <c r="P97" s="363" t="s">
        <v>520</v>
      </c>
      <c r="Q97" s="380" t="s">
        <v>2</v>
      </c>
      <c r="R97" s="380"/>
      <c r="S97" s="390" t="s">
        <v>574</v>
      </c>
      <c r="T97" s="363" t="s">
        <v>1714</v>
      </c>
      <c r="U97" s="363" t="s">
        <v>575</v>
      </c>
      <c r="V97" s="363"/>
      <c r="W97" s="363" t="s">
        <v>576</v>
      </c>
      <c r="X97" s="363"/>
      <c r="Y97" s="363"/>
      <c r="Z97" s="363"/>
      <c r="AA97" s="363"/>
      <c r="AB97" s="363"/>
      <c r="AC97" s="363"/>
      <c r="AD97" s="363"/>
      <c r="AE97" s="363" t="s">
        <v>507</v>
      </c>
      <c r="AF97" s="380" t="s">
        <v>63</v>
      </c>
      <c r="AG97" s="380">
        <v>3</v>
      </c>
      <c r="AH97" s="363"/>
    </row>
    <row r="98" spans="2:34" ht="14.4" hidden="1" x14ac:dyDescent="0.3">
      <c r="B98" s="380" t="s">
        <v>14</v>
      </c>
      <c r="C98" s="409" t="s">
        <v>568</v>
      </c>
      <c r="D98" s="386" t="s">
        <v>151</v>
      </c>
      <c r="E98" s="380">
        <v>7700326717</v>
      </c>
      <c r="F98" s="387">
        <v>45693</v>
      </c>
      <c r="G98" s="380" t="s">
        <v>55</v>
      </c>
      <c r="H98" s="380">
        <v>4</v>
      </c>
      <c r="I98" s="388">
        <f>279000+93000</f>
        <v>372000</v>
      </c>
      <c r="J98" s="380">
        <v>3</v>
      </c>
      <c r="K98" s="389"/>
      <c r="L98" s="381">
        <v>46435</v>
      </c>
      <c r="M98" s="381">
        <v>46799</v>
      </c>
      <c r="N98" s="663"/>
      <c r="O98" s="680"/>
      <c r="P98" s="363" t="s">
        <v>520</v>
      </c>
      <c r="Q98" s="380" t="s">
        <v>2</v>
      </c>
      <c r="R98" s="380"/>
      <c r="S98" s="363" t="s">
        <v>577</v>
      </c>
      <c r="T98" s="363"/>
      <c r="U98" s="363" t="s">
        <v>578</v>
      </c>
      <c r="V98" s="363"/>
      <c r="W98" s="363" t="s">
        <v>579</v>
      </c>
      <c r="X98" s="363"/>
      <c r="Y98" s="363"/>
      <c r="Z98" s="363"/>
      <c r="AA98" s="363"/>
      <c r="AB98" s="363"/>
      <c r="AC98" s="363"/>
      <c r="AD98" s="363"/>
      <c r="AE98" s="363" t="s">
        <v>507</v>
      </c>
      <c r="AF98" s="380" t="s">
        <v>63</v>
      </c>
      <c r="AG98" s="380">
        <v>3</v>
      </c>
      <c r="AH98" s="363"/>
    </row>
    <row r="99" spans="2:34" ht="14.4" x14ac:dyDescent="0.3">
      <c r="B99" s="380" t="s">
        <v>14</v>
      </c>
      <c r="C99" s="412" t="s">
        <v>580</v>
      </c>
      <c r="D99" s="413" t="s">
        <v>581</v>
      </c>
      <c r="E99" s="426">
        <v>24008608</v>
      </c>
      <c r="F99" s="415">
        <v>45698</v>
      </c>
      <c r="G99" s="380" t="s">
        <v>55</v>
      </c>
      <c r="H99" s="380">
        <v>1</v>
      </c>
      <c r="I99" s="388">
        <v>90000</v>
      </c>
      <c r="J99" s="380">
        <v>3</v>
      </c>
      <c r="K99" s="389">
        <f t="shared" ref="K99:K130" si="4">I99/J99</f>
        <v>30000</v>
      </c>
      <c r="L99" s="381">
        <v>45689</v>
      </c>
      <c r="M99" s="381">
        <v>46053</v>
      </c>
      <c r="N99" s="663"/>
      <c r="O99" s="680"/>
      <c r="P99" s="363" t="s">
        <v>19</v>
      </c>
      <c r="Q99" s="380" t="s">
        <v>0</v>
      </c>
      <c r="R99" s="380"/>
      <c r="S99" s="390" t="s">
        <v>79</v>
      </c>
      <c r="T99" s="363" t="s">
        <v>413</v>
      </c>
      <c r="U99" s="390" t="s">
        <v>81</v>
      </c>
      <c r="V99" s="363" t="s">
        <v>582</v>
      </c>
      <c r="W99" s="390" t="s">
        <v>83</v>
      </c>
      <c r="X99" s="363" t="s">
        <v>320</v>
      </c>
      <c r="Y99" s="363"/>
      <c r="Z99" s="363"/>
      <c r="AA99" s="363"/>
      <c r="AB99" s="363"/>
      <c r="AC99" s="363"/>
      <c r="AD99" s="363"/>
      <c r="AE99" s="363" t="s">
        <v>183</v>
      </c>
      <c r="AF99" s="380" t="s">
        <v>97</v>
      </c>
      <c r="AG99" s="380">
        <v>2</v>
      </c>
      <c r="AH99" s="363"/>
    </row>
    <row r="100" spans="2:34" ht="14.4" x14ac:dyDescent="0.3">
      <c r="B100" s="380" t="s">
        <v>14</v>
      </c>
      <c r="C100" s="427" t="s">
        <v>583</v>
      </c>
      <c r="D100" s="413" t="s">
        <v>176</v>
      </c>
      <c r="E100" s="416" t="s">
        <v>584</v>
      </c>
      <c r="F100" s="387">
        <v>45699</v>
      </c>
      <c r="G100" s="380" t="s">
        <v>55</v>
      </c>
      <c r="H100" s="380">
        <v>1</v>
      </c>
      <c r="I100" s="428">
        <v>142080</v>
      </c>
      <c r="J100" s="380">
        <v>2</v>
      </c>
      <c r="K100" s="389">
        <f t="shared" si="4"/>
        <v>71040</v>
      </c>
      <c r="L100" s="381">
        <v>45689</v>
      </c>
      <c r="M100" s="381">
        <v>46053</v>
      </c>
      <c r="N100" s="663"/>
      <c r="O100" s="680"/>
      <c r="P100" s="363" t="s">
        <v>19</v>
      </c>
      <c r="Q100" s="380" t="s">
        <v>0</v>
      </c>
      <c r="R100" s="380"/>
      <c r="S100" s="390" t="s">
        <v>422</v>
      </c>
      <c r="T100" s="363" t="s">
        <v>585</v>
      </c>
      <c r="U100" s="390" t="s">
        <v>424</v>
      </c>
      <c r="V100" s="363" t="s">
        <v>586</v>
      </c>
      <c r="W100" s="363"/>
      <c r="X100" s="363"/>
      <c r="Y100" s="363"/>
      <c r="Z100" s="363"/>
      <c r="AA100" s="363"/>
      <c r="AB100" s="363"/>
      <c r="AC100" s="363"/>
      <c r="AD100" s="363"/>
      <c r="AE100" s="363" t="s">
        <v>183</v>
      </c>
      <c r="AF100" s="380" t="s">
        <v>97</v>
      </c>
      <c r="AG100" s="380">
        <v>2</v>
      </c>
      <c r="AH100" s="363"/>
    </row>
    <row r="101" spans="2:34" ht="14.4" x14ac:dyDescent="0.3">
      <c r="B101" s="380" t="s">
        <v>14</v>
      </c>
      <c r="C101" s="409" t="s">
        <v>587</v>
      </c>
      <c r="D101" s="386" t="s">
        <v>176</v>
      </c>
      <c r="E101" s="424">
        <v>4800012618</v>
      </c>
      <c r="F101" s="387">
        <v>45673</v>
      </c>
      <c r="G101" s="380" t="s">
        <v>55</v>
      </c>
      <c r="H101" s="380">
        <v>1</v>
      </c>
      <c r="I101" s="388">
        <v>86350</v>
      </c>
      <c r="J101" s="380">
        <v>2</v>
      </c>
      <c r="K101" s="389">
        <f t="shared" si="4"/>
        <v>43175</v>
      </c>
      <c r="L101" s="381">
        <v>45689</v>
      </c>
      <c r="M101" s="381">
        <v>46053</v>
      </c>
      <c r="N101" s="663"/>
      <c r="O101" s="680"/>
      <c r="P101" s="363" t="s">
        <v>19</v>
      </c>
      <c r="Q101" s="380" t="s">
        <v>0</v>
      </c>
      <c r="R101" s="380"/>
      <c r="S101" s="390" t="s">
        <v>422</v>
      </c>
      <c r="T101" s="363" t="s">
        <v>225</v>
      </c>
      <c r="U101" s="390" t="s">
        <v>424</v>
      </c>
      <c r="V101" s="363" t="s">
        <v>588</v>
      </c>
      <c r="W101" s="363"/>
      <c r="X101" s="363"/>
      <c r="Y101" s="363"/>
      <c r="Z101" s="363"/>
      <c r="AA101" s="363"/>
      <c r="AB101" s="363"/>
      <c r="AC101" s="363"/>
      <c r="AD101" s="363"/>
      <c r="AE101" s="363" t="s">
        <v>183</v>
      </c>
      <c r="AF101" s="380" t="s">
        <v>97</v>
      </c>
      <c r="AG101" s="380">
        <v>2</v>
      </c>
      <c r="AH101" s="363"/>
    </row>
    <row r="102" spans="2:34" ht="14.4" x14ac:dyDescent="0.3">
      <c r="B102" s="380" t="s">
        <v>14</v>
      </c>
      <c r="C102" s="409" t="s">
        <v>589</v>
      </c>
      <c r="D102" s="386" t="s">
        <v>590</v>
      </c>
      <c r="E102" s="424">
        <v>4508578495</v>
      </c>
      <c r="F102" s="387">
        <v>45700</v>
      </c>
      <c r="G102" s="380" t="s">
        <v>55</v>
      </c>
      <c r="H102" s="380">
        <v>1</v>
      </c>
      <c r="I102" s="388">
        <v>137750</v>
      </c>
      <c r="J102" s="380">
        <v>3</v>
      </c>
      <c r="K102" s="389">
        <f t="shared" si="4"/>
        <v>45916.666666666664</v>
      </c>
      <c r="L102" s="381">
        <v>45698</v>
      </c>
      <c r="M102" s="381">
        <v>46062</v>
      </c>
      <c r="N102" s="663"/>
      <c r="O102" s="680"/>
      <c r="P102" s="363" t="s">
        <v>19</v>
      </c>
      <c r="Q102" s="380" t="s">
        <v>2</v>
      </c>
      <c r="R102" s="380"/>
      <c r="S102" s="390" t="s">
        <v>591</v>
      </c>
      <c r="T102" s="363" t="s">
        <v>555</v>
      </c>
      <c r="U102" s="390" t="s">
        <v>592</v>
      </c>
      <c r="V102" s="363" t="s">
        <v>464</v>
      </c>
      <c r="W102" s="390" t="s">
        <v>593</v>
      </c>
      <c r="X102" s="363" t="s">
        <v>594</v>
      </c>
      <c r="Y102" s="363"/>
      <c r="Z102" s="363"/>
      <c r="AA102" s="363"/>
      <c r="AB102" s="363"/>
      <c r="AC102" s="363"/>
      <c r="AD102" s="363"/>
      <c r="AE102" s="363" t="s">
        <v>551</v>
      </c>
      <c r="AF102" s="380" t="s">
        <v>207</v>
      </c>
      <c r="AG102" s="380">
        <v>3</v>
      </c>
      <c r="AH102" s="363"/>
    </row>
    <row r="103" spans="2:34" ht="14.4" x14ac:dyDescent="0.3">
      <c r="B103" s="380" t="s">
        <v>14</v>
      </c>
      <c r="C103" s="409" t="s">
        <v>595</v>
      </c>
      <c r="D103" s="386" t="s">
        <v>596</v>
      </c>
      <c r="E103" s="424">
        <v>3110014461</v>
      </c>
      <c r="F103" s="387">
        <v>45700</v>
      </c>
      <c r="G103" s="380" t="s">
        <v>55</v>
      </c>
      <c r="H103" s="380">
        <v>1</v>
      </c>
      <c r="I103" s="388">
        <v>50000</v>
      </c>
      <c r="J103" s="380">
        <v>2</v>
      </c>
      <c r="K103" s="389">
        <f t="shared" si="4"/>
        <v>25000</v>
      </c>
      <c r="L103" s="381">
        <v>45748</v>
      </c>
      <c r="M103" s="381">
        <v>46112</v>
      </c>
      <c r="N103" s="663"/>
      <c r="O103" s="680"/>
      <c r="P103" s="363" t="s">
        <v>19</v>
      </c>
      <c r="Q103" s="380" t="s">
        <v>3</v>
      </c>
      <c r="R103" s="380"/>
      <c r="S103" s="390" t="s">
        <v>463</v>
      </c>
      <c r="T103" s="363" t="s">
        <v>537</v>
      </c>
      <c r="U103" s="390" t="s">
        <v>465</v>
      </c>
      <c r="V103" s="363" t="s">
        <v>597</v>
      </c>
      <c r="W103" s="363"/>
      <c r="X103" s="363"/>
      <c r="Y103" s="363"/>
      <c r="Z103" s="363"/>
      <c r="AA103" s="363"/>
      <c r="AB103" s="363"/>
      <c r="AC103" s="363"/>
      <c r="AD103" s="363"/>
      <c r="AE103" s="363" t="s">
        <v>507</v>
      </c>
      <c r="AF103" s="380" t="s">
        <v>63</v>
      </c>
      <c r="AG103" s="380">
        <v>2</v>
      </c>
      <c r="AH103" s="363"/>
    </row>
    <row r="104" spans="2:34" ht="14.4" x14ac:dyDescent="0.3">
      <c r="B104" s="380" t="s">
        <v>14</v>
      </c>
      <c r="C104" s="409" t="s">
        <v>598</v>
      </c>
      <c r="D104" s="386" t="s">
        <v>599</v>
      </c>
      <c r="E104" s="419">
        <v>3001027074</v>
      </c>
      <c r="F104" s="387">
        <v>45702</v>
      </c>
      <c r="G104" s="380" t="s">
        <v>55</v>
      </c>
      <c r="H104" s="380">
        <v>5</v>
      </c>
      <c r="I104" s="388">
        <v>290000</v>
      </c>
      <c r="J104" s="380">
        <v>2</v>
      </c>
      <c r="K104" s="389">
        <f t="shared" si="4"/>
        <v>145000</v>
      </c>
      <c r="L104" s="381">
        <v>45702</v>
      </c>
      <c r="M104" s="381">
        <v>46065</v>
      </c>
      <c r="N104" s="663"/>
      <c r="O104" s="680"/>
      <c r="P104" s="363" t="s">
        <v>19</v>
      </c>
      <c r="Q104" s="380" t="s">
        <v>2</v>
      </c>
      <c r="R104" s="380"/>
      <c r="S104" s="390" t="s">
        <v>600</v>
      </c>
      <c r="T104" s="363" t="s">
        <v>601</v>
      </c>
      <c r="U104" s="390" t="s">
        <v>602</v>
      </c>
      <c r="V104" s="363" t="s">
        <v>573</v>
      </c>
      <c r="W104" s="363"/>
      <c r="X104" s="363"/>
      <c r="Y104" s="363"/>
      <c r="Z104" s="363"/>
      <c r="AA104" s="363"/>
      <c r="AB104" s="363"/>
      <c r="AC104" s="363"/>
      <c r="AD104" s="363"/>
      <c r="AE104" s="363" t="s">
        <v>485</v>
      </c>
      <c r="AF104" s="380" t="s">
        <v>63</v>
      </c>
      <c r="AG104" s="380">
        <v>2</v>
      </c>
      <c r="AH104" s="363" t="s">
        <v>603</v>
      </c>
    </row>
    <row r="105" spans="2:34" ht="14.4" hidden="1" x14ac:dyDescent="0.3">
      <c r="B105" s="380" t="s">
        <v>14</v>
      </c>
      <c r="C105" s="409" t="s">
        <v>604</v>
      </c>
      <c r="D105" s="386" t="s">
        <v>605</v>
      </c>
      <c r="E105" s="380">
        <v>5700171274</v>
      </c>
      <c r="F105" s="387">
        <v>45705</v>
      </c>
      <c r="G105" s="380" t="s">
        <v>55</v>
      </c>
      <c r="H105" s="380"/>
      <c r="I105" s="388">
        <v>591675</v>
      </c>
      <c r="J105" s="380">
        <v>2</v>
      </c>
      <c r="K105" s="389">
        <f t="shared" si="4"/>
        <v>295837.5</v>
      </c>
      <c r="L105" s="381">
        <v>45658</v>
      </c>
      <c r="M105" s="381">
        <v>46022</v>
      </c>
      <c r="N105" s="663"/>
      <c r="O105" s="680"/>
      <c r="P105" s="363" t="s">
        <v>520</v>
      </c>
      <c r="Q105" s="380" t="s">
        <v>2</v>
      </c>
      <c r="R105" s="380"/>
      <c r="S105" s="390" t="s">
        <v>482</v>
      </c>
      <c r="T105" s="363" t="s">
        <v>371</v>
      </c>
      <c r="U105" s="390" t="s">
        <v>483</v>
      </c>
      <c r="V105" s="363" t="s">
        <v>606</v>
      </c>
      <c r="W105" s="363"/>
      <c r="X105" s="363"/>
      <c r="Y105" s="363"/>
      <c r="Z105" s="363"/>
      <c r="AA105" s="363"/>
      <c r="AB105" s="363"/>
      <c r="AC105" s="363"/>
      <c r="AD105" s="363"/>
      <c r="AE105" s="363" t="s">
        <v>485</v>
      </c>
      <c r="AF105" s="380" t="s">
        <v>63</v>
      </c>
      <c r="AG105" s="380">
        <v>3</v>
      </c>
      <c r="AH105" s="363"/>
    </row>
    <row r="106" spans="2:34" ht="14.4" hidden="1" x14ac:dyDescent="0.3">
      <c r="B106" s="380" t="s">
        <v>14</v>
      </c>
      <c r="C106" s="409" t="s">
        <v>604</v>
      </c>
      <c r="D106" s="386" t="s">
        <v>605</v>
      </c>
      <c r="E106" s="380">
        <v>5700171274</v>
      </c>
      <c r="F106" s="387">
        <v>45705</v>
      </c>
      <c r="G106" s="380" t="s">
        <v>55</v>
      </c>
      <c r="H106" s="380">
        <v>5</v>
      </c>
      <c r="I106" s="388">
        <v>591675</v>
      </c>
      <c r="J106" s="380">
        <v>2</v>
      </c>
      <c r="K106" s="389">
        <f t="shared" si="4"/>
        <v>295837.5</v>
      </c>
      <c r="L106" s="381">
        <v>46023</v>
      </c>
      <c r="M106" s="381">
        <v>46387</v>
      </c>
      <c r="N106" s="663"/>
      <c r="O106" s="680"/>
      <c r="P106" s="363" t="s">
        <v>520</v>
      </c>
      <c r="Q106" s="380" t="s">
        <v>2</v>
      </c>
      <c r="R106" s="380"/>
      <c r="S106" s="390" t="s">
        <v>607</v>
      </c>
      <c r="T106" s="363" t="s">
        <v>1850</v>
      </c>
      <c r="U106" s="363" t="s">
        <v>608</v>
      </c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 t="s">
        <v>485</v>
      </c>
      <c r="AF106" s="380" t="s">
        <v>63</v>
      </c>
      <c r="AG106" s="380">
        <v>3</v>
      </c>
      <c r="AH106" s="363"/>
    </row>
    <row r="107" spans="2:34" ht="14.4" x14ac:dyDescent="0.3">
      <c r="B107" s="380" t="s">
        <v>14</v>
      </c>
      <c r="C107" s="429" t="s">
        <v>609</v>
      </c>
      <c r="D107" s="386" t="s">
        <v>86</v>
      </c>
      <c r="E107" s="419">
        <v>3791225209</v>
      </c>
      <c r="F107" s="387">
        <v>45695</v>
      </c>
      <c r="G107" s="380" t="s">
        <v>55</v>
      </c>
      <c r="H107" s="380">
        <v>2</v>
      </c>
      <c r="I107" s="388">
        <v>364800</v>
      </c>
      <c r="J107" s="380">
        <v>3</v>
      </c>
      <c r="K107" s="389">
        <f t="shared" si="4"/>
        <v>121600</v>
      </c>
      <c r="L107" s="381">
        <v>45689</v>
      </c>
      <c r="M107" s="381">
        <v>46053</v>
      </c>
      <c r="N107" s="663"/>
      <c r="O107" s="680"/>
      <c r="P107" s="363" t="s">
        <v>19</v>
      </c>
      <c r="Q107" s="380" t="s">
        <v>0</v>
      </c>
      <c r="R107" s="380" t="s">
        <v>1</v>
      </c>
      <c r="S107" s="390" t="s">
        <v>79</v>
      </c>
      <c r="T107" s="363" t="s">
        <v>610</v>
      </c>
      <c r="U107" s="390" t="s">
        <v>81</v>
      </c>
      <c r="V107" s="363" t="s">
        <v>611</v>
      </c>
      <c r="W107" s="390" t="s">
        <v>83</v>
      </c>
      <c r="X107" s="430" t="s">
        <v>612</v>
      </c>
      <c r="Y107" s="363"/>
      <c r="Z107" s="363"/>
      <c r="AA107" s="363"/>
      <c r="AB107" s="363"/>
      <c r="AC107" s="363"/>
      <c r="AD107" s="363"/>
      <c r="AE107" s="363" t="s">
        <v>281</v>
      </c>
      <c r="AF107" s="380" t="s">
        <v>97</v>
      </c>
      <c r="AG107" s="380">
        <v>3</v>
      </c>
      <c r="AH107" s="363" t="s">
        <v>613</v>
      </c>
    </row>
    <row r="108" spans="2:34" ht="14.4" x14ac:dyDescent="0.3">
      <c r="B108" s="380" t="s">
        <v>14</v>
      </c>
      <c r="C108" s="409" t="s">
        <v>598</v>
      </c>
      <c r="D108" s="386" t="s">
        <v>388</v>
      </c>
      <c r="E108" s="424">
        <v>3001030991</v>
      </c>
      <c r="F108" s="387">
        <v>45719</v>
      </c>
      <c r="G108" s="380" t="s">
        <v>616</v>
      </c>
      <c r="H108" s="380">
        <v>2</v>
      </c>
      <c r="I108" s="388">
        <v>116000</v>
      </c>
      <c r="J108" s="380">
        <v>2</v>
      </c>
      <c r="K108" s="389">
        <f t="shared" si="4"/>
        <v>58000</v>
      </c>
      <c r="L108" s="381">
        <v>45717</v>
      </c>
      <c r="M108" s="381">
        <v>46081</v>
      </c>
      <c r="N108" s="663"/>
      <c r="O108" s="680"/>
      <c r="P108" s="363" t="s">
        <v>19</v>
      </c>
      <c r="Q108" s="380" t="s">
        <v>2</v>
      </c>
      <c r="R108" s="380"/>
      <c r="S108" s="390" t="s">
        <v>624</v>
      </c>
      <c r="T108" s="363" t="s">
        <v>423</v>
      </c>
      <c r="U108" s="390" t="s">
        <v>625</v>
      </c>
      <c r="V108" s="363" t="s">
        <v>626</v>
      </c>
      <c r="W108" s="363"/>
      <c r="X108" s="363"/>
      <c r="Y108" s="363"/>
      <c r="Z108" s="363"/>
      <c r="AA108" s="363"/>
      <c r="AB108" s="363"/>
      <c r="AC108" s="363"/>
      <c r="AD108" s="363"/>
      <c r="AE108" s="363" t="s">
        <v>478</v>
      </c>
      <c r="AF108" s="380" t="s">
        <v>63</v>
      </c>
      <c r="AG108" s="380">
        <v>2</v>
      </c>
      <c r="AH108" s="431" t="s">
        <v>627</v>
      </c>
    </row>
    <row r="109" spans="2:34" ht="14.4" x14ac:dyDescent="0.3">
      <c r="B109" s="380" t="s">
        <v>14</v>
      </c>
      <c r="C109" s="412" t="s">
        <v>628</v>
      </c>
      <c r="D109" s="413" t="s">
        <v>629</v>
      </c>
      <c r="E109" s="416" t="s">
        <v>630</v>
      </c>
      <c r="F109" s="415">
        <v>45727</v>
      </c>
      <c r="G109" s="425" t="s">
        <v>616</v>
      </c>
      <c r="H109" s="425">
        <v>1</v>
      </c>
      <c r="I109" s="432">
        <v>52000</v>
      </c>
      <c r="J109" s="380">
        <v>1</v>
      </c>
      <c r="K109" s="389">
        <f t="shared" si="4"/>
        <v>52000</v>
      </c>
      <c r="L109" s="381">
        <v>45748</v>
      </c>
      <c r="M109" s="381">
        <v>46112</v>
      </c>
      <c r="N109" s="663"/>
      <c r="O109" s="680"/>
      <c r="P109" s="363" t="s">
        <v>19</v>
      </c>
      <c r="Q109" s="380" t="s">
        <v>3</v>
      </c>
      <c r="R109" s="380"/>
      <c r="S109" s="390" t="s">
        <v>631</v>
      </c>
      <c r="T109" s="363" t="s">
        <v>632</v>
      </c>
      <c r="U109" s="363"/>
      <c r="V109" s="363"/>
      <c r="W109" s="363"/>
      <c r="X109" s="363"/>
      <c r="Y109" s="363"/>
      <c r="Z109" s="363"/>
      <c r="AA109" s="363"/>
      <c r="AB109" s="363"/>
      <c r="AC109" s="363"/>
      <c r="AD109" s="363"/>
      <c r="AE109" s="363" t="s">
        <v>485</v>
      </c>
      <c r="AF109" s="380" t="s">
        <v>63</v>
      </c>
      <c r="AG109" s="380">
        <v>2</v>
      </c>
      <c r="AH109" s="363" t="s">
        <v>633</v>
      </c>
    </row>
    <row r="110" spans="2:34" ht="14.4" hidden="1" x14ac:dyDescent="0.3">
      <c r="B110" s="380" t="s">
        <v>14</v>
      </c>
      <c r="C110" s="409" t="s">
        <v>634</v>
      </c>
      <c r="D110" s="386" t="s">
        <v>447</v>
      </c>
      <c r="E110" s="380">
        <v>4500262958</v>
      </c>
      <c r="F110" s="387">
        <v>45727</v>
      </c>
      <c r="G110" s="380" t="s">
        <v>616</v>
      </c>
      <c r="H110" s="380"/>
      <c r="I110" s="388">
        <f>597000/3</f>
        <v>199000</v>
      </c>
      <c r="J110" s="380">
        <v>4</v>
      </c>
      <c r="K110" s="389">
        <f t="shared" si="4"/>
        <v>49750</v>
      </c>
      <c r="L110" s="381">
        <v>45658</v>
      </c>
      <c r="M110" s="381">
        <v>46022</v>
      </c>
      <c r="N110" s="663"/>
      <c r="O110" s="680"/>
      <c r="P110" s="363" t="s">
        <v>520</v>
      </c>
      <c r="Q110" s="380" t="s">
        <v>3</v>
      </c>
      <c r="R110" s="380"/>
      <c r="S110" s="390" t="s">
        <v>390</v>
      </c>
      <c r="T110" s="363" t="s">
        <v>635</v>
      </c>
      <c r="U110" s="390" t="s">
        <v>391</v>
      </c>
      <c r="V110" s="363" t="s">
        <v>636</v>
      </c>
      <c r="W110" s="390" t="s">
        <v>168</v>
      </c>
      <c r="X110" s="363" t="s">
        <v>637</v>
      </c>
      <c r="Y110" s="390" t="s">
        <v>228</v>
      </c>
      <c r="Z110" s="363" t="s">
        <v>493</v>
      </c>
      <c r="AA110" s="363"/>
      <c r="AB110" s="363"/>
      <c r="AC110" s="363"/>
      <c r="AD110" s="363"/>
      <c r="AE110" s="363" t="s">
        <v>96</v>
      </c>
      <c r="AF110" s="380" t="s">
        <v>97</v>
      </c>
      <c r="AG110" s="380" t="s">
        <v>494</v>
      </c>
      <c r="AH110" s="363" t="s">
        <v>638</v>
      </c>
    </row>
    <row r="111" spans="2:34" ht="14.4" hidden="1" x14ac:dyDescent="0.3">
      <c r="B111" s="380" t="s">
        <v>14</v>
      </c>
      <c r="C111" s="409" t="s">
        <v>634</v>
      </c>
      <c r="D111" s="386" t="s">
        <v>447</v>
      </c>
      <c r="E111" s="380">
        <v>4500262958</v>
      </c>
      <c r="F111" s="387">
        <v>45727</v>
      </c>
      <c r="G111" s="380" t="s">
        <v>616</v>
      </c>
      <c r="H111" s="380"/>
      <c r="I111" s="388">
        <v>199000</v>
      </c>
      <c r="J111" s="380">
        <v>4</v>
      </c>
      <c r="K111" s="389">
        <f t="shared" si="4"/>
        <v>49750</v>
      </c>
      <c r="L111" s="381">
        <v>46023</v>
      </c>
      <c r="M111" s="381">
        <v>46387</v>
      </c>
      <c r="N111" s="663"/>
      <c r="O111" s="680"/>
      <c r="P111" s="363" t="s">
        <v>520</v>
      </c>
      <c r="Q111" s="380" t="s">
        <v>3</v>
      </c>
      <c r="R111" s="380"/>
      <c r="S111" s="390" t="s">
        <v>396</v>
      </c>
      <c r="T111" s="363" t="s">
        <v>639</v>
      </c>
      <c r="U111" s="390" t="s">
        <v>397</v>
      </c>
      <c r="V111" s="363" t="s">
        <v>1715</v>
      </c>
      <c r="W111" s="363" t="s">
        <v>496</v>
      </c>
      <c r="X111" s="363"/>
      <c r="Y111" s="363" t="s">
        <v>497</v>
      </c>
      <c r="Z111" s="363"/>
      <c r="AA111" s="363"/>
      <c r="AB111" s="363"/>
      <c r="AC111" s="363"/>
      <c r="AD111" s="363"/>
      <c r="AE111" s="363" t="s">
        <v>96</v>
      </c>
      <c r="AF111" s="380" t="s">
        <v>97</v>
      </c>
      <c r="AG111" s="380" t="s">
        <v>494</v>
      </c>
      <c r="AH111" s="363"/>
    </row>
    <row r="112" spans="2:34" ht="14.4" hidden="1" x14ac:dyDescent="0.3">
      <c r="B112" s="380" t="s">
        <v>14</v>
      </c>
      <c r="C112" s="409" t="s">
        <v>634</v>
      </c>
      <c r="D112" s="386" t="s">
        <v>447</v>
      </c>
      <c r="E112" s="380">
        <v>4500262958</v>
      </c>
      <c r="F112" s="387">
        <v>45727</v>
      </c>
      <c r="G112" s="380" t="s">
        <v>616</v>
      </c>
      <c r="H112" s="380">
        <v>2</v>
      </c>
      <c r="I112" s="388">
        <v>199000</v>
      </c>
      <c r="J112" s="380">
        <v>4</v>
      </c>
      <c r="K112" s="389">
        <f t="shared" si="4"/>
        <v>49750</v>
      </c>
      <c r="L112" s="381">
        <v>46388</v>
      </c>
      <c r="M112" s="381">
        <v>46752</v>
      </c>
      <c r="N112" s="663"/>
      <c r="O112" s="680"/>
      <c r="P112" s="363" t="s">
        <v>520</v>
      </c>
      <c r="Q112" s="380" t="s">
        <v>3</v>
      </c>
      <c r="R112" s="380"/>
      <c r="S112" s="363" t="s">
        <v>498</v>
      </c>
      <c r="T112" s="363"/>
      <c r="U112" s="363" t="s">
        <v>499</v>
      </c>
      <c r="V112" s="363"/>
      <c r="W112" s="363" t="s">
        <v>500</v>
      </c>
      <c r="X112" s="363"/>
      <c r="Y112" s="363" t="s">
        <v>501</v>
      </c>
      <c r="Z112" s="363"/>
      <c r="AA112" s="363"/>
      <c r="AB112" s="363"/>
      <c r="AC112" s="363"/>
      <c r="AD112" s="363"/>
      <c r="AE112" s="363" t="s">
        <v>96</v>
      </c>
      <c r="AF112" s="380" t="s">
        <v>97</v>
      </c>
      <c r="AG112" s="380" t="s">
        <v>494</v>
      </c>
      <c r="AH112" s="363"/>
    </row>
    <row r="113" spans="2:34" ht="14.4" hidden="1" x14ac:dyDescent="0.3">
      <c r="B113" s="380" t="s">
        <v>14</v>
      </c>
      <c r="C113" s="409" t="s">
        <v>640</v>
      </c>
      <c r="D113" s="386" t="s">
        <v>641</v>
      </c>
      <c r="E113" s="380" t="s">
        <v>642</v>
      </c>
      <c r="F113" s="387">
        <v>45731</v>
      </c>
      <c r="G113" s="380" t="s">
        <v>643</v>
      </c>
      <c r="H113" s="380"/>
      <c r="I113" s="388">
        <v>152460</v>
      </c>
      <c r="J113" s="380">
        <v>1</v>
      </c>
      <c r="K113" s="389">
        <f t="shared" si="4"/>
        <v>152460</v>
      </c>
      <c r="L113" s="381">
        <v>45748</v>
      </c>
      <c r="M113" s="381">
        <v>46112</v>
      </c>
      <c r="N113" s="663"/>
      <c r="O113" s="680"/>
      <c r="P113" s="363" t="s">
        <v>520</v>
      </c>
      <c r="Q113" s="380" t="s">
        <v>3</v>
      </c>
      <c r="R113" s="380"/>
      <c r="S113" s="390" t="s">
        <v>631</v>
      </c>
      <c r="T113" s="363" t="s">
        <v>644</v>
      </c>
      <c r="U113" s="363"/>
      <c r="V113" s="363"/>
      <c r="W113" s="363"/>
      <c r="X113" s="363"/>
      <c r="Y113" s="363"/>
      <c r="Z113" s="363"/>
      <c r="AA113" s="363"/>
      <c r="AB113" s="363"/>
      <c r="AC113" s="363"/>
      <c r="AD113" s="363"/>
      <c r="AE113" s="363" t="s">
        <v>551</v>
      </c>
      <c r="AF113" s="380" t="s">
        <v>207</v>
      </c>
      <c r="AG113" s="380">
        <v>2</v>
      </c>
      <c r="AH113" s="363" t="s">
        <v>645</v>
      </c>
    </row>
    <row r="114" spans="2:34" ht="14.4" hidden="1" x14ac:dyDescent="0.3">
      <c r="B114" s="380" t="s">
        <v>14</v>
      </c>
      <c r="C114" s="409" t="s">
        <v>640</v>
      </c>
      <c r="D114" s="386" t="s">
        <v>641</v>
      </c>
      <c r="E114" s="380" t="s">
        <v>642</v>
      </c>
      <c r="F114" s="387">
        <v>45731</v>
      </c>
      <c r="G114" s="380" t="s">
        <v>643</v>
      </c>
      <c r="H114" s="380">
        <v>3</v>
      </c>
      <c r="I114" s="388">
        <v>152460</v>
      </c>
      <c r="J114" s="380">
        <v>1</v>
      </c>
      <c r="K114" s="389">
        <f t="shared" si="4"/>
        <v>152460</v>
      </c>
      <c r="L114" s="381">
        <v>46113</v>
      </c>
      <c r="M114" s="381">
        <v>46477</v>
      </c>
      <c r="N114" s="663"/>
      <c r="O114" s="680"/>
      <c r="P114" s="363" t="s">
        <v>520</v>
      </c>
      <c r="Q114" s="380" t="s">
        <v>3</v>
      </c>
      <c r="R114" s="380"/>
      <c r="S114" s="363" t="s">
        <v>646</v>
      </c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D114" s="363"/>
      <c r="AE114" s="363" t="s">
        <v>551</v>
      </c>
      <c r="AF114" s="380" t="s">
        <v>207</v>
      </c>
      <c r="AG114" s="380">
        <v>2</v>
      </c>
      <c r="AH114" s="363"/>
    </row>
    <row r="115" spans="2:34" ht="14.4" x14ac:dyDescent="0.3">
      <c r="B115" s="380" t="s">
        <v>14</v>
      </c>
      <c r="C115" s="409" t="s">
        <v>647</v>
      </c>
      <c r="D115" s="386" t="s">
        <v>648</v>
      </c>
      <c r="E115" s="419">
        <v>450087563</v>
      </c>
      <c r="F115" s="387">
        <v>45728</v>
      </c>
      <c r="G115" s="380" t="s">
        <v>643</v>
      </c>
      <c r="H115" s="380">
        <v>2</v>
      </c>
      <c r="I115" s="388">
        <v>220000</v>
      </c>
      <c r="J115" s="380">
        <v>2</v>
      </c>
      <c r="K115" s="389">
        <f t="shared" si="4"/>
        <v>110000</v>
      </c>
      <c r="L115" s="381">
        <v>45660</v>
      </c>
      <c r="M115" s="381">
        <v>46081</v>
      </c>
      <c r="N115" s="663"/>
      <c r="O115" s="680"/>
      <c r="P115" s="363" t="s">
        <v>19</v>
      </c>
      <c r="Q115" s="380" t="s">
        <v>2</v>
      </c>
      <c r="R115" s="380"/>
      <c r="S115" s="390" t="s">
        <v>624</v>
      </c>
      <c r="T115" s="363" t="s">
        <v>504</v>
      </c>
      <c r="U115" s="433" t="s">
        <v>625</v>
      </c>
      <c r="V115" s="363" t="s">
        <v>649</v>
      </c>
      <c r="W115" s="363"/>
      <c r="X115" s="363"/>
      <c r="Y115" s="363"/>
      <c r="Z115" s="363"/>
      <c r="AA115" s="363"/>
      <c r="AB115" s="363"/>
      <c r="AC115" s="363"/>
      <c r="AD115" s="363"/>
      <c r="AE115" s="363" t="s">
        <v>183</v>
      </c>
      <c r="AF115" s="380" t="s">
        <v>97</v>
      </c>
      <c r="AG115" s="380">
        <v>2</v>
      </c>
      <c r="AH115" s="363" t="s">
        <v>650</v>
      </c>
    </row>
    <row r="116" spans="2:34" ht="14.4" x14ac:dyDescent="0.3">
      <c r="B116" s="380" t="s">
        <v>14</v>
      </c>
      <c r="C116" s="409" t="s">
        <v>651</v>
      </c>
      <c r="D116" s="386" t="s">
        <v>447</v>
      </c>
      <c r="E116" s="408">
        <v>9200013983</v>
      </c>
      <c r="F116" s="387">
        <v>45727</v>
      </c>
      <c r="G116" s="380" t="s">
        <v>643</v>
      </c>
      <c r="H116" s="380">
        <v>1</v>
      </c>
      <c r="I116" s="388">
        <v>87360</v>
      </c>
      <c r="J116" s="380">
        <v>3</v>
      </c>
      <c r="K116" s="389">
        <f t="shared" si="4"/>
        <v>29120</v>
      </c>
      <c r="L116" s="381">
        <v>45717</v>
      </c>
      <c r="M116" s="381">
        <v>46081</v>
      </c>
      <c r="N116" s="663"/>
      <c r="O116" s="680"/>
      <c r="P116" s="363" t="s">
        <v>19</v>
      </c>
      <c r="Q116" s="380" t="s">
        <v>2</v>
      </c>
      <c r="R116" s="380"/>
      <c r="S116" s="390" t="s">
        <v>188</v>
      </c>
      <c r="T116" s="363" t="s">
        <v>652</v>
      </c>
      <c r="U116" s="390" t="s">
        <v>190</v>
      </c>
      <c r="V116" s="363" t="s">
        <v>475</v>
      </c>
      <c r="W116" s="390" t="s">
        <v>192</v>
      </c>
      <c r="X116" s="363" t="s">
        <v>653</v>
      </c>
      <c r="Y116" s="363"/>
      <c r="Z116" s="363"/>
      <c r="AA116" s="363"/>
      <c r="AB116" s="363"/>
      <c r="AC116" s="363"/>
      <c r="AD116" s="363"/>
      <c r="AE116" s="363" t="s">
        <v>281</v>
      </c>
      <c r="AF116" s="380" t="s">
        <v>97</v>
      </c>
      <c r="AG116" s="380">
        <v>3</v>
      </c>
      <c r="AH116" s="363" t="s">
        <v>654</v>
      </c>
    </row>
    <row r="117" spans="2:34" ht="14.4" x14ac:dyDescent="0.3">
      <c r="B117" s="380" t="s">
        <v>14</v>
      </c>
      <c r="C117" s="409" t="s">
        <v>655</v>
      </c>
      <c r="D117" s="423" t="s">
        <v>151</v>
      </c>
      <c r="E117" s="424">
        <v>2006637</v>
      </c>
      <c r="F117" s="387">
        <v>45729</v>
      </c>
      <c r="G117" s="380" t="s">
        <v>643</v>
      </c>
      <c r="H117" s="380">
        <v>4</v>
      </c>
      <c r="I117" s="388">
        <v>288000</v>
      </c>
      <c r="J117" s="380">
        <v>2</v>
      </c>
      <c r="K117" s="389">
        <f t="shared" si="4"/>
        <v>144000</v>
      </c>
      <c r="L117" s="381">
        <v>45661</v>
      </c>
      <c r="M117" s="381">
        <v>46112</v>
      </c>
      <c r="N117" s="663"/>
      <c r="O117" s="680"/>
      <c r="P117" s="363" t="s">
        <v>19</v>
      </c>
      <c r="Q117" s="380" t="s">
        <v>5</v>
      </c>
      <c r="R117" s="380"/>
      <c r="S117" s="390" t="s">
        <v>463</v>
      </c>
      <c r="T117" s="363" t="s">
        <v>582</v>
      </c>
      <c r="U117" s="390" t="s">
        <v>465</v>
      </c>
      <c r="V117" s="363" t="s">
        <v>656</v>
      </c>
      <c r="W117" s="363"/>
      <c r="X117" s="363"/>
      <c r="Y117" s="363"/>
      <c r="Z117" s="363"/>
      <c r="AA117" s="363"/>
      <c r="AB117" s="363"/>
      <c r="AC117" s="363"/>
      <c r="AD117" s="363"/>
      <c r="AE117" s="363" t="s">
        <v>478</v>
      </c>
      <c r="AF117" s="380" t="s">
        <v>63</v>
      </c>
      <c r="AG117" s="380">
        <v>2</v>
      </c>
      <c r="AH117" s="363" t="s">
        <v>657</v>
      </c>
    </row>
    <row r="118" spans="2:34" ht="14.4" x14ac:dyDescent="0.3">
      <c r="B118" s="380" t="s">
        <v>14</v>
      </c>
      <c r="C118" s="409" t="s">
        <v>658</v>
      </c>
      <c r="D118" s="386" t="s">
        <v>388</v>
      </c>
      <c r="E118" s="424" t="s">
        <v>659</v>
      </c>
      <c r="F118" s="387">
        <v>45705</v>
      </c>
      <c r="G118" s="380" t="s">
        <v>643</v>
      </c>
      <c r="H118" s="380">
        <v>1</v>
      </c>
      <c r="I118" s="388">
        <v>68000</v>
      </c>
      <c r="J118" s="380">
        <v>2</v>
      </c>
      <c r="K118" s="389">
        <f t="shared" si="4"/>
        <v>34000</v>
      </c>
      <c r="L118" s="381">
        <v>45717</v>
      </c>
      <c r="M118" s="381">
        <v>46081</v>
      </c>
      <c r="N118" s="663"/>
      <c r="O118" s="680"/>
      <c r="P118" s="363" t="s">
        <v>19</v>
      </c>
      <c r="Q118" s="380" t="s">
        <v>3</v>
      </c>
      <c r="R118" s="380"/>
      <c r="S118" s="390" t="s">
        <v>624</v>
      </c>
      <c r="T118" s="363" t="s">
        <v>660</v>
      </c>
      <c r="U118" s="390" t="s">
        <v>625</v>
      </c>
      <c r="V118" s="363" t="s">
        <v>661</v>
      </c>
      <c r="W118" s="363"/>
      <c r="X118" s="363"/>
      <c r="Y118" s="363"/>
      <c r="Z118" s="363"/>
      <c r="AA118" s="363"/>
      <c r="AB118" s="363"/>
      <c r="AC118" s="363"/>
      <c r="AD118" s="363"/>
      <c r="AE118" s="363" t="s">
        <v>478</v>
      </c>
      <c r="AF118" s="380" t="s">
        <v>63</v>
      </c>
      <c r="AG118" s="380">
        <v>3</v>
      </c>
      <c r="AH118" s="363" t="s">
        <v>662</v>
      </c>
    </row>
    <row r="119" spans="2:34" ht="14.4" x14ac:dyDescent="0.3">
      <c r="B119" s="380" t="s">
        <v>14</v>
      </c>
      <c r="C119" s="409" t="s">
        <v>663</v>
      </c>
      <c r="D119" s="434" t="s">
        <v>664</v>
      </c>
      <c r="E119" s="424">
        <v>4507449999</v>
      </c>
      <c r="F119" s="387">
        <v>45742</v>
      </c>
      <c r="G119" s="380" t="s">
        <v>643</v>
      </c>
      <c r="H119" s="380">
        <v>1</v>
      </c>
      <c r="I119" s="388">
        <v>66999.990000000005</v>
      </c>
      <c r="J119" s="380">
        <v>3</v>
      </c>
      <c r="K119" s="389">
        <f t="shared" si="4"/>
        <v>22333.33</v>
      </c>
      <c r="L119" s="381">
        <v>45748</v>
      </c>
      <c r="M119" s="381">
        <v>46112</v>
      </c>
      <c r="N119" s="663"/>
      <c r="O119" s="680"/>
      <c r="P119" s="363" t="s">
        <v>19</v>
      </c>
      <c r="Q119" s="380" t="s">
        <v>3</v>
      </c>
      <c r="R119" s="380"/>
      <c r="S119" s="390" t="s">
        <v>357</v>
      </c>
      <c r="T119" s="363" t="s">
        <v>401</v>
      </c>
      <c r="U119" s="390" t="s">
        <v>665</v>
      </c>
      <c r="V119" s="363" t="s">
        <v>73</v>
      </c>
      <c r="W119" s="390" t="s">
        <v>361</v>
      </c>
      <c r="X119" s="363" t="s">
        <v>666</v>
      </c>
      <c r="Y119" s="363"/>
      <c r="Z119" s="363"/>
      <c r="AA119" s="363"/>
      <c r="AB119" s="363"/>
      <c r="AC119" s="363"/>
      <c r="AD119" s="363"/>
      <c r="AE119" s="363" t="s">
        <v>478</v>
      </c>
      <c r="AF119" s="380" t="s">
        <v>63</v>
      </c>
      <c r="AG119" s="380" t="s">
        <v>494</v>
      </c>
      <c r="AH119" s="363" t="s">
        <v>667</v>
      </c>
    </row>
    <row r="120" spans="2:34" ht="14.4" x14ac:dyDescent="0.3">
      <c r="B120" s="380" t="s">
        <v>14</v>
      </c>
      <c r="C120" s="409" t="s">
        <v>668</v>
      </c>
      <c r="D120" s="434" t="s">
        <v>669</v>
      </c>
      <c r="E120" s="380">
        <v>50055662</v>
      </c>
      <c r="F120" s="387">
        <v>45743</v>
      </c>
      <c r="G120" s="380" t="s">
        <v>643</v>
      </c>
      <c r="H120" s="380">
        <v>13</v>
      </c>
      <c r="I120" s="388">
        <v>585000</v>
      </c>
      <c r="J120" s="380">
        <v>1</v>
      </c>
      <c r="K120" s="389">
        <f t="shared" si="4"/>
        <v>585000</v>
      </c>
      <c r="L120" s="381">
        <v>45748</v>
      </c>
      <c r="M120" s="381">
        <v>46112</v>
      </c>
      <c r="N120" s="663"/>
      <c r="O120" s="680"/>
      <c r="P120" s="363" t="s">
        <v>19</v>
      </c>
      <c r="Q120" s="380" t="s">
        <v>3</v>
      </c>
      <c r="R120" s="380"/>
      <c r="S120" s="390" t="s">
        <v>631</v>
      </c>
      <c r="T120" s="363" t="s">
        <v>670</v>
      </c>
      <c r="U120" s="363"/>
      <c r="V120" s="363"/>
      <c r="W120" s="363"/>
      <c r="X120" s="363"/>
      <c r="Y120" s="363"/>
      <c r="Z120" s="363"/>
      <c r="AA120" s="363"/>
      <c r="AB120" s="363"/>
      <c r="AC120" s="363"/>
      <c r="AD120" s="363"/>
      <c r="AE120" s="363" t="s">
        <v>478</v>
      </c>
      <c r="AF120" s="380" t="s">
        <v>63</v>
      </c>
      <c r="AG120" s="380">
        <v>1</v>
      </c>
      <c r="AH120" s="363"/>
    </row>
    <row r="121" spans="2:34" ht="14.4" x14ac:dyDescent="0.3">
      <c r="B121" s="380" t="s">
        <v>14</v>
      </c>
      <c r="C121" s="409" t="s">
        <v>668</v>
      </c>
      <c r="D121" s="434" t="s">
        <v>669</v>
      </c>
      <c r="E121" s="380">
        <v>50055662</v>
      </c>
      <c r="F121" s="387">
        <v>45743</v>
      </c>
      <c r="G121" s="380" t="s">
        <v>643</v>
      </c>
      <c r="H121" s="380">
        <v>2</v>
      </c>
      <c r="I121" s="388">
        <v>160000</v>
      </c>
      <c r="J121" s="380">
        <v>2</v>
      </c>
      <c r="K121" s="389">
        <f t="shared" si="4"/>
        <v>80000</v>
      </c>
      <c r="L121" s="381">
        <v>45748</v>
      </c>
      <c r="M121" s="381">
        <v>46112</v>
      </c>
      <c r="N121" s="663"/>
      <c r="O121" s="680"/>
      <c r="P121" s="363" t="s">
        <v>19</v>
      </c>
      <c r="Q121" s="380" t="s">
        <v>3</v>
      </c>
      <c r="R121" s="380"/>
      <c r="S121" s="390" t="s">
        <v>463</v>
      </c>
      <c r="T121" s="363" t="s">
        <v>169</v>
      </c>
      <c r="U121" s="390" t="s">
        <v>465</v>
      </c>
      <c r="V121" s="363" t="s">
        <v>526</v>
      </c>
      <c r="W121" s="363"/>
      <c r="X121" s="363"/>
      <c r="Y121" s="363"/>
      <c r="Z121" s="363"/>
      <c r="AA121" s="363"/>
      <c r="AB121" s="363"/>
      <c r="AC121" s="363"/>
      <c r="AD121" s="363"/>
      <c r="AE121" s="363" t="s">
        <v>478</v>
      </c>
      <c r="AF121" s="380" t="s">
        <v>63</v>
      </c>
      <c r="AG121" s="380">
        <v>2</v>
      </c>
      <c r="AH121" s="363" t="s">
        <v>671</v>
      </c>
    </row>
    <row r="122" spans="2:34" ht="14.4" hidden="1" x14ac:dyDescent="0.3">
      <c r="B122" s="380" t="s">
        <v>14</v>
      </c>
      <c r="C122" s="409" t="s">
        <v>672</v>
      </c>
      <c r="D122" s="386" t="s">
        <v>447</v>
      </c>
      <c r="E122" s="380" t="s">
        <v>1939</v>
      </c>
      <c r="F122" s="387">
        <v>45747</v>
      </c>
      <c r="G122" s="380" t="s">
        <v>643</v>
      </c>
      <c r="H122" s="380"/>
      <c r="I122" s="435">
        <f>44887.5*4</f>
        <v>179550</v>
      </c>
      <c r="J122" s="380">
        <v>4</v>
      </c>
      <c r="K122" s="389">
        <f t="shared" si="4"/>
        <v>44887.5</v>
      </c>
      <c r="L122" s="381">
        <v>45748</v>
      </c>
      <c r="M122" s="381">
        <v>46112</v>
      </c>
      <c r="N122" s="663"/>
      <c r="O122" s="680"/>
      <c r="P122" s="363" t="s">
        <v>520</v>
      </c>
      <c r="Q122" s="380" t="s">
        <v>5</v>
      </c>
      <c r="R122" s="380"/>
      <c r="S122" s="390" t="s">
        <v>391</v>
      </c>
      <c r="T122" s="363" t="s">
        <v>401</v>
      </c>
      <c r="U122" s="390" t="s">
        <v>523</v>
      </c>
      <c r="V122" s="363" t="s">
        <v>126</v>
      </c>
      <c r="W122" s="390" t="s">
        <v>228</v>
      </c>
      <c r="X122" s="363" t="s">
        <v>673</v>
      </c>
      <c r="Y122" s="390" t="s">
        <v>396</v>
      </c>
      <c r="Z122" s="363" t="s">
        <v>495</v>
      </c>
      <c r="AA122" s="363"/>
      <c r="AB122" s="363"/>
      <c r="AC122" s="363"/>
      <c r="AD122" s="363"/>
      <c r="AE122" s="363" t="s">
        <v>96</v>
      </c>
      <c r="AF122" s="380" t="s">
        <v>97</v>
      </c>
      <c r="AG122" s="380" t="s">
        <v>494</v>
      </c>
      <c r="AH122" s="363" t="s">
        <v>657</v>
      </c>
    </row>
    <row r="123" spans="2:34" ht="14.4" hidden="1" x14ac:dyDescent="0.3">
      <c r="B123" s="380" t="s">
        <v>14</v>
      </c>
      <c r="C123" s="409" t="s">
        <v>672</v>
      </c>
      <c r="D123" s="386" t="s">
        <v>447</v>
      </c>
      <c r="E123" s="380" t="s">
        <v>1939</v>
      </c>
      <c r="F123" s="387">
        <v>45747</v>
      </c>
      <c r="G123" s="380" t="s">
        <v>643</v>
      </c>
      <c r="H123" s="380"/>
      <c r="I123" s="388">
        <f>47133.75*4</f>
        <v>188535</v>
      </c>
      <c r="J123" s="380">
        <v>4</v>
      </c>
      <c r="K123" s="389">
        <f t="shared" si="4"/>
        <v>47133.75</v>
      </c>
      <c r="L123" s="381">
        <v>46113</v>
      </c>
      <c r="M123" s="381">
        <v>46477</v>
      </c>
      <c r="N123" s="663"/>
      <c r="O123" s="680"/>
      <c r="P123" s="363" t="s">
        <v>520</v>
      </c>
      <c r="Q123" s="380" t="s">
        <v>5</v>
      </c>
      <c r="R123" s="380"/>
      <c r="S123" s="390" t="s">
        <v>397</v>
      </c>
      <c r="T123" s="363" t="s">
        <v>1843</v>
      </c>
      <c r="U123" s="363" t="s">
        <v>496</v>
      </c>
      <c r="V123" s="363"/>
      <c r="W123" s="363" t="s">
        <v>497</v>
      </c>
      <c r="X123" s="363"/>
      <c r="Y123" s="363" t="s">
        <v>498</v>
      </c>
      <c r="Z123" s="363"/>
      <c r="AA123" s="363"/>
      <c r="AB123" s="363"/>
      <c r="AC123" s="363"/>
      <c r="AD123" s="363"/>
      <c r="AE123" s="363" t="s">
        <v>96</v>
      </c>
      <c r="AF123" s="380" t="s">
        <v>97</v>
      </c>
      <c r="AG123" s="380" t="s">
        <v>494</v>
      </c>
      <c r="AH123" s="363"/>
    </row>
    <row r="124" spans="2:34" ht="14.4" hidden="1" x14ac:dyDescent="0.3">
      <c r="B124" s="380" t="s">
        <v>14</v>
      </c>
      <c r="C124" s="409" t="s">
        <v>672</v>
      </c>
      <c r="D124" s="386" t="s">
        <v>447</v>
      </c>
      <c r="E124" s="380" t="s">
        <v>1939</v>
      </c>
      <c r="F124" s="387">
        <v>45747</v>
      </c>
      <c r="G124" s="380" t="s">
        <v>643</v>
      </c>
      <c r="H124" s="380">
        <v>3</v>
      </c>
      <c r="I124" s="388">
        <v>196500</v>
      </c>
      <c r="J124" s="380">
        <v>4</v>
      </c>
      <c r="K124" s="389">
        <f t="shared" si="4"/>
        <v>49125</v>
      </c>
      <c r="L124" s="381">
        <v>46478</v>
      </c>
      <c r="M124" s="381">
        <v>46843</v>
      </c>
      <c r="N124" s="663"/>
      <c r="O124" s="680"/>
      <c r="P124" s="363" t="s">
        <v>520</v>
      </c>
      <c r="Q124" s="380" t="s">
        <v>5</v>
      </c>
      <c r="R124" s="380"/>
      <c r="S124" s="363" t="s">
        <v>499</v>
      </c>
      <c r="T124" s="363"/>
      <c r="U124" s="363" t="s">
        <v>500</v>
      </c>
      <c r="V124" s="363"/>
      <c r="W124" s="363" t="s">
        <v>501</v>
      </c>
      <c r="X124" s="363"/>
      <c r="Y124" s="363" t="s">
        <v>674</v>
      </c>
      <c r="Z124" s="363"/>
      <c r="AA124" s="363"/>
      <c r="AB124" s="363"/>
      <c r="AC124" s="363"/>
      <c r="AD124" s="363"/>
      <c r="AE124" s="363" t="s">
        <v>96</v>
      </c>
      <c r="AF124" s="380" t="s">
        <v>97</v>
      </c>
      <c r="AG124" s="380" t="s">
        <v>494</v>
      </c>
      <c r="AH124" s="363"/>
    </row>
    <row r="125" spans="2:34" ht="14.4" x14ac:dyDescent="0.3">
      <c r="B125" s="380" t="s">
        <v>14</v>
      </c>
      <c r="C125" s="412" t="s">
        <v>614</v>
      </c>
      <c r="D125" s="413" t="s">
        <v>447</v>
      </c>
      <c r="E125" s="436" t="s">
        <v>675</v>
      </c>
      <c r="F125" s="415">
        <v>45743</v>
      </c>
      <c r="G125" s="380" t="s">
        <v>643</v>
      </c>
      <c r="H125" s="380">
        <v>2</v>
      </c>
      <c r="I125" s="388">
        <v>152880</v>
      </c>
      <c r="J125" s="380">
        <v>3</v>
      </c>
      <c r="K125" s="389">
        <f t="shared" si="4"/>
        <v>50960</v>
      </c>
      <c r="L125" s="381">
        <v>45748</v>
      </c>
      <c r="M125" s="381">
        <v>46112</v>
      </c>
      <c r="N125" s="663"/>
      <c r="O125" s="680"/>
      <c r="P125" s="363" t="s">
        <v>19</v>
      </c>
      <c r="Q125" s="380" t="s">
        <v>3</v>
      </c>
      <c r="R125" s="380"/>
      <c r="S125" s="390" t="s">
        <v>357</v>
      </c>
      <c r="T125" s="363" t="s">
        <v>676</v>
      </c>
      <c r="U125" s="390" t="s">
        <v>665</v>
      </c>
      <c r="V125" s="363" t="s">
        <v>677</v>
      </c>
      <c r="W125" s="390" t="s">
        <v>361</v>
      </c>
      <c r="X125" s="363" t="s">
        <v>403</v>
      </c>
      <c r="Y125" s="363"/>
      <c r="Z125" s="363"/>
      <c r="AA125" s="363"/>
      <c r="AB125" s="363"/>
      <c r="AC125" s="363"/>
      <c r="AD125" s="363"/>
      <c r="AE125" s="363" t="s">
        <v>281</v>
      </c>
      <c r="AF125" s="380" t="s">
        <v>97</v>
      </c>
      <c r="AG125" s="380">
        <v>3</v>
      </c>
      <c r="AH125" s="363" t="s">
        <v>678</v>
      </c>
    </row>
    <row r="126" spans="2:34" ht="14.4" x14ac:dyDescent="0.3">
      <c r="B126" s="380" t="s">
        <v>14</v>
      </c>
      <c r="C126" s="429" t="s">
        <v>679</v>
      </c>
      <c r="D126" s="434" t="s">
        <v>680</v>
      </c>
      <c r="E126" s="380">
        <v>7000168921</v>
      </c>
      <c r="F126" s="387">
        <v>45834</v>
      </c>
      <c r="G126" s="380" t="s">
        <v>643</v>
      </c>
      <c r="H126" s="380">
        <v>2</v>
      </c>
      <c r="I126" s="435">
        <v>180000</v>
      </c>
      <c r="J126" s="380">
        <v>2</v>
      </c>
      <c r="K126" s="389">
        <f t="shared" si="4"/>
        <v>90000</v>
      </c>
      <c r="L126" s="381">
        <v>45748</v>
      </c>
      <c r="M126" s="381">
        <v>46112</v>
      </c>
      <c r="N126" s="663"/>
      <c r="O126" s="680"/>
      <c r="P126" s="363" t="s">
        <v>19</v>
      </c>
      <c r="Q126" s="380" t="s">
        <v>3</v>
      </c>
      <c r="R126" s="380"/>
      <c r="S126" s="390" t="s">
        <v>681</v>
      </c>
      <c r="T126" s="363" t="s">
        <v>682</v>
      </c>
      <c r="U126" s="390" t="s">
        <v>465</v>
      </c>
      <c r="V126" s="363" t="s">
        <v>683</v>
      </c>
      <c r="W126" s="363"/>
      <c r="X126" s="363"/>
      <c r="Y126" s="363"/>
      <c r="Z126" s="363"/>
      <c r="AA126" s="363"/>
      <c r="AB126" s="363"/>
      <c r="AC126" s="363"/>
      <c r="AD126" s="363"/>
      <c r="AE126" s="363" t="s">
        <v>485</v>
      </c>
      <c r="AF126" s="380" t="s">
        <v>63</v>
      </c>
      <c r="AG126" s="380">
        <v>2</v>
      </c>
      <c r="AH126" s="363" t="s">
        <v>684</v>
      </c>
    </row>
    <row r="127" spans="2:34" ht="14.4" x14ac:dyDescent="0.3">
      <c r="B127" s="380" t="s">
        <v>14</v>
      </c>
      <c r="C127" s="430" t="s">
        <v>685</v>
      </c>
      <c r="D127" s="386" t="s">
        <v>151</v>
      </c>
      <c r="E127" s="380">
        <v>4512433191</v>
      </c>
      <c r="F127" s="387">
        <v>45749</v>
      </c>
      <c r="G127" s="380" t="s">
        <v>643</v>
      </c>
      <c r="H127" s="380">
        <v>1</v>
      </c>
      <c r="I127" s="388">
        <v>46000</v>
      </c>
      <c r="J127" s="380">
        <v>3</v>
      </c>
      <c r="K127" s="389">
        <f t="shared" si="4"/>
        <v>15333.333333333334</v>
      </c>
      <c r="L127" s="381">
        <v>45778</v>
      </c>
      <c r="M127" s="381">
        <v>46142</v>
      </c>
      <c r="N127" s="663"/>
      <c r="O127" s="680"/>
      <c r="P127" s="363" t="s">
        <v>19</v>
      </c>
      <c r="Q127" s="380" t="s">
        <v>5</v>
      </c>
      <c r="R127" s="380"/>
      <c r="S127" s="390" t="s">
        <v>343</v>
      </c>
      <c r="T127" s="363" t="s">
        <v>686</v>
      </c>
      <c r="U127" s="390" t="s">
        <v>345</v>
      </c>
      <c r="V127" s="363" t="s">
        <v>687</v>
      </c>
      <c r="W127" s="390" t="s">
        <v>347</v>
      </c>
      <c r="X127" s="363" t="s">
        <v>688</v>
      </c>
      <c r="Y127" s="363"/>
      <c r="Z127" s="363"/>
      <c r="AA127" s="363"/>
      <c r="AB127" s="363"/>
      <c r="AC127" s="363"/>
      <c r="AD127" s="363"/>
      <c r="AE127" s="363" t="s">
        <v>478</v>
      </c>
      <c r="AF127" s="380" t="s">
        <v>63</v>
      </c>
      <c r="AG127" s="380">
        <v>5</v>
      </c>
      <c r="AH127" s="363" t="s">
        <v>689</v>
      </c>
    </row>
    <row r="128" spans="2:34" ht="14.4" x14ac:dyDescent="0.3">
      <c r="B128" s="380" t="s">
        <v>14</v>
      </c>
      <c r="C128" s="430" t="s">
        <v>685</v>
      </c>
      <c r="D128" s="386" t="s">
        <v>151</v>
      </c>
      <c r="E128" s="419">
        <v>4512439844</v>
      </c>
      <c r="F128" s="387">
        <v>45750</v>
      </c>
      <c r="G128" s="380" t="s">
        <v>643</v>
      </c>
      <c r="H128" s="380">
        <v>1</v>
      </c>
      <c r="I128" s="388">
        <v>269660</v>
      </c>
      <c r="J128" s="380">
        <v>3</v>
      </c>
      <c r="K128" s="389">
        <f t="shared" si="4"/>
        <v>89886.666666666672</v>
      </c>
      <c r="L128" s="381">
        <v>45748</v>
      </c>
      <c r="M128" s="381">
        <v>46112</v>
      </c>
      <c r="N128" s="663"/>
      <c r="O128" s="680"/>
      <c r="P128" s="363" t="s">
        <v>19</v>
      </c>
      <c r="Q128" s="380" t="s">
        <v>5</v>
      </c>
      <c r="R128" s="380"/>
      <c r="S128" s="390" t="s">
        <v>357</v>
      </c>
      <c r="T128" s="363" t="s">
        <v>690</v>
      </c>
      <c r="U128" s="390" t="s">
        <v>665</v>
      </c>
      <c r="V128" s="363" t="s">
        <v>691</v>
      </c>
      <c r="W128" s="390" t="s">
        <v>361</v>
      </c>
      <c r="X128" s="363" t="s">
        <v>692</v>
      </c>
      <c r="Y128" s="363"/>
      <c r="Z128" s="363"/>
      <c r="AA128" s="363"/>
      <c r="AB128" s="363"/>
      <c r="AC128" s="363"/>
      <c r="AD128" s="363"/>
      <c r="AE128" s="363" t="s">
        <v>478</v>
      </c>
      <c r="AF128" s="380" t="s">
        <v>63</v>
      </c>
      <c r="AG128" s="380">
        <v>5</v>
      </c>
      <c r="AH128" s="363" t="s">
        <v>689</v>
      </c>
    </row>
    <row r="129" spans="2:34" ht="14.4" x14ac:dyDescent="0.3">
      <c r="B129" s="380" t="s">
        <v>14</v>
      </c>
      <c r="C129" s="409" t="s">
        <v>668</v>
      </c>
      <c r="D129" s="386" t="s">
        <v>693</v>
      </c>
      <c r="E129" s="419">
        <v>30078594</v>
      </c>
      <c r="F129" s="387">
        <v>45755</v>
      </c>
      <c r="G129" s="380" t="s">
        <v>643</v>
      </c>
      <c r="H129" s="380">
        <v>7</v>
      </c>
      <c r="I129" s="388">
        <v>420413</v>
      </c>
      <c r="J129" s="380">
        <v>2</v>
      </c>
      <c r="K129" s="389">
        <f t="shared" si="4"/>
        <v>210206.5</v>
      </c>
      <c r="L129" s="381">
        <v>45748</v>
      </c>
      <c r="M129" s="381">
        <v>46112</v>
      </c>
      <c r="N129" s="663"/>
      <c r="O129" s="680"/>
      <c r="P129" s="363" t="s">
        <v>19</v>
      </c>
      <c r="Q129" s="380" t="s">
        <v>5</v>
      </c>
      <c r="R129" s="380"/>
      <c r="S129" s="390" t="s">
        <v>463</v>
      </c>
      <c r="T129" s="363" t="s">
        <v>694</v>
      </c>
      <c r="U129" s="390" t="s">
        <v>465</v>
      </c>
      <c r="V129" s="363" t="s">
        <v>695</v>
      </c>
      <c r="W129" s="363"/>
      <c r="X129" s="363"/>
      <c r="Y129" s="363"/>
      <c r="Z129" s="363"/>
      <c r="AA129" s="363"/>
      <c r="AB129" s="363"/>
      <c r="AC129" s="363"/>
      <c r="AD129" s="363"/>
      <c r="AE129" s="363" t="s">
        <v>128</v>
      </c>
      <c r="AF129" s="380" t="s">
        <v>129</v>
      </c>
      <c r="AG129" s="380">
        <v>2</v>
      </c>
      <c r="AH129" s="363" t="s">
        <v>696</v>
      </c>
    </row>
    <row r="130" spans="2:34" ht="14.4" x14ac:dyDescent="0.3">
      <c r="B130" s="380" t="s">
        <v>14</v>
      </c>
      <c r="C130" s="409" t="s">
        <v>544</v>
      </c>
      <c r="D130" s="386" t="s">
        <v>447</v>
      </c>
      <c r="E130" s="380">
        <v>1240065413</v>
      </c>
      <c r="F130" s="387">
        <v>45744</v>
      </c>
      <c r="G130" s="380" t="s">
        <v>643</v>
      </c>
      <c r="H130" s="380">
        <v>2</v>
      </c>
      <c r="I130" s="388">
        <v>204999.96</v>
      </c>
      <c r="J130" s="380">
        <v>3</v>
      </c>
      <c r="K130" s="389">
        <f t="shared" si="4"/>
        <v>68333.319999999992</v>
      </c>
      <c r="L130" s="381">
        <v>45748</v>
      </c>
      <c r="M130" s="381">
        <v>46112</v>
      </c>
      <c r="N130" s="663"/>
      <c r="O130" s="680"/>
      <c r="P130" s="363" t="s">
        <v>19</v>
      </c>
      <c r="Q130" s="380" t="s">
        <v>3</v>
      </c>
      <c r="R130" s="380"/>
      <c r="S130" s="390" t="s">
        <v>357</v>
      </c>
      <c r="T130" s="363" t="s">
        <v>697</v>
      </c>
      <c r="U130" s="390" t="s">
        <v>665</v>
      </c>
      <c r="V130" s="363" t="s">
        <v>698</v>
      </c>
      <c r="W130" s="390" t="s">
        <v>361</v>
      </c>
      <c r="X130" s="363" t="s">
        <v>699</v>
      </c>
      <c r="Y130" s="363"/>
      <c r="Z130" s="363"/>
      <c r="AA130" s="363"/>
      <c r="AB130" s="363"/>
      <c r="AC130" s="363"/>
      <c r="AD130" s="363"/>
      <c r="AE130" s="363" t="s">
        <v>96</v>
      </c>
      <c r="AF130" s="380" t="s">
        <v>97</v>
      </c>
      <c r="AG130" s="380">
        <v>3</v>
      </c>
      <c r="AH130" s="363" t="s">
        <v>700</v>
      </c>
    </row>
    <row r="131" spans="2:34" ht="14.4" x14ac:dyDescent="0.3">
      <c r="B131" s="380" t="s">
        <v>14</v>
      </c>
      <c r="C131" s="363" t="s">
        <v>701</v>
      </c>
      <c r="D131" s="386" t="s">
        <v>702</v>
      </c>
      <c r="E131" s="419">
        <v>6000079727</v>
      </c>
      <c r="F131" s="387">
        <v>45754</v>
      </c>
      <c r="G131" s="407" t="s">
        <v>703</v>
      </c>
      <c r="H131" s="380">
        <v>1</v>
      </c>
      <c r="I131" s="388">
        <v>362744.94</v>
      </c>
      <c r="J131" s="380">
        <v>6</v>
      </c>
      <c r="K131" s="389">
        <f t="shared" ref="K131:K162" si="5">I131/J131</f>
        <v>60457.49</v>
      </c>
      <c r="L131" s="381">
        <v>45818</v>
      </c>
      <c r="M131" s="381">
        <v>46182</v>
      </c>
      <c r="N131" s="663"/>
      <c r="O131" s="680"/>
      <c r="P131" s="363" t="s">
        <v>19</v>
      </c>
      <c r="Q131" s="380" t="s">
        <v>9</v>
      </c>
      <c r="R131" s="380"/>
      <c r="S131" s="390" t="s">
        <v>704</v>
      </c>
      <c r="T131" s="363" t="s">
        <v>705</v>
      </c>
      <c r="U131" s="390" t="s">
        <v>706</v>
      </c>
      <c r="V131" s="363" t="s">
        <v>707</v>
      </c>
      <c r="W131" s="390" t="s">
        <v>708</v>
      </c>
      <c r="X131" s="363" t="s">
        <v>709</v>
      </c>
      <c r="Y131" s="390" t="s">
        <v>710</v>
      </c>
      <c r="Z131" s="363" t="s">
        <v>230</v>
      </c>
      <c r="AA131" s="390" t="s">
        <v>711</v>
      </c>
      <c r="AB131" s="363" t="s">
        <v>712</v>
      </c>
      <c r="AC131" s="390" t="s">
        <v>713</v>
      </c>
      <c r="AD131" s="363" t="s">
        <v>1851</v>
      </c>
      <c r="AE131" s="363" t="s">
        <v>128</v>
      </c>
      <c r="AF131" s="380" t="s">
        <v>129</v>
      </c>
      <c r="AG131" s="380" t="s">
        <v>494</v>
      </c>
      <c r="AH131" s="363" t="s">
        <v>715</v>
      </c>
    </row>
    <row r="132" spans="2:34" ht="14.4" x14ac:dyDescent="0.3">
      <c r="B132" s="380" t="s">
        <v>14</v>
      </c>
      <c r="C132" s="409" t="s">
        <v>716</v>
      </c>
      <c r="D132" s="386" t="s">
        <v>447</v>
      </c>
      <c r="E132" s="380" t="s">
        <v>717</v>
      </c>
      <c r="F132" s="387">
        <v>45751</v>
      </c>
      <c r="G132" s="380" t="s">
        <v>643</v>
      </c>
      <c r="H132" s="380">
        <v>2</v>
      </c>
      <c r="I132" s="388">
        <f>118050+118050</f>
        <v>236100</v>
      </c>
      <c r="J132" s="380">
        <v>3</v>
      </c>
      <c r="K132" s="389">
        <f t="shared" si="5"/>
        <v>78700</v>
      </c>
      <c r="L132" s="381">
        <v>45748</v>
      </c>
      <c r="M132" s="381">
        <v>46112</v>
      </c>
      <c r="N132" s="663"/>
      <c r="O132" s="680"/>
      <c r="P132" s="363" t="s">
        <v>19</v>
      </c>
      <c r="Q132" s="380" t="s">
        <v>3</v>
      </c>
      <c r="R132" s="380"/>
      <c r="S132" s="390" t="s">
        <v>357</v>
      </c>
      <c r="T132" s="363" t="s">
        <v>570</v>
      </c>
      <c r="U132" s="390" t="s">
        <v>665</v>
      </c>
      <c r="V132" s="363" t="s">
        <v>718</v>
      </c>
      <c r="W132" s="390" t="s">
        <v>361</v>
      </c>
      <c r="X132" s="363" t="s">
        <v>719</v>
      </c>
      <c r="Y132" s="363"/>
      <c r="Z132" s="363"/>
      <c r="AA132" s="363"/>
      <c r="AB132" s="363"/>
      <c r="AC132" s="363"/>
      <c r="AD132" s="363"/>
      <c r="AE132" s="363" t="s">
        <v>281</v>
      </c>
      <c r="AF132" s="380" t="s">
        <v>97</v>
      </c>
      <c r="AG132" s="380" t="s">
        <v>494</v>
      </c>
      <c r="AH132" s="363" t="s">
        <v>720</v>
      </c>
    </row>
    <row r="133" spans="2:34" ht="14.4" x14ac:dyDescent="0.3">
      <c r="B133" s="380" t="s">
        <v>14</v>
      </c>
      <c r="C133" s="409" t="s">
        <v>716</v>
      </c>
      <c r="D133" s="386" t="s">
        <v>447</v>
      </c>
      <c r="E133" s="380" t="s">
        <v>721</v>
      </c>
      <c r="F133" s="387">
        <v>45751</v>
      </c>
      <c r="G133" s="380" t="s">
        <v>643</v>
      </c>
      <c r="H133" s="380">
        <v>3</v>
      </c>
      <c r="I133" s="388">
        <f>59022+83613+118050</f>
        <v>260685</v>
      </c>
      <c r="J133" s="380">
        <v>3</v>
      </c>
      <c r="K133" s="389">
        <f t="shared" si="5"/>
        <v>86895</v>
      </c>
      <c r="L133" s="381">
        <v>45748</v>
      </c>
      <c r="M133" s="381">
        <v>46112</v>
      </c>
      <c r="N133" s="663"/>
      <c r="O133" s="680"/>
      <c r="P133" s="363" t="s">
        <v>19</v>
      </c>
      <c r="Q133" s="380" t="s">
        <v>3</v>
      </c>
      <c r="R133" s="380"/>
      <c r="S133" s="390" t="s">
        <v>357</v>
      </c>
      <c r="T133" s="363" t="s">
        <v>722</v>
      </c>
      <c r="U133" s="390" t="s">
        <v>665</v>
      </c>
      <c r="V133" s="363" t="s">
        <v>723</v>
      </c>
      <c r="W133" s="390" t="s">
        <v>361</v>
      </c>
      <c r="X133" s="363" t="s">
        <v>719</v>
      </c>
      <c r="Y133" s="363"/>
      <c r="Z133" s="363"/>
      <c r="AA133" s="363"/>
      <c r="AB133" s="363"/>
      <c r="AC133" s="363"/>
      <c r="AD133" s="363"/>
      <c r="AE133" s="363"/>
      <c r="AF133" s="380"/>
      <c r="AG133" s="380"/>
      <c r="AH133" s="363"/>
    </row>
    <row r="134" spans="2:34" ht="14.4" x14ac:dyDescent="0.3">
      <c r="B134" s="380" t="s">
        <v>14</v>
      </c>
      <c r="C134" s="409" t="s">
        <v>716</v>
      </c>
      <c r="D134" s="386" t="s">
        <v>447</v>
      </c>
      <c r="E134" s="380" t="s">
        <v>724</v>
      </c>
      <c r="F134" s="387">
        <v>45751</v>
      </c>
      <c r="G134" s="380" t="s">
        <v>643</v>
      </c>
      <c r="H134" s="380">
        <v>1</v>
      </c>
      <c r="I134" s="388">
        <v>57078</v>
      </c>
      <c r="J134" s="380">
        <v>3</v>
      </c>
      <c r="K134" s="389">
        <f t="shared" si="5"/>
        <v>19026</v>
      </c>
      <c r="L134" s="381">
        <v>45748</v>
      </c>
      <c r="M134" s="381">
        <v>46112</v>
      </c>
      <c r="N134" s="663"/>
      <c r="O134" s="680"/>
      <c r="P134" s="363" t="s">
        <v>19</v>
      </c>
      <c r="Q134" s="380" t="s">
        <v>3</v>
      </c>
      <c r="R134" s="380"/>
      <c r="S134" s="390" t="s">
        <v>357</v>
      </c>
      <c r="T134" s="363" t="s">
        <v>725</v>
      </c>
      <c r="U134" s="390" t="s">
        <v>665</v>
      </c>
      <c r="V134" s="363" t="s">
        <v>718</v>
      </c>
      <c r="W134" s="390" t="s">
        <v>361</v>
      </c>
      <c r="X134" s="363" t="s">
        <v>726</v>
      </c>
      <c r="Y134" s="363"/>
      <c r="Z134" s="363"/>
      <c r="AA134" s="363"/>
      <c r="AB134" s="363"/>
      <c r="AC134" s="363"/>
      <c r="AD134" s="363"/>
      <c r="AE134" s="363"/>
      <c r="AF134" s="380"/>
      <c r="AG134" s="380"/>
      <c r="AH134" s="363"/>
    </row>
    <row r="135" spans="2:34" ht="14.4" x14ac:dyDescent="0.3">
      <c r="B135" s="380" t="s">
        <v>14</v>
      </c>
      <c r="C135" s="412" t="s">
        <v>727</v>
      </c>
      <c r="D135" s="413" t="s">
        <v>447</v>
      </c>
      <c r="E135" s="416">
        <v>4100030249</v>
      </c>
      <c r="F135" s="415">
        <v>45726</v>
      </c>
      <c r="G135" s="407" t="s">
        <v>703</v>
      </c>
      <c r="H135" s="380">
        <v>1</v>
      </c>
      <c r="I135" s="388">
        <v>476000</v>
      </c>
      <c r="J135" s="380">
        <v>3</v>
      </c>
      <c r="K135" s="389">
        <f t="shared" si="5"/>
        <v>158666.66666666666</v>
      </c>
      <c r="L135" s="381">
        <v>45726</v>
      </c>
      <c r="M135" s="381">
        <v>46090</v>
      </c>
      <c r="N135" s="663"/>
      <c r="O135" s="680"/>
      <c r="P135" s="363" t="s">
        <v>19</v>
      </c>
      <c r="Q135" s="380" t="s">
        <v>3</v>
      </c>
      <c r="R135" s="380"/>
      <c r="S135" s="390" t="s">
        <v>728</v>
      </c>
      <c r="T135" s="363" t="s">
        <v>225</v>
      </c>
      <c r="U135" s="390" t="s">
        <v>729</v>
      </c>
      <c r="V135" s="363" t="s">
        <v>730</v>
      </c>
      <c r="W135" s="390" t="s">
        <v>731</v>
      </c>
      <c r="X135" s="363" t="s">
        <v>732</v>
      </c>
      <c r="Y135" s="363"/>
      <c r="Z135" s="363"/>
      <c r="AA135" s="363"/>
      <c r="AB135" s="363"/>
      <c r="AC135" s="363"/>
      <c r="AD135" s="363"/>
      <c r="AE135" s="363" t="s">
        <v>281</v>
      </c>
      <c r="AF135" s="380" t="s">
        <v>97</v>
      </c>
      <c r="AG135" s="380" t="s">
        <v>494</v>
      </c>
      <c r="AH135" s="363" t="s">
        <v>733</v>
      </c>
    </row>
    <row r="136" spans="2:34" ht="14.4" hidden="1" x14ac:dyDescent="0.3">
      <c r="B136" s="380" t="s">
        <v>14</v>
      </c>
      <c r="C136" s="409" t="s">
        <v>734</v>
      </c>
      <c r="D136" s="386" t="s">
        <v>323</v>
      </c>
      <c r="E136" s="419">
        <v>101265544</v>
      </c>
      <c r="F136" s="387">
        <v>45716</v>
      </c>
      <c r="G136" s="380" t="s">
        <v>643</v>
      </c>
      <c r="H136" s="380"/>
      <c r="I136" s="388">
        <v>329600</v>
      </c>
      <c r="J136" s="380">
        <v>3</v>
      </c>
      <c r="K136" s="389">
        <f t="shared" si="5"/>
        <v>109866.66666666667</v>
      </c>
      <c r="L136" s="381">
        <v>45778</v>
      </c>
      <c r="M136" s="381">
        <v>46142</v>
      </c>
      <c r="N136" s="663"/>
      <c r="O136" s="680"/>
      <c r="P136" s="363" t="s">
        <v>520</v>
      </c>
      <c r="Q136" s="380" t="s">
        <v>5</v>
      </c>
      <c r="R136" s="380"/>
      <c r="S136" s="390" t="s">
        <v>343</v>
      </c>
      <c r="T136" s="363" t="s">
        <v>344</v>
      </c>
      <c r="U136" s="390" t="s">
        <v>345</v>
      </c>
      <c r="V136" s="363" t="s">
        <v>493</v>
      </c>
      <c r="W136" s="390" t="s">
        <v>347</v>
      </c>
      <c r="X136" s="363" t="s">
        <v>735</v>
      </c>
      <c r="Y136" s="363"/>
      <c r="Z136" s="363"/>
      <c r="AA136" s="363"/>
      <c r="AB136" s="363"/>
      <c r="AC136" s="363"/>
      <c r="AD136" s="363"/>
      <c r="AE136" s="363" t="s">
        <v>96</v>
      </c>
      <c r="AF136" s="380" t="s">
        <v>97</v>
      </c>
      <c r="AG136" s="380" t="s">
        <v>494</v>
      </c>
      <c r="AH136" s="363" t="s">
        <v>736</v>
      </c>
    </row>
    <row r="137" spans="2:34" ht="14.4" hidden="1" x14ac:dyDescent="0.3">
      <c r="B137" s="380" t="s">
        <v>14</v>
      </c>
      <c r="C137" s="409" t="s">
        <v>734</v>
      </c>
      <c r="D137" s="386" t="s">
        <v>323</v>
      </c>
      <c r="E137" s="419">
        <v>101265544</v>
      </c>
      <c r="F137" s="387">
        <v>45716</v>
      </c>
      <c r="G137" s="380" t="s">
        <v>643</v>
      </c>
      <c r="H137" s="380">
        <v>4</v>
      </c>
      <c r="I137" s="388">
        <v>339488</v>
      </c>
      <c r="J137" s="380">
        <v>3</v>
      </c>
      <c r="K137" s="389">
        <f t="shared" si="5"/>
        <v>113162.66666666667</v>
      </c>
      <c r="L137" s="381">
        <v>46143</v>
      </c>
      <c r="M137" s="381">
        <v>46507</v>
      </c>
      <c r="N137" s="663"/>
      <c r="O137" s="680"/>
      <c r="P137" s="363" t="s">
        <v>520</v>
      </c>
      <c r="Q137" s="380" t="s">
        <v>5</v>
      </c>
      <c r="R137" s="380"/>
      <c r="S137" s="363" t="s">
        <v>737</v>
      </c>
      <c r="T137" s="363"/>
      <c r="U137" s="363" t="s">
        <v>349</v>
      </c>
      <c r="V137" s="363"/>
      <c r="W137" s="363" t="s">
        <v>738</v>
      </c>
      <c r="X137" s="363"/>
      <c r="Y137" s="363"/>
      <c r="Z137" s="363"/>
      <c r="AA137" s="363"/>
      <c r="AB137" s="363"/>
      <c r="AC137" s="363"/>
      <c r="AD137" s="363"/>
      <c r="AE137" s="363" t="s">
        <v>96</v>
      </c>
      <c r="AF137" s="380" t="s">
        <v>97</v>
      </c>
      <c r="AG137" s="380" t="s">
        <v>494</v>
      </c>
      <c r="AH137" s="363" t="s">
        <v>736</v>
      </c>
    </row>
    <row r="138" spans="2:34" ht="14.4" x14ac:dyDescent="0.3">
      <c r="B138" s="380" t="s">
        <v>14</v>
      </c>
      <c r="C138" s="409" t="s">
        <v>739</v>
      </c>
      <c r="D138" s="386" t="s">
        <v>740</v>
      </c>
      <c r="E138" s="419">
        <v>3400014785</v>
      </c>
      <c r="F138" s="387">
        <v>45735</v>
      </c>
      <c r="G138" s="380" t="s">
        <v>643</v>
      </c>
      <c r="H138" s="380">
        <v>10</v>
      </c>
      <c r="I138" s="388">
        <v>660800</v>
      </c>
      <c r="J138" s="380">
        <v>4</v>
      </c>
      <c r="K138" s="389">
        <f t="shared" si="5"/>
        <v>165200</v>
      </c>
      <c r="L138" s="381">
        <v>45689</v>
      </c>
      <c r="M138" s="381">
        <v>46053</v>
      </c>
      <c r="N138" s="663"/>
      <c r="O138" s="680"/>
      <c r="P138" s="363" t="s">
        <v>19</v>
      </c>
      <c r="Q138" s="380" t="s">
        <v>0</v>
      </c>
      <c r="R138" s="380"/>
      <c r="S138" s="390" t="s">
        <v>264</v>
      </c>
      <c r="T138" s="363" t="s">
        <v>741</v>
      </c>
      <c r="U138" s="390" t="s">
        <v>266</v>
      </c>
      <c r="V138" s="363" t="s">
        <v>379</v>
      </c>
      <c r="W138" s="390" t="s">
        <v>267</v>
      </c>
      <c r="X138" s="363" t="s">
        <v>742</v>
      </c>
      <c r="Y138" s="390" t="s">
        <v>269</v>
      </c>
      <c r="Z138" s="363" t="s">
        <v>441</v>
      </c>
      <c r="AA138" s="363"/>
      <c r="AB138" s="363"/>
      <c r="AC138" s="363"/>
      <c r="AD138" s="363"/>
      <c r="AE138" s="363" t="s">
        <v>96</v>
      </c>
      <c r="AF138" s="380" t="s">
        <v>97</v>
      </c>
      <c r="AG138" s="380" t="s">
        <v>494</v>
      </c>
      <c r="AH138" s="363" t="s">
        <v>743</v>
      </c>
    </row>
    <row r="139" spans="2:34" ht="14.4" x14ac:dyDescent="0.3">
      <c r="B139" s="380" t="s">
        <v>14</v>
      </c>
      <c r="C139" s="409" t="s">
        <v>744</v>
      </c>
      <c r="D139" s="386" t="s">
        <v>176</v>
      </c>
      <c r="E139" s="419">
        <v>4500022079</v>
      </c>
      <c r="F139" s="387">
        <v>45758</v>
      </c>
      <c r="G139" s="380" t="s">
        <v>643</v>
      </c>
      <c r="H139" s="380">
        <v>1</v>
      </c>
      <c r="I139" s="388">
        <v>95545</v>
      </c>
      <c r="J139" s="380">
        <v>2</v>
      </c>
      <c r="K139" s="389">
        <f t="shared" si="5"/>
        <v>47772.5</v>
      </c>
      <c r="L139" s="381">
        <v>45704</v>
      </c>
      <c r="M139" s="381">
        <v>46068</v>
      </c>
      <c r="N139" s="663"/>
      <c r="O139" s="680"/>
      <c r="P139" s="363" t="s">
        <v>19</v>
      </c>
      <c r="Q139" s="380" t="s">
        <v>2</v>
      </c>
      <c r="R139" s="380"/>
      <c r="S139" s="390" t="s">
        <v>745</v>
      </c>
      <c r="T139" s="363" t="s">
        <v>601</v>
      </c>
      <c r="U139" s="390" t="s">
        <v>746</v>
      </c>
      <c r="V139" s="363" t="s">
        <v>747</v>
      </c>
      <c r="W139" s="363"/>
      <c r="X139" s="363"/>
      <c r="Y139" s="363"/>
      <c r="Z139" s="363"/>
      <c r="AA139" s="363"/>
      <c r="AB139" s="363"/>
      <c r="AC139" s="363"/>
      <c r="AD139" s="363"/>
      <c r="AE139" s="363" t="s">
        <v>183</v>
      </c>
      <c r="AF139" s="380" t="s">
        <v>97</v>
      </c>
      <c r="AG139" s="380">
        <v>2</v>
      </c>
      <c r="AH139" s="363" t="s">
        <v>748</v>
      </c>
    </row>
    <row r="140" spans="2:34" ht="14.4" x14ac:dyDescent="0.3">
      <c r="B140" s="380" t="s">
        <v>14</v>
      </c>
      <c r="C140" s="409" t="s">
        <v>527</v>
      </c>
      <c r="D140" s="423" t="s">
        <v>131</v>
      </c>
      <c r="E140" s="424">
        <v>7000880580</v>
      </c>
      <c r="F140" s="387">
        <v>45758</v>
      </c>
      <c r="G140" s="380" t="s">
        <v>643</v>
      </c>
      <c r="H140" s="380">
        <v>1</v>
      </c>
      <c r="I140" s="388">
        <v>78750</v>
      </c>
      <c r="J140" s="380">
        <v>2</v>
      </c>
      <c r="K140" s="389">
        <f t="shared" si="5"/>
        <v>39375</v>
      </c>
      <c r="L140" s="381">
        <v>45748</v>
      </c>
      <c r="M140" s="381">
        <v>46112</v>
      </c>
      <c r="N140" s="663"/>
      <c r="O140" s="680"/>
      <c r="P140" s="363" t="s">
        <v>19</v>
      </c>
      <c r="Q140" s="380" t="s">
        <v>3</v>
      </c>
      <c r="R140" s="380"/>
      <c r="S140" s="390" t="s">
        <v>463</v>
      </c>
      <c r="T140" s="363" t="s">
        <v>749</v>
      </c>
      <c r="U140" s="390" t="s">
        <v>465</v>
      </c>
      <c r="V140" s="363" t="s">
        <v>750</v>
      </c>
      <c r="W140" s="363"/>
      <c r="X140" s="363"/>
      <c r="Y140" s="363"/>
      <c r="Z140" s="363"/>
      <c r="AA140" s="363"/>
      <c r="AB140" s="363"/>
      <c r="AC140" s="363"/>
      <c r="AD140" s="363"/>
      <c r="AE140" s="363" t="s">
        <v>485</v>
      </c>
      <c r="AF140" s="380" t="s">
        <v>63</v>
      </c>
      <c r="AG140" s="380">
        <v>2</v>
      </c>
      <c r="AH140" s="363" t="s">
        <v>748</v>
      </c>
    </row>
    <row r="141" spans="2:34" ht="14.4" x14ac:dyDescent="0.3">
      <c r="B141" s="380" t="s">
        <v>14</v>
      </c>
      <c r="C141" s="409" t="s">
        <v>751</v>
      </c>
      <c r="D141" s="423" t="s">
        <v>752</v>
      </c>
      <c r="E141" s="419">
        <v>351002166</v>
      </c>
      <c r="F141" s="387">
        <v>45758</v>
      </c>
      <c r="G141" s="380" t="s">
        <v>643</v>
      </c>
      <c r="H141" s="380">
        <v>1</v>
      </c>
      <c r="I141" s="388">
        <v>84000</v>
      </c>
      <c r="J141" s="380">
        <v>3</v>
      </c>
      <c r="K141" s="389">
        <f t="shared" si="5"/>
        <v>28000</v>
      </c>
      <c r="L141" s="381">
        <v>45778</v>
      </c>
      <c r="M141" s="381">
        <v>46142</v>
      </c>
      <c r="N141" s="663"/>
      <c r="O141" s="680"/>
      <c r="P141" s="363" t="s">
        <v>19</v>
      </c>
      <c r="Q141" s="380" t="s">
        <v>5</v>
      </c>
      <c r="R141" s="380"/>
      <c r="S141" s="390" t="s">
        <v>343</v>
      </c>
      <c r="T141" s="363" t="s">
        <v>753</v>
      </c>
      <c r="U141" s="390" t="s">
        <v>345</v>
      </c>
      <c r="V141" s="363" t="s">
        <v>754</v>
      </c>
      <c r="W141" s="390" t="s">
        <v>347</v>
      </c>
      <c r="X141" s="363" t="s">
        <v>443</v>
      </c>
      <c r="Y141" s="363"/>
      <c r="Z141" s="363"/>
      <c r="AA141" s="363"/>
      <c r="AB141" s="363"/>
      <c r="AC141" s="363"/>
      <c r="AD141" s="363"/>
      <c r="AE141" s="363" t="s">
        <v>619</v>
      </c>
      <c r="AF141" s="380" t="s">
        <v>63</v>
      </c>
      <c r="AG141" s="380">
        <v>3</v>
      </c>
      <c r="AH141" s="363" t="s">
        <v>755</v>
      </c>
    </row>
    <row r="142" spans="2:34" ht="14.4" x14ac:dyDescent="0.3">
      <c r="B142" s="380" t="s">
        <v>14</v>
      </c>
      <c r="C142" s="409" t="s">
        <v>756</v>
      </c>
      <c r="D142" s="434" t="s">
        <v>757</v>
      </c>
      <c r="E142" s="419">
        <v>2265005320</v>
      </c>
      <c r="F142" s="387">
        <v>45722</v>
      </c>
      <c r="G142" s="380" t="s">
        <v>643</v>
      </c>
      <c r="H142" s="380">
        <v>2</v>
      </c>
      <c r="I142" s="388">
        <v>164160</v>
      </c>
      <c r="J142" s="380">
        <v>3</v>
      </c>
      <c r="K142" s="389">
        <f t="shared" si="5"/>
        <v>54720</v>
      </c>
      <c r="L142" s="381">
        <v>45748</v>
      </c>
      <c r="M142" s="381">
        <v>46112</v>
      </c>
      <c r="N142" s="663"/>
      <c r="O142" s="680"/>
      <c r="P142" s="363" t="s">
        <v>19</v>
      </c>
      <c r="Q142" s="380" t="s">
        <v>5</v>
      </c>
      <c r="R142" s="380"/>
      <c r="S142" s="390" t="s">
        <v>758</v>
      </c>
      <c r="T142" s="363" t="s">
        <v>759</v>
      </c>
      <c r="U142" s="390" t="s">
        <v>665</v>
      </c>
      <c r="V142" s="363" t="s">
        <v>760</v>
      </c>
      <c r="W142" s="390" t="s">
        <v>361</v>
      </c>
      <c r="X142" s="363" t="s">
        <v>455</v>
      </c>
      <c r="Y142" s="363"/>
      <c r="Z142" s="363"/>
      <c r="AA142" s="363"/>
      <c r="AB142" s="363"/>
      <c r="AC142" s="363"/>
      <c r="AD142" s="363"/>
      <c r="AE142" s="363" t="s">
        <v>507</v>
      </c>
      <c r="AF142" s="380" t="s">
        <v>63</v>
      </c>
      <c r="AG142" s="380">
        <v>3</v>
      </c>
      <c r="AH142" s="430" t="s">
        <v>761</v>
      </c>
    </row>
    <row r="143" spans="2:34" ht="14.4" x14ac:dyDescent="0.3">
      <c r="B143" s="380" t="s">
        <v>14</v>
      </c>
      <c r="C143" s="409" t="s">
        <v>762</v>
      </c>
      <c r="D143" s="423" t="s">
        <v>763</v>
      </c>
      <c r="E143" s="419" t="s">
        <v>764</v>
      </c>
      <c r="F143" s="387">
        <v>45761</v>
      </c>
      <c r="G143" s="380" t="s">
        <v>643</v>
      </c>
      <c r="H143" s="380">
        <v>1</v>
      </c>
      <c r="I143" s="388">
        <v>80001</v>
      </c>
      <c r="J143" s="380">
        <v>3</v>
      </c>
      <c r="K143" s="389">
        <f t="shared" si="5"/>
        <v>26667</v>
      </c>
      <c r="L143" s="381">
        <v>45748</v>
      </c>
      <c r="M143" s="381">
        <v>46112</v>
      </c>
      <c r="N143" s="663"/>
      <c r="O143" s="680"/>
      <c r="P143" s="363" t="s">
        <v>19</v>
      </c>
      <c r="Q143" s="380" t="s">
        <v>3</v>
      </c>
      <c r="R143" s="380"/>
      <c r="S143" s="390" t="s">
        <v>758</v>
      </c>
      <c r="T143" s="363" t="s">
        <v>429</v>
      </c>
      <c r="U143" s="390" t="s">
        <v>665</v>
      </c>
      <c r="V143" s="363" t="s">
        <v>765</v>
      </c>
      <c r="W143" s="390" t="s">
        <v>361</v>
      </c>
      <c r="X143" s="363" t="s">
        <v>466</v>
      </c>
      <c r="Y143" s="363"/>
      <c r="Z143" s="363"/>
      <c r="AA143" s="363"/>
      <c r="AB143" s="363"/>
      <c r="AC143" s="363"/>
      <c r="AD143" s="363"/>
      <c r="AE143" s="363" t="s">
        <v>507</v>
      </c>
      <c r="AF143" s="380" t="s">
        <v>63</v>
      </c>
      <c r="AG143" s="380">
        <v>3</v>
      </c>
      <c r="AH143" s="363" t="s">
        <v>667</v>
      </c>
    </row>
    <row r="144" spans="2:34" ht="14.4" x14ac:dyDescent="0.3">
      <c r="B144" s="380" t="s">
        <v>14</v>
      </c>
      <c r="C144" s="409" t="s">
        <v>766</v>
      </c>
      <c r="D144" s="386" t="s">
        <v>767</v>
      </c>
      <c r="E144" s="419" t="s">
        <v>768</v>
      </c>
      <c r="F144" s="387">
        <v>45762</v>
      </c>
      <c r="G144" s="380" t="s">
        <v>643</v>
      </c>
      <c r="H144" s="380">
        <v>2</v>
      </c>
      <c r="I144" s="388">
        <v>105600</v>
      </c>
      <c r="J144" s="380">
        <v>1</v>
      </c>
      <c r="K144" s="389">
        <f t="shared" si="5"/>
        <v>105600</v>
      </c>
      <c r="L144" s="381">
        <v>45748</v>
      </c>
      <c r="M144" s="381">
        <v>46112</v>
      </c>
      <c r="N144" s="663"/>
      <c r="O144" s="680"/>
      <c r="P144" s="363" t="s">
        <v>19</v>
      </c>
      <c r="Q144" s="380" t="s">
        <v>3</v>
      </c>
      <c r="R144" s="380"/>
      <c r="S144" s="390" t="s">
        <v>631</v>
      </c>
      <c r="T144" s="363" t="s">
        <v>769</v>
      </c>
      <c r="U144" s="363"/>
      <c r="V144" s="363"/>
      <c r="W144" s="363"/>
      <c r="X144" s="363"/>
      <c r="Y144" s="363"/>
      <c r="Z144" s="363"/>
      <c r="AA144" s="363"/>
      <c r="AB144" s="363"/>
      <c r="AC144" s="363"/>
      <c r="AD144" s="363"/>
      <c r="AE144" s="363" t="s">
        <v>485</v>
      </c>
      <c r="AF144" s="380" t="s">
        <v>63</v>
      </c>
      <c r="AG144" s="380">
        <v>2</v>
      </c>
      <c r="AH144" s="363" t="s">
        <v>770</v>
      </c>
    </row>
    <row r="145" spans="2:34" ht="14.4" x14ac:dyDescent="0.3">
      <c r="B145" s="380" t="s">
        <v>14</v>
      </c>
      <c r="C145" s="409" t="s">
        <v>771</v>
      </c>
      <c r="D145" s="386" t="s">
        <v>388</v>
      </c>
      <c r="E145" s="419">
        <v>6000059199</v>
      </c>
      <c r="F145" s="410">
        <v>45764</v>
      </c>
      <c r="G145" s="380" t="s">
        <v>643</v>
      </c>
      <c r="H145" s="380">
        <v>1</v>
      </c>
      <c r="I145" s="428">
        <v>66144.070000000007</v>
      </c>
      <c r="J145" s="380">
        <v>2</v>
      </c>
      <c r="K145" s="389">
        <f t="shared" si="5"/>
        <v>33072.035000000003</v>
      </c>
      <c r="L145" s="381">
        <v>45748</v>
      </c>
      <c r="M145" s="381">
        <v>46112</v>
      </c>
      <c r="N145" s="663"/>
      <c r="O145" s="680"/>
      <c r="P145" s="363" t="s">
        <v>19</v>
      </c>
      <c r="Q145" s="380" t="s">
        <v>3</v>
      </c>
      <c r="R145" s="380"/>
      <c r="S145" s="390" t="s">
        <v>463</v>
      </c>
      <c r="T145" s="363" t="s">
        <v>772</v>
      </c>
      <c r="U145" s="390" t="s">
        <v>465</v>
      </c>
      <c r="V145" s="363" t="s">
        <v>773</v>
      </c>
      <c r="W145" s="363"/>
      <c r="X145" s="363"/>
      <c r="Y145" s="363"/>
      <c r="Z145" s="363"/>
      <c r="AA145" s="363"/>
      <c r="AB145" s="363"/>
      <c r="AC145" s="363"/>
      <c r="AD145" s="363"/>
      <c r="AE145" s="363" t="s">
        <v>619</v>
      </c>
      <c r="AF145" s="380" t="s">
        <v>63</v>
      </c>
      <c r="AG145" s="380">
        <v>2</v>
      </c>
      <c r="AH145" s="363" t="s">
        <v>774</v>
      </c>
    </row>
    <row r="146" spans="2:34" ht="14.4" x14ac:dyDescent="0.3">
      <c r="B146" s="380" t="s">
        <v>14</v>
      </c>
      <c r="C146" s="412" t="s">
        <v>775</v>
      </c>
      <c r="D146" s="437" t="s">
        <v>776</v>
      </c>
      <c r="E146" s="438">
        <v>2710000560</v>
      </c>
      <c r="F146" s="387">
        <v>45713</v>
      </c>
      <c r="G146" s="380" t="s">
        <v>643</v>
      </c>
      <c r="H146" s="380">
        <v>2</v>
      </c>
      <c r="I146" s="388">
        <v>122000</v>
      </c>
      <c r="J146" s="380">
        <v>3</v>
      </c>
      <c r="K146" s="389">
        <f t="shared" si="5"/>
        <v>40666.666666666664</v>
      </c>
      <c r="L146" s="381">
        <v>45748</v>
      </c>
      <c r="M146" s="381">
        <v>46112</v>
      </c>
      <c r="N146" s="663"/>
      <c r="O146" s="680"/>
      <c r="P146" s="363" t="s">
        <v>19</v>
      </c>
      <c r="Q146" s="380" t="s">
        <v>3</v>
      </c>
      <c r="R146" s="380"/>
      <c r="S146" s="390" t="s">
        <v>758</v>
      </c>
      <c r="T146" s="363" t="s">
        <v>777</v>
      </c>
      <c r="U146" s="390" t="s">
        <v>665</v>
      </c>
      <c r="V146" s="363" t="s">
        <v>360</v>
      </c>
      <c r="W146" s="390" t="s">
        <v>361</v>
      </c>
      <c r="X146" s="363" t="s">
        <v>666</v>
      </c>
      <c r="Y146" s="363"/>
      <c r="Z146" s="363"/>
      <c r="AA146" s="363"/>
      <c r="AB146" s="363"/>
      <c r="AC146" s="363"/>
      <c r="AD146" s="363"/>
      <c r="AE146" s="363" t="s">
        <v>551</v>
      </c>
      <c r="AF146" s="380" t="s">
        <v>207</v>
      </c>
      <c r="AG146" s="380">
        <v>3</v>
      </c>
      <c r="AH146" s="363" t="s">
        <v>778</v>
      </c>
    </row>
    <row r="147" spans="2:34" ht="14.4" x14ac:dyDescent="0.3">
      <c r="B147" s="380" t="s">
        <v>14</v>
      </c>
      <c r="C147" s="409" t="s">
        <v>779</v>
      </c>
      <c r="D147" s="386" t="s">
        <v>53</v>
      </c>
      <c r="E147" s="408">
        <v>2500235067</v>
      </c>
      <c r="F147" s="387">
        <v>45764</v>
      </c>
      <c r="G147" s="380" t="s">
        <v>643</v>
      </c>
      <c r="H147" s="380">
        <v>3</v>
      </c>
      <c r="I147" s="388">
        <v>282816</v>
      </c>
      <c r="J147" s="380">
        <v>3</v>
      </c>
      <c r="K147" s="389">
        <f t="shared" si="5"/>
        <v>94272</v>
      </c>
      <c r="L147" s="381">
        <v>45748</v>
      </c>
      <c r="M147" s="381">
        <v>46112</v>
      </c>
      <c r="N147" s="663"/>
      <c r="O147" s="680"/>
      <c r="P147" s="363" t="s">
        <v>19</v>
      </c>
      <c r="Q147" s="380" t="s">
        <v>5</v>
      </c>
      <c r="R147" s="380"/>
      <c r="S147" s="390" t="s">
        <v>758</v>
      </c>
      <c r="T147" s="363" t="s">
        <v>780</v>
      </c>
      <c r="U147" s="390" t="s">
        <v>665</v>
      </c>
      <c r="V147" s="363" t="s">
        <v>781</v>
      </c>
      <c r="W147" s="390" t="s">
        <v>361</v>
      </c>
      <c r="X147" s="363" t="s">
        <v>782</v>
      </c>
      <c r="Y147" s="363"/>
      <c r="Z147" s="363"/>
      <c r="AA147" s="363"/>
      <c r="AB147" s="363"/>
      <c r="AC147" s="363"/>
      <c r="AD147" s="363"/>
      <c r="AE147" s="363" t="s">
        <v>619</v>
      </c>
      <c r="AF147" s="380" t="s">
        <v>63</v>
      </c>
      <c r="AG147" s="380">
        <v>3</v>
      </c>
      <c r="AH147" s="363" t="s">
        <v>667</v>
      </c>
    </row>
    <row r="148" spans="2:34" ht="14.4" x14ac:dyDescent="0.3">
      <c r="B148" s="380" t="s">
        <v>14</v>
      </c>
      <c r="C148" s="412" t="s">
        <v>789</v>
      </c>
      <c r="D148" s="413" t="s">
        <v>790</v>
      </c>
      <c r="E148" s="426">
        <v>8480219192</v>
      </c>
      <c r="F148" s="415">
        <v>45756</v>
      </c>
      <c r="G148" s="380" t="s">
        <v>643</v>
      </c>
      <c r="H148" s="380">
        <v>1</v>
      </c>
      <c r="I148" s="388">
        <v>76440</v>
      </c>
      <c r="J148" s="380">
        <v>3</v>
      </c>
      <c r="K148" s="389">
        <f t="shared" si="5"/>
        <v>25480</v>
      </c>
      <c r="L148" s="381">
        <v>45748</v>
      </c>
      <c r="M148" s="381">
        <v>46112</v>
      </c>
      <c r="N148" s="663"/>
      <c r="O148" s="680"/>
      <c r="P148" s="363" t="s">
        <v>19</v>
      </c>
      <c r="Q148" s="380" t="s">
        <v>3</v>
      </c>
      <c r="R148" s="380"/>
      <c r="S148" s="390" t="s">
        <v>357</v>
      </c>
      <c r="T148" s="363" t="s">
        <v>225</v>
      </c>
      <c r="U148" s="390" t="s">
        <v>665</v>
      </c>
      <c r="V148" s="363" t="s">
        <v>791</v>
      </c>
      <c r="W148" s="390" t="s">
        <v>361</v>
      </c>
      <c r="X148" s="363" t="s">
        <v>792</v>
      </c>
      <c r="Y148" s="363"/>
      <c r="Z148" s="363"/>
      <c r="AA148" s="363"/>
      <c r="AB148" s="363"/>
      <c r="AC148" s="363"/>
      <c r="AD148" s="363"/>
      <c r="AE148" s="363" t="s">
        <v>281</v>
      </c>
      <c r="AF148" s="380" t="s">
        <v>97</v>
      </c>
      <c r="AG148" s="380">
        <v>3</v>
      </c>
      <c r="AH148" s="363" t="s">
        <v>793</v>
      </c>
    </row>
    <row r="149" spans="2:34" ht="14.4" hidden="1" x14ac:dyDescent="0.3">
      <c r="B149" s="380" t="s">
        <v>14</v>
      </c>
      <c r="C149" s="363" t="s">
        <v>195</v>
      </c>
      <c r="D149" s="386" t="s">
        <v>196</v>
      </c>
      <c r="E149" s="393" t="s">
        <v>197</v>
      </c>
      <c r="F149" s="387">
        <v>45210</v>
      </c>
      <c r="G149" s="380" t="s">
        <v>55</v>
      </c>
      <c r="H149" s="380">
        <v>13</v>
      </c>
      <c r="I149" s="388">
        <v>741000</v>
      </c>
      <c r="J149" s="380">
        <v>4</v>
      </c>
      <c r="K149" s="389">
        <f t="shared" si="5"/>
        <v>185250</v>
      </c>
      <c r="L149" s="381">
        <v>45934</v>
      </c>
      <c r="M149" s="381">
        <v>46298</v>
      </c>
      <c r="N149" s="663"/>
      <c r="O149" s="680"/>
      <c r="P149" s="363" t="s">
        <v>520</v>
      </c>
      <c r="Q149" s="380" t="s">
        <v>5</v>
      </c>
      <c r="R149" s="380"/>
      <c r="S149" s="390" t="s">
        <v>794</v>
      </c>
      <c r="T149" s="363" t="s">
        <v>687</v>
      </c>
      <c r="U149" s="394" t="s">
        <v>795</v>
      </c>
      <c r="V149" s="363" t="s">
        <v>666</v>
      </c>
      <c r="W149" s="390" t="s">
        <v>796</v>
      </c>
      <c r="X149" s="363" t="s">
        <v>1940</v>
      </c>
      <c r="Y149" s="363" t="s">
        <v>797</v>
      </c>
      <c r="Z149" s="363"/>
      <c r="AA149" s="363"/>
      <c r="AB149" s="363"/>
      <c r="AC149" s="363"/>
      <c r="AD149" s="363"/>
      <c r="AE149" s="363" t="s">
        <v>551</v>
      </c>
      <c r="AF149" s="380" t="s">
        <v>207</v>
      </c>
      <c r="AG149" s="380">
        <v>3</v>
      </c>
      <c r="AH149" s="363"/>
    </row>
    <row r="150" spans="2:34" ht="14.4" x14ac:dyDescent="0.3">
      <c r="B150" s="380" t="s">
        <v>14</v>
      </c>
      <c r="C150" s="409" t="s">
        <v>756</v>
      </c>
      <c r="D150" s="434" t="s">
        <v>757</v>
      </c>
      <c r="E150" s="380">
        <v>2265005504</v>
      </c>
      <c r="F150" s="387">
        <v>45754</v>
      </c>
      <c r="G150" s="380" t="s">
        <v>55</v>
      </c>
      <c r="H150" s="380">
        <v>13</v>
      </c>
      <c r="I150" s="388">
        <v>1067040</v>
      </c>
      <c r="J150" s="380">
        <v>3</v>
      </c>
      <c r="K150" s="389">
        <f t="shared" si="5"/>
        <v>355680</v>
      </c>
      <c r="L150" s="381">
        <v>45748</v>
      </c>
      <c r="M150" s="381">
        <v>46112</v>
      </c>
      <c r="N150" s="663"/>
      <c r="O150" s="680"/>
      <c r="P150" s="363" t="s">
        <v>19</v>
      </c>
      <c r="Q150" s="380" t="s">
        <v>5</v>
      </c>
      <c r="R150" s="380"/>
      <c r="S150" s="390" t="s">
        <v>357</v>
      </c>
      <c r="T150" s="363" t="s">
        <v>777</v>
      </c>
      <c r="U150" s="390" t="s">
        <v>665</v>
      </c>
      <c r="V150" s="363" t="s">
        <v>289</v>
      </c>
      <c r="W150" s="390" t="s">
        <v>361</v>
      </c>
      <c r="X150" s="363" t="s">
        <v>798</v>
      </c>
      <c r="Y150" s="363"/>
      <c r="Z150" s="363"/>
      <c r="AA150" s="363"/>
      <c r="AB150" s="363"/>
      <c r="AC150" s="363"/>
      <c r="AD150" s="363"/>
      <c r="AE150" s="363" t="s">
        <v>507</v>
      </c>
      <c r="AF150" s="380" t="s">
        <v>63</v>
      </c>
      <c r="AG150" s="380">
        <v>3</v>
      </c>
      <c r="AH150" s="363" t="s">
        <v>799</v>
      </c>
    </row>
    <row r="151" spans="2:34" ht="14.4" x14ac:dyDescent="0.3">
      <c r="B151" s="380" t="s">
        <v>14</v>
      </c>
      <c r="C151" s="409" t="s">
        <v>800</v>
      </c>
      <c r="D151" s="423" t="s">
        <v>801</v>
      </c>
      <c r="E151" s="380">
        <v>3102500128</v>
      </c>
      <c r="F151" s="387">
        <v>45765</v>
      </c>
      <c r="G151" s="380" t="s">
        <v>55</v>
      </c>
      <c r="H151" s="380">
        <v>6</v>
      </c>
      <c r="I151" s="388">
        <v>468000</v>
      </c>
      <c r="J151" s="380">
        <v>2</v>
      </c>
      <c r="K151" s="389">
        <f t="shared" si="5"/>
        <v>234000</v>
      </c>
      <c r="L151" s="381">
        <v>45748</v>
      </c>
      <c r="M151" s="381">
        <v>46112</v>
      </c>
      <c r="N151" s="663"/>
      <c r="O151" s="680"/>
      <c r="P151" s="363" t="s">
        <v>19</v>
      </c>
      <c r="Q151" s="380" t="s">
        <v>3</v>
      </c>
      <c r="R151" s="380"/>
      <c r="S151" s="390" t="s">
        <v>463</v>
      </c>
      <c r="T151" s="363" t="s">
        <v>802</v>
      </c>
      <c r="U151" s="390" t="s">
        <v>465</v>
      </c>
      <c r="V151" s="363" t="s">
        <v>803</v>
      </c>
      <c r="W151" s="363"/>
      <c r="X151" s="363"/>
      <c r="Y151" s="363"/>
      <c r="Z151" s="363"/>
      <c r="AA151" s="363"/>
      <c r="AB151" s="363"/>
      <c r="AC151" s="363"/>
      <c r="AD151" s="363"/>
      <c r="AE151" s="363" t="s">
        <v>485</v>
      </c>
      <c r="AF151" s="380" t="s">
        <v>63</v>
      </c>
      <c r="AG151" s="380">
        <v>2</v>
      </c>
      <c r="AH151" s="363" t="s">
        <v>804</v>
      </c>
    </row>
    <row r="152" spans="2:34" ht="14.4" x14ac:dyDescent="0.3">
      <c r="B152" s="380" t="s">
        <v>14</v>
      </c>
      <c r="C152" s="409" t="s">
        <v>805</v>
      </c>
      <c r="D152" s="423" t="s">
        <v>86</v>
      </c>
      <c r="E152" s="408">
        <v>7500114971</v>
      </c>
      <c r="F152" s="387">
        <v>45763</v>
      </c>
      <c r="G152" s="380" t="s">
        <v>55</v>
      </c>
      <c r="H152" s="380">
        <v>1</v>
      </c>
      <c r="I152" s="388">
        <v>82000</v>
      </c>
      <c r="J152" s="380">
        <v>3</v>
      </c>
      <c r="K152" s="389">
        <f t="shared" si="5"/>
        <v>27333.333333333332</v>
      </c>
      <c r="L152" s="381">
        <v>45748</v>
      </c>
      <c r="M152" s="381">
        <v>46112</v>
      </c>
      <c r="N152" s="663"/>
      <c r="O152" s="680"/>
      <c r="P152" s="363" t="s">
        <v>19</v>
      </c>
      <c r="Q152" s="380" t="s">
        <v>3</v>
      </c>
      <c r="R152" s="380"/>
      <c r="S152" s="390" t="s">
        <v>357</v>
      </c>
      <c r="T152" s="363" t="s">
        <v>806</v>
      </c>
      <c r="U152" s="390" t="s">
        <v>665</v>
      </c>
      <c r="V152" s="363" t="s">
        <v>807</v>
      </c>
      <c r="W152" s="390" t="s">
        <v>361</v>
      </c>
      <c r="X152" s="363" t="s">
        <v>808</v>
      </c>
      <c r="Y152" s="363"/>
      <c r="Z152" s="363"/>
      <c r="AA152" s="363"/>
      <c r="AB152" s="363"/>
      <c r="AC152" s="363"/>
      <c r="AD152" s="363"/>
      <c r="AE152" s="363" t="s">
        <v>96</v>
      </c>
      <c r="AF152" s="380" t="s">
        <v>97</v>
      </c>
      <c r="AG152" s="380" t="s">
        <v>494</v>
      </c>
      <c r="AH152" s="363" t="s">
        <v>667</v>
      </c>
    </row>
    <row r="153" spans="2:34" ht="14.4" x14ac:dyDescent="0.3">
      <c r="B153" s="380" t="s">
        <v>14</v>
      </c>
      <c r="C153" s="409" t="s">
        <v>809</v>
      </c>
      <c r="D153" s="423" t="s">
        <v>629</v>
      </c>
      <c r="E153" s="408" t="s">
        <v>810</v>
      </c>
      <c r="F153" s="387">
        <v>45770</v>
      </c>
      <c r="G153" s="380" t="s">
        <v>55</v>
      </c>
      <c r="H153" s="380">
        <v>5</v>
      </c>
      <c r="I153" s="388">
        <v>341250</v>
      </c>
      <c r="J153" s="380">
        <v>2</v>
      </c>
      <c r="K153" s="389">
        <f t="shared" si="5"/>
        <v>170625</v>
      </c>
      <c r="L153" s="381">
        <v>45748</v>
      </c>
      <c r="M153" s="381">
        <v>46112</v>
      </c>
      <c r="N153" s="663"/>
      <c r="O153" s="680"/>
      <c r="P153" s="363" t="s">
        <v>19</v>
      </c>
      <c r="Q153" s="380" t="s">
        <v>3</v>
      </c>
      <c r="R153" s="380"/>
      <c r="S153" s="390" t="s">
        <v>463</v>
      </c>
      <c r="T153" s="363" t="s">
        <v>811</v>
      </c>
      <c r="U153" s="390" t="s">
        <v>465</v>
      </c>
      <c r="V153" s="363" t="s">
        <v>320</v>
      </c>
      <c r="W153" s="363"/>
      <c r="X153" s="363"/>
      <c r="Y153" s="363"/>
      <c r="Z153" s="363"/>
      <c r="AA153" s="363"/>
      <c r="AB153" s="363"/>
      <c r="AC153" s="363"/>
      <c r="AD153" s="363"/>
      <c r="AE153" s="363" t="s">
        <v>485</v>
      </c>
      <c r="AF153" s="380" t="s">
        <v>97</v>
      </c>
      <c r="AG153" s="380">
        <v>3</v>
      </c>
      <c r="AH153" s="363" t="s">
        <v>667</v>
      </c>
    </row>
    <row r="154" spans="2:34" ht="14.4" x14ac:dyDescent="0.3">
      <c r="B154" s="380" t="s">
        <v>14</v>
      </c>
      <c r="C154" s="409" t="s">
        <v>800</v>
      </c>
      <c r="D154" s="423" t="s">
        <v>812</v>
      </c>
      <c r="E154" s="408">
        <v>2102500018</v>
      </c>
      <c r="F154" s="387">
        <v>45749</v>
      </c>
      <c r="G154" s="380" t="s">
        <v>55</v>
      </c>
      <c r="H154" s="380">
        <v>4</v>
      </c>
      <c r="I154" s="388">
        <v>332800</v>
      </c>
      <c r="J154" s="380">
        <v>2</v>
      </c>
      <c r="K154" s="389">
        <f t="shared" si="5"/>
        <v>166400</v>
      </c>
      <c r="L154" s="381">
        <v>45748</v>
      </c>
      <c r="M154" s="381">
        <v>46112</v>
      </c>
      <c r="N154" s="663"/>
      <c r="O154" s="680"/>
      <c r="P154" s="363" t="s">
        <v>19</v>
      </c>
      <c r="Q154" s="380" t="s">
        <v>3</v>
      </c>
      <c r="R154" s="380"/>
      <c r="S154" s="390" t="s">
        <v>463</v>
      </c>
      <c r="T154" s="363" t="s">
        <v>813</v>
      </c>
      <c r="U154" s="390" t="s">
        <v>465</v>
      </c>
      <c r="V154" s="363" t="s">
        <v>814</v>
      </c>
      <c r="W154" s="363"/>
      <c r="X154" s="363"/>
      <c r="Y154" s="363"/>
      <c r="Z154" s="363"/>
      <c r="AA154" s="363"/>
      <c r="AB154" s="363"/>
      <c r="AC154" s="363"/>
      <c r="AD154" s="363"/>
      <c r="AE154" s="363" t="s">
        <v>485</v>
      </c>
      <c r="AF154" s="380" t="s">
        <v>63</v>
      </c>
      <c r="AG154" s="380">
        <v>2</v>
      </c>
      <c r="AH154" s="363" t="s">
        <v>667</v>
      </c>
    </row>
    <row r="155" spans="2:34" ht="14.4" x14ac:dyDescent="0.3">
      <c r="B155" s="380" t="s">
        <v>14</v>
      </c>
      <c r="C155" s="409" t="s">
        <v>800</v>
      </c>
      <c r="D155" s="423" t="s">
        <v>812</v>
      </c>
      <c r="E155" s="408">
        <v>2102500206</v>
      </c>
      <c r="F155" s="387">
        <v>45758</v>
      </c>
      <c r="G155" s="380" t="s">
        <v>55</v>
      </c>
      <c r="H155" s="380">
        <v>4</v>
      </c>
      <c r="I155" s="388">
        <v>270400</v>
      </c>
      <c r="J155" s="380">
        <v>2</v>
      </c>
      <c r="K155" s="389">
        <f t="shared" si="5"/>
        <v>135200</v>
      </c>
      <c r="L155" s="381">
        <v>45748</v>
      </c>
      <c r="M155" s="381">
        <v>46112</v>
      </c>
      <c r="N155" s="663"/>
      <c r="O155" s="680"/>
      <c r="P155" s="363" t="s">
        <v>19</v>
      </c>
      <c r="Q155" s="380" t="s">
        <v>3</v>
      </c>
      <c r="R155" s="380"/>
      <c r="S155" s="390" t="s">
        <v>463</v>
      </c>
      <c r="T155" s="363" t="s">
        <v>815</v>
      </c>
      <c r="U155" s="390" t="s">
        <v>465</v>
      </c>
      <c r="V155" s="363" t="s">
        <v>816</v>
      </c>
      <c r="W155" s="363"/>
      <c r="X155" s="363"/>
      <c r="Y155" s="363"/>
      <c r="Z155" s="363"/>
      <c r="AA155" s="363"/>
      <c r="AB155" s="363"/>
      <c r="AC155" s="363"/>
      <c r="AD155" s="363"/>
      <c r="AE155" s="363" t="s">
        <v>485</v>
      </c>
      <c r="AF155" s="380" t="s">
        <v>63</v>
      </c>
      <c r="AG155" s="380">
        <v>2</v>
      </c>
      <c r="AH155" s="363" t="s">
        <v>667</v>
      </c>
    </row>
    <row r="156" spans="2:34" ht="14.4" x14ac:dyDescent="0.3">
      <c r="B156" s="380" t="s">
        <v>14</v>
      </c>
      <c r="C156" s="409" t="s">
        <v>817</v>
      </c>
      <c r="D156" s="423" t="s">
        <v>818</v>
      </c>
      <c r="E156" s="397">
        <v>242500783</v>
      </c>
      <c r="F156" s="387">
        <v>45756</v>
      </c>
      <c r="G156" s="380" t="s">
        <v>55</v>
      </c>
      <c r="H156" s="380">
        <v>3</v>
      </c>
      <c r="I156" s="388">
        <v>344997</v>
      </c>
      <c r="J156" s="380">
        <v>2</v>
      </c>
      <c r="K156" s="389">
        <f t="shared" si="5"/>
        <v>172498.5</v>
      </c>
      <c r="L156" s="381">
        <v>45778</v>
      </c>
      <c r="M156" s="381">
        <v>46142</v>
      </c>
      <c r="N156" s="663"/>
      <c r="O156" s="680"/>
      <c r="P156" s="363" t="s">
        <v>19</v>
      </c>
      <c r="Q156" s="380" t="s">
        <v>5</v>
      </c>
      <c r="R156" s="380"/>
      <c r="S156" s="390" t="s">
        <v>328</v>
      </c>
      <c r="T156" s="363" t="s">
        <v>819</v>
      </c>
      <c r="U156" s="390" t="s">
        <v>330</v>
      </c>
      <c r="V156" s="363" t="s">
        <v>820</v>
      </c>
      <c r="W156" s="363"/>
      <c r="X156" s="363"/>
      <c r="Y156" s="363"/>
      <c r="Z156" s="363"/>
      <c r="AA156" s="363"/>
      <c r="AB156" s="363"/>
      <c r="AC156" s="363"/>
      <c r="AD156" s="363"/>
      <c r="AE156" s="363" t="s">
        <v>281</v>
      </c>
      <c r="AF156" s="380" t="s">
        <v>97</v>
      </c>
      <c r="AG156" s="380" t="s">
        <v>494</v>
      </c>
      <c r="AH156" s="363" t="s">
        <v>821</v>
      </c>
    </row>
    <row r="157" spans="2:34" ht="14.4" x14ac:dyDescent="0.3">
      <c r="B157" s="380" t="s">
        <v>14</v>
      </c>
      <c r="C157" s="443" t="s">
        <v>822</v>
      </c>
      <c r="D157" s="444" t="s">
        <v>823</v>
      </c>
      <c r="E157" s="438" t="s">
        <v>824</v>
      </c>
      <c r="F157" s="415">
        <v>45772</v>
      </c>
      <c r="G157" s="380" t="s">
        <v>55</v>
      </c>
      <c r="H157" s="380">
        <v>1</v>
      </c>
      <c r="I157" s="388">
        <v>98500</v>
      </c>
      <c r="J157" s="380">
        <v>2</v>
      </c>
      <c r="K157" s="389">
        <f t="shared" si="5"/>
        <v>49250</v>
      </c>
      <c r="L157" s="381">
        <v>45763</v>
      </c>
      <c r="M157" s="381">
        <v>46127</v>
      </c>
      <c r="N157" s="663"/>
      <c r="O157" s="680"/>
      <c r="P157" s="363" t="s">
        <v>19</v>
      </c>
      <c r="Q157" s="380" t="s">
        <v>5</v>
      </c>
      <c r="R157" s="380" t="s">
        <v>1</v>
      </c>
      <c r="S157" s="390" t="s">
        <v>825</v>
      </c>
      <c r="T157" s="363" t="s">
        <v>826</v>
      </c>
      <c r="U157" s="390" t="s">
        <v>827</v>
      </c>
      <c r="V157" s="363" t="s">
        <v>828</v>
      </c>
      <c r="W157" s="363"/>
      <c r="X157" s="363"/>
      <c r="Y157" s="363"/>
      <c r="Z157" s="363"/>
      <c r="AA157" s="363"/>
      <c r="AB157" s="363"/>
      <c r="AC157" s="363"/>
      <c r="AD157" s="363"/>
      <c r="AE157" s="363" t="s">
        <v>183</v>
      </c>
      <c r="AF157" s="380" t="s">
        <v>97</v>
      </c>
      <c r="AG157" s="380">
        <v>2</v>
      </c>
      <c r="AH157" s="363" t="s">
        <v>829</v>
      </c>
    </row>
    <row r="158" spans="2:34" ht="14.4" x14ac:dyDescent="0.3">
      <c r="B158" s="380" t="s">
        <v>14</v>
      </c>
      <c r="C158" s="430" t="s">
        <v>830</v>
      </c>
      <c r="D158" s="445" t="s">
        <v>831</v>
      </c>
      <c r="E158" s="408">
        <v>3500120284</v>
      </c>
      <c r="F158" s="387">
        <v>45756</v>
      </c>
      <c r="G158" s="380" t="s">
        <v>55</v>
      </c>
      <c r="H158" s="380">
        <v>1</v>
      </c>
      <c r="I158" s="388">
        <v>120000</v>
      </c>
      <c r="J158" s="380">
        <v>3</v>
      </c>
      <c r="K158" s="389">
        <f t="shared" si="5"/>
        <v>40000</v>
      </c>
      <c r="L158" s="381">
        <v>45689</v>
      </c>
      <c r="M158" s="381">
        <v>46053</v>
      </c>
      <c r="N158" s="663"/>
      <c r="O158" s="680"/>
      <c r="P158" s="363" t="s">
        <v>19</v>
      </c>
      <c r="Q158" s="380" t="s">
        <v>0</v>
      </c>
      <c r="R158" s="380"/>
      <c r="S158" s="390" t="s">
        <v>832</v>
      </c>
      <c r="T158" s="363" t="s">
        <v>833</v>
      </c>
      <c r="U158" s="390" t="s">
        <v>81</v>
      </c>
      <c r="V158" s="363" t="s">
        <v>287</v>
      </c>
      <c r="W158" s="390" t="s">
        <v>83</v>
      </c>
      <c r="X158" s="363" t="s">
        <v>395</v>
      </c>
      <c r="Y158" s="363"/>
      <c r="Z158" s="363"/>
      <c r="AA158" s="363"/>
      <c r="AB158" s="363"/>
      <c r="AC158" s="363"/>
      <c r="AD158" s="363"/>
      <c r="AE158" s="363" t="s">
        <v>834</v>
      </c>
      <c r="AF158" s="380" t="s">
        <v>207</v>
      </c>
      <c r="AG158" s="380">
        <v>3</v>
      </c>
      <c r="AH158" s="363" t="s">
        <v>835</v>
      </c>
    </row>
    <row r="159" spans="2:34" ht="14.4" x14ac:dyDescent="0.3">
      <c r="B159" s="380" t="s">
        <v>14</v>
      </c>
      <c r="C159" s="430" t="s">
        <v>836</v>
      </c>
      <c r="D159" s="445" t="s">
        <v>629</v>
      </c>
      <c r="E159" s="408" t="s">
        <v>837</v>
      </c>
      <c r="F159" s="387">
        <v>45773</v>
      </c>
      <c r="G159" s="380" t="s">
        <v>55</v>
      </c>
      <c r="H159" s="380">
        <v>2</v>
      </c>
      <c r="I159" s="388">
        <v>168000</v>
      </c>
      <c r="J159" s="380">
        <v>2</v>
      </c>
      <c r="K159" s="389">
        <f t="shared" si="5"/>
        <v>84000</v>
      </c>
      <c r="L159" s="381">
        <v>45748</v>
      </c>
      <c r="M159" s="381">
        <v>46112</v>
      </c>
      <c r="N159" s="663"/>
      <c r="O159" s="680"/>
      <c r="P159" s="363" t="s">
        <v>19</v>
      </c>
      <c r="Q159" s="380" t="s">
        <v>3</v>
      </c>
      <c r="R159" s="380"/>
      <c r="S159" s="390" t="s">
        <v>838</v>
      </c>
      <c r="T159" s="363" t="s">
        <v>344</v>
      </c>
      <c r="U159" s="390" t="s">
        <v>465</v>
      </c>
      <c r="V159" s="363" t="s">
        <v>839</v>
      </c>
      <c r="W159" s="363"/>
      <c r="X159" s="363"/>
      <c r="Y159" s="363"/>
      <c r="Z159" s="363"/>
      <c r="AA159" s="363"/>
      <c r="AB159" s="363"/>
      <c r="AC159" s="363"/>
      <c r="AD159" s="363"/>
      <c r="AE159" s="363" t="s">
        <v>485</v>
      </c>
      <c r="AF159" s="380" t="s">
        <v>63</v>
      </c>
      <c r="AG159" s="380">
        <v>2</v>
      </c>
      <c r="AH159" s="363" t="s">
        <v>799</v>
      </c>
    </row>
    <row r="160" spans="2:34" ht="14.4" x14ac:dyDescent="0.3">
      <c r="B160" s="380" t="s">
        <v>14</v>
      </c>
      <c r="C160" s="430" t="s">
        <v>840</v>
      </c>
      <c r="D160" s="445" t="s">
        <v>841</v>
      </c>
      <c r="E160" s="408" t="s">
        <v>842</v>
      </c>
      <c r="F160" s="387">
        <v>45768</v>
      </c>
      <c r="G160" s="380" t="s">
        <v>55</v>
      </c>
      <c r="H160" s="380">
        <v>3</v>
      </c>
      <c r="I160" s="388">
        <v>202500</v>
      </c>
      <c r="J160" s="380">
        <v>3</v>
      </c>
      <c r="K160" s="389">
        <f t="shared" si="5"/>
        <v>67500</v>
      </c>
      <c r="L160" s="381">
        <v>45748</v>
      </c>
      <c r="M160" s="381">
        <v>46112</v>
      </c>
      <c r="N160" s="663"/>
      <c r="O160" s="680"/>
      <c r="P160" s="363" t="s">
        <v>19</v>
      </c>
      <c r="Q160" s="380" t="s">
        <v>3</v>
      </c>
      <c r="R160" s="380"/>
      <c r="S160" s="390" t="s">
        <v>758</v>
      </c>
      <c r="T160" s="363" t="s">
        <v>843</v>
      </c>
      <c r="U160" s="390" t="s">
        <v>665</v>
      </c>
      <c r="V160" s="363" t="s">
        <v>791</v>
      </c>
      <c r="W160" s="390" t="s">
        <v>361</v>
      </c>
      <c r="X160" s="363" t="s">
        <v>844</v>
      </c>
      <c r="Y160" s="363"/>
      <c r="Z160" s="363"/>
      <c r="AA160" s="363"/>
      <c r="AB160" s="363"/>
      <c r="AC160" s="363"/>
      <c r="AD160" s="363"/>
      <c r="AE160" s="363" t="s">
        <v>485</v>
      </c>
      <c r="AF160" s="380" t="s">
        <v>63</v>
      </c>
      <c r="AG160" s="380">
        <v>2</v>
      </c>
      <c r="AH160" s="363" t="s">
        <v>657</v>
      </c>
    </row>
    <row r="161" spans="2:34" ht="14.4" x14ac:dyDescent="0.3">
      <c r="B161" s="380" t="s">
        <v>14</v>
      </c>
      <c r="C161" s="430" t="s">
        <v>850</v>
      </c>
      <c r="D161" s="445" t="s">
        <v>388</v>
      </c>
      <c r="E161" s="408">
        <v>5000132738</v>
      </c>
      <c r="F161" s="387">
        <v>45769</v>
      </c>
      <c r="G161" s="380" t="s">
        <v>55</v>
      </c>
      <c r="H161" s="380">
        <v>1</v>
      </c>
      <c r="I161" s="388">
        <v>83000</v>
      </c>
      <c r="J161" s="380">
        <v>2</v>
      </c>
      <c r="K161" s="389">
        <f t="shared" si="5"/>
        <v>41500</v>
      </c>
      <c r="L161" s="381">
        <v>45748</v>
      </c>
      <c r="M161" s="381">
        <v>46112</v>
      </c>
      <c r="N161" s="663"/>
      <c r="O161" s="680"/>
      <c r="P161" s="363" t="s">
        <v>19</v>
      </c>
      <c r="Q161" s="380" t="s">
        <v>3</v>
      </c>
      <c r="R161" s="380" t="s">
        <v>1</v>
      </c>
      <c r="S161" s="390" t="s">
        <v>838</v>
      </c>
      <c r="T161" s="363" t="s">
        <v>379</v>
      </c>
      <c r="U161" s="390" t="s">
        <v>465</v>
      </c>
      <c r="V161" s="363" t="s">
        <v>851</v>
      </c>
      <c r="W161" s="363"/>
      <c r="X161" s="363"/>
      <c r="Y161" s="363"/>
      <c r="Z161" s="363"/>
      <c r="AA161" s="363"/>
      <c r="AB161" s="363"/>
      <c r="AC161" s="363"/>
      <c r="AD161" s="363"/>
      <c r="AE161" s="363" t="s">
        <v>619</v>
      </c>
      <c r="AF161" s="380" t="s">
        <v>63</v>
      </c>
      <c r="AG161" s="380">
        <v>3</v>
      </c>
      <c r="AH161" s="446">
        <v>1</v>
      </c>
    </row>
    <row r="162" spans="2:34" ht="14.4" x14ac:dyDescent="0.3">
      <c r="B162" s="380" t="s">
        <v>14</v>
      </c>
      <c r="C162" s="430" t="s">
        <v>775</v>
      </c>
      <c r="D162" s="445" t="s">
        <v>852</v>
      </c>
      <c r="E162" s="408">
        <v>2710000809</v>
      </c>
      <c r="F162" s="387">
        <v>45763</v>
      </c>
      <c r="G162" s="380" t="s">
        <v>55</v>
      </c>
      <c r="H162" s="380">
        <v>2</v>
      </c>
      <c r="I162" s="388">
        <v>170000</v>
      </c>
      <c r="J162" s="380">
        <v>3</v>
      </c>
      <c r="K162" s="389">
        <f t="shared" si="5"/>
        <v>56666.666666666664</v>
      </c>
      <c r="L162" s="381">
        <v>45748</v>
      </c>
      <c r="M162" s="381">
        <v>46112</v>
      </c>
      <c r="N162" s="663"/>
      <c r="O162" s="680"/>
      <c r="P162" s="363" t="s">
        <v>19</v>
      </c>
      <c r="Q162" s="380" t="s">
        <v>3</v>
      </c>
      <c r="R162" s="380"/>
      <c r="S162" s="390" t="s">
        <v>758</v>
      </c>
      <c r="T162" s="363" t="s">
        <v>853</v>
      </c>
      <c r="U162" s="390" t="s">
        <v>665</v>
      </c>
      <c r="V162" s="363" t="s">
        <v>854</v>
      </c>
      <c r="W162" s="390" t="s">
        <v>361</v>
      </c>
      <c r="X162" s="363" t="s">
        <v>855</v>
      </c>
      <c r="Y162" s="363"/>
      <c r="Z162" s="363"/>
      <c r="AA162" s="363"/>
      <c r="AB162" s="363"/>
      <c r="AC162" s="363"/>
      <c r="AD162" s="363"/>
      <c r="AE162" s="363" t="s">
        <v>551</v>
      </c>
      <c r="AF162" s="380" t="s">
        <v>207</v>
      </c>
      <c r="AG162" s="380">
        <v>3</v>
      </c>
      <c r="AH162" s="446" t="s">
        <v>856</v>
      </c>
    </row>
    <row r="163" spans="2:34" ht="14.4" x14ac:dyDescent="0.3">
      <c r="B163" s="380" t="s">
        <v>14</v>
      </c>
      <c r="C163" s="363" t="s">
        <v>857</v>
      </c>
      <c r="D163" s="386" t="s">
        <v>858</v>
      </c>
      <c r="E163" s="419" t="s">
        <v>859</v>
      </c>
      <c r="F163" s="387">
        <v>45747</v>
      </c>
      <c r="G163" s="380" t="s">
        <v>55</v>
      </c>
      <c r="H163" s="380">
        <v>2</v>
      </c>
      <c r="I163" s="388">
        <v>370000</v>
      </c>
      <c r="J163" s="380">
        <v>4</v>
      </c>
      <c r="K163" s="389">
        <f t="shared" ref="K163:K167" si="6">I163/J163</f>
        <v>92500</v>
      </c>
      <c r="L163" s="381">
        <v>45748</v>
      </c>
      <c r="M163" s="381">
        <v>46112</v>
      </c>
      <c r="N163" s="663"/>
      <c r="O163" s="680"/>
      <c r="P163" s="363" t="s">
        <v>19</v>
      </c>
      <c r="Q163" s="380" t="s">
        <v>3</v>
      </c>
      <c r="R163" s="380"/>
      <c r="S163" s="390" t="s">
        <v>391</v>
      </c>
      <c r="T163" s="363" t="s">
        <v>860</v>
      </c>
      <c r="U163" s="390" t="s">
        <v>168</v>
      </c>
      <c r="V163" s="363" t="s">
        <v>505</v>
      </c>
      <c r="W163" s="390" t="s">
        <v>228</v>
      </c>
      <c r="X163" s="363" t="s">
        <v>417</v>
      </c>
      <c r="Y163" s="363" t="s">
        <v>396</v>
      </c>
      <c r="Z163" s="363"/>
      <c r="AA163" s="363"/>
      <c r="AB163" s="363"/>
      <c r="AC163" s="363"/>
      <c r="AD163" s="363"/>
      <c r="AE163" s="363" t="s">
        <v>551</v>
      </c>
      <c r="AF163" s="380" t="s">
        <v>207</v>
      </c>
      <c r="AG163" s="380" t="s">
        <v>861</v>
      </c>
      <c r="AH163" s="363" t="s">
        <v>862</v>
      </c>
    </row>
    <row r="164" spans="2:34" ht="14.4" x14ac:dyDescent="0.3">
      <c r="B164" s="380" t="s">
        <v>14</v>
      </c>
      <c r="C164" s="409" t="s">
        <v>863</v>
      </c>
      <c r="D164" s="423" t="s">
        <v>864</v>
      </c>
      <c r="E164" s="424">
        <v>4504578229</v>
      </c>
      <c r="F164" s="387">
        <v>45779</v>
      </c>
      <c r="G164" s="380" t="s">
        <v>55</v>
      </c>
      <c r="H164" s="380">
        <v>1</v>
      </c>
      <c r="I164" s="388">
        <v>67000</v>
      </c>
      <c r="J164" s="380">
        <v>2</v>
      </c>
      <c r="K164" s="389">
        <f t="shared" si="6"/>
        <v>33500</v>
      </c>
      <c r="L164" s="381">
        <v>45839</v>
      </c>
      <c r="M164" s="381">
        <v>46203</v>
      </c>
      <c r="N164" s="663"/>
      <c r="O164" s="680"/>
      <c r="P164" s="363" t="s">
        <v>19</v>
      </c>
      <c r="Q164" s="380" t="s">
        <v>9</v>
      </c>
      <c r="R164" s="380"/>
      <c r="S164" s="390" t="s">
        <v>483</v>
      </c>
      <c r="T164" s="363" t="s">
        <v>865</v>
      </c>
      <c r="U164" s="390" t="s">
        <v>607</v>
      </c>
      <c r="V164" s="363" t="s">
        <v>1850</v>
      </c>
      <c r="W164" s="363"/>
      <c r="X164" s="363"/>
      <c r="Y164" s="363"/>
      <c r="Z164" s="363"/>
      <c r="AA164" s="363"/>
      <c r="AB164" s="363"/>
      <c r="AC164" s="363"/>
      <c r="AD164" s="363"/>
      <c r="AE164" s="363" t="s">
        <v>507</v>
      </c>
      <c r="AF164" s="380" t="s">
        <v>63</v>
      </c>
      <c r="AG164" s="380">
        <v>2</v>
      </c>
      <c r="AH164" s="363" t="s">
        <v>743</v>
      </c>
    </row>
    <row r="165" spans="2:34" ht="14.4" x14ac:dyDescent="0.3">
      <c r="B165" s="380" t="s">
        <v>14</v>
      </c>
      <c r="C165" s="412" t="s">
        <v>508</v>
      </c>
      <c r="D165" s="437" t="s">
        <v>866</v>
      </c>
      <c r="E165" s="438" t="s">
        <v>867</v>
      </c>
      <c r="F165" s="415">
        <v>45777</v>
      </c>
      <c r="G165" s="380" t="s">
        <v>55</v>
      </c>
      <c r="H165" s="380">
        <v>2</v>
      </c>
      <c r="I165" s="388">
        <v>178000</v>
      </c>
      <c r="J165" s="380">
        <v>3</v>
      </c>
      <c r="K165" s="389">
        <f t="shared" si="6"/>
        <v>59333.333333333336</v>
      </c>
      <c r="L165" s="381">
        <v>45778</v>
      </c>
      <c r="M165" s="381">
        <v>46142</v>
      </c>
      <c r="N165" s="663"/>
      <c r="O165" s="680"/>
      <c r="P165" s="363" t="s">
        <v>19</v>
      </c>
      <c r="Q165" s="380" t="s">
        <v>5</v>
      </c>
      <c r="R165" s="380"/>
      <c r="S165" s="390" t="s">
        <v>343</v>
      </c>
      <c r="T165" s="363" t="s">
        <v>868</v>
      </c>
      <c r="U165" s="390" t="s">
        <v>345</v>
      </c>
      <c r="V165" s="390" t="s">
        <v>673</v>
      </c>
      <c r="W165" s="390" t="s">
        <v>347</v>
      </c>
      <c r="X165" s="363" t="s">
        <v>869</v>
      </c>
      <c r="Y165" s="363"/>
      <c r="Z165" s="363"/>
      <c r="AA165" s="363"/>
      <c r="AB165" s="363"/>
      <c r="AC165" s="363"/>
      <c r="AD165" s="363"/>
      <c r="AE165" s="363" t="s">
        <v>96</v>
      </c>
      <c r="AF165" s="380" t="s">
        <v>97</v>
      </c>
      <c r="AG165" s="380" t="s">
        <v>494</v>
      </c>
      <c r="AH165" s="431" t="s">
        <v>870</v>
      </c>
    </row>
    <row r="166" spans="2:34" ht="14.4" x14ac:dyDescent="0.3">
      <c r="B166" s="380" t="s">
        <v>14</v>
      </c>
      <c r="C166" s="412" t="s">
        <v>508</v>
      </c>
      <c r="D166" s="437" t="s">
        <v>866</v>
      </c>
      <c r="E166" s="438" t="s">
        <v>871</v>
      </c>
      <c r="F166" s="415">
        <v>45777</v>
      </c>
      <c r="G166" s="380" t="s">
        <v>55</v>
      </c>
      <c r="H166" s="380">
        <v>2</v>
      </c>
      <c r="I166" s="388">
        <v>178000</v>
      </c>
      <c r="J166" s="380">
        <v>3</v>
      </c>
      <c r="K166" s="389">
        <f t="shared" si="6"/>
        <v>59333.333333333336</v>
      </c>
      <c r="L166" s="381">
        <v>45778</v>
      </c>
      <c r="M166" s="381">
        <v>46142</v>
      </c>
      <c r="N166" s="663"/>
      <c r="O166" s="680"/>
      <c r="P166" s="363" t="s">
        <v>19</v>
      </c>
      <c r="Q166" s="380" t="s">
        <v>5</v>
      </c>
      <c r="R166" s="380"/>
      <c r="S166" s="390" t="s">
        <v>343</v>
      </c>
      <c r="T166" s="363" t="s">
        <v>872</v>
      </c>
      <c r="U166" s="390" t="s">
        <v>345</v>
      </c>
      <c r="V166" s="363" t="s">
        <v>873</v>
      </c>
      <c r="W166" s="390" t="s">
        <v>347</v>
      </c>
      <c r="X166" s="363" t="s">
        <v>874</v>
      </c>
      <c r="Y166" s="363"/>
      <c r="Z166" s="363"/>
      <c r="AA166" s="363"/>
      <c r="AB166" s="363"/>
      <c r="AC166" s="363"/>
      <c r="AD166" s="363"/>
      <c r="AE166" s="363" t="s">
        <v>96</v>
      </c>
      <c r="AF166" s="380" t="s">
        <v>97</v>
      </c>
      <c r="AG166" s="380" t="s">
        <v>494</v>
      </c>
      <c r="AH166" s="431" t="s">
        <v>870</v>
      </c>
    </row>
    <row r="167" spans="2:34" ht="14.4" x14ac:dyDescent="0.3">
      <c r="B167" s="380" t="s">
        <v>14</v>
      </c>
      <c r="C167" s="423" t="s">
        <v>875</v>
      </c>
      <c r="D167" s="423" t="s">
        <v>876</v>
      </c>
      <c r="E167" s="408" t="s">
        <v>877</v>
      </c>
      <c r="F167" s="387">
        <v>45772</v>
      </c>
      <c r="G167" s="380" t="s">
        <v>55</v>
      </c>
      <c r="H167" s="380">
        <v>3</v>
      </c>
      <c r="I167" s="388">
        <v>435000</v>
      </c>
      <c r="J167" s="380">
        <v>3</v>
      </c>
      <c r="K167" s="389">
        <f t="shared" si="6"/>
        <v>145000</v>
      </c>
      <c r="L167" s="381">
        <v>45770</v>
      </c>
      <c r="M167" s="381">
        <v>46134</v>
      </c>
      <c r="N167" s="663"/>
      <c r="O167" s="680"/>
      <c r="P167" s="363" t="s">
        <v>19</v>
      </c>
      <c r="Q167" s="380" t="s">
        <v>5</v>
      </c>
      <c r="R167" s="380" t="s">
        <v>1</v>
      </c>
      <c r="S167" s="390" t="s">
        <v>878</v>
      </c>
      <c r="T167" s="363" t="s">
        <v>108</v>
      </c>
      <c r="U167" s="390" t="s">
        <v>879</v>
      </c>
      <c r="V167" s="363" t="s">
        <v>880</v>
      </c>
      <c r="W167" s="390" t="s">
        <v>881</v>
      </c>
      <c r="X167" s="363" t="s">
        <v>882</v>
      </c>
      <c r="Y167" s="363"/>
      <c r="Z167" s="363"/>
      <c r="AA167" s="363"/>
      <c r="AB167" s="363"/>
      <c r="AC167" s="363"/>
      <c r="AD167" s="363"/>
      <c r="AE167" s="363" t="s">
        <v>281</v>
      </c>
      <c r="AF167" s="380" t="s">
        <v>97</v>
      </c>
      <c r="AG167" s="380">
        <v>3</v>
      </c>
      <c r="AH167" s="363" t="s">
        <v>883</v>
      </c>
    </row>
    <row r="168" spans="2:34" ht="14.4" hidden="1" x14ac:dyDescent="0.3">
      <c r="B168" s="380" t="s">
        <v>14</v>
      </c>
      <c r="C168" s="437" t="s">
        <v>614</v>
      </c>
      <c r="D168" s="437" t="s">
        <v>884</v>
      </c>
      <c r="E168" s="447" t="s">
        <v>885</v>
      </c>
      <c r="F168" s="387">
        <v>45782</v>
      </c>
      <c r="G168" s="380" t="s">
        <v>55</v>
      </c>
      <c r="H168" s="380">
        <v>1</v>
      </c>
      <c r="I168" s="388">
        <v>76440</v>
      </c>
      <c r="J168" s="380">
        <v>3</v>
      </c>
      <c r="K168" s="389"/>
      <c r="L168" s="381">
        <v>45809</v>
      </c>
      <c r="M168" s="381">
        <v>46173</v>
      </c>
      <c r="N168" s="663"/>
      <c r="O168" s="680"/>
      <c r="P168" s="363" t="s">
        <v>520</v>
      </c>
      <c r="Q168" s="380" t="s">
        <v>6</v>
      </c>
      <c r="R168" s="380"/>
      <c r="S168" s="390" t="s">
        <v>81</v>
      </c>
      <c r="T168" s="363" t="s">
        <v>886</v>
      </c>
      <c r="U168" s="422" t="s">
        <v>83</v>
      </c>
      <c r="V168" s="363" t="s">
        <v>1716</v>
      </c>
      <c r="W168" s="422" t="s">
        <v>887</v>
      </c>
      <c r="X168" s="363" t="s">
        <v>1716</v>
      </c>
      <c r="Y168" s="363"/>
      <c r="Z168" s="363"/>
      <c r="AA168" s="363"/>
      <c r="AB168" s="363"/>
      <c r="AC168" s="363"/>
      <c r="AD168" s="363"/>
      <c r="AE168" s="363" t="s">
        <v>281</v>
      </c>
      <c r="AF168" s="380" t="s">
        <v>97</v>
      </c>
      <c r="AG168" s="380">
        <v>3</v>
      </c>
      <c r="AH168" s="363" t="s">
        <v>888</v>
      </c>
    </row>
    <row r="169" spans="2:34" ht="14.4" x14ac:dyDescent="0.3">
      <c r="B169" s="380" t="s">
        <v>14</v>
      </c>
      <c r="C169" s="409" t="s">
        <v>889</v>
      </c>
      <c r="D169" s="423" t="s">
        <v>890</v>
      </c>
      <c r="E169" s="419">
        <v>4500008676</v>
      </c>
      <c r="F169" s="387">
        <v>45734</v>
      </c>
      <c r="G169" s="380" t="s">
        <v>55</v>
      </c>
      <c r="H169" s="380">
        <v>2</v>
      </c>
      <c r="I169" s="388">
        <v>191000</v>
      </c>
      <c r="J169" s="380">
        <v>2</v>
      </c>
      <c r="K169" s="389">
        <f t="shared" ref="K169:K193" si="7">I169/J169</f>
        <v>95500</v>
      </c>
      <c r="L169" s="381">
        <v>45689</v>
      </c>
      <c r="M169" s="381">
        <v>46053</v>
      </c>
      <c r="N169" s="663"/>
      <c r="O169" s="680"/>
      <c r="P169" s="363" t="s">
        <v>19</v>
      </c>
      <c r="Q169" s="380" t="s">
        <v>0</v>
      </c>
      <c r="R169" s="380" t="s">
        <v>1</v>
      </c>
      <c r="S169" s="390" t="s">
        <v>422</v>
      </c>
      <c r="T169" s="363" t="s">
        <v>413</v>
      </c>
      <c r="U169" s="390" t="s">
        <v>424</v>
      </c>
      <c r="V169" s="363" t="s">
        <v>707</v>
      </c>
      <c r="W169" s="363"/>
      <c r="X169" s="363"/>
      <c r="Y169" s="363"/>
      <c r="Z169" s="363"/>
      <c r="AA169" s="363"/>
      <c r="AB169" s="363"/>
      <c r="AC169" s="363"/>
      <c r="AD169" s="363"/>
      <c r="AE169" s="363" t="s">
        <v>183</v>
      </c>
      <c r="AF169" s="380" t="s">
        <v>97</v>
      </c>
      <c r="AG169" s="380">
        <v>2</v>
      </c>
      <c r="AH169" s="446">
        <v>1</v>
      </c>
    </row>
    <row r="170" spans="2:34" ht="14.4" hidden="1" x14ac:dyDescent="0.3">
      <c r="B170" s="380" t="s">
        <v>14</v>
      </c>
      <c r="C170" s="409" t="s">
        <v>195</v>
      </c>
      <c r="D170" s="423" t="s">
        <v>447</v>
      </c>
      <c r="E170" s="380" t="s">
        <v>891</v>
      </c>
      <c r="F170" s="387">
        <v>45789</v>
      </c>
      <c r="G170" s="380" t="s">
        <v>55</v>
      </c>
      <c r="H170" s="380"/>
      <c r="I170" s="388">
        <v>179550</v>
      </c>
      <c r="J170" s="380">
        <v>4</v>
      </c>
      <c r="K170" s="389">
        <f t="shared" si="7"/>
        <v>44887.5</v>
      </c>
      <c r="L170" s="381">
        <v>45778</v>
      </c>
      <c r="M170" s="381">
        <v>46142</v>
      </c>
      <c r="N170" s="663"/>
      <c r="O170" s="680"/>
      <c r="P170" s="363" t="s">
        <v>520</v>
      </c>
      <c r="Q170" s="380" t="s">
        <v>6</v>
      </c>
      <c r="R170" s="380"/>
      <c r="S170" s="390" t="s">
        <v>266</v>
      </c>
      <c r="T170" s="363" t="s">
        <v>806</v>
      </c>
      <c r="U170" s="390" t="s">
        <v>892</v>
      </c>
      <c r="V170" s="363" t="s">
        <v>723</v>
      </c>
      <c r="W170" s="390" t="s">
        <v>269</v>
      </c>
      <c r="X170" s="363" t="s">
        <v>171</v>
      </c>
      <c r="Y170" s="390" t="s">
        <v>442</v>
      </c>
      <c r="Z170" s="363" t="s">
        <v>882</v>
      </c>
      <c r="AA170" s="363"/>
      <c r="AB170" s="363"/>
      <c r="AC170" s="363"/>
      <c r="AD170" s="363"/>
      <c r="AE170" s="363" t="s">
        <v>96</v>
      </c>
      <c r="AF170" s="380" t="s">
        <v>97</v>
      </c>
      <c r="AG170" s="380" t="s">
        <v>494</v>
      </c>
      <c r="AH170" s="363" t="s">
        <v>667</v>
      </c>
    </row>
    <row r="171" spans="2:34" ht="14.4" hidden="1" x14ac:dyDescent="0.3">
      <c r="B171" s="380" t="s">
        <v>14</v>
      </c>
      <c r="C171" s="409" t="s">
        <v>195</v>
      </c>
      <c r="D171" s="423" t="s">
        <v>447</v>
      </c>
      <c r="E171" s="380" t="s">
        <v>891</v>
      </c>
      <c r="F171" s="387">
        <v>45789</v>
      </c>
      <c r="G171" s="380" t="s">
        <v>55</v>
      </c>
      <c r="H171" s="380"/>
      <c r="I171" s="388">
        <v>188535</v>
      </c>
      <c r="J171" s="380">
        <v>4</v>
      </c>
      <c r="K171" s="389">
        <f t="shared" si="7"/>
        <v>47133.75</v>
      </c>
      <c r="L171" s="381">
        <v>46143</v>
      </c>
      <c r="M171" s="381">
        <v>46507</v>
      </c>
      <c r="N171" s="663">
        <v>155362</v>
      </c>
      <c r="O171" s="680">
        <v>4710</v>
      </c>
      <c r="P171" s="363" t="s">
        <v>520</v>
      </c>
      <c r="Q171" s="380" t="s">
        <v>6</v>
      </c>
      <c r="R171" s="380"/>
      <c r="S171" s="390" t="s">
        <v>444</v>
      </c>
      <c r="T171" s="363" t="s">
        <v>1941</v>
      </c>
      <c r="U171" s="363" t="s">
        <v>445</v>
      </c>
      <c r="V171" s="363"/>
      <c r="W171" s="381" t="s">
        <v>456</v>
      </c>
      <c r="X171" s="363"/>
      <c r="Y171" s="363" t="s">
        <v>457</v>
      </c>
      <c r="Z171" s="363"/>
      <c r="AA171" s="363"/>
      <c r="AB171" s="363"/>
      <c r="AC171" s="363"/>
      <c r="AD171" s="363"/>
      <c r="AE171" s="363"/>
      <c r="AF171" s="380"/>
      <c r="AG171" s="380"/>
      <c r="AH171" s="363"/>
    </row>
    <row r="172" spans="2:34" ht="14.4" hidden="1" x14ac:dyDescent="0.3">
      <c r="B172" s="380" t="s">
        <v>14</v>
      </c>
      <c r="C172" s="409" t="s">
        <v>195</v>
      </c>
      <c r="D172" s="423" t="s">
        <v>447</v>
      </c>
      <c r="E172" s="380" t="s">
        <v>891</v>
      </c>
      <c r="F172" s="387">
        <v>45789</v>
      </c>
      <c r="G172" s="380" t="s">
        <v>55</v>
      </c>
      <c r="H172" s="380">
        <v>3</v>
      </c>
      <c r="I172" s="388">
        <v>197955</v>
      </c>
      <c r="J172" s="380">
        <v>4</v>
      </c>
      <c r="K172" s="389">
        <f t="shared" si="7"/>
        <v>49488.75</v>
      </c>
      <c r="L172" s="381">
        <v>46508</v>
      </c>
      <c r="M172" s="381">
        <v>46873</v>
      </c>
      <c r="N172" s="663"/>
      <c r="O172" s="680"/>
      <c r="P172" s="363" t="s">
        <v>520</v>
      </c>
      <c r="Q172" s="380" t="s">
        <v>6</v>
      </c>
      <c r="R172" s="380"/>
      <c r="S172" s="363" t="s">
        <v>458</v>
      </c>
      <c r="T172" s="363"/>
      <c r="U172" s="363" t="s">
        <v>459</v>
      </c>
      <c r="V172" s="363"/>
      <c r="W172" s="363" t="s">
        <v>893</v>
      </c>
      <c r="X172" s="363"/>
      <c r="Y172" s="363" t="s">
        <v>894</v>
      </c>
      <c r="Z172" s="363"/>
      <c r="AA172" s="363"/>
      <c r="AB172" s="363"/>
      <c r="AC172" s="363"/>
      <c r="AD172" s="363"/>
      <c r="AE172" s="363"/>
      <c r="AF172" s="380"/>
      <c r="AG172" s="380"/>
      <c r="AH172" s="363"/>
    </row>
    <row r="173" spans="2:34" ht="14.4" x14ac:dyDescent="0.3">
      <c r="B173" s="380" t="s">
        <v>14</v>
      </c>
      <c r="C173" s="363" t="s">
        <v>895</v>
      </c>
      <c r="D173" s="386" t="s">
        <v>896</v>
      </c>
      <c r="E173" s="380" t="s">
        <v>897</v>
      </c>
      <c r="F173" s="387">
        <v>45789</v>
      </c>
      <c r="G173" s="380" t="s">
        <v>55</v>
      </c>
      <c r="H173" s="380">
        <v>1</v>
      </c>
      <c r="I173" s="388">
        <v>90000</v>
      </c>
      <c r="J173" s="380">
        <v>2</v>
      </c>
      <c r="K173" s="389">
        <f t="shared" si="7"/>
        <v>45000</v>
      </c>
      <c r="L173" s="381">
        <v>45748</v>
      </c>
      <c r="M173" s="381">
        <v>46112</v>
      </c>
      <c r="N173" s="663"/>
      <c r="O173" s="680"/>
      <c r="P173" s="363" t="s">
        <v>19</v>
      </c>
      <c r="Q173" s="380" t="s">
        <v>3</v>
      </c>
      <c r="R173" s="380"/>
      <c r="S173" s="390" t="s">
        <v>463</v>
      </c>
      <c r="T173" s="363" t="s">
        <v>898</v>
      </c>
      <c r="U173" s="390" t="s">
        <v>465</v>
      </c>
      <c r="V173" s="363" t="s">
        <v>899</v>
      </c>
      <c r="W173" s="363"/>
      <c r="X173" s="363"/>
      <c r="Y173" s="363"/>
      <c r="Z173" s="363"/>
      <c r="AA173" s="363"/>
      <c r="AB173" s="363"/>
      <c r="AC173" s="363"/>
      <c r="AD173" s="363"/>
      <c r="AE173" s="363" t="s">
        <v>96</v>
      </c>
      <c r="AF173" s="380" t="s">
        <v>97</v>
      </c>
      <c r="AG173" s="380">
        <v>3</v>
      </c>
      <c r="AH173" s="363" t="s">
        <v>774</v>
      </c>
    </row>
    <row r="174" spans="2:34" ht="14.4" x14ac:dyDescent="0.3">
      <c r="B174" s="380" t="s">
        <v>14</v>
      </c>
      <c r="C174" s="409" t="s">
        <v>775</v>
      </c>
      <c r="D174" s="423" t="s">
        <v>900</v>
      </c>
      <c r="E174" s="408">
        <v>2710000789</v>
      </c>
      <c r="F174" s="387">
        <v>45762</v>
      </c>
      <c r="G174" s="380" t="s">
        <v>55</v>
      </c>
      <c r="H174" s="380">
        <v>4</v>
      </c>
      <c r="I174" s="388">
        <v>320000</v>
      </c>
      <c r="J174" s="380">
        <v>3</v>
      </c>
      <c r="K174" s="389">
        <f t="shared" si="7"/>
        <v>106666.66666666667</v>
      </c>
      <c r="L174" s="381">
        <v>45748</v>
      </c>
      <c r="M174" s="381">
        <v>46112</v>
      </c>
      <c r="N174" s="663"/>
      <c r="O174" s="680"/>
      <c r="P174" s="363" t="s">
        <v>19</v>
      </c>
      <c r="Q174" s="380" t="s">
        <v>3</v>
      </c>
      <c r="R174" s="380"/>
      <c r="S174" s="390" t="s">
        <v>758</v>
      </c>
      <c r="T174" s="363" t="s">
        <v>504</v>
      </c>
      <c r="U174" s="390" t="s">
        <v>901</v>
      </c>
      <c r="V174" s="363" t="s">
        <v>902</v>
      </c>
      <c r="W174" s="390" t="s">
        <v>361</v>
      </c>
      <c r="X174" s="363" t="s">
        <v>903</v>
      </c>
      <c r="Y174" s="363"/>
      <c r="Z174" s="363"/>
      <c r="AA174" s="363"/>
      <c r="AB174" s="363"/>
      <c r="AC174" s="363"/>
      <c r="AD174" s="363"/>
      <c r="AE174" s="363" t="s">
        <v>551</v>
      </c>
      <c r="AF174" s="380" t="s">
        <v>207</v>
      </c>
      <c r="AG174" s="380">
        <v>3</v>
      </c>
      <c r="AH174" s="431" t="s">
        <v>904</v>
      </c>
    </row>
    <row r="175" spans="2:34" ht="14.4" x14ac:dyDescent="0.3">
      <c r="B175" s="380" t="s">
        <v>14</v>
      </c>
      <c r="C175" s="409" t="s">
        <v>905</v>
      </c>
      <c r="D175" s="423" t="s">
        <v>906</v>
      </c>
      <c r="E175" s="408">
        <v>1100033763</v>
      </c>
      <c r="F175" s="419" t="s">
        <v>907</v>
      </c>
      <c r="G175" s="380" t="s">
        <v>55</v>
      </c>
      <c r="H175" s="380">
        <v>4</v>
      </c>
      <c r="I175" s="388">
        <v>280000</v>
      </c>
      <c r="J175" s="380">
        <v>2</v>
      </c>
      <c r="K175" s="389">
        <f t="shared" si="7"/>
        <v>140000</v>
      </c>
      <c r="L175" s="381">
        <v>45809</v>
      </c>
      <c r="M175" s="381">
        <v>46173</v>
      </c>
      <c r="N175" s="663"/>
      <c r="O175" s="680"/>
      <c r="P175" s="363" t="s">
        <v>19</v>
      </c>
      <c r="Q175" s="380" t="s">
        <v>6</v>
      </c>
      <c r="R175" s="380"/>
      <c r="S175" s="390" t="s">
        <v>125</v>
      </c>
      <c r="T175" s="363" t="s">
        <v>908</v>
      </c>
      <c r="U175" s="390" t="s">
        <v>127</v>
      </c>
      <c r="V175" s="363" t="s">
        <v>909</v>
      </c>
      <c r="W175" s="363"/>
      <c r="X175" s="363"/>
      <c r="Y175" s="363"/>
      <c r="Z175" s="363"/>
      <c r="AA175" s="363"/>
      <c r="AB175" s="363"/>
      <c r="AC175" s="363"/>
      <c r="AD175" s="363"/>
      <c r="AE175" s="363" t="s">
        <v>551</v>
      </c>
      <c r="AF175" s="380" t="s">
        <v>207</v>
      </c>
      <c r="AG175" s="380">
        <v>3</v>
      </c>
      <c r="AH175" s="363" t="s">
        <v>667</v>
      </c>
    </row>
    <row r="176" spans="2:34" ht="14.4" x14ac:dyDescent="0.3">
      <c r="B176" s="380" t="s">
        <v>14</v>
      </c>
      <c r="C176" s="412" t="s">
        <v>628</v>
      </c>
      <c r="D176" s="437" t="s">
        <v>910</v>
      </c>
      <c r="E176" s="438" t="s">
        <v>911</v>
      </c>
      <c r="F176" s="415">
        <v>45792</v>
      </c>
      <c r="G176" s="380" t="s">
        <v>55</v>
      </c>
      <c r="H176" s="380">
        <v>3</v>
      </c>
      <c r="I176" s="388">
        <v>156000</v>
      </c>
      <c r="J176" s="380">
        <v>1</v>
      </c>
      <c r="K176" s="389">
        <f t="shared" si="7"/>
        <v>156000</v>
      </c>
      <c r="L176" s="381">
        <v>45748</v>
      </c>
      <c r="M176" s="381">
        <v>46112</v>
      </c>
      <c r="N176" s="663"/>
      <c r="O176" s="680"/>
      <c r="P176" s="363" t="s">
        <v>19</v>
      </c>
      <c r="Q176" s="380" t="s">
        <v>3</v>
      </c>
      <c r="R176" s="380"/>
      <c r="S176" s="390" t="s">
        <v>631</v>
      </c>
      <c r="T176" s="363" t="s">
        <v>909</v>
      </c>
      <c r="U176" s="363"/>
      <c r="V176" s="363"/>
      <c r="W176" s="363"/>
      <c r="X176" s="363"/>
      <c r="Y176" s="363"/>
      <c r="Z176" s="363"/>
      <c r="AA176" s="363"/>
      <c r="AB176" s="363"/>
      <c r="AC176" s="363"/>
      <c r="AD176" s="363"/>
      <c r="AE176" s="363" t="s">
        <v>485</v>
      </c>
      <c r="AF176" s="380" t="s">
        <v>63</v>
      </c>
      <c r="AG176" s="380">
        <v>2</v>
      </c>
      <c r="AH176" s="363" t="s">
        <v>912</v>
      </c>
    </row>
    <row r="177" spans="2:34" ht="14.4" x14ac:dyDescent="0.3">
      <c r="B177" s="380" t="s">
        <v>14</v>
      </c>
      <c r="C177" s="412" t="s">
        <v>508</v>
      </c>
      <c r="D177" s="437" t="s">
        <v>866</v>
      </c>
      <c r="E177" s="438" t="s">
        <v>913</v>
      </c>
      <c r="F177" s="415">
        <v>45779</v>
      </c>
      <c r="G177" s="380" t="s">
        <v>55</v>
      </c>
      <c r="H177" s="380">
        <v>2</v>
      </c>
      <c r="I177" s="388">
        <v>178000</v>
      </c>
      <c r="J177" s="380">
        <v>3</v>
      </c>
      <c r="K177" s="389">
        <f t="shared" si="7"/>
        <v>59333.333333333336</v>
      </c>
      <c r="L177" s="381">
        <v>45792</v>
      </c>
      <c r="M177" s="381">
        <v>46156</v>
      </c>
      <c r="N177" s="663"/>
      <c r="O177" s="680"/>
      <c r="P177" s="363" t="s">
        <v>19</v>
      </c>
      <c r="Q177" s="380" t="s">
        <v>6</v>
      </c>
      <c r="R177" s="380"/>
      <c r="S177" s="390" t="s">
        <v>914</v>
      </c>
      <c r="T177" s="363" t="s">
        <v>915</v>
      </c>
      <c r="U177" s="390" t="s">
        <v>916</v>
      </c>
      <c r="V177" s="363" t="s">
        <v>917</v>
      </c>
      <c r="W177" s="390" t="s">
        <v>918</v>
      </c>
      <c r="X177" s="363" t="s">
        <v>919</v>
      </c>
      <c r="Y177" s="363"/>
      <c r="Z177" s="363"/>
      <c r="AA177" s="363"/>
      <c r="AB177" s="363"/>
      <c r="AC177" s="363"/>
      <c r="AD177" s="363"/>
      <c r="AE177" s="363" t="s">
        <v>96</v>
      </c>
      <c r="AF177" s="380" t="s">
        <v>97</v>
      </c>
      <c r="AG177" s="380" t="s">
        <v>494</v>
      </c>
      <c r="AH177" s="363" t="s">
        <v>920</v>
      </c>
    </row>
    <row r="178" spans="2:34" ht="14.4" hidden="1" x14ac:dyDescent="0.3">
      <c r="B178" s="380" t="s">
        <v>14</v>
      </c>
      <c r="C178" s="409" t="s">
        <v>921</v>
      </c>
      <c r="D178" s="445" t="s">
        <v>922</v>
      </c>
      <c r="E178" s="408">
        <v>4510868028</v>
      </c>
      <c r="F178" s="387">
        <v>45797</v>
      </c>
      <c r="G178" s="380" t="s">
        <v>55</v>
      </c>
      <c r="H178" s="380"/>
      <c r="I178" s="388">
        <v>340000</v>
      </c>
      <c r="J178" s="380">
        <v>3</v>
      </c>
      <c r="K178" s="389">
        <f t="shared" si="7"/>
        <v>113333.33333333333</v>
      </c>
      <c r="L178" s="381">
        <v>45778</v>
      </c>
      <c r="M178" s="381">
        <v>46142</v>
      </c>
      <c r="N178" s="663"/>
      <c r="O178" s="680"/>
      <c r="P178" s="363" t="s">
        <v>520</v>
      </c>
      <c r="Q178" s="380" t="s">
        <v>6</v>
      </c>
      <c r="R178" s="380" t="s">
        <v>1</v>
      </c>
      <c r="S178" s="390" t="s">
        <v>343</v>
      </c>
      <c r="T178" s="363" t="s">
        <v>923</v>
      </c>
      <c r="U178" s="390" t="s">
        <v>345</v>
      </c>
      <c r="V178" s="363" t="s">
        <v>687</v>
      </c>
      <c r="W178" s="390" t="s">
        <v>347</v>
      </c>
      <c r="X178" s="363" t="s">
        <v>924</v>
      </c>
      <c r="Y178" s="363"/>
      <c r="Z178" s="363"/>
      <c r="AA178" s="363"/>
      <c r="AB178" s="363"/>
      <c r="AC178" s="363"/>
      <c r="AD178" s="363"/>
      <c r="AE178" s="363" t="s">
        <v>507</v>
      </c>
      <c r="AF178" s="380" t="s">
        <v>63</v>
      </c>
      <c r="AG178" s="380">
        <v>3</v>
      </c>
      <c r="AH178" s="363" t="s">
        <v>925</v>
      </c>
    </row>
    <row r="179" spans="2:34" ht="14.4" hidden="1" x14ac:dyDescent="0.3">
      <c r="B179" s="380" t="s">
        <v>14</v>
      </c>
      <c r="C179" s="409" t="s">
        <v>921</v>
      </c>
      <c r="D179" s="445" t="s">
        <v>922</v>
      </c>
      <c r="E179" s="408">
        <v>4510868028</v>
      </c>
      <c r="F179" s="387">
        <v>45797</v>
      </c>
      <c r="G179" s="380" t="s">
        <v>55</v>
      </c>
      <c r="H179" s="380">
        <v>4</v>
      </c>
      <c r="I179" s="388">
        <v>340000</v>
      </c>
      <c r="J179" s="380">
        <v>3</v>
      </c>
      <c r="K179" s="389">
        <f t="shared" si="7"/>
        <v>113333.33333333333</v>
      </c>
      <c r="L179" s="381">
        <v>46143</v>
      </c>
      <c r="M179" s="381">
        <v>46507</v>
      </c>
      <c r="N179" s="663"/>
      <c r="O179" s="680"/>
      <c r="P179" s="363" t="s">
        <v>520</v>
      </c>
      <c r="Q179" s="380" t="s">
        <v>6</v>
      </c>
      <c r="R179" s="380" t="s">
        <v>1</v>
      </c>
      <c r="S179" s="363" t="s">
        <v>348</v>
      </c>
      <c r="T179" s="363"/>
      <c r="U179" s="363" t="s">
        <v>349</v>
      </c>
      <c r="V179" s="363"/>
      <c r="W179" s="363" t="s">
        <v>738</v>
      </c>
      <c r="X179" s="363"/>
      <c r="Y179" s="363"/>
      <c r="Z179" s="363"/>
      <c r="AA179" s="363"/>
      <c r="AB179" s="363"/>
      <c r="AC179" s="363"/>
      <c r="AD179" s="363"/>
      <c r="AE179" s="363" t="s">
        <v>507</v>
      </c>
      <c r="AF179" s="380" t="s">
        <v>63</v>
      </c>
      <c r="AG179" s="380">
        <v>3</v>
      </c>
      <c r="AH179" s="363"/>
    </row>
    <row r="180" spans="2:34" ht="14.4" x14ac:dyDescent="0.3">
      <c r="B180" s="380" t="s">
        <v>14</v>
      </c>
      <c r="C180" s="409" t="s">
        <v>926</v>
      </c>
      <c r="D180" s="434" t="s">
        <v>151</v>
      </c>
      <c r="E180" s="380" t="s">
        <v>927</v>
      </c>
      <c r="F180" s="387">
        <v>45798</v>
      </c>
      <c r="G180" s="380" t="s">
        <v>55</v>
      </c>
      <c r="H180" s="380">
        <v>1</v>
      </c>
      <c r="I180" s="388">
        <v>78000</v>
      </c>
      <c r="J180" s="380">
        <v>3</v>
      </c>
      <c r="K180" s="389">
        <f t="shared" si="7"/>
        <v>26000</v>
      </c>
      <c r="L180" s="381">
        <v>45809</v>
      </c>
      <c r="M180" s="381">
        <v>46173</v>
      </c>
      <c r="N180" s="663"/>
      <c r="O180" s="680"/>
      <c r="P180" s="363" t="s">
        <v>19</v>
      </c>
      <c r="Q180" s="380" t="s">
        <v>6</v>
      </c>
      <c r="R180" s="380"/>
      <c r="S180" s="390" t="s">
        <v>81</v>
      </c>
      <c r="T180" s="363" t="s">
        <v>928</v>
      </c>
      <c r="U180" s="390" t="s">
        <v>83</v>
      </c>
      <c r="V180" s="363" t="s">
        <v>929</v>
      </c>
      <c r="W180" s="390" t="s">
        <v>404</v>
      </c>
      <c r="X180" s="363" t="s">
        <v>930</v>
      </c>
      <c r="Y180" s="363"/>
      <c r="Z180" s="363"/>
      <c r="AA180" s="363"/>
      <c r="AB180" s="363"/>
      <c r="AC180" s="363"/>
      <c r="AD180" s="363"/>
      <c r="AE180" s="363" t="s">
        <v>507</v>
      </c>
      <c r="AF180" s="380" t="s">
        <v>63</v>
      </c>
      <c r="AG180" s="380">
        <v>3</v>
      </c>
      <c r="AH180" s="363" t="s">
        <v>931</v>
      </c>
    </row>
    <row r="181" spans="2:34" ht="14.4" x14ac:dyDescent="0.3">
      <c r="B181" s="380" t="s">
        <v>14</v>
      </c>
      <c r="C181" s="409" t="s">
        <v>926</v>
      </c>
      <c r="D181" s="434" t="s">
        <v>932</v>
      </c>
      <c r="E181" s="419" t="s">
        <v>933</v>
      </c>
      <c r="F181" s="387">
        <v>45798</v>
      </c>
      <c r="G181" s="380" t="s">
        <v>55</v>
      </c>
      <c r="H181" s="380">
        <v>1</v>
      </c>
      <c r="I181" s="388">
        <v>78000</v>
      </c>
      <c r="J181" s="380">
        <v>3</v>
      </c>
      <c r="K181" s="389">
        <f t="shared" si="7"/>
        <v>26000</v>
      </c>
      <c r="L181" s="381">
        <v>45748</v>
      </c>
      <c r="M181" s="381">
        <v>46112</v>
      </c>
      <c r="N181" s="663"/>
      <c r="O181" s="680"/>
      <c r="P181" s="363" t="s">
        <v>19</v>
      </c>
      <c r="Q181" s="380" t="s">
        <v>3</v>
      </c>
      <c r="R181" s="380"/>
      <c r="S181" s="390" t="s">
        <v>357</v>
      </c>
      <c r="T181" s="363" t="s">
        <v>934</v>
      </c>
      <c r="U181" s="390" t="s">
        <v>665</v>
      </c>
      <c r="V181" s="363" t="s">
        <v>929</v>
      </c>
      <c r="W181" s="390" t="s">
        <v>361</v>
      </c>
      <c r="X181" s="363" t="s">
        <v>732</v>
      </c>
      <c r="Y181" s="363"/>
      <c r="Z181" s="363"/>
      <c r="AA181" s="363"/>
      <c r="AB181" s="363"/>
      <c r="AC181" s="363"/>
      <c r="AD181" s="363"/>
      <c r="AE181" s="363" t="s">
        <v>507</v>
      </c>
      <c r="AF181" s="380" t="s">
        <v>63</v>
      </c>
      <c r="AG181" s="380">
        <v>3</v>
      </c>
      <c r="AH181" s="363" t="s">
        <v>931</v>
      </c>
    </row>
    <row r="182" spans="2:34" ht="14.4" x14ac:dyDescent="0.3">
      <c r="B182" s="380" t="s">
        <v>14</v>
      </c>
      <c r="C182" s="412" t="s">
        <v>935</v>
      </c>
      <c r="D182" s="437" t="s">
        <v>176</v>
      </c>
      <c r="E182" s="438" t="s">
        <v>936</v>
      </c>
      <c r="F182" s="415">
        <v>45794</v>
      </c>
      <c r="G182" s="380" t="s">
        <v>55</v>
      </c>
      <c r="H182" s="380">
        <v>1</v>
      </c>
      <c r="I182" s="388">
        <v>94500</v>
      </c>
      <c r="J182" s="380">
        <v>2</v>
      </c>
      <c r="K182" s="389">
        <f t="shared" si="7"/>
        <v>47250</v>
      </c>
      <c r="L182" s="381">
        <v>45753</v>
      </c>
      <c r="M182" s="381">
        <v>46117</v>
      </c>
      <c r="N182" s="663"/>
      <c r="O182" s="680"/>
      <c r="P182" s="363" t="s">
        <v>19</v>
      </c>
      <c r="Q182" s="380" t="s">
        <v>5</v>
      </c>
      <c r="R182" s="380" t="s">
        <v>1</v>
      </c>
      <c r="S182" s="390" t="s">
        <v>937</v>
      </c>
      <c r="T182" s="363" t="s">
        <v>807</v>
      </c>
      <c r="U182" s="390" t="s">
        <v>938</v>
      </c>
      <c r="V182" s="363" t="s">
        <v>939</v>
      </c>
      <c r="W182" s="363"/>
      <c r="X182" s="363"/>
      <c r="Y182" s="363"/>
      <c r="Z182" s="363"/>
      <c r="AA182" s="363"/>
      <c r="AB182" s="363"/>
      <c r="AC182" s="363"/>
      <c r="AD182" s="363"/>
      <c r="AE182" s="363" t="s">
        <v>183</v>
      </c>
      <c r="AF182" s="380" t="s">
        <v>97</v>
      </c>
      <c r="AG182" s="380">
        <v>2</v>
      </c>
      <c r="AH182" s="363" t="s">
        <v>861</v>
      </c>
    </row>
    <row r="183" spans="2:34" ht="14.4" x14ac:dyDescent="0.3">
      <c r="B183" s="380" t="s">
        <v>14</v>
      </c>
      <c r="C183" s="409" t="s">
        <v>130</v>
      </c>
      <c r="D183" s="423" t="s">
        <v>940</v>
      </c>
      <c r="E183" s="419">
        <v>6800046962</v>
      </c>
      <c r="F183" s="387">
        <v>45786</v>
      </c>
      <c r="G183" s="380" t="s">
        <v>55</v>
      </c>
      <c r="H183" s="380">
        <v>1</v>
      </c>
      <c r="I183" s="388">
        <v>85000</v>
      </c>
      <c r="J183" s="380">
        <v>3</v>
      </c>
      <c r="K183" s="389">
        <f t="shared" si="7"/>
        <v>28333.333333333332</v>
      </c>
      <c r="L183" s="381">
        <v>45753</v>
      </c>
      <c r="M183" s="381">
        <v>46117</v>
      </c>
      <c r="N183" s="663"/>
      <c r="O183" s="680"/>
      <c r="P183" s="363" t="s">
        <v>19</v>
      </c>
      <c r="Q183" s="380" t="s">
        <v>5</v>
      </c>
      <c r="R183" s="380" t="s">
        <v>1</v>
      </c>
      <c r="S183" s="390" t="s">
        <v>941</v>
      </c>
      <c r="T183" s="363" t="s">
        <v>942</v>
      </c>
      <c r="U183" s="390" t="s">
        <v>943</v>
      </c>
      <c r="V183" s="363" t="s">
        <v>944</v>
      </c>
      <c r="W183" s="390" t="s">
        <v>945</v>
      </c>
      <c r="X183" s="363" t="s">
        <v>946</v>
      </c>
      <c r="Y183" s="363"/>
      <c r="Z183" s="363"/>
      <c r="AA183" s="363"/>
      <c r="AB183" s="363"/>
      <c r="AC183" s="363"/>
      <c r="AD183" s="363"/>
      <c r="AE183" s="363" t="s">
        <v>183</v>
      </c>
      <c r="AF183" s="380" t="s">
        <v>97</v>
      </c>
      <c r="AG183" s="380">
        <v>2</v>
      </c>
      <c r="AH183" s="363" t="s">
        <v>947</v>
      </c>
    </row>
    <row r="184" spans="2:34" ht="14.4" x14ac:dyDescent="0.3">
      <c r="B184" s="380" t="s">
        <v>14</v>
      </c>
      <c r="C184" s="409" t="s">
        <v>130</v>
      </c>
      <c r="D184" s="423" t="s">
        <v>940</v>
      </c>
      <c r="E184" s="419">
        <v>6800046959</v>
      </c>
      <c r="F184" s="387"/>
      <c r="G184" s="380" t="s">
        <v>55</v>
      </c>
      <c r="H184" s="380">
        <v>5</v>
      </c>
      <c r="I184" s="388">
        <v>425000</v>
      </c>
      <c r="J184" s="380">
        <v>3</v>
      </c>
      <c r="K184" s="389">
        <f t="shared" si="7"/>
        <v>141666.66666666666</v>
      </c>
      <c r="L184" s="381">
        <v>45753</v>
      </c>
      <c r="M184" s="381">
        <v>46117</v>
      </c>
      <c r="N184" s="663"/>
      <c r="O184" s="680"/>
      <c r="P184" s="363" t="s">
        <v>19</v>
      </c>
      <c r="Q184" s="380" t="s">
        <v>5</v>
      </c>
      <c r="R184" s="380" t="s">
        <v>1</v>
      </c>
      <c r="S184" s="390" t="s">
        <v>941</v>
      </c>
      <c r="T184" s="363" t="s">
        <v>942</v>
      </c>
      <c r="U184" s="390" t="s">
        <v>943</v>
      </c>
      <c r="V184" s="363" t="s">
        <v>944</v>
      </c>
      <c r="W184" s="390" t="s">
        <v>945</v>
      </c>
      <c r="X184" s="363" t="s">
        <v>946</v>
      </c>
      <c r="Y184" s="363"/>
      <c r="Z184" s="363"/>
      <c r="AA184" s="363"/>
      <c r="AB184" s="363"/>
      <c r="AC184" s="363"/>
      <c r="AD184" s="363"/>
      <c r="AE184" s="363" t="s">
        <v>183</v>
      </c>
      <c r="AF184" s="380" t="s">
        <v>97</v>
      </c>
      <c r="AG184" s="380">
        <v>2</v>
      </c>
      <c r="AH184" s="363" t="s">
        <v>947</v>
      </c>
    </row>
    <row r="185" spans="2:34" ht="14.4" x14ac:dyDescent="0.3">
      <c r="B185" s="380" t="s">
        <v>14</v>
      </c>
      <c r="C185" s="409" t="s">
        <v>948</v>
      </c>
      <c r="D185" s="423" t="s">
        <v>949</v>
      </c>
      <c r="E185" s="380">
        <v>916184</v>
      </c>
      <c r="F185" s="387">
        <v>45722</v>
      </c>
      <c r="G185" s="380" t="s">
        <v>55</v>
      </c>
      <c r="H185" s="380">
        <v>4</v>
      </c>
      <c r="I185" s="388">
        <v>297920</v>
      </c>
      <c r="J185" s="380">
        <v>4</v>
      </c>
      <c r="K185" s="389">
        <f t="shared" si="7"/>
        <v>74480</v>
      </c>
      <c r="L185" s="381">
        <v>45778</v>
      </c>
      <c r="M185" s="381">
        <v>46142</v>
      </c>
      <c r="N185" s="663"/>
      <c r="O185" s="680"/>
      <c r="P185" s="363" t="s">
        <v>19</v>
      </c>
      <c r="Q185" s="380" t="s">
        <v>5</v>
      </c>
      <c r="R185" s="380"/>
      <c r="S185" s="390" t="s">
        <v>266</v>
      </c>
      <c r="T185" s="363" t="s">
        <v>676</v>
      </c>
      <c r="U185" s="390" t="s">
        <v>267</v>
      </c>
      <c r="V185" s="363" t="s">
        <v>492</v>
      </c>
      <c r="W185" s="390" t="s">
        <v>269</v>
      </c>
      <c r="X185" s="363" t="s">
        <v>709</v>
      </c>
      <c r="Y185" s="390" t="s">
        <v>442</v>
      </c>
      <c r="Z185" s="363" t="s">
        <v>820</v>
      </c>
      <c r="AA185" s="363"/>
      <c r="AB185" s="363"/>
      <c r="AC185" s="363"/>
      <c r="AD185" s="363"/>
      <c r="AE185" s="363" t="s">
        <v>551</v>
      </c>
      <c r="AF185" s="380" t="s">
        <v>207</v>
      </c>
      <c r="AG185" s="380">
        <v>3</v>
      </c>
      <c r="AH185" s="363" t="s">
        <v>736</v>
      </c>
    </row>
    <row r="186" spans="2:34" ht="14.4" x14ac:dyDescent="0.3">
      <c r="B186" s="380" t="s">
        <v>14</v>
      </c>
      <c r="C186" s="409" t="s">
        <v>663</v>
      </c>
      <c r="D186" s="434" t="s">
        <v>950</v>
      </c>
      <c r="E186" s="380">
        <v>4507494931</v>
      </c>
      <c r="F186" s="387">
        <v>45771</v>
      </c>
      <c r="G186" s="380" t="s">
        <v>55</v>
      </c>
      <c r="H186" s="380">
        <v>6</v>
      </c>
      <c r="I186" s="388">
        <v>371999.98</v>
      </c>
      <c r="J186" s="380">
        <v>3</v>
      </c>
      <c r="K186" s="389">
        <f t="shared" si="7"/>
        <v>123999.99333333333</v>
      </c>
      <c r="L186" s="381">
        <v>45748</v>
      </c>
      <c r="M186" s="381">
        <v>46112</v>
      </c>
      <c r="N186" s="663"/>
      <c r="O186" s="680"/>
      <c r="P186" s="363" t="s">
        <v>19</v>
      </c>
      <c r="Q186" s="380" t="s">
        <v>3</v>
      </c>
      <c r="R186" s="380"/>
      <c r="S186" s="390" t="s">
        <v>357</v>
      </c>
      <c r="T186" s="363" t="s">
        <v>951</v>
      </c>
      <c r="U186" s="390" t="s">
        <v>665</v>
      </c>
      <c r="V186" s="363" t="s">
        <v>707</v>
      </c>
      <c r="W186" s="390" t="s">
        <v>361</v>
      </c>
      <c r="X186" s="363" t="s">
        <v>952</v>
      </c>
      <c r="Y186" s="363"/>
      <c r="Z186" s="363"/>
      <c r="AA186" s="363"/>
      <c r="AB186" s="363"/>
      <c r="AC186" s="363"/>
      <c r="AD186" s="363"/>
      <c r="AE186" s="363" t="s">
        <v>478</v>
      </c>
      <c r="AF186" s="380" t="s">
        <v>63</v>
      </c>
      <c r="AG186" s="380">
        <v>3</v>
      </c>
      <c r="AH186" s="403" t="s">
        <v>953</v>
      </c>
    </row>
    <row r="187" spans="2:34" ht="14.4" x14ac:dyDescent="0.3">
      <c r="B187" s="380" t="s">
        <v>14</v>
      </c>
      <c r="C187" s="409" t="s">
        <v>954</v>
      </c>
      <c r="D187" s="423" t="s">
        <v>151</v>
      </c>
      <c r="E187" s="380">
        <v>4601450532</v>
      </c>
      <c r="F187" s="387">
        <v>45796</v>
      </c>
      <c r="G187" s="380" t="s">
        <v>55</v>
      </c>
      <c r="H187" s="380">
        <v>1</v>
      </c>
      <c r="I187" s="388">
        <v>75000</v>
      </c>
      <c r="J187" s="380">
        <v>3</v>
      </c>
      <c r="K187" s="389">
        <f t="shared" si="7"/>
        <v>25000</v>
      </c>
      <c r="L187" s="381">
        <v>45748</v>
      </c>
      <c r="M187" s="381">
        <v>46112</v>
      </c>
      <c r="N187" s="663"/>
      <c r="O187" s="680"/>
      <c r="P187" s="363" t="s">
        <v>19</v>
      </c>
      <c r="Q187" s="380" t="s">
        <v>3</v>
      </c>
      <c r="R187" s="380"/>
      <c r="S187" s="390" t="s">
        <v>357</v>
      </c>
      <c r="T187" s="363" t="s">
        <v>955</v>
      </c>
      <c r="U187" s="390" t="s">
        <v>665</v>
      </c>
      <c r="V187" s="363" t="s">
        <v>956</v>
      </c>
      <c r="W187" s="390" t="s">
        <v>361</v>
      </c>
      <c r="X187" s="363" t="s">
        <v>957</v>
      </c>
      <c r="Y187" s="363"/>
      <c r="Z187" s="363"/>
      <c r="AA187" s="363"/>
      <c r="AB187" s="363"/>
      <c r="AC187" s="363"/>
      <c r="AD187" s="363"/>
      <c r="AE187" s="363" t="s">
        <v>478</v>
      </c>
      <c r="AF187" s="380" t="s">
        <v>63</v>
      </c>
      <c r="AG187" s="380">
        <v>3</v>
      </c>
      <c r="AH187" s="363" t="s">
        <v>736</v>
      </c>
    </row>
    <row r="188" spans="2:34" ht="14.4" x14ac:dyDescent="0.3">
      <c r="B188" s="380" t="s">
        <v>14</v>
      </c>
      <c r="C188" s="409" t="s">
        <v>905</v>
      </c>
      <c r="D188" s="423" t="s">
        <v>801</v>
      </c>
      <c r="E188" s="380">
        <v>1100033993</v>
      </c>
      <c r="F188" s="387">
        <v>45780</v>
      </c>
      <c r="G188" s="380" t="s">
        <v>55</v>
      </c>
      <c r="H188" s="380">
        <v>1</v>
      </c>
      <c r="I188" s="388">
        <v>75000</v>
      </c>
      <c r="J188" s="380">
        <v>2</v>
      </c>
      <c r="K188" s="389">
        <f t="shared" si="7"/>
        <v>37500</v>
      </c>
      <c r="L188" s="381">
        <v>45778</v>
      </c>
      <c r="M188" s="381">
        <v>46142</v>
      </c>
      <c r="N188" s="663"/>
      <c r="O188" s="680"/>
      <c r="P188" s="363" t="s">
        <v>19</v>
      </c>
      <c r="Q188" s="380" t="s">
        <v>5</v>
      </c>
      <c r="R188" s="380"/>
      <c r="S188" s="390" t="s">
        <v>328</v>
      </c>
      <c r="T188" s="363" t="s">
        <v>958</v>
      </c>
      <c r="U188" s="390" t="s">
        <v>330</v>
      </c>
      <c r="V188" s="363" t="s">
        <v>173</v>
      </c>
      <c r="W188" s="363"/>
      <c r="X188" s="363"/>
      <c r="Y188" s="363"/>
      <c r="Z188" s="363"/>
      <c r="AA188" s="363"/>
      <c r="AB188" s="363"/>
      <c r="AC188" s="363"/>
      <c r="AD188" s="363"/>
      <c r="AE188" s="363" t="s">
        <v>485</v>
      </c>
      <c r="AF188" s="380" t="s">
        <v>63</v>
      </c>
      <c r="AG188" s="380">
        <v>3</v>
      </c>
      <c r="AH188" s="363" t="s">
        <v>736</v>
      </c>
    </row>
    <row r="189" spans="2:34" ht="14.4" x14ac:dyDescent="0.3">
      <c r="B189" s="380" t="s">
        <v>14</v>
      </c>
      <c r="C189" s="430" t="s">
        <v>959</v>
      </c>
      <c r="D189" s="445" t="s">
        <v>151</v>
      </c>
      <c r="E189" s="419">
        <v>4521013686</v>
      </c>
      <c r="F189" s="387">
        <v>45801</v>
      </c>
      <c r="G189" s="380" t="s">
        <v>55</v>
      </c>
      <c r="H189" s="380">
        <v>1</v>
      </c>
      <c r="I189" s="388">
        <v>70000</v>
      </c>
      <c r="J189" s="380">
        <v>3</v>
      </c>
      <c r="K189" s="391">
        <f t="shared" si="7"/>
        <v>23333.333333333332</v>
      </c>
      <c r="L189" s="381">
        <v>45801</v>
      </c>
      <c r="M189" s="381">
        <v>46165</v>
      </c>
      <c r="N189" s="663"/>
      <c r="O189" s="680"/>
      <c r="P189" s="363" t="s">
        <v>19</v>
      </c>
      <c r="Q189" s="380" t="s">
        <v>9</v>
      </c>
      <c r="R189" s="380"/>
      <c r="S189" s="390" t="s">
        <v>960</v>
      </c>
      <c r="T189" s="363" t="s">
        <v>961</v>
      </c>
      <c r="U189" s="390" t="s">
        <v>962</v>
      </c>
      <c r="V189" s="363" t="s">
        <v>606</v>
      </c>
      <c r="W189" s="390" t="s">
        <v>963</v>
      </c>
      <c r="X189" s="363" t="s">
        <v>1852</v>
      </c>
      <c r="Y189" s="363"/>
      <c r="Z189" s="363"/>
      <c r="AA189" s="363"/>
      <c r="AB189" s="363"/>
      <c r="AC189" s="363"/>
      <c r="AD189" s="363"/>
      <c r="AE189" s="363" t="s">
        <v>964</v>
      </c>
      <c r="AF189" s="380" t="s">
        <v>63</v>
      </c>
      <c r="AG189" s="380">
        <v>3</v>
      </c>
      <c r="AH189" s="363" t="s">
        <v>736</v>
      </c>
    </row>
    <row r="190" spans="2:34" ht="14.4" x14ac:dyDescent="0.3">
      <c r="B190" s="380" t="s">
        <v>14</v>
      </c>
      <c r="C190" s="430" t="s">
        <v>965</v>
      </c>
      <c r="D190" s="445" t="s">
        <v>447</v>
      </c>
      <c r="E190" s="419">
        <v>5400057119</v>
      </c>
      <c r="F190" s="387">
        <v>45801</v>
      </c>
      <c r="G190" s="380" t="s">
        <v>55</v>
      </c>
      <c r="H190" s="380">
        <v>1</v>
      </c>
      <c r="I190" s="388">
        <v>107040</v>
      </c>
      <c r="J190" s="380">
        <v>4</v>
      </c>
      <c r="K190" s="389">
        <f t="shared" si="7"/>
        <v>26760</v>
      </c>
      <c r="L190" s="381">
        <v>45748</v>
      </c>
      <c r="M190" s="381">
        <v>46112</v>
      </c>
      <c r="N190" s="663"/>
      <c r="O190" s="680"/>
      <c r="P190" s="363" t="s">
        <v>19</v>
      </c>
      <c r="Q190" s="380" t="s">
        <v>3</v>
      </c>
      <c r="R190" s="380"/>
      <c r="S190" s="390" t="s">
        <v>391</v>
      </c>
      <c r="T190" s="363" t="s">
        <v>722</v>
      </c>
      <c r="U190" s="390" t="s">
        <v>168</v>
      </c>
      <c r="V190" s="363" t="s">
        <v>966</v>
      </c>
      <c r="W190" s="390" t="s">
        <v>228</v>
      </c>
      <c r="X190" s="363" t="s">
        <v>967</v>
      </c>
      <c r="Y190" s="390" t="s">
        <v>396</v>
      </c>
      <c r="Z190" s="363" t="s">
        <v>526</v>
      </c>
      <c r="AA190" s="363"/>
      <c r="AB190" s="363"/>
      <c r="AC190" s="363"/>
      <c r="AD190" s="363"/>
      <c r="AE190" s="363" t="s">
        <v>96</v>
      </c>
      <c r="AF190" s="380" t="s">
        <v>968</v>
      </c>
      <c r="AG190" s="380" t="s">
        <v>494</v>
      </c>
      <c r="AH190" s="430" t="s">
        <v>969</v>
      </c>
    </row>
    <row r="191" spans="2:34" ht="14.4" x14ac:dyDescent="0.3">
      <c r="B191" s="380" t="s">
        <v>14</v>
      </c>
      <c r="C191" s="412" t="s">
        <v>614</v>
      </c>
      <c r="D191" s="444" t="s">
        <v>970</v>
      </c>
      <c r="E191" s="425">
        <v>4500049503</v>
      </c>
      <c r="F191" s="448">
        <v>45796</v>
      </c>
      <c r="G191" s="380" t="s">
        <v>55</v>
      </c>
      <c r="H191" s="380">
        <v>2</v>
      </c>
      <c r="I191" s="388">
        <v>152880</v>
      </c>
      <c r="J191" s="380">
        <v>3</v>
      </c>
      <c r="K191" s="389">
        <f t="shared" si="7"/>
        <v>50960</v>
      </c>
      <c r="L191" s="381">
        <v>45797</v>
      </c>
      <c r="M191" s="381">
        <v>46161</v>
      </c>
      <c r="N191" s="663"/>
      <c r="O191" s="680"/>
      <c r="P191" s="363" t="s">
        <v>19</v>
      </c>
      <c r="Q191" s="380" t="s">
        <v>6</v>
      </c>
      <c r="R191" s="380"/>
      <c r="S191" s="390" t="s">
        <v>971</v>
      </c>
      <c r="T191" s="363" t="s">
        <v>439</v>
      </c>
      <c r="U191" s="390" t="s">
        <v>972</v>
      </c>
      <c r="V191" s="363" t="s">
        <v>673</v>
      </c>
      <c r="W191" s="390" t="s">
        <v>973</v>
      </c>
      <c r="X191" s="363" t="s">
        <v>782</v>
      </c>
      <c r="Y191" s="363"/>
      <c r="Z191" s="363"/>
      <c r="AA191" s="363"/>
      <c r="AB191" s="363"/>
      <c r="AC191" s="363"/>
      <c r="AD191" s="363"/>
      <c r="AE191" s="363" t="s">
        <v>281</v>
      </c>
      <c r="AF191" s="380" t="s">
        <v>97</v>
      </c>
      <c r="AG191" s="380">
        <v>3</v>
      </c>
      <c r="AH191" s="363" t="s">
        <v>974</v>
      </c>
    </row>
    <row r="192" spans="2:34" ht="14.4" x14ac:dyDescent="0.3">
      <c r="B192" s="380" t="s">
        <v>14</v>
      </c>
      <c r="C192" s="409" t="s">
        <v>975</v>
      </c>
      <c r="D192" s="445" t="s">
        <v>976</v>
      </c>
      <c r="E192" s="380">
        <v>6100008808</v>
      </c>
      <c r="F192" s="387">
        <v>45799</v>
      </c>
      <c r="G192" s="380" t="s">
        <v>55</v>
      </c>
      <c r="H192" s="380">
        <v>3</v>
      </c>
      <c r="I192" s="388">
        <v>360000</v>
      </c>
      <c r="J192" s="380">
        <v>3</v>
      </c>
      <c r="K192" s="389">
        <f t="shared" si="7"/>
        <v>120000</v>
      </c>
      <c r="L192" s="381">
        <v>45709</v>
      </c>
      <c r="M192" s="381">
        <v>46073</v>
      </c>
      <c r="N192" s="663"/>
      <c r="O192" s="680"/>
      <c r="P192" s="363" t="s">
        <v>19</v>
      </c>
      <c r="Q192" s="380" t="s">
        <v>2</v>
      </c>
      <c r="R192" s="380"/>
      <c r="S192" s="390" t="s">
        <v>977</v>
      </c>
      <c r="T192" s="363" t="s">
        <v>722</v>
      </c>
      <c r="U192" s="390" t="s">
        <v>978</v>
      </c>
      <c r="V192" s="363" t="s">
        <v>791</v>
      </c>
      <c r="W192" s="390" t="s">
        <v>979</v>
      </c>
      <c r="X192" s="363" t="s">
        <v>980</v>
      </c>
      <c r="Y192" s="363"/>
      <c r="Z192" s="363"/>
      <c r="AA192" s="363"/>
      <c r="AB192" s="363"/>
      <c r="AC192" s="363"/>
      <c r="AD192" s="363"/>
      <c r="AE192" s="363" t="s">
        <v>551</v>
      </c>
      <c r="AF192" s="380" t="s">
        <v>207</v>
      </c>
      <c r="AG192" s="380">
        <v>3</v>
      </c>
      <c r="AH192" s="430" t="s">
        <v>981</v>
      </c>
    </row>
    <row r="193" spans="2:34" ht="14.4" x14ac:dyDescent="0.3">
      <c r="B193" s="380" t="s">
        <v>14</v>
      </c>
      <c r="C193" s="409" t="s">
        <v>982</v>
      </c>
      <c r="D193" s="423" t="s">
        <v>801</v>
      </c>
      <c r="E193" s="380" t="s">
        <v>983</v>
      </c>
      <c r="F193" s="387">
        <v>45761</v>
      </c>
      <c r="G193" s="380" t="s">
        <v>55</v>
      </c>
      <c r="H193" s="380">
        <v>1</v>
      </c>
      <c r="I193" s="388">
        <v>90000</v>
      </c>
      <c r="J193" s="380">
        <v>2</v>
      </c>
      <c r="K193" s="389">
        <f t="shared" si="7"/>
        <v>45000</v>
      </c>
      <c r="L193" s="381">
        <v>45809</v>
      </c>
      <c r="M193" s="381">
        <v>46173</v>
      </c>
      <c r="N193" s="663"/>
      <c r="O193" s="680"/>
      <c r="P193" s="363" t="s">
        <v>19</v>
      </c>
      <c r="Q193" s="380" t="s">
        <v>6</v>
      </c>
      <c r="R193" s="380"/>
      <c r="S193" s="390" t="s">
        <v>125</v>
      </c>
      <c r="T193" s="363" t="s">
        <v>423</v>
      </c>
      <c r="U193" s="390" t="s">
        <v>127</v>
      </c>
      <c r="V193" s="363" t="s">
        <v>712</v>
      </c>
      <c r="W193" s="363"/>
      <c r="X193" s="363"/>
      <c r="Y193" s="363"/>
      <c r="Z193" s="363"/>
      <c r="AA193" s="363"/>
      <c r="AB193" s="363"/>
      <c r="AC193" s="363"/>
      <c r="AD193" s="363"/>
      <c r="AE193" s="363" t="s">
        <v>485</v>
      </c>
      <c r="AF193" s="380" t="s">
        <v>63</v>
      </c>
      <c r="AG193" s="380">
        <v>2</v>
      </c>
      <c r="AH193" s="363" t="s">
        <v>667</v>
      </c>
    </row>
    <row r="194" spans="2:34" ht="14.4" x14ac:dyDescent="0.3">
      <c r="B194" s="380" t="s">
        <v>14</v>
      </c>
      <c r="C194" s="412" t="s">
        <v>727</v>
      </c>
      <c r="D194" s="437" t="s">
        <v>984</v>
      </c>
      <c r="E194" s="438">
        <v>4100031856</v>
      </c>
      <c r="F194" s="387">
        <v>45804</v>
      </c>
      <c r="G194" s="380" t="s">
        <v>55</v>
      </c>
      <c r="H194" s="380">
        <v>4</v>
      </c>
      <c r="I194" s="388">
        <v>608328</v>
      </c>
      <c r="J194" s="380">
        <v>3</v>
      </c>
      <c r="K194" s="389"/>
      <c r="L194" s="381">
        <v>45809</v>
      </c>
      <c r="M194" s="381">
        <v>46173</v>
      </c>
      <c r="N194" s="663"/>
      <c r="O194" s="680"/>
      <c r="P194" s="363" t="s">
        <v>19</v>
      </c>
      <c r="Q194" s="380" t="s">
        <v>6</v>
      </c>
      <c r="R194" s="380"/>
      <c r="S194" s="390" t="s">
        <v>81</v>
      </c>
      <c r="T194" s="363" t="s">
        <v>637</v>
      </c>
      <c r="U194" s="390" t="s">
        <v>83</v>
      </c>
      <c r="V194" s="363" t="s">
        <v>985</v>
      </c>
      <c r="W194" s="390" t="s">
        <v>887</v>
      </c>
      <c r="X194" s="363" t="s">
        <v>986</v>
      </c>
      <c r="Y194" s="363"/>
      <c r="Z194" s="363"/>
      <c r="AA194" s="363"/>
      <c r="AB194" s="363"/>
      <c r="AC194" s="363"/>
      <c r="AD194" s="363"/>
      <c r="AE194" s="363" t="s">
        <v>281</v>
      </c>
      <c r="AF194" s="380" t="s">
        <v>97</v>
      </c>
      <c r="AG194" s="380">
        <v>3</v>
      </c>
      <c r="AH194" s="363" t="s">
        <v>774</v>
      </c>
    </row>
    <row r="195" spans="2:34" ht="14.4" x14ac:dyDescent="0.3">
      <c r="B195" s="380" t="s">
        <v>14</v>
      </c>
      <c r="C195" s="443" t="s">
        <v>990</v>
      </c>
      <c r="D195" s="444" t="s">
        <v>991</v>
      </c>
      <c r="E195" s="426">
        <v>115487274</v>
      </c>
      <c r="F195" s="387">
        <v>45807</v>
      </c>
      <c r="G195" s="380" t="s">
        <v>55</v>
      </c>
      <c r="H195" s="380">
        <v>3</v>
      </c>
      <c r="I195" s="388">
        <f>81600*3</f>
        <v>244800</v>
      </c>
      <c r="J195" s="380">
        <v>2</v>
      </c>
      <c r="K195" s="389"/>
      <c r="L195" s="381">
        <v>45809</v>
      </c>
      <c r="M195" s="381">
        <v>46173</v>
      </c>
      <c r="N195" s="663"/>
      <c r="O195" s="680"/>
      <c r="P195" s="363" t="s">
        <v>19</v>
      </c>
      <c r="Q195" s="380" t="s">
        <v>6</v>
      </c>
      <c r="R195" s="380"/>
      <c r="S195" s="390" t="s">
        <v>125</v>
      </c>
      <c r="T195" s="363" t="s">
        <v>289</v>
      </c>
      <c r="U195" s="390" t="s">
        <v>127</v>
      </c>
      <c r="V195" s="363" t="s">
        <v>1712</v>
      </c>
      <c r="W195" s="363"/>
      <c r="X195" s="363"/>
      <c r="Y195" s="363"/>
      <c r="Z195" s="363"/>
      <c r="AA195" s="363"/>
      <c r="AB195" s="363"/>
      <c r="AC195" s="363"/>
      <c r="AD195" s="363"/>
      <c r="AE195" s="363" t="s">
        <v>485</v>
      </c>
      <c r="AF195" s="380" t="s">
        <v>63</v>
      </c>
      <c r="AG195" s="380">
        <v>2</v>
      </c>
      <c r="AH195" s="363" t="s">
        <v>992</v>
      </c>
    </row>
    <row r="196" spans="2:34" ht="14.4" x14ac:dyDescent="0.3">
      <c r="B196" s="380" t="s">
        <v>14</v>
      </c>
      <c r="C196" s="443" t="s">
        <v>508</v>
      </c>
      <c r="D196" s="444" t="s">
        <v>866</v>
      </c>
      <c r="E196" s="426" t="s">
        <v>993</v>
      </c>
      <c r="F196" s="387">
        <v>45806</v>
      </c>
      <c r="G196" s="380" t="s">
        <v>55</v>
      </c>
      <c r="H196" s="380">
        <v>2</v>
      </c>
      <c r="I196" s="452">
        <v>178000</v>
      </c>
      <c r="J196" s="380">
        <v>3</v>
      </c>
      <c r="K196" s="389"/>
      <c r="L196" s="381">
        <v>45809</v>
      </c>
      <c r="M196" s="381">
        <v>46173</v>
      </c>
      <c r="N196" s="663"/>
      <c r="O196" s="680"/>
      <c r="P196" s="363" t="s">
        <v>19</v>
      </c>
      <c r="Q196" s="380" t="s">
        <v>6</v>
      </c>
      <c r="R196" s="380"/>
      <c r="S196" s="390" t="s">
        <v>81</v>
      </c>
      <c r="T196" s="363" t="s">
        <v>562</v>
      </c>
      <c r="U196" s="390" t="s">
        <v>83</v>
      </c>
      <c r="V196" s="363" t="s">
        <v>994</v>
      </c>
      <c r="W196" s="390" t="s">
        <v>404</v>
      </c>
      <c r="X196" s="363" t="s">
        <v>995</v>
      </c>
      <c r="Y196" s="363"/>
      <c r="Z196" s="363"/>
      <c r="AA196" s="363"/>
      <c r="AB196" s="363"/>
      <c r="AC196" s="363"/>
      <c r="AD196" s="363"/>
      <c r="AE196" s="363" t="s">
        <v>96</v>
      </c>
      <c r="AF196" s="380" t="s">
        <v>97</v>
      </c>
      <c r="AG196" s="380" t="s">
        <v>494</v>
      </c>
      <c r="AH196" s="453" t="s">
        <v>996</v>
      </c>
    </row>
    <row r="197" spans="2:34" ht="14.4" hidden="1" x14ac:dyDescent="0.3">
      <c r="B197" s="380" t="s">
        <v>14</v>
      </c>
      <c r="C197" s="409" t="s">
        <v>634</v>
      </c>
      <c r="D197" s="445" t="s">
        <v>997</v>
      </c>
      <c r="E197" s="419">
        <v>4500268257</v>
      </c>
      <c r="F197" s="387">
        <v>45806</v>
      </c>
      <c r="G197" s="380" t="s">
        <v>55</v>
      </c>
      <c r="H197" s="380"/>
      <c r="I197" s="388">
        <f>24875*4</f>
        <v>99500</v>
      </c>
      <c r="J197" s="380">
        <v>4</v>
      </c>
      <c r="K197" s="389">
        <f t="shared" ref="K197:K207" si="8">I197/J197</f>
        <v>24875</v>
      </c>
      <c r="L197" s="381">
        <v>45748</v>
      </c>
      <c r="M197" s="381">
        <v>46112</v>
      </c>
      <c r="N197" s="663"/>
      <c r="O197" s="680"/>
      <c r="P197" s="363" t="s">
        <v>998</v>
      </c>
      <c r="Q197" s="380" t="s">
        <v>9</v>
      </c>
      <c r="R197" s="380"/>
      <c r="S197" s="390" t="s">
        <v>391</v>
      </c>
      <c r="T197" s="363" t="s">
        <v>636</v>
      </c>
      <c r="U197" s="390" t="s">
        <v>168</v>
      </c>
      <c r="V197" s="363" t="s">
        <v>637</v>
      </c>
      <c r="W197" s="390" t="s">
        <v>228</v>
      </c>
      <c r="X197" s="363" t="s">
        <v>493</v>
      </c>
      <c r="Y197" s="390" t="s">
        <v>396</v>
      </c>
      <c r="Z197" s="363" t="s">
        <v>639</v>
      </c>
      <c r="AA197" s="363"/>
      <c r="AB197" s="363"/>
      <c r="AC197" s="363"/>
      <c r="AD197" s="363"/>
      <c r="AE197" s="363" t="s">
        <v>96</v>
      </c>
      <c r="AF197" s="380" t="s">
        <v>97</v>
      </c>
      <c r="AG197" s="380" t="s">
        <v>494</v>
      </c>
      <c r="AH197" s="363"/>
    </row>
    <row r="198" spans="2:34" ht="14.4" hidden="1" x14ac:dyDescent="0.3">
      <c r="B198" s="380" t="s">
        <v>14</v>
      </c>
      <c r="C198" s="409" t="s">
        <v>634</v>
      </c>
      <c r="D198" s="445" t="s">
        <v>997</v>
      </c>
      <c r="E198" s="419">
        <v>4500268257</v>
      </c>
      <c r="F198" s="387">
        <v>45806</v>
      </c>
      <c r="G198" s="380" t="s">
        <v>55</v>
      </c>
      <c r="H198" s="380"/>
      <c r="I198" s="388">
        <f>24875*4</f>
        <v>99500</v>
      </c>
      <c r="J198" s="380">
        <v>4</v>
      </c>
      <c r="K198" s="389">
        <f t="shared" si="8"/>
        <v>24875</v>
      </c>
      <c r="L198" s="381">
        <v>46113</v>
      </c>
      <c r="M198" s="381">
        <v>46477</v>
      </c>
      <c r="N198" s="663"/>
      <c r="O198" s="680"/>
      <c r="P198" s="363" t="s">
        <v>998</v>
      </c>
      <c r="Q198" s="380" t="s">
        <v>9</v>
      </c>
      <c r="R198" s="380"/>
      <c r="S198" s="390" t="s">
        <v>397</v>
      </c>
      <c r="T198" s="363" t="s">
        <v>1715</v>
      </c>
      <c r="U198" s="363" t="s">
        <v>496</v>
      </c>
      <c r="V198" s="363"/>
      <c r="W198" s="363" t="s">
        <v>497</v>
      </c>
      <c r="X198" s="363"/>
      <c r="Y198" s="363" t="s">
        <v>498</v>
      </c>
      <c r="Z198" s="363"/>
      <c r="AA198" s="363"/>
      <c r="AB198" s="363"/>
      <c r="AC198" s="363"/>
      <c r="AD198" s="363"/>
      <c r="AE198" s="363" t="s">
        <v>96</v>
      </c>
      <c r="AF198" s="380" t="s">
        <v>97</v>
      </c>
      <c r="AG198" s="380"/>
      <c r="AH198" s="363"/>
    </row>
    <row r="199" spans="2:34" ht="14.4" hidden="1" x14ac:dyDescent="0.3">
      <c r="B199" s="380" t="s">
        <v>14</v>
      </c>
      <c r="C199" s="409" t="s">
        <v>634</v>
      </c>
      <c r="D199" s="445" t="s">
        <v>997</v>
      </c>
      <c r="E199" s="419">
        <v>4500268257</v>
      </c>
      <c r="F199" s="387">
        <v>45806</v>
      </c>
      <c r="G199" s="380" t="s">
        <v>55</v>
      </c>
      <c r="H199" s="380">
        <v>1</v>
      </c>
      <c r="I199" s="388">
        <f>24875*3</f>
        <v>74625</v>
      </c>
      <c r="J199" s="380">
        <v>3</v>
      </c>
      <c r="K199" s="389">
        <f t="shared" si="8"/>
        <v>24875</v>
      </c>
      <c r="L199" s="381">
        <v>46478</v>
      </c>
      <c r="M199" s="381">
        <v>46752</v>
      </c>
      <c r="N199" s="663"/>
      <c r="O199" s="680"/>
      <c r="P199" s="363" t="s">
        <v>998</v>
      </c>
      <c r="Q199" s="380" t="s">
        <v>9</v>
      </c>
      <c r="R199" s="380"/>
      <c r="S199" s="363" t="s">
        <v>499</v>
      </c>
      <c r="T199" s="363"/>
      <c r="U199" s="363" t="s">
        <v>500</v>
      </c>
      <c r="V199" s="363"/>
      <c r="W199" s="363" t="s">
        <v>501</v>
      </c>
      <c r="X199" s="363"/>
      <c r="Y199" s="363"/>
      <c r="Z199" s="363"/>
      <c r="AA199" s="363"/>
      <c r="AB199" s="363"/>
      <c r="AC199" s="363"/>
      <c r="AD199" s="363"/>
      <c r="AE199" s="363" t="s">
        <v>96</v>
      </c>
      <c r="AF199" s="380" t="s">
        <v>97</v>
      </c>
      <c r="AG199" s="380"/>
      <c r="AH199" s="363"/>
    </row>
    <row r="200" spans="2:34" ht="14.4" x14ac:dyDescent="0.3">
      <c r="B200" s="380" t="s">
        <v>14</v>
      </c>
      <c r="C200" s="409" t="s">
        <v>751</v>
      </c>
      <c r="D200" s="423" t="s">
        <v>151</v>
      </c>
      <c r="E200" s="408">
        <v>307000194</v>
      </c>
      <c r="F200" s="387">
        <v>45799</v>
      </c>
      <c r="G200" s="380" t="s">
        <v>55</v>
      </c>
      <c r="H200" s="380">
        <v>1</v>
      </c>
      <c r="I200" s="388">
        <v>124440</v>
      </c>
      <c r="J200" s="380">
        <v>4</v>
      </c>
      <c r="K200" s="389">
        <f t="shared" si="8"/>
        <v>31110</v>
      </c>
      <c r="L200" s="381">
        <v>45748</v>
      </c>
      <c r="M200" s="381">
        <v>46112</v>
      </c>
      <c r="N200" s="663"/>
      <c r="O200" s="680"/>
      <c r="P200" s="363" t="s">
        <v>19</v>
      </c>
      <c r="Q200" s="380" t="s">
        <v>3</v>
      </c>
      <c r="R200" s="380"/>
      <c r="S200" s="390" t="s">
        <v>391</v>
      </c>
      <c r="T200" s="363" t="s">
        <v>725</v>
      </c>
      <c r="U200" s="390" t="s">
        <v>168</v>
      </c>
      <c r="V200" s="363" t="s">
        <v>169</v>
      </c>
      <c r="W200" s="390" t="s">
        <v>228</v>
      </c>
      <c r="X200" s="363" t="s">
        <v>687</v>
      </c>
      <c r="Y200" s="390" t="s">
        <v>396</v>
      </c>
      <c r="Z200" s="363" t="s">
        <v>999</v>
      </c>
      <c r="AA200" s="363"/>
      <c r="AB200" s="363"/>
      <c r="AC200" s="363"/>
      <c r="AD200" s="363"/>
      <c r="AE200" s="363" t="s">
        <v>507</v>
      </c>
      <c r="AF200" s="380" t="s">
        <v>63</v>
      </c>
      <c r="AG200" s="380">
        <v>4</v>
      </c>
      <c r="AH200" s="363" t="s">
        <v>667</v>
      </c>
    </row>
    <row r="201" spans="2:34" ht="14.4" x14ac:dyDescent="0.3">
      <c r="B201" s="380" t="s">
        <v>14</v>
      </c>
      <c r="C201" s="409" t="s">
        <v>595</v>
      </c>
      <c r="D201" s="418" t="s">
        <v>1000</v>
      </c>
      <c r="E201" s="454">
        <v>3110015195</v>
      </c>
      <c r="F201" s="387">
        <v>45807</v>
      </c>
      <c r="G201" s="380" t="s">
        <v>55</v>
      </c>
      <c r="H201" s="380">
        <v>1</v>
      </c>
      <c r="I201" s="388">
        <v>75999.990000000005</v>
      </c>
      <c r="J201" s="380">
        <v>3</v>
      </c>
      <c r="K201" s="389">
        <f t="shared" si="8"/>
        <v>25333.33</v>
      </c>
      <c r="L201" s="381">
        <v>45778</v>
      </c>
      <c r="M201" s="381">
        <v>46142</v>
      </c>
      <c r="N201" s="663"/>
      <c r="O201" s="680"/>
      <c r="P201" s="363" t="s">
        <v>19</v>
      </c>
      <c r="Q201" s="380" t="s">
        <v>6</v>
      </c>
      <c r="R201" s="380" t="s">
        <v>437</v>
      </c>
      <c r="S201" s="390" t="s">
        <v>343</v>
      </c>
      <c r="T201" s="363" t="s">
        <v>394</v>
      </c>
      <c r="U201" s="390" t="s">
        <v>345</v>
      </c>
      <c r="V201" s="363" t="s">
        <v>1001</v>
      </c>
      <c r="W201" s="390" t="s">
        <v>347</v>
      </c>
      <c r="X201" s="363" t="s">
        <v>1717</v>
      </c>
      <c r="Y201" s="363"/>
      <c r="Z201" s="363"/>
      <c r="AA201" s="363"/>
      <c r="AB201" s="363"/>
      <c r="AC201" s="363"/>
      <c r="AD201" s="363"/>
      <c r="AE201" s="363" t="s">
        <v>507</v>
      </c>
      <c r="AF201" s="380" t="s">
        <v>63</v>
      </c>
      <c r="AG201" s="380">
        <v>3</v>
      </c>
      <c r="AH201" s="363" t="s">
        <v>799</v>
      </c>
    </row>
    <row r="202" spans="2:34" ht="14.4" x14ac:dyDescent="0.3">
      <c r="B202" s="380" t="s">
        <v>14</v>
      </c>
      <c r="C202" s="409" t="s">
        <v>1002</v>
      </c>
      <c r="D202" s="418" t="s">
        <v>151</v>
      </c>
      <c r="E202" s="419">
        <v>4518004947</v>
      </c>
      <c r="F202" s="387">
        <v>45812</v>
      </c>
      <c r="G202" s="380" t="s">
        <v>55</v>
      </c>
      <c r="H202" s="380">
        <v>4</v>
      </c>
      <c r="I202" s="388">
        <v>186000</v>
      </c>
      <c r="J202" s="380">
        <v>1</v>
      </c>
      <c r="K202" s="389">
        <f t="shared" si="8"/>
        <v>186000</v>
      </c>
      <c r="L202" s="381">
        <v>45748</v>
      </c>
      <c r="M202" s="381">
        <v>46112</v>
      </c>
      <c r="N202" s="663"/>
      <c r="O202" s="680"/>
      <c r="P202" s="363" t="s">
        <v>19</v>
      </c>
      <c r="Q202" s="380" t="s">
        <v>3</v>
      </c>
      <c r="R202" s="380" t="s">
        <v>437</v>
      </c>
      <c r="S202" s="390" t="s">
        <v>631</v>
      </c>
      <c r="T202" s="363" t="s">
        <v>1003</v>
      </c>
      <c r="U202" s="363"/>
      <c r="V202" s="363"/>
      <c r="W202" s="363"/>
      <c r="X202" s="363"/>
      <c r="Y202" s="363"/>
      <c r="Z202" s="363"/>
      <c r="AA202" s="363"/>
      <c r="AB202" s="363"/>
      <c r="AC202" s="363"/>
      <c r="AD202" s="363"/>
      <c r="AE202" s="363" t="s">
        <v>507</v>
      </c>
      <c r="AF202" s="380" t="s">
        <v>63</v>
      </c>
      <c r="AG202" s="380">
        <v>2</v>
      </c>
      <c r="AH202" s="363" t="s">
        <v>667</v>
      </c>
    </row>
    <row r="203" spans="2:34" ht="14.4" x14ac:dyDescent="0.3">
      <c r="B203" s="380" t="s">
        <v>14</v>
      </c>
      <c r="C203" s="412" t="s">
        <v>614</v>
      </c>
      <c r="D203" s="437" t="s">
        <v>970</v>
      </c>
      <c r="E203" s="426">
        <v>4500049533</v>
      </c>
      <c r="F203" s="387">
        <v>45810</v>
      </c>
      <c r="G203" s="380" t="s">
        <v>55</v>
      </c>
      <c r="H203" s="380">
        <v>2</v>
      </c>
      <c r="I203" s="388">
        <v>152880</v>
      </c>
      <c r="J203" s="380">
        <v>3</v>
      </c>
      <c r="K203" s="389">
        <f t="shared" si="8"/>
        <v>50960</v>
      </c>
      <c r="L203" s="381">
        <v>45818</v>
      </c>
      <c r="M203" s="381">
        <v>46182</v>
      </c>
      <c r="N203" s="663"/>
      <c r="O203" s="680"/>
      <c r="P203" s="363" t="s">
        <v>19</v>
      </c>
      <c r="Q203" s="380" t="s">
        <v>9</v>
      </c>
      <c r="R203" s="380"/>
      <c r="S203" s="390" t="s">
        <v>592</v>
      </c>
      <c r="T203" s="363"/>
      <c r="U203" s="390" t="s">
        <v>593</v>
      </c>
      <c r="V203" s="363" t="s">
        <v>84</v>
      </c>
      <c r="W203" s="390" t="s">
        <v>1004</v>
      </c>
      <c r="X203" s="363" t="s">
        <v>1710</v>
      </c>
      <c r="Y203" s="363"/>
      <c r="Z203" s="363"/>
      <c r="AA203" s="363"/>
      <c r="AB203" s="363"/>
      <c r="AC203" s="363"/>
      <c r="AD203" s="363"/>
      <c r="AE203" s="363" t="s">
        <v>281</v>
      </c>
      <c r="AF203" s="380" t="s">
        <v>97</v>
      </c>
      <c r="AG203" s="380">
        <v>3</v>
      </c>
      <c r="AH203" s="455" t="s">
        <v>1005</v>
      </c>
    </row>
    <row r="204" spans="2:34" ht="14.4" x14ac:dyDescent="0.3">
      <c r="B204" s="380" t="s">
        <v>14</v>
      </c>
      <c r="C204" s="409" t="s">
        <v>433</v>
      </c>
      <c r="D204" s="386" t="s">
        <v>388</v>
      </c>
      <c r="E204" s="419" t="s">
        <v>1006</v>
      </c>
      <c r="F204" s="387">
        <v>45804</v>
      </c>
      <c r="G204" s="380" t="s">
        <v>55</v>
      </c>
      <c r="H204" s="380">
        <v>16</v>
      </c>
      <c r="I204" s="388">
        <f>3746500
/1.18</f>
        <v>3175000</v>
      </c>
      <c r="J204" s="380">
        <v>4</v>
      </c>
      <c r="K204" s="391">
        <f t="shared" si="8"/>
        <v>793750</v>
      </c>
      <c r="L204" s="381">
        <v>45807</v>
      </c>
      <c r="M204" s="381">
        <v>46171</v>
      </c>
      <c r="N204" s="663"/>
      <c r="O204" s="680"/>
      <c r="P204" s="363" t="s">
        <v>19</v>
      </c>
      <c r="Q204" s="380" t="s">
        <v>9</v>
      </c>
      <c r="R204" s="380"/>
      <c r="S204" s="390" t="s">
        <v>286</v>
      </c>
      <c r="T204" s="363" t="s">
        <v>505</v>
      </c>
      <c r="U204" s="390" t="s">
        <v>1007</v>
      </c>
      <c r="V204" s="363" t="s">
        <v>1008</v>
      </c>
      <c r="W204" s="390" t="s">
        <v>290</v>
      </c>
      <c r="X204" s="363" t="s">
        <v>1009</v>
      </c>
      <c r="Y204" s="390" t="s">
        <v>1010</v>
      </c>
      <c r="Z204" s="363" t="s">
        <v>251</v>
      </c>
      <c r="AA204" s="363"/>
      <c r="AB204" s="363"/>
      <c r="AC204" s="363"/>
      <c r="AD204" s="363"/>
      <c r="AE204" s="363" t="s">
        <v>478</v>
      </c>
      <c r="AF204" s="380" t="s">
        <v>63</v>
      </c>
      <c r="AG204" s="380"/>
      <c r="AH204" s="363" t="s">
        <v>667</v>
      </c>
    </row>
    <row r="205" spans="2:34" ht="14.4" hidden="1" x14ac:dyDescent="0.3">
      <c r="B205" s="380" t="s">
        <v>14</v>
      </c>
      <c r="C205" s="456" t="s">
        <v>1011</v>
      </c>
      <c r="D205" s="418" t="s">
        <v>1012</v>
      </c>
      <c r="E205" s="457" t="s">
        <v>1013</v>
      </c>
      <c r="F205" s="387">
        <v>46000</v>
      </c>
      <c r="G205" s="380" t="s">
        <v>55</v>
      </c>
      <c r="H205" s="380"/>
      <c r="I205" s="388"/>
      <c r="J205" s="380"/>
      <c r="K205" s="389" t="e">
        <f t="shared" si="8"/>
        <v>#DIV/0!</v>
      </c>
      <c r="L205" s="381"/>
      <c r="M205" s="381"/>
      <c r="N205" s="663"/>
      <c r="O205" s="680"/>
      <c r="P205" s="363"/>
      <c r="Q205" s="380"/>
      <c r="R205" s="380"/>
      <c r="S205" s="363"/>
      <c r="T205" s="363"/>
      <c r="U205" s="363"/>
      <c r="V205" s="363"/>
      <c r="W205" s="363"/>
      <c r="X205" s="363"/>
      <c r="Y205" s="363"/>
      <c r="Z205" s="363"/>
      <c r="AA205" s="363"/>
      <c r="AB205" s="363"/>
      <c r="AC205" s="363"/>
      <c r="AD205" s="363"/>
      <c r="AE205" s="363"/>
      <c r="AF205" s="380"/>
      <c r="AG205" s="380"/>
      <c r="AH205" s="363"/>
    </row>
    <row r="206" spans="2:34" ht="14.4" x14ac:dyDescent="0.3">
      <c r="B206" s="380" t="s">
        <v>14</v>
      </c>
      <c r="C206" s="409" t="s">
        <v>1014</v>
      </c>
      <c r="D206" s="418" t="s">
        <v>151</v>
      </c>
      <c r="E206" s="419">
        <v>4500539790</v>
      </c>
      <c r="F206" s="387">
        <v>45818</v>
      </c>
      <c r="G206" s="380" t="s">
        <v>55</v>
      </c>
      <c r="H206" s="380">
        <v>2</v>
      </c>
      <c r="I206" s="388">
        <f>3*60000</f>
        <v>180000</v>
      </c>
      <c r="J206" s="380">
        <v>3</v>
      </c>
      <c r="K206" s="389">
        <f t="shared" si="8"/>
        <v>60000</v>
      </c>
      <c r="L206" s="381">
        <v>45809</v>
      </c>
      <c r="M206" s="381">
        <v>46173</v>
      </c>
      <c r="N206" s="663"/>
      <c r="O206" s="680"/>
      <c r="P206" s="363" t="s">
        <v>19</v>
      </c>
      <c r="Q206" s="380" t="s">
        <v>6</v>
      </c>
      <c r="R206" s="380"/>
      <c r="S206" s="390" t="s">
        <v>81</v>
      </c>
      <c r="T206" s="363" t="s">
        <v>1015</v>
      </c>
      <c r="U206" s="390" t="s">
        <v>83</v>
      </c>
      <c r="V206" s="363" t="s">
        <v>191</v>
      </c>
      <c r="W206" s="390" t="s">
        <v>404</v>
      </c>
      <c r="X206" s="363" t="s">
        <v>291</v>
      </c>
      <c r="Y206" s="363"/>
      <c r="Z206" s="363"/>
      <c r="AA206" s="363"/>
      <c r="AB206" s="363"/>
      <c r="AC206" s="363"/>
      <c r="AD206" s="363"/>
      <c r="AE206" s="363" t="s">
        <v>507</v>
      </c>
      <c r="AF206" s="380" t="s">
        <v>63</v>
      </c>
      <c r="AG206" s="380">
        <v>3</v>
      </c>
      <c r="AH206" s="363" t="s">
        <v>667</v>
      </c>
    </row>
    <row r="207" spans="2:34" ht="14.4" x14ac:dyDescent="0.3">
      <c r="B207" s="380" t="s">
        <v>14</v>
      </c>
      <c r="C207" s="429" t="s">
        <v>609</v>
      </c>
      <c r="D207" s="418" t="s">
        <v>1016</v>
      </c>
      <c r="E207" s="419">
        <v>3791227950</v>
      </c>
      <c r="F207" s="387">
        <v>45770</v>
      </c>
      <c r="G207" s="380" t="s">
        <v>55</v>
      </c>
      <c r="H207" s="380">
        <v>1</v>
      </c>
      <c r="I207" s="388">
        <v>61500</v>
      </c>
      <c r="J207" s="380">
        <v>3</v>
      </c>
      <c r="K207" s="389">
        <f t="shared" si="8"/>
        <v>20500</v>
      </c>
      <c r="L207" s="381">
        <v>45748</v>
      </c>
      <c r="M207" s="381">
        <v>46112</v>
      </c>
      <c r="N207" s="663"/>
      <c r="O207" s="680"/>
      <c r="P207" s="363" t="s">
        <v>19</v>
      </c>
      <c r="Q207" s="380" t="s">
        <v>5</v>
      </c>
      <c r="R207" s="380"/>
      <c r="S207" s="390" t="s">
        <v>357</v>
      </c>
      <c r="T207" s="363" t="s">
        <v>1017</v>
      </c>
      <c r="U207" s="390" t="s">
        <v>665</v>
      </c>
      <c r="V207" s="363" t="s">
        <v>967</v>
      </c>
      <c r="W207" s="390" t="s">
        <v>361</v>
      </c>
      <c r="X207" s="363" t="s">
        <v>455</v>
      </c>
      <c r="Y207" s="363"/>
      <c r="Z207" s="363"/>
      <c r="AA207" s="363"/>
      <c r="AB207" s="363"/>
      <c r="AC207" s="363"/>
      <c r="AD207" s="363"/>
      <c r="AE207" s="363" t="s">
        <v>619</v>
      </c>
      <c r="AF207" s="380" t="s">
        <v>63</v>
      </c>
      <c r="AG207" s="380">
        <v>3</v>
      </c>
      <c r="AH207" s="363" t="s">
        <v>667</v>
      </c>
    </row>
    <row r="208" spans="2:34" ht="14.4" x14ac:dyDescent="0.3">
      <c r="B208" s="380" t="s">
        <v>14</v>
      </c>
      <c r="C208" s="429" t="s">
        <v>614</v>
      </c>
      <c r="D208" s="458" t="s">
        <v>447</v>
      </c>
      <c r="E208" s="459" t="s">
        <v>1018</v>
      </c>
      <c r="F208" s="387">
        <v>45806</v>
      </c>
      <c r="G208" s="380" t="s">
        <v>55</v>
      </c>
      <c r="H208" s="380">
        <v>1</v>
      </c>
      <c r="I208" s="388">
        <v>76440</v>
      </c>
      <c r="J208" s="380">
        <v>3</v>
      </c>
      <c r="K208" s="389"/>
      <c r="L208" s="381">
        <v>45778</v>
      </c>
      <c r="M208" s="381">
        <v>46142</v>
      </c>
      <c r="N208" s="663"/>
      <c r="O208" s="680"/>
      <c r="P208" s="363" t="s">
        <v>19</v>
      </c>
      <c r="Q208" s="380" t="s">
        <v>5</v>
      </c>
      <c r="R208" s="380"/>
      <c r="S208" s="390" t="s">
        <v>343</v>
      </c>
      <c r="T208" s="363" t="s">
        <v>759</v>
      </c>
      <c r="U208" s="390" t="s">
        <v>345</v>
      </c>
      <c r="V208" s="363" t="s">
        <v>781</v>
      </c>
      <c r="W208" s="390" t="s">
        <v>347</v>
      </c>
      <c r="X208" s="363" t="s">
        <v>1019</v>
      </c>
      <c r="Y208" s="363"/>
      <c r="Z208" s="363"/>
      <c r="AA208" s="363"/>
      <c r="AB208" s="363"/>
      <c r="AC208" s="363"/>
      <c r="AD208" s="363"/>
      <c r="AE208" s="363" t="s">
        <v>281</v>
      </c>
      <c r="AF208" s="380" t="s">
        <v>97</v>
      </c>
      <c r="AG208" s="380">
        <v>3</v>
      </c>
      <c r="AH208" s="363" t="s">
        <v>1020</v>
      </c>
    </row>
    <row r="209" spans="2:34" ht="14.4" x14ac:dyDescent="0.3">
      <c r="B209" s="380" t="s">
        <v>14</v>
      </c>
      <c r="C209" s="460" t="s">
        <v>1021</v>
      </c>
      <c r="D209" s="461" t="s">
        <v>1022</v>
      </c>
      <c r="E209" s="426">
        <v>1421076377</v>
      </c>
      <c r="F209" s="387">
        <v>45812</v>
      </c>
      <c r="G209" s="380" t="s">
        <v>55</v>
      </c>
      <c r="H209" s="380">
        <v>1</v>
      </c>
      <c r="I209" s="388">
        <v>84480</v>
      </c>
      <c r="J209" s="380">
        <v>2</v>
      </c>
      <c r="K209" s="389">
        <f t="shared" ref="K209:K216" si="9">I209/J209</f>
        <v>42240</v>
      </c>
      <c r="L209" s="381">
        <v>45809</v>
      </c>
      <c r="M209" s="381">
        <v>46173</v>
      </c>
      <c r="N209" s="663"/>
      <c r="O209" s="680"/>
      <c r="P209" s="363" t="s">
        <v>19</v>
      </c>
      <c r="Q209" s="380" t="s">
        <v>6</v>
      </c>
      <c r="R209" s="380"/>
      <c r="S209" s="390" t="s">
        <v>125</v>
      </c>
      <c r="T209" s="363" t="s">
        <v>287</v>
      </c>
      <c r="U209" s="390" t="s">
        <v>127</v>
      </c>
      <c r="V209" s="363" t="s">
        <v>939</v>
      </c>
      <c r="W209" s="363"/>
      <c r="X209" s="363"/>
      <c r="Y209" s="363"/>
      <c r="Z209" s="363"/>
      <c r="AA209" s="363"/>
      <c r="AB209" s="363"/>
      <c r="AC209" s="363"/>
      <c r="AD209" s="363"/>
      <c r="AE209" s="363" t="s">
        <v>485</v>
      </c>
      <c r="AF209" s="380" t="s">
        <v>63</v>
      </c>
      <c r="AG209" s="380">
        <v>2</v>
      </c>
      <c r="AH209" s="363" t="s">
        <v>1023</v>
      </c>
    </row>
    <row r="210" spans="2:34" ht="14.4" x14ac:dyDescent="0.3">
      <c r="B210" s="380" t="s">
        <v>14</v>
      </c>
      <c r="C210" s="429" t="s">
        <v>1024</v>
      </c>
      <c r="D210" s="458" t="s">
        <v>1025</v>
      </c>
      <c r="E210" s="419">
        <v>7026010733</v>
      </c>
      <c r="F210" s="387">
        <v>45819</v>
      </c>
      <c r="G210" s="380" t="s">
        <v>55</v>
      </c>
      <c r="H210" s="380">
        <v>8</v>
      </c>
      <c r="I210" s="388">
        <v>512000</v>
      </c>
      <c r="J210" s="380">
        <v>2</v>
      </c>
      <c r="K210" s="389">
        <f t="shared" si="9"/>
        <v>256000</v>
      </c>
      <c r="L210" s="381">
        <v>45748</v>
      </c>
      <c r="M210" s="381">
        <v>46112</v>
      </c>
      <c r="N210" s="663"/>
      <c r="O210" s="680"/>
      <c r="P210" s="363" t="s">
        <v>19</v>
      </c>
      <c r="Q210" s="380" t="s">
        <v>9</v>
      </c>
      <c r="R210" s="380"/>
      <c r="S210" s="390" t="s">
        <v>463</v>
      </c>
      <c r="T210" s="363" t="s">
        <v>1026</v>
      </c>
      <c r="U210" s="390" t="s">
        <v>465</v>
      </c>
      <c r="V210" s="363" t="s">
        <v>1853</v>
      </c>
      <c r="W210" s="363"/>
      <c r="X210" s="363"/>
      <c r="Y210" s="363"/>
      <c r="Z210" s="363"/>
      <c r="AA210" s="363"/>
      <c r="AB210" s="363"/>
      <c r="AC210" s="363"/>
      <c r="AD210" s="363"/>
      <c r="AE210" s="363" t="s">
        <v>507</v>
      </c>
      <c r="AF210" s="380" t="s">
        <v>63</v>
      </c>
      <c r="AG210" s="380">
        <v>2</v>
      </c>
      <c r="AH210" s="363" t="s">
        <v>1027</v>
      </c>
    </row>
    <row r="211" spans="2:34" ht="14.4" x14ac:dyDescent="0.3">
      <c r="B211" s="380" t="s">
        <v>14</v>
      </c>
      <c r="C211" s="429" t="s">
        <v>658</v>
      </c>
      <c r="D211" s="458" t="s">
        <v>151</v>
      </c>
      <c r="E211" s="419">
        <v>6500007595</v>
      </c>
      <c r="F211" s="387">
        <v>45820</v>
      </c>
      <c r="G211" s="380" t="s">
        <v>55</v>
      </c>
      <c r="H211" s="380">
        <v>8</v>
      </c>
      <c r="I211" s="388">
        <v>448000</v>
      </c>
      <c r="J211" s="380">
        <v>1</v>
      </c>
      <c r="K211" s="389">
        <f t="shared" si="9"/>
        <v>448000</v>
      </c>
      <c r="L211" s="381">
        <v>45748</v>
      </c>
      <c r="M211" s="381">
        <v>46112</v>
      </c>
      <c r="N211" s="663"/>
      <c r="O211" s="680"/>
      <c r="P211" s="363" t="s">
        <v>19</v>
      </c>
      <c r="Q211" s="380" t="s">
        <v>3</v>
      </c>
      <c r="R211" s="380"/>
      <c r="S211" s="390" t="s">
        <v>631</v>
      </c>
      <c r="T211" s="363" t="s">
        <v>939</v>
      </c>
      <c r="U211" s="363"/>
      <c r="V211" s="363"/>
      <c r="W211" s="363"/>
      <c r="X211" s="363"/>
      <c r="Y211" s="363"/>
      <c r="Z211" s="363"/>
      <c r="AA211" s="363"/>
      <c r="AB211" s="363"/>
      <c r="AC211" s="363"/>
      <c r="AD211" s="363"/>
      <c r="AE211" s="363" t="s">
        <v>507</v>
      </c>
      <c r="AF211" s="380" t="s">
        <v>63</v>
      </c>
      <c r="AG211" s="380">
        <v>2</v>
      </c>
      <c r="AH211" s="363" t="s">
        <v>1028</v>
      </c>
    </row>
    <row r="212" spans="2:34" ht="14.4" x14ac:dyDescent="0.3">
      <c r="B212" s="380" t="s">
        <v>14</v>
      </c>
      <c r="C212" s="429" t="s">
        <v>544</v>
      </c>
      <c r="D212" s="458" t="s">
        <v>1029</v>
      </c>
      <c r="E212" s="419">
        <v>1250008989</v>
      </c>
      <c r="F212" s="387">
        <v>45798</v>
      </c>
      <c r="G212" s="380" t="s">
        <v>55</v>
      </c>
      <c r="H212" s="380">
        <v>1</v>
      </c>
      <c r="I212" s="388">
        <v>130002</v>
      </c>
      <c r="J212" s="380">
        <v>3</v>
      </c>
      <c r="K212" s="389">
        <f t="shared" si="9"/>
        <v>43334</v>
      </c>
      <c r="L212" s="381">
        <v>45778</v>
      </c>
      <c r="M212" s="381">
        <v>46142</v>
      </c>
      <c r="N212" s="663"/>
      <c r="O212" s="680"/>
      <c r="P212" s="363" t="s">
        <v>19</v>
      </c>
      <c r="Q212" s="380" t="s">
        <v>5</v>
      </c>
      <c r="R212" s="380"/>
      <c r="S212" s="390" t="s">
        <v>343</v>
      </c>
      <c r="T212" s="363" t="s">
        <v>1030</v>
      </c>
      <c r="U212" s="390" t="s">
        <v>345</v>
      </c>
      <c r="V212" s="363" t="s">
        <v>395</v>
      </c>
      <c r="W212" s="390" t="s">
        <v>347</v>
      </c>
      <c r="X212" s="363" t="s">
        <v>443</v>
      </c>
      <c r="Y212" s="363"/>
      <c r="Z212" s="363"/>
      <c r="AA212" s="363"/>
      <c r="AB212" s="363"/>
      <c r="AC212" s="363"/>
      <c r="AD212" s="363"/>
      <c r="AE212" s="363" t="s">
        <v>551</v>
      </c>
      <c r="AF212" s="380" t="s">
        <v>207</v>
      </c>
      <c r="AG212" s="380">
        <v>3</v>
      </c>
      <c r="AH212" s="363" t="s">
        <v>667</v>
      </c>
    </row>
    <row r="213" spans="2:34" ht="14.4" x14ac:dyDescent="0.3">
      <c r="B213" s="380" t="s">
        <v>14</v>
      </c>
      <c r="C213" s="429" t="s">
        <v>685</v>
      </c>
      <c r="D213" s="458" t="s">
        <v>1031</v>
      </c>
      <c r="E213" s="419">
        <v>4512760492</v>
      </c>
      <c r="F213" s="387">
        <v>45826</v>
      </c>
      <c r="G213" s="380" t="s">
        <v>55</v>
      </c>
      <c r="H213" s="380">
        <v>2</v>
      </c>
      <c r="I213" s="388">
        <v>92000</v>
      </c>
      <c r="J213" s="380">
        <v>3</v>
      </c>
      <c r="K213" s="391">
        <f t="shared" si="9"/>
        <v>30666.666666666668</v>
      </c>
      <c r="L213" s="381">
        <v>45809</v>
      </c>
      <c r="M213" s="381">
        <v>46173</v>
      </c>
      <c r="N213" s="663"/>
      <c r="O213" s="680"/>
      <c r="P213" s="363" t="s">
        <v>19</v>
      </c>
      <c r="Q213" s="380" t="s">
        <v>6</v>
      </c>
      <c r="R213" s="380"/>
      <c r="S213" s="390" t="s">
        <v>81</v>
      </c>
      <c r="T213" s="363" t="s">
        <v>582</v>
      </c>
      <c r="U213" s="390" t="s">
        <v>83</v>
      </c>
      <c r="V213" s="363" t="s">
        <v>432</v>
      </c>
      <c r="W213" s="390" t="s">
        <v>404</v>
      </c>
      <c r="X213" s="363" t="s">
        <v>1718</v>
      </c>
      <c r="Y213" s="363"/>
      <c r="Z213" s="363"/>
      <c r="AA213" s="363"/>
      <c r="AB213" s="363"/>
      <c r="AC213" s="363"/>
      <c r="AD213" s="363"/>
      <c r="AE213" s="363" t="s">
        <v>478</v>
      </c>
      <c r="AF213" s="380" t="s">
        <v>63</v>
      </c>
      <c r="AG213" s="380">
        <v>3</v>
      </c>
      <c r="AH213" s="363" t="s">
        <v>667</v>
      </c>
    </row>
    <row r="214" spans="2:34" ht="14.4" x14ac:dyDescent="0.3">
      <c r="B214" s="380" t="s">
        <v>14</v>
      </c>
      <c r="C214" s="429" t="s">
        <v>1032</v>
      </c>
      <c r="D214" s="458" t="s">
        <v>693</v>
      </c>
      <c r="E214" s="419">
        <v>3430061224</v>
      </c>
      <c r="F214" s="387">
        <v>45800</v>
      </c>
      <c r="G214" s="380" t="s">
        <v>55</v>
      </c>
      <c r="H214" s="380">
        <v>10</v>
      </c>
      <c r="I214" s="388">
        <v>582120</v>
      </c>
      <c r="J214" s="380">
        <v>3</v>
      </c>
      <c r="K214" s="389">
        <f t="shared" si="9"/>
        <v>194040</v>
      </c>
      <c r="L214" s="381">
        <v>45748</v>
      </c>
      <c r="M214" s="381">
        <v>46112</v>
      </c>
      <c r="N214" s="663"/>
      <c r="O214" s="680"/>
      <c r="P214" s="363" t="s">
        <v>19</v>
      </c>
      <c r="Q214" s="380" t="s">
        <v>5</v>
      </c>
      <c r="R214" s="380"/>
      <c r="S214" s="394" t="s">
        <v>357</v>
      </c>
      <c r="T214" s="363" t="s">
        <v>1033</v>
      </c>
      <c r="U214" s="390" t="s">
        <v>665</v>
      </c>
      <c r="V214" s="363" t="s">
        <v>1034</v>
      </c>
      <c r="W214" s="390" t="s">
        <v>361</v>
      </c>
      <c r="X214" s="363" t="s">
        <v>782</v>
      </c>
      <c r="Y214" s="363"/>
      <c r="Z214" s="363"/>
      <c r="AA214" s="363"/>
      <c r="AB214" s="363"/>
      <c r="AC214" s="363"/>
      <c r="AD214" s="363"/>
      <c r="AE214" s="363" t="s">
        <v>128</v>
      </c>
      <c r="AF214" s="380" t="s">
        <v>129</v>
      </c>
      <c r="AG214" s="380">
        <v>2</v>
      </c>
      <c r="AH214" s="430" t="s">
        <v>1035</v>
      </c>
    </row>
    <row r="215" spans="2:34" ht="14.4" x14ac:dyDescent="0.3">
      <c r="B215" s="380" t="s">
        <v>14</v>
      </c>
      <c r="C215" s="429" t="s">
        <v>1032</v>
      </c>
      <c r="D215" s="458" t="s">
        <v>1036</v>
      </c>
      <c r="E215" s="419">
        <v>4430017625</v>
      </c>
      <c r="F215" s="387">
        <v>45829</v>
      </c>
      <c r="G215" s="380" t="s">
        <v>55</v>
      </c>
      <c r="H215" s="380">
        <v>3</v>
      </c>
      <c r="I215" s="388">
        <v>350000</v>
      </c>
      <c r="J215" s="380">
        <v>2</v>
      </c>
      <c r="K215" s="389">
        <f t="shared" si="9"/>
        <v>175000</v>
      </c>
      <c r="L215" s="381">
        <v>45839</v>
      </c>
      <c r="M215" s="381">
        <v>46203</v>
      </c>
      <c r="N215" s="663"/>
      <c r="O215" s="680"/>
      <c r="P215" s="363" t="s">
        <v>19</v>
      </c>
      <c r="Q215" s="380" t="s">
        <v>9</v>
      </c>
      <c r="R215" s="380"/>
      <c r="S215" s="390" t="s">
        <v>483</v>
      </c>
      <c r="T215" s="363" t="s">
        <v>423</v>
      </c>
      <c r="U215" s="390" t="s">
        <v>607</v>
      </c>
      <c r="V215" s="363" t="s">
        <v>1850</v>
      </c>
      <c r="W215" s="363"/>
      <c r="X215" s="363"/>
      <c r="Y215" s="363"/>
      <c r="Z215" s="363"/>
      <c r="AA215" s="363"/>
      <c r="AB215" s="363"/>
      <c r="AC215" s="363"/>
      <c r="AD215" s="363"/>
      <c r="AE215" s="363" t="s">
        <v>834</v>
      </c>
      <c r="AF215" s="380" t="s">
        <v>207</v>
      </c>
      <c r="AG215" s="380">
        <v>2</v>
      </c>
      <c r="AH215" s="430" t="s">
        <v>1035</v>
      </c>
    </row>
    <row r="216" spans="2:34" ht="14.4" x14ac:dyDescent="0.3">
      <c r="B216" s="380" t="s">
        <v>14</v>
      </c>
      <c r="C216" s="423" t="s">
        <v>595</v>
      </c>
      <c r="D216" s="418" t="s">
        <v>1000</v>
      </c>
      <c r="E216" s="462">
        <v>3110015090</v>
      </c>
      <c r="F216" s="387">
        <v>45792</v>
      </c>
      <c r="G216" s="380" t="s">
        <v>55</v>
      </c>
      <c r="H216" s="380">
        <v>10</v>
      </c>
      <c r="I216" s="388">
        <v>600000</v>
      </c>
      <c r="J216" s="380">
        <v>3</v>
      </c>
      <c r="K216" s="389">
        <f t="shared" si="9"/>
        <v>200000</v>
      </c>
      <c r="L216" s="381">
        <v>45778</v>
      </c>
      <c r="M216" s="381">
        <v>46142</v>
      </c>
      <c r="N216" s="663"/>
      <c r="O216" s="680"/>
      <c r="P216" s="363" t="s">
        <v>19</v>
      </c>
      <c r="Q216" s="380" t="s">
        <v>6</v>
      </c>
      <c r="R216" s="380"/>
      <c r="S216" s="390" t="s">
        <v>343</v>
      </c>
      <c r="T216" s="363" t="s">
        <v>394</v>
      </c>
      <c r="U216" s="390" t="s">
        <v>345</v>
      </c>
      <c r="V216" s="363" t="s">
        <v>1001</v>
      </c>
      <c r="W216" s="390" t="s">
        <v>347</v>
      </c>
      <c r="X216" s="363" t="s">
        <v>114</v>
      </c>
      <c r="Y216" s="363"/>
      <c r="Z216" s="363"/>
      <c r="AA216" s="363"/>
      <c r="AB216" s="363"/>
      <c r="AC216" s="363"/>
      <c r="AD216" s="363"/>
      <c r="AE216" s="363" t="s">
        <v>507</v>
      </c>
      <c r="AF216" s="380" t="s">
        <v>63</v>
      </c>
      <c r="AG216" s="380">
        <v>3</v>
      </c>
      <c r="AH216" s="363" t="s">
        <v>1037</v>
      </c>
    </row>
    <row r="217" spans="2:34" ht="14.4" hidden="1" x14ac:dyDescent="0.3">
      <c r="B217" s="380" t="s">
        <v>14</v>
      </c>
      <c r="C217" s="412" t="s">
        <v>614</v>
      </c>
      <c r="D217" s="463" t="s">
        <v>1016</v>
      </c>
      <c r="E217" s="414" t="s">
        <v>1038</v>
      </c>
      <c r="F217" s="415">
        <v>45810</v>
      </c>
      <c r="G217" s="380" t="s">
        <v>55</v>
      </c>
      <c r="H217" s="380">
        <v>12</v>
      </c>
      <c r="I217" s="388">
        <f>76440*12</f>
        <v>917280</v>
      </c>
      <c r="J217" s="380">
        <v>3</v>
      </c>
      <c r="K217" s="389"/>
      <c r="L217" s="381">
        <v>45809</v>
      </c>
      <c r="M217" s="381">
        <v>46173</v>
      </c>
      <c r="N217" s="663"/>
      <c r="O217" s="680"/>
      <c r="P217" s="363" t="s">
        <v>520</v>
      </c>
      <c r="Q217" s="380" t="s">
        <v>9</v>
      </c>
      <c r="R217" s="380"/>
      <c r="S217" s="390" t="s">
        <v>81</v>
      </c>
      <c r="T217" s="363" t="s">
        <v>1039</v>
      </c>
      <c r="U217" s="390" t="s">
        <v>83</v>
      </c>
      <c r="V217" s="363" t="s">
        <v>441</v>
      </c>
      <c r="W217" s="390" t="s">
        <v>404</v>
      </c>
      <c r="X217" s="363" t="s">
        <v>1849</v>
      </c>
      <c r="Y217" s="363"/>
      <c r="Z217" s="363"/>
      <c r="AA217" s="363"/>
      <c r="AB217" s="363"/>
      <c r="AC217" s="363"/>
      <c r="AD217" s="363"/>
      <c r="AE217" s="363" t="s">
        <v>619</v>
      </c>
      <c r="AF217" s="380" t="s">
        <v>63</v>
      </c>
      <c r="AG217" s="380">
        <v>3</v>
      </c>
      <c r="AH217" s="431" t="s">
        <v>1040</v>
      </c>
    </row>
    <row r="218" spans="2:34" ht="14.4" x14ac:dyDescent="0.3">
      <c r="B218" s="380" t="s">
        <v>14</v>
      </c>
      <c r="C218" s="409" t="s">
        <v>1041</v>
      </c>
      <c r="D218" s="434" t="s">
        <v>1016</v>
      </c>
      <c r="E218" s="419">
        <v>4220019956</v>
      </c>
      <c r="F218" s="387">
        <v>45802</v>
      </c>
      <c r="G218" s="380" t="s">
        <v>55</v>
      </c>
      <c r="H218" s="380">
        <v>3</v>
      </c>
      <c r="I218" s="388">
        <v>218592</v>
      </c>
      <c r="J218" s="380">
        <v>3</v>
      </c>
      <c r="K218" s="389">
        <f>I218/J218</f>
        <v>72864</v>
      </c>
      <c r="L218" s="381">
        <v>45748</v>
      </c>
      <c r="M218" s="381">
        <v>46112</v>
      </c>
      <c r="N218" s="663"/>
      <c r="O218" s="680"/>
      <c r="P218" s="363" t="s">
        <v>19</v>
      </c>
      <c r="Q218" s="380" t="s">
        <v>3</v>
      </c>
      <c r="R218" s="380"/>
      <c r="S218" s="390" t="s">
        <v>357</v>
      </c>
      <c r="T218" s="363" t="s">
        <v>806</v>
      </c>
      <c r="U218" s="390" t="s">
        <v>665</v>
      </c>
      <c r="V218" s="363" t="s">
        <v>191</v>
      </c>
      <c r="W218" s="390" t="s">
        <v>361</v>
      </c>
      <c r="X218" s="363" t="s">
        <v>1042</v>
      </c>
      <c r="Y218" s="363"/>
      <c r="Z218" s="363"/>
      <c r="AA218" s="363"/>
      <c r="AB218" s="363"/>
      <c r="AC218" s="363"/>
      <c r="AD218" s="363"/>
      <c r="AE218" s="363" t="s">
        <v>619</v>
      </c>
      <c r="AF218" s="380" t="s">
        <v>63</v>
      </c>
      <c r="AG218" s="380">
        <v>3</v>
      </c>
      <c r="AH218" s="363" t="s">
        <v>667</v>
      </c>
    </row>
    <row r="219" spans="2:34" ht="14.4" hidden="1" x14ac:dyDescent="0.3">
      <c r="B219" s="380" t="s">
        <v>14</v>
      </c>
      <c r="C219" s="430" t="s">
        <v>1043</v>
      </c>
      <c r="D219" s="445" t="s">
        <v>151</v>
      </c>
      <c r="E219" s="419">
        <v>8176740</v>
      </c>
      <c r="F219" s="387">
        <v>45832</v>
      </c>
      <c r="G219" s="380" t="s">
        <v>55</v>
      </c>
      <c r="H219" s="380">
        <v>2</v>
      </c>
      <c r="I219" s="388">
        <v>155000</v>
      </c>
      <c r="J219" s="380">
        <v>3</v>
      </c>
      <c r="K219" s="389">
        <f>I219/J219</f>
        <v>51666.666666666664</v>
      </c>
      <c r="L219" s="381">
        <v>45901</v>
      </c>
      <c r="M219" s="381">
        <v>46265</v>
      </c>
      <c r="N219" s="663"/>
      <c r="O219" s="680"/>
      <c r="P219" s="363" t="s">
        <v>520</v>
      </c>
      <c r="Q219" s="380" t="s">
        <v>9</v>
      </c>
      <c r="R219" s="380"/>
      <c r="S219" s="390" t="s">
        <v>345</v>
      </c>
      <c r="T219" s="363" t="s">
        <v>147</v>
      </c>
      <c r="U219" s="390" t="s">
        <v>347</v>
      </c>
      <c r="V219" s="363" t="s">
        <v>1044</v>
      </c>
      <c r="W219" s="363" t="s">
        <v>348</v>
      </c>
      <c r="X219" s="363" t="s">
        <v>1045</v>
      </c>
      <c r="Y219" s="363"/>
      <c r="Z219" s="363"/>
      <c r="AA219" s="363"/>
      <c r="AB219" s="363"/>
      <c r="AC219" s="363"/>
      <c r="AD219" s="363"/>
      <c r="AE219" s="363" t="s">
        <v>478</v>
      </c>
      <c r="AF219" s="380" t="s">
        <v>63</v>
      </c>
      <c r="AG219" s="380">
        <v>3</v>
      </c>
      <c r="AH219" s="430" t="s">
        <v>1046</v>
      </c>
    </row>
    <row r="220" spans="2:34" ht="14.4" x14ac:dyDescent="0.3">
      <c r="B220" s="380" t="s">
        <v>14</v>
      </c>
      <c r="C220" s="412" t="s">
        <v>614</v>
      </c>
      <c r="D220" s="463" t="s">
        <v>1016</v>
      </c>
      <c r="E220" s="414" t="s">
        <v>1047</v>
      </c>
      <c r="F220" s="415">
        <v>45831</v>
      </c>
      <c r="G220" s="380" t="s">
        <v>55</v>
      </c>
      <c r="H220" s="380">
        <v>7</v>
      </c>
      <c r="I220" s="388">
        <v>535080</v>
      </c>
      <c r="J220" s="380">
        <v>3</v>
      </c>
      <c r="K220" s="389"/>
      <c r="L220" s="381">
        <v>45809</v>
      </c>
      <c r="M220" s="381">
        <v>46173</v>
      </c>
      <c r="N220" s="663"/>
      <c r="O220" s="680"/>
      <c r="P220" s="363" t="s">
        <v>19</v>
      </c>
      <c r="Q220" s="380" t="s">
        <v>9</v>
      </c>
      <c r="R220" s="380"/>
      <c r="S220" s="390" t="s">
        <v>81</v>
      </c>
      <c r="T220" s="363" t="s">
        <v>819</v>
      </c>
      <c r="U220" s="390" t="s">
        <v>83</v>
      </c>
      <c r="V220" s="363" t="s">
        <v>903</v>
      </c>
      <c r="W220" s="390" t="s">
        <v>404</v>
      </c>
      <c r="X220" s="363" t="s">
        <v>1854</v>
      </c>
      <c r="Y220" s="363"/>
      <c r="Z220" s="363"/>
      <c r="AA220" s="363"/>
      <c r="AB220" s="363"/>
      <c r="AC220" s="363"/>
      <c r="AD220" s="363"/>
      <c r="AE220" s="363" t="s">
        <v>619</v>
      </c>
      <c r="AF220" s="380" t="s">
        <v>63</v>
      </c>
      <c r="AG220" s="380">
        <v>3</v>
      </c>
      <c r="AH220" s="363" t="s">
        <v>1048</v>
      </c>
    </row>
    <row r="221" spans="2:34" ht="14.4" x14ac:dyDescent="0.3">
      <c r="B221" s="380" t="s">
        <v>14</v>
      </c>
      <c r="C221" s="409" t="s">
        <v>1049</v>
      </c>
      <c r="D221" s="423" t="s">
        <v>447</v>
      </c>
      <c r="E221" s="464">
        <v>3300013521</v>
      </c>
      <c r="F221" s="387">
        <v>45832</v>
      </c>
      <c r="G221" s="380" t="s">
        <v>55</v>
      </c>
      <c r="H221" s="380">
        <v>1</v>
      </c>
      <c r="I221" s="388">
        <v>109500</v>
      </c>
      <c r="J221" s="380">
        <v>4</v>
      </c>
      <c r="K221" s="389">
        <f>I221/J221</f>
        <v>27375</v>
      </c>
      <c r="L221" s="381">
        <v>45778</v>
      </c>
      <c r="M221" s="381">
        <v>46142</v>
      </c>
      <c r="N221" s="663"/>
      <c r="O221" s="680"/>
      <c r="P221" s="363" t="s">
        <v>19</v>
      </c>
      <c r="Q221" s="380" t="s">
        <v>5</v>
      </c>
      <c r="R221" s="380"/>
      <c r="S221" s="390" t="s">
        <v>266</v>
      </c>
      <c r="T221" s="363" t="s">
        <v>145</v>
      </c>
      <c r="U221" s="390" t="s">
        <v>267</v>
      </c>
      <c r="V221" s="363" t="s">
        <v>452</v>
      </c>
      <c r="W221" s="390" t="s">
        <v>269</v>
      </c>
      <c r="X221" s="363" t="s">
        <v>320</v>
      </c>
      <c r="Y221" s="390" t="s">
        <v>442</v>
      </c>
      <c r="Z221" s="363" t="s">
        <v>1050</v>
      </c>
      <c r="AA221" s="363"/>
      <c r="AB221" s="363"/>
      <c r="AC221" s="363"/>
      <c r="AD221" s="363"/>
      <c r="AE221" s="363" t="s">
        <v>281</v>
      </c>
      <c r="AF221" s="380" t="s">
        <v>97</v>
      </c>
      <c r="AG221" s="380" t="s">
        <v>494</v>
      </c>
      <c r="AH221" s="363" t="s">
        <v>667</v>
      </c>
    </row>
    <row r="222" spans="2:34" ht="14.4" x14ac:dyDescent="0.3">
      <c r="B222" s="380" t="s">
        <v>14</v>
      </c>
      <c r="C222" s="409" t="s">
        <v>195</v>
      </c>
      <c r="D222" s="423" t="s">
        <v>1051</v>
      </c>
      <c r="E222" s="464" t="s">
        <v>1052</v>
      </c>
      <c r="F222" s="387">
        <v>45834</v>
      </c>
      <c r="G222" s="380" t="s">
        <v>55</v>
      </c>
      <c r="H222" s="380">
        <v>6</v>
      </c>
      <c r="I222" s="388">
        <v>497859.84000000003</v>
      </c>
      <c r="J222" s="380">
        <v>3</v>
      </c>
      <c r="K222" s="389">
        <f>I222/J222</f>
        <v>165953.28</v>
      </c>
      <c r="L222" s="381">
        <v>45834</v>
      </c>
      <c r="M222" s="381">
        <v>46198</v>
      </c>
      <c r="N222" s="663"/>
      <c r="O222" s="680"/>
      <c r="P222" s="363" t="s">
        <v>19</v>
      </c>
      <c r="Q222" s="380" t="s">
        <v>9</v>
      </c>
      <c r="R222" s="380"/>
      <c r="S222" s="390" t="s">
        <v>1053</v>
      </c>
      <c r="T222" s="363" t="s">
        <v>1054</v>
      </c>
      <c r="U222" s="390" t="s">
        <v>1055</v>
      </c>
      <c r="V222" s="363" t="s">
        <v>1056</v>
      </c>
      <c r="W222" s="390" t="s">
        <v>1057</v>
      </c>
      <c r="X222" s="363" t="s">
        <v>1855</v>
      </c>
      <c r="Y222" s="363"/>
      <c r="Z222" s="363"/>
      <c r="AA222" s="363"/>
      <c r="AB222" s="363"/>
      <c r="AC222" s="363"/>
      <c r="AD222" s="363"/>
      <c r="AE222" s="363" t="s">
        <v>281</v>
      </c>
      <c r="AF222" s="380" t="s">
        <v>97</v>
      </c>
      <c r="AG222" s="380">
        <v>3</v>
      </c>
      <c r="AH222" s="363" t="s">
        <v>667</v>
      </c>
    </row>
    <row r="223" spans="2:34" ht="14.4" hidden="1" x14ac:dyDescent="0.3">
      <c r="B223" s="380" t="s">
        <v>14</v>
      </c>
      <c r="C223" s="412" t="s">
        <v>614</v>
      </c>
      <c r="D223" s="437" t="s">
        <v>447</v>
      </c>
      <c r="E223" s="465" t="s">
        <v>1058</v>
      </c>
      <c r="F223" s="387">
        <v>45821</v>
      </c>
      <c r="G223" s="380" t="s">
        <v>55</v>
      </c>
      <c r="H223" s="380">
        <v>15</v>
      </c>
      <c r="I223" s="388">
        <v>1146600</v>
      </c>
      <c r="J223" s="380">
        <v>3</v>
      </c>
      <c r="K223" s="389"/>
      <c r="L223" s="381">
        <v>45809</v>
      </c>
      <c r="M223" s="381">
        <v>46173</v>
      </c>
      <c r="N223" s="663"/>
      <c r="O223" s="680"/>
      <c r="P223" s="363" t="s">
        <v>520</v>
      </c>
      <c r="Q223" s="380" t="s">
        <v>9</v>
      </c>
      <c r="R223" s="380"/>
      <c r="S223" s="390" t="s">
        <v>81</v>
      </c>
      <c r="T223" s="363" t="s">
        <v>811</v>
      </c>
      <c r="U223" s="390" t="s">
        <v>83</v>
      </c>
      <c r="V223" s="363" t="s">
        <v>1059</v>
      </c>
      <c r="W223" s="363" t="s">
        <v>404</v>
      </c>
      <c r="X223" s="363"/>
      <c r="Y223" s="363"/>
      <c r="Z223" s="363"/>
      <c r="AA223" s="363"/>
      <c r="AB223" s="363"/>
      <c r="AC223" s="363"/>
      <c r="AD223" s="363"/>
      <c r="AE223" s="363" t="s">
        <v>281</v>
      </c>
      <c r="AF223" s="380" t="s">
        <v>97</v>
      </c>
      <c r="AG223" s="380">
        <v>3</v>
      </c>
      <c r="AH223" s="363" t="s">
        <v>1060</v>
      </c>
    </row>
    <row r="224" spans="2:34" ht="15" customHeight="1" x14ac:dyDescent="0.3">
      <c r="B224" s="380" t="s">
        <v>14</v>
      </c>
      <c r="C224" s="412" t="s">
        <v>789</v>
      </c>
      <c r="D224" s="437" t="s">
        <v>629</v>
      </c>
      <c r="E224" s="426">
        <v>8480224138</v>
      </c>
      <c r="F224" s="387">
        <v>45818</v>
      </c>
      <c r="G224" s="380" t="s">
        <v>55</v>
      </c>
      <c r="H224" s="380">
        <v>10</v>
      </c>
      <c r="I224" s="388">
        <v>764400</v>
      </c>
      <c r="J224" s="380">
        <v>3</v>
      </c>
      <c r="K224" s="389"/>
      <c r="L224" s="381">
        <v>45809</v>
      </c>
      <c r="M224" s="381">
        <v>46173</v>
      </c>
      <c r="N224" s="663"/>
      <c r="O224" s="680"/>
      <c r="P224" s="363" t="s">
        <v>19</v>
      </c>
      <c r="Q224" s="380" t="s">
        <v>6</v>
      </c>
      <c r="R224" s="380"/>
      <c r="S224" s="390" t="s">
        <v>81</v>
      </c>
      <c r="T224" s="363" t="s">
        <v>492</v>
      </c>
      <c r="U224" s="390" t="s">
        <v>83</v>
      </c>
      <c r="V224" s="363" t="s">
        <v>346</v>
      </c>
      <c r="W224" s="390" t="s">
        <v>404</v>
      </c>
      <c r="X224" s="363" t="s">
        <v>1719</v>
      </c>
      <c r="Y224" s="363"/>
      <c r="Z224" s="363"/>
      <c r="AA224" s="363"/>
      <c r="AB224" s="363"/>
      <c r="AC224" s="363"/>
      <c r="AD224" s="363"/>
      <c r="AE224" s="363" t="s">
        <v>485</v>
      </c>
      <c r="AF224" s="380" t="s">
        <v>63</v>
      </c>
      <c r="AG224" s="380">
        <v>3</v>
      </c>
      <c r="AH224" s="363" t="s">
        <v>1060</v>
      </c>
    </row>
    <row r="225" spans="2:34" ht="14.4" x14ac:dyDescent="0.3">
      <c r="B225" s="380" t="s">
        <v>14</v>
      </c>
      <c r="C225" s="409" t="s">
        <v>1061</v>
      </c>
      <c r="D225" s="423" t="s">
        <v>841</v>
      </c>
      <c r="E225" s="464">
        <v>326050136</v>
      </c>
      <c r="F225" s="387">
        <v>45831</v>
      </c>
      <c r="G225" s="380" t="s">
        <v>55</v>
      </c>
      <c r="H225" s="380">
        <v>1</v>
      </c>
      <c r="I225" s="388">
        <v>90000</v>
      </c>
      <c r="J225" s="380">
        <v>3</v>
      </c>
      <c r="K225" s="389">
        <f t="shared" ref="K225:K232" si="10">I225/J225</f>
        <v>30000</v>
      </c>
      <c r="L225" s="381">
        <v>45809</v>
      </c>
      <c r="M225" s="381">
        <v>46173</v>
      </c>
      <c r="N225" s="663"/>
      <c r="O225" s="680"/>
      <c r="P225" s="363" t="s">
        <v>19</v>
      </c>
      <c r="Q225" s="380" t="s">
        <v>6</v>
      </c>
      <c r="R225" s="380" t="s">
        <v>1</v>
      </c>
      <c r="S225" s="390" t="s">
        <v>81</v>
      </c>
      <c r="T225" s="363" t="s">
        <v>431</v>
      </c>
      <c r="U225" s="390" t="s">
        <v>83</v>
      </c>
      <c r="V225" s="363" t="s">
        <v>765</v>
      </c>
      <c r="W225" s="390" t="s">
        <v>404</v>
      </c>
      <c r="X225" s="363" t="s">
        <v>820</v>
      </c>
      <c r="Y225" s="363"/>
      <c r="Z225" s="363"/>
      <c r="AA225" s="363"/>
      <c r="AB225" s="363"/>
      <c r="AC225" s="363"/>
      <c r="AD225" s="363"/>
      <c r="AE225" s="363" t="s">
        <v>485</v>
      </c>
      <c r="AF225" s="380" t="s">
        <v>63</v>
      </c>
      <c r="AG225" s="380">
        <v>3</v>
      </c>
      <c r="AH225" s="363" t="s">
        <v>667</v>
      </c>
    </row>
    <row r="226" spans="2:34" ht="14.4" x14ac:dyDescent="0.3">
      <c r="B226" s="380" t="s">
        <v>14</v>
      </c>
      <c r="C226" s="409" t="s">
        <v>1062</v>
      </c>
      <c r="D226" s="434" t="s">
        <v>388</v>
      </c>
      <c r="E226" s="419">
        <v>3006483602</v>
      </c>
      <c r="F226" s="387">
        <v>45840</v>
      </c>
      <c r="G226" s="380" t="s">
        <v>55</v>
      </c>
      <c r="H226" s="380">
        <v>1</v>
      </c>
      <c r="I226" s="388">
        <v>87500</v>
      </c>
      <c r="J226" s="380">
        <v>2</v>
      </c>
      <c r="K226" s="389">
        <f t="shared" si="10"/>
        <v>43750</v>
      </c>
      <c r="L226" s="381">
        <v>45839</v>
      </c>
      <c r="M226" s="466">
        <v>46203</v>
      </c>
      <c r="N226" s="665"/>
      <c r="O226" s="682"/>
      <c r="P226" s="363" t="s">
        <v>19</v>
      </c>
      <c r="Q226" s="380" t="s">
        <v>9</v>
      </c>
      <c r="R226" s="380"/>
      <c r="S226" s="390" t="s">
        <v>483</v>
      </c>
      <c r="T226" s="363" t="s">
        <v>709</v>
      </c>
      <c r="U226" s="390" t="s">
        <v>607</v>
      </c>
      <c r="V226" s="363" t="s">
        <v>1856</v>
      </c>
      <c r="W226" s="363"/>
      <c r="X226" s="363"/>
      <c r="Y226" s="363"/>
      <c r="Z226" s="363"/>
      <c r="AA226" s="363"/>
      <c r="AB226" s="363"/>
      <c r="AC226" s="363"/>
      <c r="AD226" s="363"/>
      <c r="AE226" s="363" t="s">
        <v>619</v>
      </c>
      <c r="AF226" s="380" t="s">
        <v>63</v>
      </c>
      <c r="AG226" s="380">
        <v>2</v>
      </c>
      <c r="AH226" s="363" t="s">
        <v>799</v>
      </c>
    </row>
    <row r="227" spans="2:34" ht="14.4" x14ac:dyDescent="0.3">
      <c r="B227" s="380" t="s">
        <v>14</v>
      </c>
      <c r="C227" s="430" t="s">
        <v>1063</v>
      </c>
      <c r="D227" s="445" t="s">
        <v>151</v>
      </c>
      <c r="E227" s="419" t="s">
        <v>1064</v>
      </c>
      <c r="F227" s="387">
        <v>45723</v>
      </c>
      <c r="G227" s="380" t="s">
        <v>55</v>
      </c>
      <c r="H227" s="380">
        <v>4</v>
      </c>
      <c r="I227" s="388">
        <v>340000</v>
      </c>
      <c r="J227" s="380">
        <v>3</v>
      </c>
      <c r="K227" s="389">
        <f t="shared" si="10"/>
        <v>113333.33333333333</v>
      </c>
      <c r="L227" s="381">
        <v>45839</v>
      </c>
      <c r="M227" s="466">
        <v>46203</v>
      </c>
      <c r="N227" s="665">
        <v>154516</v>
      </c>
      <c r="O227" s="682">
        <v>4897</v>
      </c>
      <c r="P227" s="363" t="s">
        <v>19</v>
      </c>
      <c r="Q227" s="380" t="s">
        <v>9</v>
      </c>
      <c r="R227" s="380" t="s">
        <v>1</v>
      </c>
      <c r="S227" s="390" t="s">
        <v>190</v>
      </c>
      <c r="T227" s="363" t="s">
        <v>886</v>
      </c>
      <c r="U227" s="390" t="s">
        <v>192</v>
      </c>
      <c r="V227" s="363" t="s">
        <v>1065</v>
      </c>
      <c r="W227" s="390" t="s">
        <v>194</v>
      </c>
      <c r="X227" s="363" t="s">
        <v>1515</v>
      </c>
      <c r="Y227" s="363"/>
      <c r="Z227" s="363"/>
      <c r="AA227" s="363"/>
      <c r="AB227" s="363"/>
      <c r="AC227" s="363"/>
      <c r="AD227" s="363"/>
      <c r="AE227" s="363" t="s">
        <v>507</v>
      </c>
      <c r="AF227" s="380" t="s">
        <v>63</v>
      </c>
      <c r="AG227" s="380">
        <v>3</v>
      </c>
      <c r="AH227" s="363" t="s">
        <v>1066</v>
      </c>
    </row>
    <row r="228" spans="2:34" ht="14.4" x14ac:dyDescent="0.3">
      <c r="B228" s="380" t="s">
        <v>14</v>
      </c>
      <c r="C228" s="412" t="s">
        <v>614</v>
      </c>
      <c r="D228" s="444" t="s">
        <v>447</v>
      </c>
      <c r="E228" s="467" t="s">
        <v>1067</v>
      </c>
      <c r="F228" s="387">
        <v>45827</v>
      </c>
      <c r="G228" s="380" t="s">
        <v>55</v>
      </c>
      <c r="H228" s="380">
        <v>1</v>
      </c>
      <c r="I228" s="388">
        <v>76440</v>
      </c>
      <c r="J228" s="380">
        <v>3</v>
      </c>
      <c r="K228" s="389">
        <f t="shared" si="10"/>
        <v>25480</v>
      </c>
      <c r="L228" s="381">
        <v>45809</v>
      </c>
      <c r="M228" s="466">
        <v>46173</v>
      </c>
      <c r="N228" s="665"/>
      <c r="O228" s="682"/>
      <c r="P228" s="363" t="s">
        <v>19</v>
      </c>
      <c r="Q228" s="380" t="s">
        <v>6</v>
      </c>
      <c r="R228" s="380"/>
      <c r="S228" s="394" t="s">
        <v>81</v>
      </c>
      <c r="T228" s="363" t="s">
        <v>431</v>
      </c>
      <c r="U228" s="390" t="s">
        <v>83</v>
      </c>
      <c r="V228" s="363" t="s">
        <v>1059</v>
      </c>
      <c r="W228" s="390" t="s">
        <v>887</v>
      </c>
      <c r="X228" s="363" t="s">
        <v>712</v>
      </c>
      <c r="Y228" s="363"/>
      <c r="Z228" s="363"/>
      <c r="AA228" s="363"/>
      <c r="AB228" s="363"/>
      <c r="AC228" s="363"/>
      <c r="AD228" s="363"/>
      <c r="AE228" s="363" t="s">
        <v>281</v>
      </c>
      <c r="AF228" s="380" t="s">
        <v>97</v>
      </c>
      <c r="AG228" s="380">
        <v>3</v>
      </c>
      <c r="AH228" s="363" t="s">
        <v>1068</v>
      </c>
    </row>
    <row r="229" spans="2:34" ht="14.4" x14ac:dyDescent="0.3">
      <c r="B229" s="380" t="s">
        <v>14</v>
      </c>
      <c r="C229" s="409" t="s">
        <v>1069</v>
      </c>
      <c r="D229" s="445" t="s">
        <v>151</v>
      </c>
      <c r="E229" s="419">
        <v>4400012768</v>
      </c>
      <c r="F229" s="387">
        <v>45845</v>
      </c>
      <c r="G229" s="380" t="s">
        <v>55</v>
      </c>
      <c r="H229" s="380">
        <v>1</v>
      </c>
      <c r="I229" s="388">
        <v>46000</v>
      </c>
      <c r="J229" s="380">
        <v>3</v>
      </c>
      <c r="K229" s="389">
        <f t="shared" si="10"/>
        <v>15333.333333333334</v>
      </c>
      <c r="L229" s="381">
        <v>45839</v>
      </c>
      <c r="M229" s="381">
        <v>46203</v>
      </c>
      <c r="N229" s="663"/>
      <c r="O229" s="680"/>
      <c r="P229" s="363" t="s">
        <v>19</v>
      </c>
      <c r="Q229" s="380" t="s">
        <v>9</v>
      </c>
      <c r="R229" s="380"/>
      <c r="S229" s="390" t="s">
        <v>190</v>
      </c>
      <c r="T229" s="363" t="s">
        <v>611</v>
      </c>
      <c r="U229" s="390" t="s">
        <v>192</v>
      </c>
      <c r="V229" s="363" t="s">
        <v>430</v>
      </c>
      <c r="W229" s="390" t="s">
        <v>194</v>
      </c>
      <c r="X229" s="363" t="s">
        <v>1712</v>
      </c>
      <c r="Y229" s="363"/>
      <c r="Z229" s="363"/>
      <c r="AA229" s="363"/>
      <c r="AB229" s="363"/>
      <c r="AC229" s="363"/>
      <c r="AD229" s="363"/>
      <c r="AE229" s="363" t="s">
        <v>478</v>
      </c>
      <c r="AF229" s="380" t="s">
        <v>63</v>
      </c>
      <c r="AG229" s="380">
        <v>5</v>
      </c>
      <c r="AH229" s="363" t="s">
        <v>667</v>
      </c>
    </row>
    <row r="230" spans="2:34" ht="14.4" x14ac:dyDescent="0.3">
      <c r="B230" s="380" t="s">
        <v>14</v>
      </c>
      <c r="C230" s="409" t="s">
        <v>954</v>
      </c>
      <c r="D230" s="423" t="s">
        <v>1070</v>
      </c>
      <c r="E230" s="419">
        <v>4601465628</v>
      </c>
      <c r="F230" s="387">
        <v>45845</v>
      </c>
      <c r="G230" s="380" t="s">
        <v>55</v>
      </c>
      <c r="H230" s="380">
        <v>1</v>
      </c>
      <c r="I230" s="388">
        <v>85000</v>
      </c>
      <c r="J230" s="380">
        <v>1</v>
      </c>
      <c r="K230" s="389">
        <f t="shared" si="10"/>
        <v>85000</v>
      </c>
      <c r="L230" s="381">
        <v>45839</v>
      </c>
      <c r="M230" s="381">
        <v>46203</v>
      </c>
      <c r="N230" s="663"/>
      <c r="O230" s="680"/>
      <c r="P230" s="363" t="s">
        <v>19</v>
      </c>
      <c r="Q230" s="380" t="s">
        <v>9</v>
      </c>
      <c r="R230" s="380"/>
      <c r="S230" s="390" t="s">
        <v>1071</v>
      </c>
      <c r="T230" s="363" t="s">
        <v>618</v>
      </c>
      <c r="U230" s="363"/>
      <c r="V230" s="363"/>
      <c r="W230" s="363"/>
      <c r="X230" s="363"/>
      <c r="Y230" s="363"/>
      <c r="Z230" s="363"/>
      <c r="AA230" s="363"/>
      <c r="AB230" s="363"/>
      <c r="AC230" s="363"/>
      <c r="AD230" s="363"/>
      <c r="AE230" s="363" t="s">
        <v>478</v>
      </c>
      <c r="AF230" s="380" t="s">
        <v>63</v>
      </c>
      <c r="AG230" s="380">
        <v>3</v>
      </c>
      <c r="AH230" s="363" t="s">
        <v>667</v>
      </c>
    </row>
    <row r="231" spans="2:34" ht="14.4" x14ac:dyDescent="0.3">
      <c r="B231" s="380" t="s">
        <v>14</v>
      </c>
      <c r="C231" s="409" t="s">
        <v>954</v>
      </c>
      <c r="D231" s="423" t="s">
        <v>1072</v>
      </c>
      <c r="E231" s="419">
        <v>4601465566</v>
      </c>
      <c r="F231" s="387">
        <v>45845</v>
      </c>
      <c r="G231" s="380" t="s">
        <v>55</v>
      </c>
      <c r="H231" s="380">
        <v>1</v>
      </c>
      <c r="I231" s="388">
        <v>85000</v>
      </c>
      <c r="J231" s="380">
        <v>1</v>
      </c>
      <c r="K231" s="389">
        <f t="shared" si="10"/>
        <v>85000</v>
      </c>
      <c r="L231" s="381">
        <v>45839</v>
      </c>
      <c r="M231" s="381">
        <v>46203</v>
      </c>
      <c r="N231" s="663"/>
      <c r="O231" s="680"/>
      <c r="P231" s="363" t="s">
        <v>19</v>
      </c>
      <c r="Q231" s="380" t="s">
        <v>9</v>
      </c>
      <c r="R231" s="380"/>
      <c r="S231" s="390" t="s">
        <v>1071</v>
      </c>
      <c r="T231" s="363" t="s">
        <v>618</v>
      </c>
      <c r="U231" s="363"/>
      <c r="V231" s="363"/>
      <c r="W231" s="363"/>
      <c r="X231" s="363"/>
      <c r="Y231" s="363"/>
      <c r="Z231" s="363"/>
      <c r="AA231" s="363"/>
      <c r="AB231" s="363"/>
      <c r="AC231" s="363"/>
      <c r="AD231" s="363"/>
      <c r="AE231" s="363" t="s">
        <v>478</v>
      </c>
      <c r="AF231" s="380" t="s">
        <v>63</v>
      </c>
      <c r="AG231" s="380">
        <v>3</v>
      </c>
      <c r="AH231" s="363" t="s">
        <v>667</v>
      </c>
    </row>
    <row r="232" spans="2:34" ht="14.4" hidden="1" x14ac:dyDescent="0.3">
      <c r="B232" s="380" t="s">
        <v>14</v>
      </c>
      <c r="C232" s="409" t="s">
        <v>1073</v>
      </c>
      <c r="D232" s="423" t="s">
        <v>1074</v>
      </c>
      <c r="E232" s="468">
        <v>440000458</v>
      </c>
      <c r="F232" s="387">
        <v>45834</v>
      </c>
      <c r="G232" s="380" t="s">
        <v>55</v>
      </c>
      <c r="H232" s="380"/>
      <c r="I232" s="452">
        <v>243000</v>
      </c>
      <c r="J232" s="380">
        <v>2</v>
      </c>
      <c r="K232" s="389">
        <f t="shared" si="10"/>
        <v>121500</v>
      </c>
      <c r="L232" s="381">
        <v>45839</v>
      </c>
      <c r="M232" s="381">
        <v>46022</v>
      </c>
      <c r="N232" s="663"/>
      <c r="O232" s="680"/>
      <c r="P232" s="363" t="s">
        <v>520</v>
      </c>
      <c r="Q232" s="380" t="s">
        <v>11</v>
      </c>
      <c r="R232" s="380" t="s">
        <v>1</v>
      </c>
      <c r="S232" s="390" t="s">
        <v>168</v>
      </c>
      <c r="T232" s="363" t="s">
        <v>505</v>
      </c>
      <c r="U232" s="390" t="s">
        <v>228</v>
      </c>
      <c r="V232" s="363" t="s">
        <v>1075</v>
      </c>
      <c r="W232" s="363"/>
      <c r="X232" s="363"/>
      <c r="Y232" s="363"/>
      <c r="Z232" s="363"/>
      <c r="AA232" s="363"/>
      <c r="AB232" s="363"/>
      <c r="AC232" s="363"/>
      <c r="AD232" s="363"/>
      <c r="AE232" s="363" t="s">
        <v>551</v>
      </c>
      <c r="AF232" s="380" t="s">
        <v>207</v>
      </c>
      <c r="AG232" s="380">
        <v>2</v>
      </c>
      <c r="AH232" s="363" t="s">
        <v>1076</v>
      </c>
    </row>
    <row r="233" spans="2:34" ht="14.4" hidden="1" x14ac:dyDescent="0.3">
      <c r="B233" s="380" t="s">
        <v>14</v>
      </c>
      <c r="C233" s="409" t="s">
        <v>1073</v>
      </c>
      <c r="D233" s="423" t="s">
        <v>1074</v>
      </c>
      <c r="E233" s="468">
        <v>440000458</v>
      </c>
      <c r="F233" s="387">
        <v>45834</v>
      </c>
      <c r="G233" s="380" t="s">
        <v>55</v>
      </c>
      <c r="H233" s="380"/>
      <c r="I233" s="452">
        <v>518700</v>
      </c>
      <c r="J233" s="380">
        <v>3</v>
      </c>
      <c r="K233" s="389">
        <f>I233/2</f>
        <v>259350</v>
      </c>
      <c r="L233" s="381">
        <v>46023</v>
      </c>
      <c r="M233" s="381">
        <v>46387</v>
      </c>
      <c r="N233" s="663"/>
      <c r="O233" s="680"/>
      <c r="P233" s="363" t="s">
        <v>520</v>
      </c>
      <c r="Q233" s="380" t="s">
        <v>11</v>
      </c>
      <c r="R233" s="380" t="s">
        <v>1</v>
      </c>
      <c r="S233" s="390" t="s">
        <v>347</v>
      </c>
      <c r="T233" s="363" t="s">
        <v>1056</v>
      </c>
      <c r="U233" s="390" t="s">
        <v>348</v>
      </c>
      <c r="V233" s="363" t="s">
        <v>1942</v>
      </c>
      <c r="W233" s="363" t="s">
        <v>349</v>
      </c>
      <c r="X233" s="363"/>
      <c r="Y233" s="363"/>
      <c r="Z233" s="363"/>
      <c r="AA233" s="363"/>
      <c r="AB233" s="363"/>
      <c r="AC233" s="363"/>
      <c r="AD233" s="363"/>
      <c r="AE233" s="363" t="s">
        <v>551</v>
      </c>
      <c r="AF233" s="380" t="s">
        <v>207</v>
      </c>
      <c r="AG233" s="380">
        <v>3</v>
      </c>
      <c r="AH233" s="363" t="s">
        <v>1076</v>
      </c>
    </row>
    <row r="234" spans="2:34" ht="14.4" hidden="1" x14ac:dyDescent="0.3">
      <c r="B234" s="380" t="s">
        <v>14</v>
      </c>
      <c r="C234" s="409" t="s">
        <v>1073</v>
      </c>
      <c r="D234" s="423" t="s">
        <v>1074</v>
      </c>
      <c r="E234" s="468">
        <v>440000458</v>
      </c>
      <c r="F234" s="387">
        <v>45834</v>
      </c>
      <c r="G234" s="380" t="s">
        <v>55</v>
      </c>
      <c r="H234" s="380">
        <v>3</v>
      </c>
      <c r="I234" s="452">
        <v>518700</v>
      </c>
      <c r="J234" s="380">
        <v>3</v>
      </c>
      <c r="K234" s="389">
        <f>I234/2</f>
        <v>259350</v>
      </c>
      <c r="L234" s="381">
        <v>46388</v>
      </c>
      <c r="M234" s="381">
        <v>46752</v>
      </c>
      <c r="N234" s="663"/>
      <c r="O234" s="680"/>
      <c r="P234" s="363" t="s">
        <v>520</v>
      </c>
      <c r="Q234" s="380" t="s">
        <v>11</v>
      </c>
      <c r="R234" s="380" t="s">
        <v>1</v>
      </c>
      <c r="S234" s="363" t="s">
        <v>738</v>
      </c>
      <c r="T234" s="363"/>
      <c r="U234" s="363" t="s">
        <v>1077</v>
      </c>
      <c r="V234" s="363" t="s">
        <v>1659</v>
      </c>
      <c r="W234" s="363" t="s">
        <v>1078</v>
      </c>
      <c r="X234" s="363"/>
      <c r="Y234" s="363"/>
      <c r="Z234" s="363"/>
      <c r="AA234" s="363"/>
      <c r="AB234" s="363"/>
      <c r="AC234" s="363"/>
      <c r="AD234" s="363"/>
      <c r="AE234" s="363" t="s">
        <v>551</v>
      </c>
      <c r="AF234" s="380" t="s">
        <v>207</v>
      </c>
      <c r="AG234" s="380">
        <v>3</v>
      </c>
      <c r="AH234" s="363" t="s">
        <v>1076</v>
      </c>
    </row>
    <row r="235" spans="2:34" ht="14.4" x14ac:dyDescent="0.3">
      <c r="B235" s="380" t="s">
        <v>14</v>
      </c>
      <c r="C235" s="409" t="s">
        <v>775</v>
      </c>
      <c r="D235" s="423" t="s">
        <v>1079</v>
      </c>
      <c r="E235" s="419">
        <v>2700033067</v>
      </c>
      <c r="F235" s="387">
        <v>45848</v>
      </c>
      <c r="G235" s="380" t="s">
        <v>55</v>
      </c>
      <c r="H235" s="380">
        <v>2</v>
      </c>
      <c r="I235" s="388">
        <v>160000</v>
      </c>
      <c r="J235" s="380">
        <v>3</v>
      </c>
      <c r="K235" s="389">
        <f>I235/J235</f>
        <v>53333.333333333336</v>
      </c>
      <c r="L235" s="381">
        <v>45870</v>
      </c>
      <c r="M235" s="381">
        <v>46234</v>
      </c>
      <c r="N235" s="663"/>
      <c r="O235" s="680"/>
      <c r="P235" s="363" t="s">
        <v>19</v>
      </c>
      <c r="Q235" s="380" t="s">
        <v>11</v>
      </c>
      <c r="R235" s="380"/>
      <c r="S235" s="390" t="s">
        <v>665</v>
      </c>
      <c r="T235" s="363" t="s">
        <v>966</v>
      </c>
      <c r="U235" s="390" t="s">
        <v>361</v>
      </c>
      <c r="V235" s="363" t="s">
        <v>193</v>
      </c>
      <c r="W235" s="390" t="s">
        <v>1080</v>
      </c>
      <c r="X235" s="363" t="s">
        <v>1858</v>
      </c>
      <c r="Y235" s="363"/>
      <c r="Z235" s="363"/>
      <c r="AA235" s="363"/>
      <c r="AB235" s="363"/>
      <c r="AC235" s="363"/>
      <c r="AD235" s="363"/>
      <c r="AE235" s="363" t="s">
        <v>551</v>
      </c>
      <c r="AF235" s="380" t="s">
        <v>207</v>
      </c>
      <c r="AG235" s="380">
        <v>3</v>
      </c>
      <c r="AH235" s="446">
        <v>1</v>
      </c>
    </row>
    <row r="236" spans="2:34" ht="15" customHeight="1" x14ac:dyDescent="0.3">
      <c r="B236" s="380" t="s">
        <v>14</v>
      </c>
      <c r="C236" s="409" t="s">
        <v>195</v>
      </c>
      <c r="D236" s="423" t="s">
        <v>447</v>
      </c>
      <c r="E236" s="464" t="s">
        <v>1081</v>
      </c>
      <c r="F236" s="387">
        <v>45852</v>
      </c>
      <c r="G236" s="380" t="s">
        <v>55</v>
      </c>
      <c r="H236" s="380">
        <v>1</v>
      </c>
      <c r="I236" s="388">
        <v>65500</v>
      </c>
      <c r="J236" s="380">
        <v>4</v>
      </c>
      <c r="K236" s="389">
        <f>I236/J236</f>
        <v>16375</v>
      </c>
      <c r="L236" s="381">
        <v>45853</v>
      </c>
      <c r="M236" s="381">
        <v>46217</v>
      </c>
      <c r="N236" s="663">
        <v>154620</v>
      </c>
      <c r="O236" s="680">
        <v>4667</v>
      </c>
      <c r="P236" s="363" t="s">
        <v>19</v>
      </c>
      <c r="Q236" s="380" t="s">
        <v>11</v>
      </c>
      <c r="R236" s="380"/>
      <c r="S236" s="390" t="s">
        <v>1082</v>
      </c>
      <c r="T236" s="363" t="s">
        <v>623</v>
      </c>
      <c r="U236" s="390" t="s">
        <v>1083</v>
      </c>
      <c r="V236" s="363" t="s">
        <v>865</v>
      </c>
      <c r="W236" s="390" t="s">
        <v>1084</v>
      </c>
      <c r="X236" s="363" t="s">
        <v>1085</v>
      </c>
      <c r="Y236" s="390" t="s">
        <v>1086</v>
      </c>
      <c r="Z236" s="363" t="s">
        <v>1943</v>
      </c>
      <c r="AA236" s="363"/>
      <c r="AB236" s="363"/>
      <c r="AC236" s="363"/>
      <c r="AD236" s="363"/>
      <c r="AE236" s="363" t="s">
        <v>96</v>
      </c>
      <c r="AF236" s="380" t="s">
        <v>97</v>
      </c>
      <c r="AG236" s="380" t="s">
        <v>494</v>
      </c>
      <c r="AH236" s="363" t="s">
        <v>667</v>
      </c>
    </row>
    <row r="237" spans="2:34" ht="14.4" x14ac:dyDescent="0.3">
      <c r="B237" s="380" t="s">
        <v>14</v>
      </c>
      <c r="C237" s="409" t="s">
        <v>1087</v>
      </c>
      <c r="D237" s="423" t="s">
        <v>1088</v>
      </c>
      <c r="E237" s="464" t="s">
        <v>1089</v>
      </c>
      <c r="F237" s="387">
        <v>45854</v>
      </c>
      <c r="G237" s="380" t="s">
        <v>55</v>
      </c>
      <c r="H237" s="380">
        <v>2</v>
      </c>
      <c r="I237" s="388">
        <v>240000</v>
      </c>
      <c r="J237" s="380">
        <v>3</v>
      </c>
      <c r="K237" s="389">
        <f>I237/J237</f>
        <v>80000</v>
      </c>
      <c r="L237" s="381">
        <v>45870</v>
      </c>
      <c r="M237" s="381">
        <v>46234</v>
      </c>
      <c r="N237" s="663"/>
      <c r="O237" s="680"/>
      <c r="P237" s="363" t="s">
        <v>19</v>
      </c>
      <c r="Q237" s="380" t="s">
        <v>11</v>
      </c>
      <c r="R237" s="380"/>
      <c r="S237" s="390" t="s">
        <v>665</v>
      </c>
      <c r="T237" s="363" t="s">
        <v>1003</v>
      </c>
      <c r="U237" s="390" t="s">
        <v>361</v>
      </c>
      <c r="V237" s="363" t="s">
        <v>844</v>
      </c>
      <c r="W237" s="390" t="s">
        <v>1080</v>
      </c>
      <c r="X237" s="363" t="s">
        <v>1944</v>
      </c>
      <c r="Y237" s="363"/>
      <c r="Z237" s="363"/>
      <c r="AA237" s="363"/>
      <c r="AB237" s="363"/>
      <c r="AC237" s="363"/>
      <c r="AD237" s="363"/>
      <c r="AE237" s="363" t="s">
        <v>96</v>
      </c>
      <c r="AF237" s="380" t="s">
        <v>97</v>
      </c>
      <c r="AG237" s="380">
        <v>4</v>
      </c>
      <c r="AH237" s="363" t="s">
        <v>667</v>
      </c>
    </row>
    <row r="238" spans="2:34" ht="14.4" x14ac:dyDescent="0.3">
      <c r="B238" s="380" t="s">
        <v>14</v>
      </c>
      <c r="C238" s="409" t="s">
        <v>845</v>
      </c>
      <c r="D238" s="423" t="s">
        <v>846</v>
      </c>
      <c r="E238" s="464">
        <v>901968953</v>
      </c>
      <c r="F238" s="387">
        <v>45804</v>
      </c>
      <c r="G238" s="380" t="s">
        <v>55</v>
      </c>
      <c r="H238" s="380">
        <v>1</v>
      </c>
      <c r="I238" s="388">
        <v>98000</v>
      </c>
      <c r="J238" s="380">
        <v>3</v>
      </c>
      <c r="K238" s="389">
        <f>98000/2</f>
        <v>49000</v>
      </c>
      <c r="L238" s="381">
        <v>45848</v>
      </c>
      <c r="M238" s="381">
        <v>46212</v>
      </c>
      <c r="N238" s="663"/>
      <c r="O238" s="680"/>
      <c r="P238" s="363" t="s">
        <v>19</v>
      </c>
      <c r="Q238" s="380" t="s">
        <v>11</v>
      </c>
      <c r="R238" s="380"/>
      <c r="S238" s="390" t="s">
        <v>729</v>
      </c>
      <c r="T238" s="363" t="s">
        <v>1090</v>
      </c>
      <c r="U238" s="390" t="s">
        <v>731</v>
      </c>
      <c r="V238" s="363" t="s">
        <v>1091</v>
      </c>
      <c r="W238" s="390" t="s">
        <v>1092</v>
      </c>
      <c r="X238" s="363" t="s">
        <v>1093</v>
      </c>
      <c r="Y238" s="363"/>
      <c r="Z238" s="363"/>
      <c r="AA238" s="363"/>
      <c r="AB238" s="363"/>
      <c r="AC238" s="363"/>
      <c r="AD238" s="363"/>
      <c r="AE238" s="363" t="s">
        <v>834</v>
      </c>
      <c r="AF238" s="380" t="s">
        <v>207</v>
      </c>
      <c r="AG238" s="380">
        <v>3</v>
      </c>
      <c r="AH238" s="363" t="s">
        <v>1094</v>
      </c>
    </row>
    <row r="239" spans="2:34" ht="14.4" x14ac:dyDescent="0.3">
      <c r="B239" s="380" t="s">
        <v>14</v>
      </c>
      <c r="C239" s="409" t="s">
        <v>1095</v>
      </c>
      <c r="D239" s="423" t="s">
        <v>1016</v>
      </c>
      <c r="E239" s="464">
        <v>9709257840</v>
      </c>
      <c r="F239" s="387">
        <v>45854</v>
      </c>
      <c r="G239" s="380" t="s">
        <v>55</v>
      </c>
      <c r="H239" s="380">
        <v>13</v>
      </c>
      <c r="I239" s="388">
        <v>949819</v>
      </c>
      <c r="J239" s="380">
        <v>4</v>
      </c>
      <c r="K239" s="389">
        <f t="shared" ref="K239:K245" si="11">I239/J239</f>
        <v>237454.75</v>
      </c>
      <c r="L239" s="381">
        <v>45839</v>
      </c>
      <c r="M239" s="381">
        <v>46203</v>
      </c>
      <c r="N239" s="663"/>
      <c r="O239" s="680"/>
      <c r="P239" s="363" t="s">
        <v>19</v>
      </c>
      <c r="Q239" s="380" t="s">
        <v>9</v>
      </c>
      <c r="R239" s="380"/>
      <c r="S239" s="390" t="s">
        <v>168</v>
      </c>
      <c r="T239" s="363" t="s">
        <v>1096</v>
      </c>
      <c r="U239" s="394" t="s">
        <v>228</v>
      </c>
      <c r="V239" s="363" t="s">
        <v>1097</v>
      </c>
      <c r="W239" s="390" t="s">
        <v>396</v>
      </c>
      <c r="X239" s="363" t="s">
        <v>454</v>
      </c>
      <c r="Y239" s="390" t="s">
        <v>397</v>
      </c>
      <c r="Z239" s="363" t="s">
        <v>556</v>
      </c>
      <c r="AA239" s="363"/>
      <c r="AB239" s="363"/>
      <c r="AC239" s="363"/>
      <c r="AD239" s="363"/>
      <c r="AE239" s="363" t="s">
        <v>619</v>
      </c>
      <c r="AF239" s="380" t="s">
        <v>63</v>
      </c>
      <c r="AG239" s="380">
        <v>4</v>
      </c>
      <c r="AH239" s="430" t="s">
        <v>1098</v>
      </c>
    </row>
    <row r="240" spans="2:34" ht="14.4" x14ac:dyDescent="0.3">
      <c r="B240" s="380" t="s">
        <v>14</v>
      </c>
      <c r="C240" s="409" t="s">
        <v>595</v>
      </c>
      <c r="D240" s="418" t="s">
        <v>1012</v>
      </c>
      <c r="E240" s="454" t="s">
        <v>1099</v>
      </c>
      <c r="F240" s="387">
        <v>45843</v>
      </c>
      <c r="G240" s="380" t="s">
        <v>55</v>
      </c>
      <c r="H240" s="380">
        <v>1</v>
      </c>
      <c r="I240" s="388">
        <v>93312</v>
      </c>
      <c r="J240" s="380">
        <v>3</v>
      </c>
      <c r="K240" s="389">
        <f t="shared" si="11"/>
        <v>31104</v>
      </c>
      <c r="L240" s="381">
        <v>45870</v>
      </c>
      <c r="M240" s="381">
        <v>46234</v>
      </c>
      <c r="N240" s="663">
        <v>154699</v>
      </c>
      <c r="O240" s="680">
        <v>4627</v>
      </c>
      <c r="P240" s="363" t="s">
        <v>19</v>
      </c>
      <c r="Q240" s="380" t="s">
        <v>11</v>
      </c>
      <c r="R240" s="380"/>
      <c r="S240" s="390" t="s">
        <v>665</v>
      </c>
      <c r="T240" s="363" t="s">
        <v>1091</v>
      </c>
      <c r="U240" s="390" t="s">
        <v>361</v>
      </c>
      <c r="V240" s="363" t="s">
        <v>1100</v>
      </c>
      <c r="W240" s="390" t="s">
        <v>1080</v>
      </c>
      <c r="X240" s="363" t="s">
        <v>1945</v>
      </c>
      <c r="Y240" s="363"/>
      <c r="Z240" s="363"/>
      <c r="AA240" s="363"/>
      <c r="AB240" s="363"/>
      <c r="AC240" s="363"/>
      <c r="AD240" s="363"/>
      <c r="AE240" s="363" t="s">
        <v>619</v>
      </c>
      <c r="AF240" s="380" t="s">
        <v>63</v>
      </c>
      <c r="AG240" s="380">
        <v>3</v>
      </c>
      <c r="AH240" s="363" t="s">
        <v>799</v>
      </c>
    </row>
    <row r="241" spans="1:34" ht="15" customHeight="1" x14ac:dyDescent="0.3">
      <c r="B241" s="380" t="s">
        <v>14</v>
      </c>
      <c r="C241" s="409" t="s">
        <v>1101</v>
      </c>
      <c r="D241" s="434" t="s">
        <v>1012</v>
      </c>
      <c r="E241" s="419" t="s">
        <v>1102</v>
      </c>
      <c r="F241" s="387">
        <v>45846</v>
      </c>
      <c r="G241" s="380" t="s">
        <v>55</v>
      </c>
      <c r="H241" s="380">
        <v>7</v>
      </c>
      <c r="I241" s="388">
        <v>455000</v>
      </c>
      <c r="J241" s="380">
        <v>2</v>
      </c>
      <c r="K241" s="391">
        <f t="shared" si="11"/>
        <v>227500</v>
      </c>
      <c r="L241" s="381">
        <v>45809</v>
      </c>
      <c r="M241" s="381">
        <v>46173</v>
      </c>
      <c r="N241" s="663"/>
      <c r="O241" s="680"/>
      <c r="P241" s="363" t="s">
        <v>19</v>
      </c>
      <c r="Q241" s="380" t="s">
        <v>9</v>
      </c>
      <c r="R241" s="380"/>
      <c r="S241" s="390" t="s">
        <v>125</v>
      </c>
      <c r="T241" s="363" t="s">
        <v>807</v>
      </c>
      <c r="U241" s="390" t="s">
        <v>127</v>
      </c>
      <c r="V241" s="363" t="s">
        <v>1852</v>
      </c>
      <c r="W241" s="363"/>
      <c r="X241" s="363"/>
      <c r="Y241" s="363"/>
      <c r="Z241" s="363"/>
      <c r="AA241" s="363"/>
      <c r="AB241" s="363"/>
      <c r="AC241" s="363"/>
      <c r="AD241" s="363"/>
      <c r="AE241" s="363" t="s">
        <v>619</v>
      </c>
      <c r="AF241" s="380" t="s">
        <v>63</v>
      </c>
      <c r="AG241" s="380">
        <v>2</v>
      </c>
      <c r="AH241" s="363" t="s">
        <v>667</v>
      </c>
    </row>
    <row r="242" spans="1:34" ht="15" customHeight="1" x14ac:dyDescent="0.3">
      <c r="B242" s="380" t="s">
        <v>14</v>
      </c>
      <c r="C242" s="434" t="s">
        <v>1103</v>
      </c>
      <c r="D242" s="434" t="s">
        <v>1088</v>
      </c>
      <c r="E242" s="419" t="s">
        <v>1104</v>
      </c>
      <c r="F242" s="387">
        <v>45855</v>
      </c>
      <c r="G242" s="380" t="s">
        <v>55</v>
      </c>
      <c r="H242" s="380">
        <v>1</v>
      </c>
      <c r="I242" s="388">
        <v>62000</v>
      </c>
      <c r="J242" s="380">
        <v>4</v>
      </c>
      <c r="K242" s="389">
        <f t="shared" si="11"/>
        <v>15500</v>
      </c>
      <c r="L242" s="381">
        <v>45870</v>
      </c>
      <c r="M242" s="381">
        <v>46234</v>
      </c>
      <c r="N242" s="663">
        <v>154605</v>
      </c>
      <c r="O242" s="680"/>
      <c r="P242" s="363" t="s">
        <v>19</v>
      </c>
      <c r="Q242" s="380" t="s">
        <v>11</v>
      </c>
      <c r="R242" s="380"/>
      <c r="S242" s="390" t="s">
        <v>267</v>
      </c>
      <c r="T242" s="363" t="s">
        <v>623</v>
      </c>
      <c r="U242" s="390" t="s">
        <v>269</v>
      </c>
      <c r="V242" s="363" t="s">
        <v>1105</v>
      </c>
      <c r="W242" s="390" t="s">
        <v>442</v>
      </c>
      <c r="X242" s="363" t="s">
        <v>782</v>
      </c>
      <c r="Y242" s="390" t="s">
        <v>444</v>
      </c>
      <c r="Z242" s="363" t="s">
        <v>1946</v>
      </c>
      <c r="AA242" s="363"/>
      <c r="AB242" s="363"/>
      <c r="AC242" s="363"/>
      <c r="AD242" s="363"/>
      <c r="AE242" s="363" t="s">
        <v>96</v>
      </c>
      <c r="AF242" s="380" t="s">
        <v>97</v>
      </c>
      <c r="AG242" s="380" t="s">
        <v>494</v>
      </c>
      <c r="AH242" s="363" t="s">
        <v>667</v>
      </c>
    </row>
    <row r="243" spans="1:34" ht="15" hidden="1" customHeight="1" x14ac:dyDescent="0.3">
      <c r="B243" s="380" t="s">
        <v>14</v>
      </c>
      <c r="C243" s="409" t="s">
        <v>1106</v>
      </c>
      <c r="D243" s="423" t="s">
        <v>1107</v>
      </c>
      <c r="E243" s="419">
        <v>4502348009</v>
      </c>
      <c r="F243" s="387">
        <v>45853</v>
      </c>
      <c r="G243" s="380" t="s">
        <v>55</v>
      </c>
      <c r="H243" s="380"/>
      <c r="I243" s="388">
        <f>432000/3</f>
        <v>144000</v>
      </c>
      <c r="J243" s="380">
        <v>3</v>
      </c>
      <c r="K243" s="389">
        <f t="shared" si="11"/>
        <v>48000</v>
      </c>
      <c r="L243" s="381">
        <v>45748</v>
      </c>
      <c r="M243" s="381">
        <v>46112</v>
      </c>
      <c r="N243" s="663"/>
      <c r="O243" s="680"/>
      <c r="P243" s="363" t="s">
        <v>520</v>
      </c>
      <c r="Q243" s="380" t="s">
        <v>11</v>
      </c>
      <c r="R243" s="380"/>
      <c r="S243" s="390" t="s">
        <v>357</v>
      </c>
      <c r="T243" s="363" t="s">
        <v>811</v>
      </c>
      <c r="U243" s="390" t="s">
        <v>901</v>
      </c>
      <c r="V243" s="363" t="s">
        <v>1091</v>
      </c>
      <c r="W243" s="390" t="s">
        <v>361</v>
      </c>
      <c r="X243" s="363" t="s">
        <v>1100</v>
      </c>
      <c r="Y243" s="363"/>
      <c r="Z243" s="363"/>
      <c r="AA243" s="363"/>
      <c r="AB243" s="363"/>
      <c r="AC243" s="363"/>
      <c r="AD243" s="363"/>
      <c r="AE243" s="363" t="s">
        <v>478</v>
      </c>
      <c r="AF243" s="380" t="s">
        <v>63</v>
      </c>
      <c r="AG243" s="380">
        <v>5</v>
      </c>
      <c r="AH243" s="363" t="s">
        <v>667</v>
      </c>
    </row>
    <row r="244" spans="1:34" ht="15" hidden="1" customHeight="1" x14ac:dyDescent="0.3">
      <c r="B244" s="380" t="s">
        <v>14</v>
      </c>
      <c r="C244" s="409" t="s">
        <v>1106</v>
      </c>
      <c r="D244" s="423" t="s">
        <v>1107</v>
      </c>
      <c r="E244" s="419">
        <v>4502348009</v>
      </c>
      <c r="F244" s="387">
        <v>45853</v>
      </c>
      <c r="G244" s="380" t="s">
        <v>55</v>
      </c>
      <c r="H244" s="380"/>
      <c r="I244" s="388">
        <f>432000/3</f>
        <v>144000</v>
      </c>
      <c r="J244" s="380">
        <v>3</v>
      </c>
      <c r="K244" s="389">
        <f t="shared" si="11"/>
        <v>48000</v>
      </c>
      <c r="L244" s="381">
        <v>46113</v>
      </c>
      <c r="M244" s="381">
        <v>46477</v>
      </c>
      <c r="N244" s="663"/>
      <c r="O244" s="680"/>
      <c r="P244" s="363" t="s">
        <v>520</v>
      </c>
      <c r="Q244" s="380" t="s">
        <v>11</v>
      </c>
      <c r="R244" s="380"/>
      <c r="S244" s="390" t="s">
        <v>1080</v>
      </c>
      <c r="T244" s="363" t="s">
        <v>1947</v>
      </c>
      <c r="U244" s="363" t="s">
        <v>1108</v>
      </c>
      <c r="V244" s="363"/>
      <c r="W244" s="363" t="s">
        <v>1109</v>
      </c>
      <c r="X244" s="363"/>
      <c r="Y244" s="363"/>
      <c r="Z244" s="363"/>
      <c r="AA244" s="363"/>
      <c r="AB244" s="363"/>
      <c r="AC244" s="363"/>
      <c r="AD244" s="363"/>
      <c r="AE244" s="363" t="s">
        <v>478</v>
      </c>
      <c r="AF244" s="380" t="s">
        <v>63</v>
      </c>
      <c r="AG244" s="380">
        <v>5</v>
      </c>
      <c r="AH244" s="363" t="s">
        <v>667</v>
      </c>
    </row>
    <row r="245" spans="1:34" ht="15" hidden="1" customHeight="1" x14ac:dyDescent="0.3">
      <c r="B245" s="380" t="s">
        <v>14</v>
      </c>
      <c r="C245" s="409" t="s">
        <v>1106</v>
      </c>
      <c r="D245" s="423" t="s">
        <v>1107</v>
      </c>
      <c r="E245" s="419">
        <v>4502348009</v>
      </c>
      <c r="F245" s="387">
        <v>45853</v>
      </c>
      <c r="G245" s="380" t="s">
        <v>55</v>
      </c>
      <c r="H245" s="380">
        <v>2</v>
      </c>
      <c r="I245" s="417">
        <f>432000/3</f>
        <v>144000</v>
      </c>
      <c r="J245" s="380">
        <v>3</v>
      </c>
      <c r="K245" s="389">
        <f t="shared" si="11"/>
        <v>48000</v>
      </c>
      <c r="L245" s="381">
        <v>46478</v>
      </c>
      <c r="M245" s="381">
        <v>46843</v>
      </c>
      <c r="N245" s="663"/>
      <c r="O245" s="680"/>
      <c r="P245" s="363" t="s">
        <v>520</v>
      </c>
      <c r="Q245" s="380" t="s">
        <v>11</v>
      </c>
      <c r="R245" s="380"/>
      <c r="S245" s="363" t="s">
        <v>1110</v>
      </c>
      <c r="T245" s="363"/>
      <c r="U245" s="363" t="s">
        <v>1111</v>
      </c>
      <c r="V245" s="363"/>
      <c r="W245" s="363" t="s">
        <v>1112</v>
      </c>
      <c r="X245" s="363"/>
      <c r="Y245" s="363"/>
      <c r="Z245" s="363"/>
      <c r="AA245" s="363"/>
      <c r="AB245" s="363"/>
      <c r="AC245" s="363"/>
      <c r="AD245" s="363"/>
      <c r="AE245" s="363" t="s">
        <v>478</v>
      </c>
      <c r="AF245" s="380" t="s">
        <v>63</v>
      </c>
      <c r="AG245" s="380">
        <v>5</v>
      </c>
      <c r="AH245" s="363" t="s">
        <v>667</v>
      </c>
    </row>
    <row r="246" spans="1:34" ht="15" customHeight="1" x14ac:dyDescent="0.3">
      <c r="B246" s="380" t="s">
        <v>14</v>
      </c>
      <c r="C246" s="409" t="s">
        <v>1113</v>
      </c>
      <c r="D246" s="423" t="s">
        <v>1114</v>
      </c>
      <c r="E246" s="464">
        <v>700005514</v>
      </c>
      <c r="F246" s="387">
        <v>45800</v>
      </c>
      <c r="G246" s="380" t="s">
        <v>55</v>
      </c>
      <c r="H246" s="380">
        <v>2</v>
      </c>
      <c r="I246" s="388">
        <v>175970</v>
      </c>
      <c r="J246" s="380">
        <v>3</v>
      </c>
      <c r="K246" s="389">
        <f>I246/2</f>
        <v>87985</v>
      </c>
      <c r="L246" s="381">
        <v>45748</v>
      </c>
      <c r="M246" s="381">
        <v>46112</v>
      </c>
      <c r="N246" s="663"/>
      <c r="O246" s="680"/>
      <c r="P246" s="363" t="s">
        <v>19</v>
      </c>
      <c r="Q246" s="380" t="s">
        <v>3</v>
      </c>
      <c r="R246" s="380"/>
      <c r="S246" s="390" t="s">
        <v>357</v>
      </c>
      <c r="T246" s="363" t="s">
        <v>451</v>
      </c>
      <c r="U246" s="390" t="s">
        <v>665</v>
      </c>
      <c r="V246" s="363" t="s">
        <v>848</v>
      </c>
      <c r="W246" s="390" t="s">
        <v>361</v>
      </c>
      <c r="X246" s="363" t="s">
        <v>1115</v>
      </c>
      <c r="Y246" s="363"/>
      <c r="Z246" s="363"/>
      <c r="AA246" s="363"/>
      <c r="AB246" s="363"/>
      <c r="AC246" s="363"/>
      <c r="AD246" s="363"/>
      <c r="AE246" s="363" t="s">
        <v>183</v>
      </c>
      <c r="AF246" s="380" t="s">
        <v>97</v>
      </c>
      <c r="AG246" s="380">
        <v>1</v>
      </c>
      <c r="AH246" s="363" t="s">
        <v>1116</v>
      </c>
    </row>
    <row r="247" spans="1:34" ht="15" hidden="1" customHeight="1" x14ac:dyDescent="0.3">
      <c r="A247" s="469"/>
      <c r="B247" s="380" t="s">
        <v>14</v>
      </c>
      <c r="C247" s="409" t="s">
        <v>1117</v>
      </c>
      <c r="D247" s="423" t="s">
        <v>1118</v>
      </c>
      <c r="E247" s="419">
        <v>8200197699</v>
      </c>
      <c r="F247" s="387">
        <v>45855</v>
      </c>
      <c r="G247" s="380" t="s">
        <v>55</v>
      </c>
      <c r="H247" s="380"/>
      <c r="I247" s="388">
        <v>91060</v>
      </c>
      <c r="J247" s="380">
        <v>2</v>
      </c>
      <c r="K247" s="389">
        <f>I247/J247</f>
        <v>45530</v>
      </c>
      <c r="L247" s="381">
        <v>45839</v>
      </c>
      <c r="M247" s="381">
        <v>46203</v>
      </c>
      <c r="N247" s="663"/>
      <c r="O247" s="680"/>
      <c r="P247" s="363" t="s">
        <v>520</v>
      </c>
      <c r="Q247" s="380" t="s">
        <v>11</v>
      </c>
      <c r="R247" s="380"/>
      <c r="S247" s="390" t="s">
        <v>483</v>
      </c>
      <c r="T247" s="363" t="s">
        <v>1009</v>
      </c>
      <c r="U247" s="390" t="s">
        <v>607</v>
      </c>
      <c r="V247" s="363" t="s">
        <v>1937</v>
      </c>
      <c r="W247" s="363"/>
      <c r="X247" s="363"/>
      <c r="Y247" s="363"/>
      <c r="Z247" s="363"/>
      <c r="AA247" s="363"/>
      <c r="AB247" s="363"/>
      <c r="AC247" s="363"/>
      <c r="AD247" s="363"/>
      <c r="AE247" s="363" t="s">
        <v>128</v>
      </c>
      <c r="AF247" s="380" t="s">
        <v>129</v>
      </c>
      <c r="AG247" s="380">
        <v>2</v>
      </c>
      <c r="AH247" s="363" t="s">
        <v>667</v>
      </c>
    </row>
    <row r="248" spans="1:34" ht="15" hidden="1" customHeight="1" x14ac:dyDescent="0.3">
      <c r="A248" s="469"/>
      <c r="B248" s="380" t="s">
        <v>14</v>
      </c>
      <c r="C248" s="409" t="s">
        <v>1117</v>
      </c>
      <c r="D248" s="423" t="s">
        <v>1118</v>
      </c>
      <c r="E248" s="419">
        <v>8200197699</v>
      </c>
      <c r="F248" s="387">
        <v>45855</v>
      </c>
      <c r="G248" s="380" t="s">
        <v>55</v>
      </c>
      <c r="H248" s="380">
        <v>1</v>
      </c>
      <c r="I248" s="388">
        <v>91060</v>
      </c>
      <c r="J248" s="380">
        <v>2</v>
      </c>
      <c r="K248" s="389">
        <f>I248/J248</f>
        <v>45530</v>
      </c>
      <c r="L248" s="381">
        <v>46204</v>
      </c>
      <c r="M248" s="381">
        <v>46568</v>
      </c>
      <c r="N248" s="663"/>
      <c r="O248" s="680"/>
      <c r="P248" s="363" t="s">
        <v>520</v>
      </c>
      <c r="Q248" s="380" t="s">
        <v>11</v>
      </c>
      <c r="R248" s="380"/>
      <c r="S248" s="363" t="s">
        <v>608</v>
      </c>
      <c r="T248" s="363"/>
      <c r="U248" s="363" t="s">
        <v>1119</v>
      </c>
      <c r="V248" s="363"/>
      <c r="W248" s="363"/>
      <c r="X248" s="363"/>
      <c r="Y248" s="363"/>
      <c r="Z248" s="363"/>
      <c r="AA248" s="363"/>
      <c r="AB248" s="363"/>
      <c r="AC248" s="363"/>
      <c r="AD248" s="363"/>
      <c r="AE248" s="363" t="s">
        <v>128</v>
      </c>
      <c r="AF248" s="380" t="s">
        <v>129</v>
      </c>
      <c r="AG248" s="380">
        <v>2</v>
      </c>
      <c r="AH248" s="363" t="s">
        <v>667</v>
      </c>
    </row>
    <row r="249" spans="1:34" ht="15" customHeight="1" x14ac:dyDescent="0.3">
      <c r="B249" s="380" t="s">
        <v>14</v>
      </c>
      <c r="C249" s="363" t="s">
        <v>1120</v>
      </c>
      <c r="D249" s="423" t="s">
        <v>447</v>
      </c>
      <c r="E249" s="419">
        <v>5891136624</v>
      </c>
      <c r="F249" s="387">
        <v>45856</v>
      </c>
      <c r="G249" s="380" t="s">
        <v>55</v>
      </c>
      <c r="H249" s="380">
        <v>3</v>
      </c>
      <c r="I249" s="388">
        <v>307691.73</v>
      </c>
      <c r="J249" s="380">
        <v>3</v>
      </c>
      <c r="K249" s="389">
        <f>I249/J249</f>
        <v>102563.90999999999</v>
      </c>
      <c r="L249" s="381">
        <v>45870</v>
      </c>
      <c r="M249" s="381">
        <v>46234</v>
      </c>
      <c r="N249" s="663">
        <v>154684</v>
      </c>
      <c r="O249" s="680">
        <v>4604</v>
      </c>
      <c r="P249" s="363" t="s">
        <v>19</v>
      </c>
      <c r="Q249" s="380" t="s">
        <v>11</v>
      </c>
      <c r="R249" s="380"/>
      <c r="S249" s="390" t="s">
        <v>665</v>
      </c>
      <c r="T249" s="363" t="s">
        <v>229</v>
      </c>
      <c r="U249" s="390" t="s">
        <v>361</v>
      </c>
      <c r="V249" s="363" t="s">
        <v>495</v>
      </c>
      <c r="W249" s="390" t="s">
        <v>1080</v>
      </c>
      <c r="X249" s="363" t="s">
        <v>1948</v>
      </c>
      <c r="Y249" s="363"/>
      <c r="Z249" s="363"/>
      <c r="AA249" s="363"/>
      <c r="AB249" s="363"/>
      <c r="AC249" s="363"/>
      <c r="AD249" s="363"/>
      <c r="AE249" s="363" t="s">
        <v>96</v>
      </c>
      <c r="AF249" s="380" t="s">
        <v>97</v>
      </c>
      <c r="AG249" s="380" t="s">
        <v>494</v>
      </c>
      <c r="AH249" s="363" t="s">
        <v>1121</v>
      </c>
    </row>
    <row r="250" spans="1:34" ht="15" customHeight="1" x14ac:dyDescent="0.3">
      <c r="B250" s="380" t="s">
        <v>14</v>
      </c>
      <c r="C250" s="412" t="s">
        <v>845</v>
      </c>
      <c r="D250" s="437" t="s">
        <v>846</v>
      </c>
      <c r="E250" s="426">
        <v>901971263</v>
      </c>
      <c r="F250" s="415">
        <v>45856</v>
      </c>
      <c r="G250" s="425" t="s">
        <v>55</v>
      </c>
      <c r="H250" s="380">
        <v>2</v>
      </c>
      <c r="I250" s="388">
        <v>196000</v>
      </c>
      <c r="J250" s="380">
        <v>3</v>
      </c>
      <c r="K250" s="389">
        <f>I250/J250</f>
        <v>65333.333333333336</v>
      </c>
      <c r="L250" s="381">
        <v>45848</v>
      </c>
      <c r="M250" s="381">
        <v>46212</v>
      </c>
      <c r="N250" s="663"/>
      <c r="O250" s="680"/>
      <c r="P250" s="363" t="s">
        <v>19</v>
      </c>
      <c r="Q250" s="380" t="s">
        <v>11</v>
      </c>
      <c r="R250" s="380"/>
      <c r="S250" s="390" t="s">
        <v>729</v>
      </c>
      <c r="T250" s="363" t="s">
        <v>777</v>
      </c>
      <c r="U250" s="390" t="s">
        <v>731</v>
      </c>
      <c r="V250" s="363" t="s">
        <v>1122</v>
      </c>
      <c r="W250" s="390" t="s">
        <v>1092</v>
      </c>
      <c r="X250" s="363" t="s">
        <v>828</v>
      </c>
      <c r="Y250" s="363"/>
      <c r="Z250" s="363"/>
      <c r="AA250" s="363"/>
      <c r="AB250" s="363"/>
      <c r="AC250" s="363"/>
      <c r="AD250" s="363"/>
      <c r="AE250" s="363" t="s">
        <v>834</v>
      </c>
      <c r="AF250" s="380" t="s">
        <v>207</v>
      </c>
      <c r="AG250" s="380">
        <v>6</v>
      </c>
      <c r="AH250" s="363" t="s">
        <v>1123</v>
      </c>
    </row>
    <row r="251" spans="1:34" ht="15" customHeight="1" x14ac:dyDescent="0.3">
      <c r="B251" s="380" t="s">
        <v>14</v>
      </c>
      <c r="C251" s="463" t="s">
        <v>614</v>
      </c>
      <c r="D251" s="463" t="s">
        <v>1016</v>
      </c>
      <c r="E251" s="470" t="s">
        <v>1124</v>
      </c>
      <c r="F251" s="415">
        <v>45849</v>
      </c>
      <c r="G251" s="380" t="s">
        <v>55</v>
      </c>
      <c r="H251" s="380">
        <v>1</v>
      </c>
      <c r="I251" s="388">
        <v>76440</v>
      </c>
      <c r="J251" s="380">
        <v>3</v>
      </c>
      <c r="K251" s="389"/>
      <c r="L251" s="381">
        <v>45809</v>
      </c>
      <c r="M251" s="381">
        <v>46173</v>
      </c>
      <c r="N251" s="663"/>
      <c r="O251" s="680"/>
      <c r="P251" s="363" t="s">
        <v>19</v>
      </c>
      <c r="Q251" s="380" t="s">
        <v>6</v>
      </c>
      <c r="R251" s="380"/>
      <c r="S251" s="390" t="s">
        <v>1125</v>
      </c>
      <c r="T251" s="363" t="s">
        <v>1126</v>
      </c>
      <c r="U251" s="390" t="s">
        <v>83</v>
      </c>
      <c r="V251" s="363" t="s">
        <v>270</v>
      </c>
      <c r="W251" s="390" t="s">
        <v>404</v>
      </c>
      <c r="X251" s="363" t="s">
        <v>1711</v>
      </c>
      <c r="Y251" s="363"/>
      <c r="Z251" s="363"/>
      <c r="AA251" s="363"/>
      <c r="AB251" s="363"/>
      <c r="AC251" s="363"/>
      <c r="AD251" s="363"/>
      <c r="AE251" s="363" t="s">
        <v>619</v>
      </c>
      <c r="AF251" s="380" t="s">
        <v>63</v>
      </c>
      <c r="AG251" s="380">
        <v>3</v>
      </c>
      <c r="AH251" s="363" t="s">
        <v>1127</v>
      </c>
    </row>
    <row r="252" spans="1:34" ht="15" customHeight="1" x14ac:dyDescent="0.3">
      <c r="B252" s="380" t="s">
        <v>14</v>
      </c>
      <c r="C252" s="418" t="s">
        <v>1128</v>
      </c>
      <c r="D252" s="418" t="s">
        <v>1129</v>
      </c>
      <c r="E252" s="471">
        <v>4503060756</v>
      </c>
      <c r="F252" s="387">
        <v>45853</v>
      </c>
      <c r="G252" s="380" t="s">
        <v>55</v>
      </c>
      <c r="H252" s="380">
        <v>4</v>
      </c>
      <c r="I252" s="388">
        <v>271864</v>
      </c>
      <c r="J252" s="380">
        <v>4</v>
      </c>
      <c r="K252" s="391">
        <f>I252/J252</f>
        <v>67966</v>
      </c>
      <c r="L252" s="381">
        <v>45809</v>
      </c>
      <c r="M252" s="381">
        <v>46173</v>
      </c>
      <c r="N252" s="663"/>
      <c r="O252" s="680"/>
      <c r="P252" s="363" t="s">
        <v>19</v>
      </c>
      <c r="Q252" s="380" t="s">
        <v>6</v>
      </c>
      <c r="R252" s="380"/>
      <c r="S252" s="390" t="s">
        <v>1130</v>
      </c>
      <c r="T252" s="363" t="s">
        <v>611</v>
      </c>
      <c r="U252" s="390" t="s">
        <v>1131</v>
      </c>
      <c r="V252" s="363" t="s">
        <v>1132</v>
      </c>
      <c r="W252" s="390" t="s">
        <v>1133</v>
      </c>
      <c r="X252" s="363" t="s">
        <v>403</v>
      </c>
      <c r="Y252" s="390" t="s">
        <v>1134</v>
      </c>
      <c r="Z252" s="363" t="s">
        <v>1720</v>
      </c>
      <c r="AA252" s="363"/>
      <c r="AB252" s="363"/>
      <c r="AC252" s="363"/>
      <c r="AD252" s="363"/>
      <c r="AE252" s="363" t="s">
        <v>281</v>
      </c>
      <c r="AF252" s="380" t="s">
        <v>97</v>
      </c>
      <c r="AG252" s="380" t="s">
        <v>494</v>
      </c>
      <c r="AH252" s="363" t="s">
        <v>1135</v>
      </c>
    </row>
    <row r="253" spans="1:34" ht="15" customHeight="1" x14ac:dyDescent="0.3">
      <c r="B253" s="380" t="s">
        <v>14</v>
      </c>
      <c r="C253" s="409" t="s">
        <v>975</v>
      </c>
      <c r="D253" s="423" t="s">
        <v>1136</v>
      </c>
      <c r="E253" s="419">
        <v>6100009693</v>
      </c>
      <c r="F253" s="387">
        <v>45849</v>
      </c>
      <c r="G253" s="380" t="s">
        <v>55</v>
      </c>
      <c r="H253" s="380">
        <v>2</v>
      </c>
      <c r="I253" s="388">
        <v>240000</v>
      </c>
      <c r="J253" s="380">
        <v>3</v>
      </c>
      <c r="K253" s="389">
        <f>I253/2</f>
        <v>120000</v>
      </c>
      <c r="L253" s="381">
        <v>45870</v>
      </c>
      <c r="M253" s="381">
        <v>46234</v>
      </c>
      <c r="N253" s="663"/>
      <c r="O253" s="680"/>
      <c r="P253" s="363" t="s">
        <v>19</v>
      </c>
      <c r="Q253" s="380" t="s">
        <v>11</v>
      </c>
      <c r="R253" s="380"/>
      <c r="S253" s="390" t="s">
        <v>665</v>
      </c>
      <c r="T253" s="363" t="s">
        <v>464</v>
      </c>
      <c r="U253" s="390" t="s">
        <v>361</v>
      </c>
      <c r="V253" s="363" t="s">
        <v>750</v>
      </c>
      <c r="W253" s="390" t="s">
        <v>1080</v>
      </c>
      <c r="X253" s="363" t="s">
        <v>1843</v>
      </c>
      <c r="Y253" s="363"/>
      <c r="Z253" s="363"/>
      <c r="AA253" s="363"/>
      <c r="AB253" s="363"/>
      <c r="AC253" s="363"/>
      <c r="AD253" s="363"/>
      <c r="AE253" s="363" t="s">
        <v>551</v>
      </c>
      <c r="AF253" s="380" t="s">
        <v>207</v>
      </c>
      <c r="AG253" s="380">
        <v>3</v>
      </c>
      <c r="AH253" s="430" t="s">
        <v>981</v>
      </c>
    </row>
    <row r="254" spans="1:34" ht="15" customHeight="1" x14ac:dyDescent="0.3">
      <c r="B254" s="380" t="s">
        <v>14</v>
      </c>
      <c r="C254" s="409" t="s">
        <v>195</v>
      </c>
      <c r="D254" s="418" t="s">
        <v>1137</v>
      </c>
      <c r="E254" s="472" t="s">
        <v>1138</v>
      </c>
      <c r="F254" s="387">
        <v>45854</v>
      </c>
      <c r="G254" s="380" t="s">
        <v>55</v>
      </c>
      <c r="H254" s="380">
        <v>9</v>
      </c>
      <c r="I254" s="388">
        <f>58000*9</f>
        <v>522000</v>
      </c>
      <c r="J254" s="380">
        <v>4</v>
      </c>
      <c r="K254" s="389">
        <f t="shared" ref="K254:K270" si="12">I254/J254</f>
        <v>130500</v>
      </c>
      <c r="L254" s="381">
        <v>45762</v>
      </c>
      <c r="M254" s="381">
        <v>46156</v>
      </c>
      <c r="N254" s="663"/>
      <c r="O254" s="680"/>
      <c r="P254" s="363" t="s">
        <v>19</v>
      </c>
      <c r="Q254" s="380" t="s">
        <v>6</v>
      </c>
      <c r="R254" s="380"/>
      <c r="S254" s="390" t="s">
        <v>1139</v>
      </c>
      <c r="T254" s="363" t="s">
        <v>1140</v>
      </c>
      <c r="U254" s="390" t="s">
        <v>1082</v>
      </c>
      <c r="V254" s="363" t="s">
        <v>1054</v>
      </c>
      <c r="W254" s="390" t="s">
        <v>1083</v>
      </c>
      <c r="X254" s="363" t="s">
        <v>1122</v>
      </c>
      <c r="Y254" s="390" t="s">
        <v>1084</v>
      </c>
      <c r="Z254" s="363" t="s">
        <v>1141</v>
      </c>
      <c r="AA254" s="363"/>
      <c r="AB254" s="363"/>
      <c r="AC254" s="363"/>
      <c r="AD254" s="363"/>
      <c r="AE254" s="363" t="s">
        <v>478</v>
      </c>
      <c r="AF254" s="380" t="s">
        <v>63</v>
      </c>
      <c r="AG254" s="380">
        <v>3</v>
      </c>
      <c r="AH254" s="363" t="s">
        <v>657</v>
      </c>
    </row>
    <row r="255" spans="1:34" ht="15" hidden="1" customHeight="1" x14ac:dyDescent="0.3">
      <c r="B255" s="380" t="s">
        <v>14</v>
      </c>
      <c r="C255" s="409" t="s">
        <v>195</v>
      </c>
      <c r="D255" s="418" t="s">
        <v>388</v>
      </c>
      <c r="E255" s="419" t="s">
        <v>1142</v>
      </c>
      <c r="F255" s="387">
        <v>45862</v>
      </c>
      <c r="G255" s="380" t="s">
        <v>55</v>
      </c>
      <c r="H255" s="380"/>
      <c r="I255" s="388">
        <f>439992/2</f>
        <v>219996</v>
      </c>
      <c r="J255" s="380">
        <v>3</v>
      </c>
      <c r="K255" s="389">
        <f t="shared" si="12"/>
        <v>73332</v>
      </c>
      <c r="L255" s="381">
        <v>45862</v>
      </c>
      <c r="M255" s="381">
        <v>46226</v>
      </c>
      <c r="N255" s="663">
        <v>154585</v>
      </c>
      <c r="O255" s="680">
        <v>4618</v>
      </c>
      <c r="P255" s="363" t="s">
        <v>520</v>
      </c>
      <c r="Q255" s="380" t="s">
        <v>11</v>
      </c>
      <c r="R255" s="380"/>
      <c r="S255" s="390" t="s">
        <v>1143</v>
      </c>
      <c r="T255" s="363" t="s">
        <v>1144</v>
      </c>
      <c r="U255" s="390" t="s">
        <v>1145</v>
      </c>
      <c r="V255" s="363" t="s">
        <v>1146</v>
      </c>
      <c r="W255" s="390" t="s">
        <v>1147</v>
      </c>
      <c r="X255" s="363" t="s">
        <v>1936</v>
      </c>
      <c r="Y255" s="363"/>
      <c r="Z255" s="363"/>
      <c r="AA255" s="363"/>
      <c r="AB255" s="363"/>
      <c r="AC255" s="363"/>
      <c r="AD255" s="363"/>
      <c r="AE255" s="363" t="s">
        <v>478</v>
      </c>
      <c r="AF255" s="380" t="s">
        <v>63</v>
      </c>
      <c r="AG255" s="380">
        <v>3</v>
      </c>
      <c r="AH255" s="363" t="s">
        <v>657</v>
      </c>
    </row>
    <row r="256" spans="1:34" ht="15" hidden="1" customHeight="1" x14ac:dyDescent="0.3">
      <c r="B256" s="380" t="s">
        <v>14</v>
      </c>
      <c r="C256" s="409" t="s">
        <v>195</v>
      </c>
      <c r="D256" s="418" t="s">
        <v>388</v>
      </c>
      <c r="E256" s="419" t="s">
        <v>1142</v>
      </c>
      <c r="F256" s="387">
        <v>45862</v>
      </c>
      <c r="G256" s="380" t="s">
        <v>55</v>
      </c>
      <c r="H256" s="380">
        <v>4</v>
      </c>
      <c r="I256" s="388">
        <f>439992/2</f>
        <v>219996</v>
      </c>
      <c r="J256" s="380">
        <v>3</v>
      </c>
      <c r="K256" s="389">
        <f t="shared" si="12"/>
        <v>73332</v>
      </c>
      <c r="L256" s="381">
        <v>46227</v>
      </c>
      <c r="M256" s="381">
        <v>46591</v>
      </c>
      <c r="N256" s="663"/>
      <c r="O256" s="680"/>
      <c r="P256" s="363" t="s">
        <v>520</v>
      </c>
      <c r="Q256" s="380" t="s">
        <v>11</v>
      </c>
      <c r="R256" s="380"/>
      <c r="S256" s="363" t="s">
        <v>1148</v>
      </c>
      <c r="T256" s="363"/>
      <c r="U256" s="363" t="s">
        <v>1149</v>
      </c>
      <c r="V256" s="363"/>
      <c r="W256" s="363" t="s">
        <v>1150</v>
      </c>
      <c r="X256" s="363"/>
      <c r="Y256" s="363"/>
      <c r="Z256" s="363"/>
      <c r="AA256" s="363"/>
      <c r="AB256" s="363"/>
      <c r="AC256" s="363"/>
      <c r="AD256" s="363"/>
      <c r="AE256" s="363" t="s">
        <v>478</v>
      </c>
      <c r="AF256" s="380" t="s">
        <v>63</v>
      </c>
      <c r="AG256" s="380">
        <v>3</v>
      </c>
      <c r="AH256" s="363" t="s">
        <v>657</v>
      </c>
    </row>
    <row r="257" spans="2:34" ht="15" customHeight="1" x14ac:dyDescent="0.3">
      <c r="B257" s="380" t="s">
        <v>14</v>
      </c>
      <c r="C257" s="409" t="s">
        <v>1151</v>
      </c>
      <c r="D257" s="418" t="s">
        <v>151</v>
      </c>
      <c r="E257" s="419">
        <v>4512862106</v>
      </c>
      <c r="F257" s="387">
        <v>45852</v>
      </c>
      <c r="G257" s="380" t="s">
        <v>55</v>
      </c>
      <c r="H257" s="380">
        <v>10</v>
      </c>
      <c r="I257" s="388">
        <v>460000</v>
      </c>
      <c r="J257" s="380">
        <v>3</v>
      </c>
      <c r="K257" s="391">
        <f t="shared" si="12"/>
        <v>153333.33333333334</v>
      </c>
      <c r="L257" s="381">
        <v>45809</v>
      </c>
      <c r="M257" s="381">
        <v>46173</v>
      </c>
      <c r="N257" s="663"/>
      <c r="O257" s="680"/>
      <c r="P257" s="363" t="s">
        <v>19</v>
      </c>
      <c r="Q257" s="380" t="s">
        <v>9</v>
      </c>
      <c r="R257" s="380"/>
      <c r="S257" s="390" t="s">
        <v>81</v>
      </c>
      <c r="T257" s="363" t="s">
        <v>898</v>
      </c>
      <c r="U257" s="390" t="s">
        <v>83</v>
      </c>
      <c r="V257" s="363" t="s">
        <v>320</v>
      </c>
      <c r="W257" s="390" t="s">
        <v>404</v>
      </c>
      <c r="X257" s="363" t="s">
        <v>1844</v>
      </c>
      <c r="Y257" s="363"/>
      <c r="Z257" s="363"/>
      <c r="AA257" s="363"/>
      <c r="AB257" s="363"/>
      <c r="AC257" s="363"/>
      <c r="AD257" s="363"/>
      <c r="AE257" s="363" t="s">
        <v>1152</v>
      </c>
      <c r="AF257" s="380" t="s">
        <v>63</v>
      </c>
      <c r="AG257" s="380">
        <v>3</v>
      </c>
      <c r="AH257" s="363" t="s">
        <v>667</v>
      </c>
    </row>
    <row r="258" spans="2:34" ht="15" customHeight="1" x14ac:dyDescent="0.3">
      <c r="B258" s="380" t="s">
        <v>14</v>
      </c>
      <c r="C258" s="409" t="s">
        <v>975</v>
      </c>
      <c r="D258" s="423" t="s">
        <v>1153</v>
      </c>
      <c r="E258" s="419">
        <v>6100009808</v>
      </c>
      <c r="F258" s="387">
        <v>45855</v>
      </c>
      <c r="G258" s="380" t="s">
        <v>55</v>
      </c>
      <c r="H258" s="380">
        <v>2</v>
      </c>
      <c r="I258" s="388">
        <v>240000</v>
      </c>
      <c r="J258" s="380">
        <v>3</v>
      </c>
      <c r="K258" s="389">
        <f t="shared" si="12"/>
        <v>80000</v>
      </c>
      <c r="L258" s="381">
        <v>45870</v>
      </c>
      <c r="M258" s="381">
        <v>46234</v>
      </c>
      <c r="N258" s="663"/>
      <c r="O258" s="680"/>
      <c r="P258" s="363" t="s">
        <v>19</v>
      </c>
      <c r="Q258" s="380" t="s">
        <v>11</v>
      </c>
      <c r="R258" s="380"/>
      <c r="S258" s="390" t="s">
        <v>1154</v>
      </c>
      <c r="T258" s="363" t="s">
        <v>169</v>
      </c>
      <c r="U258" s="390" t="s">
        <v>361</v>
      </c>
      <c r="V258" s="363" t="s">
        <v>639</v>
      </c>
      <c r="W258" s="390" t="s">
        <v>1080</v>
      </c>
      <c r="X258" s="363" t="s">
        <v>1856</v>
      </c>
      <c r="Y258" s="363"/>
      <c r="Z258" s="363"/>
      <c r="AA258" s="363"/>
      <c r="AB258" s="363"/>
      <c r="AC258" s="363"/>
      <c r="AD258" s="363"/>
      <c r="AE258" s="363" t="s">
        <v>551</v>
      </c>
      <c r="AF258" s="380" t="s">
        <v>207</v>
      </c>
      <c r="AG258" s="380">
        <v>3</v>
      </c>
      <c r="AH258" s="363" t="s">
        <v>26</v>
      </c>
    </row>
    <row r="259" spans="2:34" ht="15" customHeight="1" x14ac:dyDescent="0.3">
      <c r="B259" s="380" t="s">
        <v>14</v>
      </c>
      <c r="C259" s="409" t="s">
        <v>1155</v>
      </c>
      <c r="D259" s="423" t="s">
        <v>151</v>
      </c>
      <c r="E259" s="419">
        <v>4300495205</v>
      </c>
      <c r="F259" s="387">
        <v>45848</v>
      </c>
      <c r="G259" s="380" t="s">
        <v>55</v>
      </c>
      <c r="H259" s="380">
        <v>4</v>
      </c>
      <c r="I259" s="388">
        <v>295998</v>
      </c>
      <c r="J259" s="380">
        <v>3</v>
      </c>
      <c r="K259" s="389">
        <f t="shared" si="12"/>
        <v>98666</v>
      </c>
      <c r="L259" s="381">
        <v>45778</v>
      </c>
      <c r="M259" s="381">
        <v>46142</v>
      </c>
      <c r="N259" s="663"/>
      <c r="O259" s="680"/>
      <c r="P259" s="363" t="s">
        <v>19</v>
      </c>
      <c r="Q259" s="380" t="s">
        <v>5</v>
      </c>
      <c r="R259" s="380"/>
      <c r="S259" s="390" t="s">
        <v>343</v>
      </c>
      <c r="T259" s="363" t="s">
        <v>753</v>
      </c>
      <c r="U259" s="390" t="s">
        <v>345</v>
      </c>
      <c r="V259" s="363" t="s">
        <v>1001</v>
      </c>
      <c r="W259" s="390" t="s">
        <v>347</v>
      </c>
      <c r="X259" s="363" t="s">
        <v>1044</v>
      </c>
      <c r="Y259" s="363"/>
      <c r="Z259" s="363"/>
      <c r="AA259" s="363"/>
      <c r="AB259" s="363"/>
      <c r="AC259" s="363"/>
      <c r="AD259" s="363"/>
      <c r="AE259" s="363" t="s">
        <v>507</v>
      </c>
      <c r="AF259" s="380" t="s">
        <v>63</v>
      </c>
      <c r="AG259" s="380">
        <v>3</v>
      </c>
      <c r="AH259" s="363" t="s">
        <v>667</v>
      </c>
    </row>
    <row r="260" spans="2:34" ht="15" customHeight="1" x14ac:dyDescent="0.3">
      <c r="B260" s="380" t="s">
        <v>14</v>
      </c>
      <c r="C260" s="363" t="s">
        <v>1156</v>
      </c>
      <c r="D260" s="434" t="s">
        <v>151</v>
      </c>
      <c r="E260" s="468" t="s">
        <v>1157</v>
      </c>
      <c r="F260" s="387">
        <v>45866</v>
      </c>
      <c r="G260" s="380" t="s">
        <v>55</v>
      </c>
      <c r="H260" s="380">
        <v>3</v>
      </c>
      <c r="I260" s="388">
        <v>75000</v>
      </c>
      <c r="J260" s="380">
        <v>3</v>
      </c>
      <c r="K260" s="389">
        <f t="shared" si="12"/>
        <v>25000</v>
      </c>
      <c r="L260" s="381">
        <v>45870</v>
      </c>
      <c r="M260" s="381">
        <v>46234</v>
      </c>
      <c r="N260" s="663"/>
      <c r="O260" s="680"/>
      <c r="P260" s="363" t="s">
        <v>19</v>
      </c>
      <c r="Q260" s="380" t="s">
        <v>11</v>
      </c>
      <c r="R260" s="380"/>
      <c r="S260" s="390" t="s">
        <v>665</v>
      </c>
      <c r="T260" s="363" t="s">
        <v>360</v>
      </c>
      <c r="U260" s="390" t="s">
        <v>361</v>
      </c>
      <c r="V260" s="363" t="s">
        <v>874</v>
      </c>
      <c r="W260" s="390" t="s">
        <v>1080</v>
      </c>
      <c r="X260" s="363" t="s">
        <v>1843</v>
      </c>
      <c r="Y260" s="363"/>
      <c r="Z260" s="363"/>
      <c r="AA260" s="363"/>
      <c r="AB260" s="363"/>
      <c r="AC260" s="363"/>
      <c r="AD260" s="363"/>
      <c r="AE260" s="363" t="s">
        <v>478</v>
      </c>
      <c r="AF260" s="380" t="s">
        <v>63</v>
      </c>
      <c r="AG260" s="380">
        <v>3</v>
      </c>
      <c r="AH260" s="363" t="s">
        <v>667</v>
      </c>
    </row>
    <row r="261" spans="2:34" ht="15" customHeight="1" x14ac:dyDescent="0.3">
      <c r="B261" s="380" t="s">
        <v>14</v>
      </c>
      <c r="C261" s="473" t="s">
        <v>150</v>
      </c>
      <c r="D261" s="434" t="s">
        <v>447</v>
      </c>
      <c r="E261" s="419">
        <v>4200342890</v>
      </c>
      <c r="F261" s="387">
        <v>45817</v>
      </c>
      <c r="G261" s="380" t="s">
        <v>55</v>
      </c>
      <c r="H261" s="380">
        <v>3</v>
      </c>
      <c r="I261" s="388">
        <v>180000</v>
      </c>
      <c r="J261" s="380">
        <v>2</v>
      </c>
      <c r="K261" s="389">
        <f t="shared" si="12"/>
        <v>90000</v>
      </c>
      <c r="L261" s="381">
        <v>45839</v>
      </c>
      <c r="M261" s="381">
        <v>46203</v>
      </c>
      <c r="N261" s="663"/>
      <c r="O261" s="680"/>
      <c r="P261" s="363" t="s">
        <v>19</v>
      </c>
      <c r="Q261" s="380" t="s">
        <v>9</v>
      </c>
      <c r="R261" s="380"/>
      <c r="S261" s="390" t="s">
        <v>483</v>
      </c>
      <c r="T261" s="363" t="s">
        <v>588</v>
      </c>
      <c r="U261" s="390" t="s">
        <v>607</v>
      </c>
      <c r="V261" s="363" t="s">
        <v>1852</v>
      </c>
      <c r="W261" s="363"/>
      <c r="X261" s="363"/>
      <c r="Y261" s="363"/>
      <c r="Z261" s="363"/>
      <c r="AA261" s="363"/>
      <c r="AB261" s="363"/>
      <c r="AC261" s="363"/>
      <c r="AD261" s="363"/>
      <c r="AE261" s="363" t="s">
        <v>96</v>
      </c>
      <c r="AF261" s="380" t="s">
        <v>97</v>
      </c>
      <c r="AG261" s="380" t="s">
        <v>494</v>
      </c>
      <c r="AH261" s="363" t="s">
        <v>667</v>
      </c>
    </row>
    <row r="262" spans="2:34" ht="15" customHeight="1" x14ac:dyDescent="0.3">
      <c r="B262" s="380" t="s">
        <v>14</v>
      </c>
      <c r="C262" s="434" t="s">
        <v>1158</v>
      </c>
      <c r="D262" s="434" t="s">
        <v>1159</v>
      </c>
      <c r="E262" s="419">
        <v>1600034060</v>
      </c>
      <c r="F262" s="387">
        <v>45867</v>
      </c>
      <c r="G262" s="380" t="s">
        <v>55</v>
      </c>
      <c r="H262" s="380">
        <v>2</v>
      </c>
      <c r="I262" s="388">
        <v>159080</v>
      </c>
      <c r="J262" s="380">
        <v>2</v>
      </c>
      <c r="K262" s="389">
        <f t="shared" si="12"/>
        <v>79540</v>
      </c>
      <c r="L262" s="381">
        <v>45839</v>
      </c>
      <c r="M262" s="381">
        <v>46203</v>
      </c>
      <c r="N262" s="663"/>
      <c r="O262" s="680"/>
      <c r="P262" s="363" t="s">
        <v>19</v>
      </c>
      <c r="Q262" s="380" t="s">
        <v>11</v>
      </c>
      <c r="R262" s="380"/>
      <c r="S262" s="390" t="s">
        <v>483</v>
      </c>
      <c r="T262" s="363" t="s">
        <v>1034</v>
      </c>
      <c r="U262" s="390" t="s">
        <v>607</v>
      </c>
      <c r="V262" s="363" t="s">
        <v>1949</v>
      </c>
      <c r="W262" s="363"/>
      <c r="X262" s="363"/>
      <c r="Y262" s="363"/>
      <c r="Z262" s="363"/>
      <c r="AA262" s="363"/>
      <c r="AB262" s="363"/>
      <c r="AC262" s="363"/>
      <c r="AD262" s="363"/>
      <c r="AE262" s="363" t="s">
        <v>478</v>
      </c>
      <c r="AF262" s="380" t="s">
        <v>63</v>
      </c>
      <c r="AG262" s="380">
        <v>3</v>
      </c>
      <c r="AH262" s="363" t="s">
        <v>667</v>
      </c>
    </row>
    <row r="263" spans="2:34" ht="15" customHeight="1" x14ac:dyDescent="0.3">
      <c r="B263" s="380" t="s">
        <v>14</v>
      </c>
      <c r="C263" s="409" t="s">
        <v>1160</v>
      </c>
      <c r="D263" s="434" t="s">
        <v>151</v>
      </c>
      <c r="E263" s="380" t="s">
        <v>1161</v>
      </c>
      <c r="F263" s="387">
        <v>45852</v>
      </c>
      <c r="G263" s="380" t="s">
        <v>55</v>
      </c>
      <c r="H263" s="380">
        <v>2</v>
      </c>
      <c r="I263" s="388">
        <v>156000</v>
      </c>
      <c r="J263" s="380">
        <v>3</v>
      </c>
      <c r="K263" s="389">
        <f t="shared" si="12"/>
        <v>52000</v>
      </c>
      <c r="L263" s="381">
        <v>45839</v>
      </c>
      <c r="M263" s="381">
        <v>46203</v>
      </c>
      <c r="N263" s="663"/>
      <c r="O263" s="680"/>
      <c r="P263" s="363" t="s">
        <v>19</v>
      </c>
      <c r="Q263" s="380" t="s">
        <v>9</v>
      </c>
      <c r="R263" s="380"/>
      <c r="S263" s="390" t="s">
        <v>190</v>
      </c>
      <c r="T263" s="363" t="s">
        <v>791</v>
      </c>
      <c r="U263" s="390" t="s">
        <v>192</v>
      </c>
      <c r="V263" s="363" t="s">
        <v>1162</v>
      </c>
      <c r="W263" s="390" t="s">
        <v>1163</v>
      </c>
      <c r="X263" s="363" t="s">
        <v>1844</v>
      </c>
      <c r="Y263" s="363"/>
      <c r="Z263" s="363"/>
      <c r="AA263" s="363"/>
      <c r="AB263" s="363"/>
      <c r="AC263" s="363"/>
      <c r="AD263" s="363"/>
      <c r="AE263" s="363" t="s">
        <v>478</v>
      </c>
      <c r="AF263" s="380" t="s">
        <v>63</v>
      </c>
      <c r="AG263" s="380">
        <v>3</v>
      </c>
      <c r="AH263" s="363" t="s">
        <v>667</v>
      </c>
    </row>
    <row r="264" spans="2:34" ht="15" customHeight="1" x14ac:dyDescent="0.3">
      <c r="B264" s="380" t="s">
        <v>14</v>
      </c>
      <c r="C264" s="409" t="s">
        <v>954</v>
      </c>
      <c r="D264" s="423" t="s">
        <v>1164</v>
      </c>
      <c r="E264" s="805">
        <v>4601465639</v>
      </c>
      <c r="F264" s="387">
        <v>45845</v>
      </c>
      <c r="G264" s="380" t="s">
        <v>55</v>
      </c>
      <c r="H264" s="380">
        <v>1</v>
      </c>
      <c r="I264" s="388">
        <v>85000</v>
      </c>
      <c r="J264" s="380">
        <v>1</v>
      </c>
      <c r="K264" s="389">
        <f t="shared" si="12"/>
        <v>85000</v>
      </c>
      <c r="L264" s="381">
        <v>45839</v>
      </c>
      <c r="M264" s="381">
        <v>46203</v>
      </c>
      <c r="N264" s="663"/>
      <c r="O264" s="680"/>
      <c r="P264" s="363" t="s">
        <v>19</v>
      </c>
      <c r="Q264" s="380" t="s">
        <v>9</v>
      </c>
      <c r="R264" s="380"/>
      <c r="S264" s="390" t="s">
        <v>1071</v>
      </c>
      <c r="T264" s="363" t="s">
        <v>618</v>
      </c>
      <c r="U264" s="363"/>
      <c r="V264" s="363"/>
      <c r="W264" s="363"/>
      <c r="X264" s="363"/>
      <c r="Y264" s="363"/>
      <c r="Z264" s="363"/>
      <c r="AA264" s="363"/>
      <c r="AB264" s="363"/>
      <c r="AC264" s="363"/>
      <c r="AD264" s="363"/>
      <c r="AE264" s="363" t="s">
        <v>478</v>
      </c>
      <c r="AF264" s="380" t="s">
        <v>63</v>
      </c>
      <c r="AG264" s="380">
        <v>3</v>
      </c>
      <c r="AH264" s="363" t="s">
        <v>667</v>
      </c>
    </row>
    <row r="265" spans="2:34" ht="15" customHeight="1" x14ac:dyDescent="0.3">
      <c r="B265" s="380" t="s">
        <v>14</v>
      </c>
      <c r="C265" s="409" t="s">
        <v>756</v>
      </c>
      <c r="D265" s="423" t="s">
        <v>757</v>
      </c>
      <c r="E265" s="419">
        <v>2265006145</v>
      </c>
      <c r="F265" s="387">
        <v>45868</v>
      </c>
      <c r="G265" s="380" t="s">
        <v>55</v>
      </c>
      <c r="H265" s="380">
        <v>2</v>
      </c>
      <c r="I265" s="388">
        <v>164160</v>
      </c>
      <c r="J265" s="380">
        <v>3</v>
      </c>
      <c r="K265" s="389">
        <f t="shared" si="12"/>
        <v>54720</v>
      </c>
      <c r="L265" s="381">
        <v>45748</v>
      </c>
      <c r="M265" s="381">
        <v>46112</v>
      </c>
      <c r="N265" s="663"/>
      <c r="O265" s="680"/>
      <c r="P265" s="363" t="s">
        <v>19</v>
      </c>
      <c r="Q265" s="380" t="s">
        <v>5</v>
      </c>
      <c r="R265" s="380"/>
      <c r="S265" s="390" t="s">
        <v>357</v>
      </c>
      <c r="T265" s="363" t="s">
        <v>872</v>
      </c>
      <c r="U265" s="390" t="s">
        <v>665</v>
      </c>
      <c r="V265" s="363" t="s">
        <v>967</v>
      </c>
      <c r="W265" s="390" t="s">
        <v>361</v>
      </c>
      <c r="X265" s="363" t="s">
        <v>882</v>
      </c>
      <c r="Y265" s="363"/>
      <c r="Z265" s="363"/>
      <c r="AA265" s="363"/>
      <c r="AB265" s="363"/>
      <c r="AC265" s="363"/>
      <c r="AD265" s="363"/>
      <c r="AE265" s="363" t="s">
        <v>507</v>
      </c>
      <c r="AF265" s="380" t="s">
        <v>63</v>
      </c>
      <c r="AG265" s="380">
        <v>3</v>
      </c>
      <c r="AH265" s="363" t="s">
        <v>799</v>
      </c>
    </row>
    <row r="266" spans="2:34" ht="15" hidden="1" customHeight="1" x14ac:dyDescent="0.3">
      <c r="B266" s="380" t="s">
        <v>14</v>
      </c>
      <c r="C266" s="409" t="s">
        <v>195</v>
      </c>
      <c r="D266" s="423" t="s">
        <v>447</v>
      </c>
      <c r="E266" s="464" t="s">
        <v>1165</v>
      </c>
      <c r="F266" s="387">
        <v>45864</v>
      </c>
      <c r="G266" s="380" t="s">
        <v>55</v>
      </c>
      <c r="H266" s="380">
        <v>8</v>
      </c>
      <c r="I266" s="388">
        <v>513520</v>
      </c>
      <c r="J266" s="380">
        <v>4</v>
      </c>
      <c r="K266" s="389">
        <f t="shared" si="12"/>
        <v>128380</v>
      </c>
      <c r="L266" s="381">
        <v>45877</v>
      </c>
      <c r="M266" s="381">
        <v>46241</v>
      </c>
      <c r="N266" s="663"/>
      <c r="O266" s="680"/>
      <c r="P266" s="363" t="s">
        <v>520</v>
      </c>
      <c r="Q266" s="380" t="s">
        <v>13</v>
      </c>
      <c r="R266" s="380"/>
      <c r="S266" s="390" t="s">
        <v>1166</v>
      </c>
      <c r="T266" s="363" t="s">
        <v>707</v>
      </c>
      <c r="U266" s="390" t="s">
        <v>1167</v>
      </c>
      <c r="V266" s="363" t="s">
        <v>653</v>
      </c>
      <c r="W266" s="390" t="s">
        <v>1168</v>
      </c>
      <c r="X266" s="363" t="s">
        <v>1169</v>
      </c>
      <c r="Y266" s="363" t="s">
        <v>1170</v>
      </c>
      <c r="Z266" s="363"/>
      <c r="AA266" s="363"/>
      <c r="AB266" s="363"/>
      <c r="AC266" s="363"/>
      <c r="AD266" s="363"/>
      <c r="AE266" s="363" t="s">
        <v>96</v>
      </c>
      <c r="AF266" s="380" t="s">
        <v>1171</v>
      </c>
      <c r="AG266" s="380" t="s">
        <v>494</v>
      </c>
      <c r="AH266" s="363" t="s">
        <v>667</v>
      </c>
    </row>
    <row r="267" spans="2:34" ht="15" customHeight="1" x14ac:dyDescent="0.3">
      <c r="B267" s="380" t="s">
        <v>14</v>
      </c>
      <c r="C267" s="409" t="s">
        <v>1172</v>
      </c>
      <c r="D267" s="423" t="s">
        <v>1016</v>
      </c>
      <c r="E267" s="419">
        <v>7100090208</v>
      </c>
      <c r="F267" s="387">
        <v>45874</v>
      </c>
      <c r="G267" s="380" t="s">
        <v>55</v>
      </c>
      <c r="H267" s="380">
        <v>1</v>
      </c>
      <c r="I267" s="388">
        <v>81000</v>
      </c>
      <c r="J267" s="380">
        <v>3</v>
      </c>
      <c r="K267" s="389">
        <f t="shared" si="12"/>
        <v>27000</v>
      </c>
      <c r="L267" s="381">
        <v>45839</v>
      </c>
      <c r="M267" s="381">
        <v>46203</v>
      </c>
      <c r="N267" s="663"/>
      <c r="O267" s="680"/>
      <c r="P267" s="363" t="s">
        <v>19</v>
      </c>
      <c r="Q267" s="380" t="s">
        <v>9</v>
      </c>
      <c r="R267" s="380"/>
      <c r="S267" s="390" t="s">
        <v>190</v>
      </c>
      <c r="T267" s="363" t="s">
        <v>760</v>
      </c>
      <c r="U267" s="390" t="s">
        <v>192</v>
      </c>
      <c r="V267" s="363" t="s">
        <v>1173</v>
      </c>
      <c r="W267" s="390" t="s">
        <v>194</v>
      </c>
      <c r="X267" s="363" t="s">
        <v>1855</v>
      </c>
      <c r="Y267" s="363"/>
      <c r="Z267" s="363"/>
      <c r="AA267" s="363"/>
      <c r="AB267" s="363"/>
      <c r="AC267" s="363"/>
      <c r="AD267" s="363"/>
      <c r="AE267" s="363" t="s">
        <v>619</v>
      </c>
      <c r="AF267" s="380" t="s">
        <v>63</v>
      </c>
      <c r="AG267" s="380">
        <v>3</v>
      </c>
      <c r="AH267" s="363" t="s">
        <v>667</v>
      </c>
    </row>
    <row r="268" spans="2:34" ht="15" customHeight="1" x14ac:dyDescent="0.3">
      <c r="B268" s="380" t="s">
        <v>14</v>
      </c>
      <c r="C268" s="409" t="s">
        <v>1174</v>
      </c>
      <c r="D268" s="423" t="s">
        <v>447</v>
      </c>
      <c r="E268" s="397" t="s">
        <v>1175</v>
      </c>
      <c r="F268" s="387">
        <v>45869</v>
      </c>
      <c r="G268" s="380" t="s">
        <v>55</v>
      </c>
      <c r="H268" s="380">
        <v>4</v>
      </c>
      <c r="I268" s="388">
        <v>236252</v>
      </c>
      <c r="J268" s="380">
        <v>3</v>
      </c>
      <c r="K268" s="389">
        <f t="shared" si="12"/>
        <v>78750.666666666672</v>
      </c>
      <c r="L268" s="381">
        <v>45853</v>
      </c>
      <c r="M268" s="381">
        <v>46217</v>
      </c>
      <c r="N268" s="663"/>
      <c r="O268" s="680"/>
      <c r="P268" s="363" t="s">
        <v>19</v>
      </c>
      <c r="Q268" s="380" t="s">
        <v>11</v>
      </c>
      <c r="R268" s="380"/>
      <c r="S268" s="390" t="s">
        <v>1176</v>
      </c>
      <c r="T268" s="363" t="s">
        <v>1177</v>
      </c>
      <c r="U268" s="390" t="s">
        <v>1178</v>
      </c>
      <c r="V268" s="363" t="s">
        <v>1179</v>
      </c>
      <c r="W268" s="390" t="s">
        <v>1180</v>
      </c>
      <c r="X268" s="363" t="s">
        <v>1843</v>
      </c>
      <c r="Y268" s="363"/>
      <c r="Z268" s="363"/>
      <c r="AA268" s="363"/>
      <c r="AB268" s="363"/>
      <c r="AC268" s="363"/>
      <c r="AD268" s="363"/>
      <c r="AE268" s="363" t="s">
        <v>281</v>
      </c>
      <c r="AF268" s="380" t="s">
        <v>97</v>
      </c>
      <c r="AG268" s="380">
        <v>3</v>
      </c>
      <c r="AH268" s="363" t="s">
        <v>667</v>
      </c>
    </row>
    <row r="269" spans="2:34" ht="15" hidden="1" customHeight="1" x14ac:dyDescent="0.3">
      <c r="B269" s="380" t="s">
        <v>14</v>
      </c>
      <c r="C269" s="409" t="s">
        <v>195</v>
      </c>
      <c r="D269" s="423" t="s">
        <v>447</v>
      </c>
      <c r="E269" s="397" t="s">
        <v>1181</v>
      </c>
      <c r="F269" s="387">
        <v>45868</v>
      </c>
      <c r="G269" s="380" t="s">
        <v>55</v>
      </c>
      <c r="H269" s="380">
        <v>1</v>
      </c>
      <c r="I269" s="388">
        <v>61000</v>
      </c>
      <c r="J269" s="380">
        <v>4</v>
      </c>
      <c r="K269" s="389">
        <f t="shared" si="12"/>
        <v>15250</v>
      </c>
      <c r="L269" s="381">
        <v>45874</v>
      </c>
      <c r="M269" s="381">
        <v>46238</v>
      </c>
      <c r="N269" s="663"/>
      <c r="O269" s="680"/>
      <c r="P269" s="363" t="s">
        <v>19</v>
      </c>
      <c r="Q269" s="380" t="s">
        <v>13</v>
      </c>
      <c r="R269" s="380"/>
      <c r="S269" s="390" t="s">
        <v>1182</v>
      </c>
      <c r="T269" s="363" t="s">
        <v>110</v>
      </c>
      <c r="U269" s="390" t="s">
        <v>1183</v>
      </c>
      <c r="V269" s="363" t="s">
        <v>270</v>
      </c>
      <c r="W269" s="390" t="s">
        <v>1184</v>
      </c>
      <c r="X269" s="363" t="s">
        <v>443</v>
      </c>
      <c r="Y269" s="390" t="s">
        <v>1185</v>
      </c>
      <c r="Z269" s="363" t="s">
        <v>1950</v>
      </c>
      <c r="AA269" s="363"/>
      <c r="AB269" s="363"/>
      <c r="AC269" s="363"/>
      <c r="AD269" s="363"/>
      <c r="AE269" s="363" t="s">
        <v>96</v>
      </c>
      <c r="AF269" s="380" t="s">
        <v>97</v>
      </c>
      <c r="AG269" s="380" t="s">
        <v>494</v>
      </c>
      <c r="AH269" s="363" t="s">
        <v>667</v>
      </c>
    </row>
    <row r="270" spans="2:34" ht="15" hidden="1" customHeight="1" x14ac:dyDescent="0.3">
      <c r="B270" s="380" t="s">
        <v>14</v>
      </c>
      <c r="C270" s="474" t="s">
        <v>1186</v>
      </c>
      <c r="D270" s="423" t="s">
        <v>841</v>
      </c>
      <c r="E270" s="464">
        <v>470072615</v>
      </c>
      <c r="F270" s="387">
        <v>45864</v>
      </c>
      <c r="G270" s="380" t="s">
        <v>55</v>
      </c>
      <c r="H270" s="380">
        <v>2</v>
      </c>
      <c r="I270" s="388">
        <v>40000</v>
      </c>
      <c r="J270" s="380">
        <v>2</v>
      </c>
      <c r="K270" s="389">
        <f t="shared" si="12"/>
        <v>20000</v>
      </c>
      <c r="L270" s="381">
        <v>45839</v>
      </c>
      <c r="M270" s="381">
        <v>46203</v>
      </c>
      <c r="N270" s="663"/>
      <c r="O270" s="680"/>
      <c r="P270" s="363" t="s">
        <v>520</v>
      </c>
      <c r="Q270" s="380" t="s">
        <v>13</v>
      </c>
      <c r="R270" s="380" t="s">
        <v>1</v>
      </c>
      <c r="S270" s="390" t="s">
        <v>483</v>
      </c>
      <c r="T270" s="363" t="s">
        <v>1187</v>
      </c>
      <c r="U270" s="363" t="s">
        <v>607</v>
      </c>
      <c r="V270" s="363"/>
      <c r="W270" s="363"/>
      <c r="X270" s="363"/>
      <c r="Y270" s="363"/>
      <c r="Z270" s="363"/>
      <c r="AA270" s="363"/>
      <c r="AB270" s="363"/>
      <c r="AC270" s="363"/>
      <c r="AD270" s="363"/>
      <c r="AE270" s="363" t="s">
        <v>1188</v>
      </c>
      <c r="AF270" s="380" t="s">
        <v>63</v>
      </c>
      <c r="AG270" s="380"/>
      <c r="AH270" s="363"/>
    </row>
    <row r="271" spans="2:34" ht="15" hidden="1" customHeight="1" x14ac:dyDescent="0.3">
      <c r="B271" s="380" t="s">
        <v>14</v>
      </c>
      <c r="C271" s="412" t="s">
        <v>508</v>
      </c>
      <c r="D271" s="437" t="s">
        <v>866</v>
      </c>
      <c r="E271" s="475" t="s">
        <v>1189</v>
      </c>
      <c r="F271" s="415">
        <v>45873</v>
      </c>
      <c r="G271" s="380" t="s">
        <v>55</v>
      </c>
      <c r="H271" s="380">
        <v>2</v>
      </c>
      <c r="I271" s="388">
        <f>89000*2</f>
        <v>178000</v>
      </c>
      <c r="J271" s="380">
        <v>3</v>
      </c>
      <c r="K271" s="389">
        <f>I271/2</f>
        <v>89000</v>
      </c>
      <c r="L271" s="381">
        <v>45878</v>
      </c>
      <c r="M271" s="381">
        <v>46242</v>
      </c>
      <c r="N271" s="663"/>
      <c r="O271" s="680"/>
      <c r="P271" s="363" t="s">
        <v>520</v>
      </c>
      <c r="Q271" s="380" t="s">
        <v>13</v>
      </c>
      <c r="R271" s="380"/>
      <c r="S271" s="390" t="s">
        <v>1190</v>
      </c>
      <c r="T271" s="363" t="s">
        <v>1191</v>
      </c>
      <c r="U271" s="390" t="s">
        <v>1192</v>
      </c>
      <c r="V271" s="363" t="s">
        <v>656</v>
      </c>
      <c r="W271" s="363" t="s">
        <v>1193</v>
      </c>
      <c r="X271" s="363" t="s">
        <v>1045</v>
      </c>
      <c r="Y271" s="363"/>
      <c r="Z271" s="363"/>
      <c r="AA271" s="363"/>
      <c r="AB271" s="363"/>
      <c r="AC271" s="363"/>
      <c r="AD271" s="363"/>
      <c r="AE271" s="363" t="s">
        <v>96</v>
      </c>
      <c r="AF271" s="380" t="s">
        <v>97</v>
      </c>
      <c r="AG271" s="380" t="s">
        <v>494</v>
      </c>
      <c r="AH271" s="453" t="s">
        <v>1194</v>
      </c>
    </row>
    <row r="272" spans="2:34" ht="15" customHeight="1" x14ac:dyDescent="0.3">
      <c r="B272" s="380" t="s">
        <v>14</v>
      </c>
      <c r="C272" s="409" t="s">
        <v>1195</v>
      </c>
      <c r="D272" s="423" t="s">
        <v>1196</v>
      </c>
      <c r="E272" s="472">
        <v>4601464540</v>
      </c>
      <c r="F272" s="387">
        <v>45841</v>
      </c>
      <c r="G272" s="380" t="s">
        <v>55</v>
      </c>
      <c r="H272" s="380">
        <v>2</v>
      </c>
      <c r="I272" s="388">
        <f>81900*2</f>
        <v>163800</v>
      </c>
      <c r="J272" s="380">
        <v>3</v>
      </c>
      <c r="K272" s="389">
        <f t="shared" ref="K272:K280" si="13">I272/J272</f>
        <v>54600</v>
      </c>
      <c r="L272" s="381">
        <v>45748</v>
      </c>
      <c r="M272" s="381">
        <v>46112</v>
      </c>
      <c r="N272" s="663"/>
      <c r="O272" s="680"/>
      <c r="P272" s="363" t="s">
        <v>19</v>
      </c>
      <c r="Q272" s="380" t="s">
        <v>3</v>
      </c>
      <c r="R272" s="380"/>
      <c r="S272" s="390" t="s">
        <v>357</v>
      </c>
      <c r="T272" s="363" t="s">
        <v>1197</v>
      </c>
      <c r="U272" s="390" t="s">
        <v>665</v>
      </c>
      <c r="V272" s="363" t="s">
        <v>1198</v>
      </c>
      <c r="W272" s="390" t="s">
        <v>361</v>
      </c>
      <c r="X272" s="363" t="s">
        <v>899</v>
      </c>
      <c r="Y272" s="363"/>
      <c r="Z272" s="363"/>
      <c r="AA272" s="363"/>
      <c r="AB272" s="363"/>
      <c r="AC272" s="363"/>
      <c r="AD272" s="363"/>
      <c r="AE272" s="363" t="s">
        <v>478</v>
      </c>
      <c r="AF272" s="380" t="s">
        <v>63</v>
      </c>
      <c r="AG272" s="380">
        <v>3</v>
      </c>
      <c r="AH272" s="363" t="s">
        <v>667</v>
      </c>
    </row>
    <row r="273" spans="2:34" ht="15" customHeight="1" x14ac:dyDescent="0.3">
      <c r="B273" s="380" t="s">
        <v>14</v>
      </c>
      <c r="C273" s="409" t="s">
        <v>1199</v>
      </c>
      <c r="D273" s="434" t="s">
        <v>151</v>
      </c>
      <c r="E273" s="380">
        <v>66981</v>
      </c>
      <c r="F273" s="387">
        <v>45881</v>
      </c>
      <c r="G273" s="380" t="s">
        <v>55</v>
      </c>
      <c r="H273" s="380">
        <v>2</v>
      </c>
      <c r="I273" s="388">
        <v>130000</v>
      </c>
      <c r="J273" s="380">
        <v>2</v>
      </c>
      <c r="K273" s="389">
        <f t="shared" si="13"/>
        <v>65000</v>
      </c>
      <c r="L273" s="381">
        <v>45839</v>
      </c>
      <c r="M273" s="381">
        <v>46203</v>
      </c>
      <c r="N273" s="663"/>
      <c r="O273" s="680"/>
      <c r="P273" s="363" t="s">
        <v>19</v>
      </c>
      <c r="Q273" s="380" t="s">
        <v>11</v>
      </c>
      <c r="R273" s="380"/>
      <c r="S273" s="390" t="s">
        <v>483</v>
      </c>
      <c r="T273" s="363" t="s">
        <v>1034</v>
      </c>
      <c r="U273" s="390" t="s">
        <v>607</v>
      </c>
      <c r="V273" s="363" t="s">
        <v>1951</v>
      </c>
      <c r="W273" s="363"/>
      <c r="X273" s="363"/>
      <c r="Y273" s="363"/>
      <c r="Z273" s="363"/>
      <c r="AA273" s="363"/>
      <c r="AB273" s="363"/>
      <c r="AC273" s="363"/>
      <c r="AD273" s="363"/>
      <c r="AE273" s="363" t="s">
        <v>478</v>
      </c>
      <c r="AF273" s="380" t="s">
        <v>63</v>
      </c>
      <c r="AG273" s="380">
        <v>3</v>
      </c>
      <c r="AH273" s="363" t="s">
        <v>667</v>
      </c>
    </row>
    <row r="274" spans="2:34" ht="15" customHeight="1" x14ac:dyDescent="0.3">
      <c r="B274" s="380" t="s">
        <v>14</v>
      </c>
      <c r="C274" s="409" t="s">
        <v>663</v>
      </c>
      <c r="D274" s="423" t="s">
        <v>1016</v>
      </c>
      <c r="E274" s="419">
        <v>4507651363</v>
      </c>
      <c r="F274" s="387">
        <v>45883</v>
      </c>
      <c r="G274" s="380" t="s">
        <v>55</v>
      </c>
      <c r="H274" s="380">
        <v>5</v>
      </c>
      <c r="I274" s="388">
        <f>462000-77000</f>
        <v>385000</v>
      </c>
      <c r="J274" s="380">
        <v>3</v>
      </c>
      <c r="K274" s="389">
        <f t="shared" si="13"/>
        <v>128333.33333333333</v>
      </c>
      <c r="L274" s="381">
        <v>45839</v>
      </c>
      <c r="M274" s="381">
        <v>46203</v>
      </c>
      <c r="N274" s="663"/>
      <c r="O274" s="680"/>
      <c r="P274" s="363" t="s">
        <v>19</v>
      </c>
      <c r="Q274" s="380" t="s">
        <v>9</v>
      </c>
      <c r="R274" s="380"/>
      <c r="S274" s="390" t="s">
        <v>190</v>
      </c>
      <c r="T274" s="363" t="s">
        <v>1026</v>
      </c>
      <c r="U274" s="390" t="s">
        <v>192</v>
      </c>
      <c r="V274" s="363" t="s">
        <v>193</v>
      </c>
      <c r="W274" s="390" t="s">
        <v>1200</v>
      </c>
      <c r="X274" s="363" t="s">
        <v>1843</v>
      </c>
      <c r="Y274" s="363"/>
      <c r="Z274" s="363"/>
      <c r="AA274" s="363"/>
      <c r="AB274" s="363"/>
      <c r="AC274" s="363"/>
      <c r="AD274" s="363"/>
      <c r="AE274" s="363" t="s">
        <v>619</v>
      </c>
      <c r="AF274" s="380" t="s">
        <v>63</v>
      </c>
      <c r="AG274" s="380">
        <v>3</v>
      </c>
      <c r="AH274" s="363" t="s">
        <v>667</v>
      </c>
    </row>
    <row r="275" spans="2:34" ht="15" customHeight="1" x14ac:dyDescent="0.3">
      <c r="B275" s="380" t="s">
        <v>14</v>
      </c>
      <c r="C275" s="409" t="s">
        <v>663</v>
      </c>
      <c r="D275" s="423" t="s">
        <v>1016</v>
      </c>
      <c r="E275" s="419">
        <v>4507651363</v>
      </c>
      <c r="F275" s="387">
        <v>45883</v>
      </c>
      <c r="G275" s="380" t="s">
        <v>55</v>
      </c>
      <c r="H275" s="380">
        <v>1</v>
      </c>
      <c r="I275" s="388">
        <v>77000</v>
      </c>
      <c r="J275" s="380">
        <v>2</v>
      </c>
      <c r="K275" s="389">
        <f t="shared" si="13"/>
        <v>38500</v>
      </c>
      <c r="L275" s="381">
        <v>45839</v>
      </c>
      <c r="M275" s="381">
        <v>46203</v>
      </c>
      <c r="N275" s="663"/>
      <c r="O275" s="680"/>
      <c r="P275" s="363" t="s">
        <v>19</v>
      </c>
      <c r="Q275" s="380" t="s">
        <v>9</v>
      </c>
      <c r="R275" s="380"/>
      <c r="S275" s="390" t="s">
        <v>483</v>
      </c>
      <c r="T275" s="363" t="s">
        <v>1026</v>
      </c>
      <c r="U275" s="390" t="s">
        <v>607</v>
      </c>
      <c r="V275" s="363" t="s">
        <v>193</v>
      </c>
      <c r="W275" s="363"/>
      <c r="X275" s="363"/>
      <c r="Y275" s="363"/>
      <c r="Z275" s="363"/>
      <c r="AA275" s="363"/>
      <c r="AB275" s="363"/>
      <c r="AC275" s="363"/>
      <c r="AD275" s="363"/>
      <c r="AE275" s="363" t="s">
        <v>619</v>
      </c>
      <c r="AF275" s="380" t="s">
        <v>63</v>
      </c>
      <c r="AG275" s="380">
        <v>3</v>
      </c>
      <c r="AH275" s="363" t="s">
        <v>667</v>
      </c>
    </row>
    <row r="276" spans="2:34" ht="15" hidden="1" customHeight="1" x14ac:dyDescent="0.3">
      <c r="B276" s="380" t="s">
        <v>14</v>
      </c>
      <c r="C276" s="409" t="s">
        <v>655</v>
      </c>
      <c r="D276" s="423" t="s">
        <v>151</v>
      </c>
      <c r="E276" s="464">
        <v>2009800</v>
      </c>
      <c r="F276" s="387">
        <v>45874</v>
      </c>
      <c r="G276" s="380" t="s">
        <v>55</v>
      </c>
      <c r="H276" s="380">
        <v>1</v>
      </c>
      <c r="I276" s="388">
        <v>40000</v>
      </c>
      <c r="J276" s="380">
        <v>2</v>
      </c>
      <c r="K276" s="389">
        <f t="shared" si="13"/>
        <v>20000</v>
      </c>
      <c r="L276" s="381">
        <v>45874</v>
      </c>
      <c r="M276" s="381">
        <v>46238</v>
      </c>
      <c r="N276" s="663"/>
      <c r="O276" s="680"/>
      <c r="P276" s="363" t="s">
        <v>520</v>
      </c>
      <c r="Q276" s="380" t="s">
        <v>13</v>
      </c>
      <c r="R276" s="380" t="s">
        <v>1</v>
      </c>
      <c r="S276" s="390" t="s">
        <v>1201</v>
      </c>
      <c r="T276" s="363" t="s">
        <v>556</v>
      </c>
      <c r="U276" s="363" t="s">
        <v>1202</v>
      </c>
      <c r="V276" s="363"/>
      <c r="W276" s="363"/>
      <c r="X276" s="363"/>
      <c r="Y276" s="363"/>
      <c r="Z276" s="363"/>
      <c r="AA276" s="363"/>
      <c r="AB276" s="363"/>
      <c r="AC276" s="363"/>
      <c r="AD276" s="363"/>
      <c r="AE276" s="363" t="s">
        <v>1188</v>
      </c>
      <c r="AF276" s="380" t="s">
        <v>63</v>
      </c>
      <c r="AG276" s="380"/>
      <c r="AH276" s="363"/>
    </row>
    <row r="277" spans="2:34" ht="15" customHeight="1" x14ac:dyDescent="0.3">
      <c r="B277" s="380" t="s">
        <v>14</v>
      </c>
      <c r="C277" s="409" t="s">
        <v>1203</v>
      </c>
      <c r="D277" s="423" t="s">
        <v>997</v>
      </c>
      <c r="E277" s="464" t="s">
        <v>1204</v>
      </c>
      <c r="F277" s="387">
        <v>45882</v>
      </c>
      <c r="G277" s="380" t="s">
        <v>55</v>
      </c>
      <c r="H277" s="380">
        <v>1</v>
      </c>
      <c r="I277" s="388">
        <v>84000</v>
      </c>
      <c r="J277" s="380">
        <v>3</v>
      </c>
      <c r="K277" s="389">
        <f t="shared" si="13"/>
        <v>28000</v>
      </c>
      <c r="L277" s="381">
        <v>45839</v>
      </c>
      <c r="M277" s="381">
        <v>46203</v>
      </c>
      <c r="N277" s="663"/>
      <c r="O277" s="680"/>
      <c r="P277" s="363" t="s">
        <v>19</v>
      </c>
      <c r="Q277" s="380" t="s">
        <v>9</v>
      </c>
      <c r="R277" s="380"/>
      <c r="S277" s="390" t="s">
        <v>190</v>
      </c>
      <c r="T277" s="363" t="s">
        <v>807</v>
      </c>
      <c r="U277" s="390" t="s">
        <v>192</v>
      </c>
      <c r="V277" s="363" t="s">
        <v>1205</v>
      </c>
      <c r="W277" s="390" t="s">
        <v>1200</v>
      </c>
      <c r="X277" s="363" t="s">
        <v>1721</v>
      </c>
      <c r="Y277" s="363"/>
      <c r="Z277" s="363"/>
      <c r="AA277" s="363"/>
      <c r="AB277" s="363"/>
      <c r="AC277" s="363"/>
      <c r="AD277" s="363"/>
      <c r="AE277" s="363" t="s">
        <v>96</v>
      </c>
      <c r="AF277" s="380" t="s">
        <v>97</v>
      </c>
      <c r="AG277" s="380" t="s">
        <v>494</v>
      </c>
      <c r="AH277" s="363" t="s">
        <v>667</v>
      </c>
    </row>
    <row r="278" spans="2:34" ht="15" customHeight="1" x14ac:dyDescent="0.3">
      <c r="B278" s="380" t="s">
        <v>14</v>
      </c>
      <c r="C278" s="409" t="s">
        <v>1206</v>
      </c>
      <c r="D278" s="423" t="s">
        <v>1207</v>
      </c>
      <c r="E278" s="419">
        <v>401230020</v>
      </c>
      <c r="F278" s="387">
        <v>45878</v>
      </c>
      <c r="G278" s="380" t="s">
        <v>55</v>
      </c>
      <c r="H278" s="380">
        <v>1</v>
      </c>
      <c r="I278" s="388">
        <v>76000</v>
      </c>
      <c r="J278" s="380">
        <v>2</v>
      </c>
      <c r="K278" s="389">
        <f t="shared" si="13"/>
        <v>38000</v>
      </c>
      <c r="L278" s="381">
        <v>45839</v>
      </c>
      <c r="M278" s="381">
        <v>46203</v>
      </c>
      <c r="N278" s="663"/>
      <c r="O278" s="680"/>
      <c r="P278" s="363" t="s">
        <v>19</v>
      </c>
      <c r="Q278" s="380" t="s">
        <v>9</v>
      </c>
      <c r="R278" s="380"/>
      <c r="S278" s="390" t="s">
        <v>483</v>
      </c>
      <c r="T278" s="363" t="s">
        <v>1208</v>
      </c>
      <c r="U278" s="390" t="s">
        <v>607</v>
      </c>
      <c r="V278" s="363" t="s">
        <v>1844</v>
      </c>
      <c r="W278" s="363"/>
      <c r="X278" s="363"/>
      <c r="Y278" s="363"/>
      <c r="Z278" s="363"/>
      <c r="AA278" s="363"/>
      <c r="AB278" s="363"/>
      <c r="AC278" s="363"/>
      <c r="AD278" s="363"/>
      <c r="AE278" s="363" t="s">
        <v>96</v>
      </c>
      <c r="AF278" s="380" t="s">
        <v>97</v>
      </c>
      <c r="AG278" s="380"/>
      <c r="AH278" s="363" t="s">
        <v>667</v>
      </c>
    </row>
    <row r="279" spans="2:34" ht="15" customHeight="1" x14ac:dyDescent="0.3">
      <c r="B279" s="380" t="s">
        <v>14</v>
      </c>
      <c r="C279" s="409" t="s">
        <v>1206</v>
      </c>
      <c r="D279" s="423" t="s">
        <v>1207</v>
      </c>
      <c r="E279" s="419">
        <v>401230026</v>
      </c>
      <c r="F279" s="387">
        <v>45878</v>
      </c>
      <c r="G279" s="380" t="s">
        <v>55</v>
      </c>
      <c r="H279" s="380">
        <v>4</v>
      </c>
      <c r="I279" s="388">
        <f>76000*4</f>
        <v>304000</v>
      </c>
      <c r="J279" s="380">
        <v>2</v>
      </c>
      <c r="K279" s="389">
        <f t="shared" si="13"/>
        <v>152000</v>
      </c>
      <c r="L279" s="381">
        <v>45839</v>
      </c>
      <c r="M279" s="381">
        <v>46203</v>
      </c>
      <c r="N279" s="663"/>
      <c r="O279" s="680"/>
      <c r="P279" s="363" t="s">
        <v>19</v>
      </c>
      <c r="Q279" s="380" t="s">
        <v>9</v>
      </c>
      <c r="R279" s="380"/>
      <c r="S279" s="390" t="s">
        <v>483</v>
      </c>
      <c r="T279" s="363" t="s">
        <v>147</v>
      </c>
      <c r="U279" s="390" t="s">
        <v>607</v>
      </c>
      <c r="V279" s="363" t="s">
        <v>1850</v>
      </c>
      <c r="W279" s="363"/>
      <c r="X279" s="363"/>
      <c r="Y279" s="363"/>
      <c r="Z279" s="363"/>
      <c r="AA279" s="363"/>
      <c r="AB279" s="363"/>
      <c r="AC279" s="363"/>
      <c r="AD279" s="363"/>
      <c r="AE279" s="363" t="s">
        <v>96</v>
      </c>
      <c r="AF279" s="380" t="s">
        <v>97</v>
      </c>
      <c r="AG279" s="380"/>
      <c r="AH279" s="363" t="s">
        <v>667</v>
      </c>
    </row>
    <row r="280" spans="2:34" ht="15" hidden="1" customHeight="1" x14ac:dyDescent="0.3">
      <c r="B280" s="380" t="s">
        <v>14</v>
      </c>
      <c r="C280" s="430" t="s">
        <v>1211</v>
      </c>
      <c r="D280" s="445" t="s">
        <v>906</v>
      </c>
      <c r="E280" s="419">
        <v>4800001110</v>
      </c>
      <c r="F280" s="387">
        <v>45887</v>
      </c>
      <c r="G280" s="407" t="s">
        <v>703</v>
      </c>
      <c r="H280" s="380">
        <v>1</v>
      </c>
      <c r="I280" s="388">
        <v>356250</v>
      </c>
      <c r="J280" s="380">
        <v>3</v>
      </c>
      <c r="K280" s="389">
        <f t="shared" si="13"/>
        <v>118750</v>
      </c>
      <c r="L280" s="381">
        <v>45958</v>
      </c>
      <c r="M280" s="381">
        <v>46322</v>
      </c>
      <c r="N280" s="663"/>
      <c r="O280" s="680"/>
      <c r="P280" s="363" t="s">
        <v>520</v>
      </c>
      <c r="Q280" s="380" t="s">
        <v>13</v>
      </c>
      <c r="R280" s="380"/>
      <c r="S280" s="390" t="s">
        <v>1212</v>
      </c>
      <c r="T280" s="363" t="s">
        <v>653</v>
      </c>
      <c r="U280" s="390" t="s">
        <v>1213</v>
      </c>
      <c r="V280" s="363" t="s">
        <v>1722</v>
      </c>
      <c r="W280" s="363" t="s">
        <v>1214</v>
      </c>
      <c r="X280" s="363"/>
      <c r="Y280" s="363"/>
      <c r="Z280" s="363"/>
      <c r="AA280" s="363"/>
      <c r="AB280" s="363"/>
      <c r="AC280" s="363"/>
      <c r="AD280" s="363"/>
      <c r="AE280" s="363" t="s">
        <v>834</v>
      </c>
      <c r="AF280" s="380" t="s">
        <v>207</v>
      </c>
      <c r="AG280" s="380" t="s">
        <v>494</v>
      </c>
      <c r="AH280" s="363" t="s">
        <v>1215</v>
      </c>
    </row>
    <row r="281" spans="2:34" ht="15" customHeight="1" x14ac:dyDescent="0.3">
      <c r="B281" s="380" t="s">
        <v>14</v>
      </c>
      <c r="C281" s="443" t="s">
        <v>1216</v>
      </c>
      <c r="D281" s="444" t="s">
        <v>176</v>
      </c>
      <c r="E281" s="426">
        <v>1500003169</v>
      </c>
      <c r="F281" s="415">
        <v>45860</v>
      </c>
      <c r="G281" s="380" t="s">
        <v>55</v>
      </c>
      <c r="H281" s="380">
        <v>1</v>
      </c>
      <c r="I281" s="388">
        <v>98900</v>
      </c>
      <c r="J281" s="380">
        <v>3</v>
      </c>
      <c r="K281" s="389"/>
      <c r="L281" s="381">
        <v>45853</v>
      </c>
      <c r="M281" s="381">
        <v>46217</v>
      </c>
      <c r="N281" s="663"/>
      <c r="O281" s="680"/>
      <c r="P281" s="363" t="s">
        <v>19</v>
      </c>
      <c r="Q281" s="380" t="s">
        <v>11</v>
      </c>
      <c r="R281" s="380" t="s">
        <v>1</v>
      </c>
      <c r="S281" s="390" t="s">
        <v>1176</v>
      </c>
      <c r="T281" s="363" t="s">
        <v>1217</v>
      </c>
      <c r="U281" s="390" t="s">
        <v>1178</v>
      </c>
      <c r="V281" s="363" t="s">
        <v>1100</v>
      </c>
      <c r="W281" s="390" t="s">
        <v>1180</v>
      </c>
      <c r="X281" s="363" t="s">
        <v>1715</v>
      </c>
      <c r="Y281" s="363"/>
      <c r="Z281" s="363"/>
      <c r="AA281" s="363"/>
      <c r="AB281" s="363"/>
      <c r="AC281" s="363"/>
      <c r="AD281" s="363"/>
      <c r="AE281" s="363" t="s">
        <v>183</v>
      </c>
      <c r="AF281" s="380" t="s">
        <v>97</v>
      </c>
      <c r="AG281" s="380">
        <v>2</v>
      </c>
      <c r="AH281" s="363" t="s">
        <v>1218</v>
      </c>
    </row>
    <row r="282" spans="2:34" ht="15" customHeight="1" x14ac:dyDescent="0.3">
      <c r="B282" s="380" t="s">
        <v>14</v>
      </c>
      <c r="C282" s="443" t="s">
        <v>779</v>
      </c>
      <c r="D282" s="444" t="s">
        <v>558</v>
      </c>
      <c r="E282" s="426">
        <v>2500252147</v>
      </c>
      <c r="F282" s="387">
        <v>45883</v>
      </c>
      <c r="G282" s="380" t="s">
        <v>55</v>
      </c>
      <c r="H282" s="380">
        <v>1</v>
      </c>
      <c r="I282" s="388">
        <v>148435</v>
      </c>
      <c r="J282" s="380">
        <v>3</v>
      </c>
      <c r="K282" s="389">
        <f t="shared" ref="K282:K315" si="14">I282/J282</f>
        <v>49478.333333333336</v>
      </c>
      <c r="L282" s="381">
        <v>45870</v>
      </c>
      <c r="M282" s="381">
        <v>46234</v>
      </c>
      <c r="N282" s="663"/>
      <c r="O282" s="680"/>
      <c r="P282" s="363" t="s">
        <v>19</v>
      </c>
      <c r="Q282" s="380" t="s">
        <v>11</v>
      </c>
      <c r="R282" s="380" t="s">
        <v>1</v>
      </c>
      <c r="S282" s="390" t="s">
        <v>665</v>
      </c>
      <c r="T282" s="363" t="s">
        <v>1219</v>
      </c>
      <c r="U282" s="390" t="s">
        <v>361</v>
      </c>
      <c r="V282" s="363" t="s">
        <v>597</v>
      </c>
      <c r="W282" s="390" t="s">
        <v>1080</v>
      </c>
      <c r="X282" s="363" t="s">
        <v>1947</v>
      </c>
      <c r="Y282" s="363"/>
      <c r="Z282" s="363"/>
      <c r="AA282" s="363"/>
      <c r="AB282" s="363"/>
      <c r="AC282" s="363"/>
      <c r="AD282" s="363"/>
      <c r="AE282" s="363" t="s">
        <v>281</v>
      </c>
      <c r="AF282" s="380" t="s">
        <v>97</v>
      </c>
      <c r="AG282" s="380">
        <v>3</v>
      </c>
      <c r="AH282" s="446">
        <v>1</v>
      </c>
    </row>
    <row r="283" spans="2:34" ht="15" customHeight="1" x14ac:dyDescent="0.3">
      <c r="B283" s="380" t="s">
        <v>14</v>
      </c>
      <c r="C283" s="430" t="s">
        <v>1172</v>
      </c>
      <c r="D283" s="445" t="s">
        <v>1016</v>
      </c>
      <c r="E283" s="419">
        <v>7100081242</v>
      </c>
      <c r="F283" s="387">
        <v>45895</v>
      </c>
      <c r="G283" s="380" t="s">
        <v>55</v>
      </c>
      <c r="H283" s="380">
        <v>1</v>
      </c>
      <c r="I283" s="388">
        <v>81000</v>
      </c>
      <c r="J283" s="380">
        <v>3</v>
      </c>
      <c r="K283" s="391">
        <f t="shared" si="14"/>
        <v>27000</v>
      </c>
      <c r="L283" s="381">
        <v>45809</v>
      </c>
      <c r="M283" s="381">
        <v>46173</v>
      </c>
      <c r="N283" s="663"/>
      <c r="O283" s="680"/>
      <c r="P283" s="363" t="s">
        <v>19</v>
      </c>
      <c r="Q283" s="380" t="s">
        <v>9</v>
      </c>
      <c r="R283" s="380"/>
      <c r="S283" s="390" t="s">
        <v>81</v>
      </c>
      <c r="T283" s="363" t="s">
        <v>82</v>
      </c>
      <c r="U283" s="390" t="s">
        <v>83</v>
      </c>
      <c r="V283" s="363" t="s">
        <v>1056</v>
      </c>
      <c r="W283" s="390" t="s">
        <v>404</v>
      </c>
      <c r="X283" s="363" t="s">
        <v>1847</v>
      </c>
      <c r="Y283" s="363"/>
      <c r="Z283" s="363"/>
      <c r="AA283" s="363"/>
      <c r="AB283" s="363"/>
      <c r="AC283" s="363"/>
      <c r="AD283" s="363"/>
      <c r="AE283" s="363" t="s">
        <v>1220</v>
      </c>
      <c r="AF283" s="380" t="s">
        <v>63</v>
      </c>
      <c r="AG283" s="380">
        <v>3</v>
      </c>
      <c r="AH283" s="363" t="s">
        <v>667</v>
      </c>
    </row>
    <row r="284" spans="2:34" ht="15" hidden="1" customHeight="1" x14ac:dyDescent="0.3">
      <c r="B284" s="380" t="s">
        <v>14</v>
      </c>
      <c r="C284" s="409" t="s">
        <v>1221</v>
      </c>
      <c r="D284" s="423" t="s">
        <v>1159</v>
      </c>
      <c r="E284" s="419">
        <v>3300005366</v>
      </c>
      <c r="F284" s="387">
        <v>45881</v>
      </c>
      <c r="G284" s="380" t="s">
        <v>55</v>
      </c>
      <c r="H284" s="710">
        <v>7</v>
      </c>
      <c r="I284" s="388">
        <v>418222</v>
      </c>
      <c r="J284" s="380">
        <v>2</v>
      </c>
      <c r="K284" s="389">
        <f t="shared" si="14"/>
        <v>209111</v>
      </c>
      <c r="L284" s="381">
        <v>45870</v>
      </c>
      <c r="M284" s="381">
        <v>46234</v>
      </c>
      <c r="N284" s="663"/>
      <c r="O284" s="680"/>
      <c r="P284" s="363" t="s">
        <v>520</v>
      </c>
      <c r="Q284" s="380" t="s">
        <v>13</v>
      </c>
      <c r="R284" s="380"/>
      <c r="S284" s="390" t="s">
        <v>424</v>
      </c>
      <c r="T284" s="363" t="s">
        <v>443</v>
      </c>
      <c r="U284" s="363" t="s">
        <v>426</v>
      </c>
      <c r="V284" s="363"/>
      <c r="W284" s="363"/>
      <c r="X284" s="363"/>
      <c r="Y284" s="363"/>
      <c r="Z284" s="363"/>
      <c r="AA284" s="363"/>
      <c r="AB284" s="363"/>
      <c r="AC284" s="363"/>
      <c r="AD284" s="363"/>
      <c r="AE284" s="363" t="s">
        <v>507</v>
      </c>
      <c r="AF284" s="380" t="s">
        <v>63</v>
      </c>
      <c r="AG284" s="380">
        <v>2</v>
      </c>
      <c r="AH284" s="363" t="s">
        <v>667</v>
      </c>
    </row>
    <row r="285" spans="2:34" ht="15" customHeight="1" x14ac:dyDescent="0.3">
      <c r="B285" s="380" t="s">
        <v>14</v>
      </c>
      <c r="C285" s="409" t="s">
        <v>1222</v>
      </c>
      <c r="D285" s="423" t="s">
        <v>1223</v>
      </c>
      <c r="E285" s="464" t="s">
        <v>1224</v>
      </c>
      <c r="F285" s="387">
        <v>45897</v>
      </c>
      <c r="G285" s="380" t="s">
        <v>55</v>
      </c>
      <c r="H285" s="380">
        <v>1</v>
      </c>
      <c r="I285" s="388">
        <v>85500</v>
      </c>
      <c r="J285" s="380">
        <v>3</v>
      </c>
      <c r="K285" s="389">
        <f t="shared" si="14"/>
        <v>28500</v>
      </c>
      <c r="L285" s="381">
        <v>45748</v>
      </c>
      <c r="M285" s="381">
        <v>46112</v>
      </c>
      <c r="N285" s="663"/>
      <c r="O285" s="680"/>
      <c r="P285" s="363" t="s">
        <v>19</v>
      </c>
      <c r="Q285" s="380" t="s">
        <v>5</v>
      </c>
      <c r="R285" s="380"/>
      <c r="S285" s="390" t="s">
        <v>357</v>
      </c>
      <c r="T285" s="363" t="s">
        <v>753</v>
      </c>
      <c r="U285" s="390" t="s">
        <v>665</v>
      </c>
      <c r="V285" s="363" t="s">
        <v>944</v>
      </c>
      <c r="W285" s="390" t="s">
        <v>361</v>
      </c>
      <c r="X285" s="363" t="s">
        <v>556</v>
      </c>
      <c r="Y285" s="363"/>
      <c r="Z285" s="363"/>
      <c r="AA285" s="363"/>
      <c r="AB285" s="363"/>
      <c r="AC285" s="363"/>
      <c r="AD285" s="363"/>
      <c r="AE285" s="363" t="s">
        <v>507</v>
      </c>
      <c r="AF285" s="380" t="s">
        <v>63</v>
      </c>
      <c r="AG285" s="380">
        <v>3</v>
      </c>
      <c r="AH285" s="363" t="s">
        <v>667</v>
      </c>
    </row>
    <row r="286" spans="2:34" ht="15" hidden="1" customHeight="1" x14ac:dyDescent="0.3">
      <c r="B286" s="380" t="s">
        <v>14</v>
      </c>
      <c r="C286" s="423" t="s">
        <v>1225</v>
      </c>
      <c r="D286" s="434" t="s">
        <v>1031</v>
      </c>
      <c r="E286" s="419">
        <v>4513032914</v>
      </c>
      <c r="F286" s="387">
        <v>45895</v>
      </c>
      <c r="G286" s="380" t="s">
        <v>55</v>
      </c>
      <c r="H286" s="710">
        <v>11</v>
      </c>
      <c r="I286" s="388">
        <v>506000</v>
      </c>
      <c r="J286" s="380">
        <v>3</v>
      </c>
      <c r="K286" s="389">
        <f t="shared" si="14"/>
        <v>168666.66666666666</v>
      </c>
      <c r="L286" s="381">
        <v>45870</v>
      </c>
      <c r="M286" s="381">
        <v>46234</v>
      </c>
      <c r="N286" s="663"/>
      <c r="O286" s="680"/>
      <c r="P286" s="363" t="s">
        <v>520</v>
      </c>
      <c r="Q286" s="380" t="s">
        <v>13</v>
      </c>
      <c r="R286" s="380"/>
      <c r="S286" s="390" t="s">
        <v>665</v>
      </c>
      <c r="T286" s="363" t="s">
        <v>1217</v>
      </c>
      <c r="U286" s="390" t="s">
        <v>361</v>
      </c>
      <c r="V286" s="363" t="s">
        <v>1226</v>
      </c>
      <c r="W286" s="363" t="s">
        <v>1080</v>
      </c>
      <c r="X286" s="363"/>
      <c r="Y286" s="363"/>
      <c r="Z286" s="363"/>
      <c r="AA286" s="363"/>
      <c r="AB286" s="363"/>
      <c r="AC286" s="363"/>
      <c r="AD286" s="363"/>
      <c r="AE286" s="363" t="s">
        <v>478</v>
      </c>
      <c r="AF286" s="380" t="s">
        <v>63</v>
      </c>
      <c r="AG286" s="380">
        <v>5</v>
      </c>
      <c r="AH286" s="363" t="s">
        <v>667</v>
      </c>
    </row>
    <row r="287" spans="2:34" ht="15" customHeight="1" x14ac:dyDescent="0.3">
      <c r="B287" s="380" t="s">
        <v>14</v>
      </c>
      <c r="C287" s="423" t="s">
        <v>663</v>
      </c>
      <c r="D287" s="434" t="s">
        <v>1227</v>
      </c>
      <c r="E287" s="419">
        <v>4507666140</v>
      </c>
      <c r="F287" s="387">
        <v>45895</v>
      </c>
      <c r="G287" s="380" t="s">
        <v>55</v>
      </c>
      <c r="H287" s="380">
        <v>6</v>
      </c>
      <c r="I287" s="388">
        <v>540000</v>
      </c>
      <c r="J287" s="380">
        <v>3</v>
      </c>
      <c r="K287" s="389">
        <f t="shared" si="14"/>
        <v>180000</v>
      </c>
      <c r="L287" s="381">
        <v>45839</v>
      </c>
      <c r="M287" s="381">
        <v>46203</v>
      </c>
      <c r="N287" s="663"/>
      <c r="O287" s="680"/>
      <c r="P287" s="363" t="s">
        <v>19</v>
      </c>
      <c r="Q287" s="380" t="s">
        <v>9</v>
      </c>
      <c r="R287" s="380"/>
      <c r="S287" s="390" t="s">
        <v>190</v>
      </c>
      <c r="T287" s="363" t="s">
        <v>707</v>
      </c>
      <c r="U287" s="390" t="s">
        <v>192</v>
      </c>
      <c r="V287" s="363" t="s">
        <v>1228</v>
      </c>
      <c r="W287" s="390" t="s">
        <v>194</v>
      </c>
      <c r="X287" s="363" t="s">
        <v>1952</v>
      </c>
      <c r="Y287" s="363"/>
      <c r="Z287" s="363"/>
      <c r="AA287" s="363"/>
      <c r="AB287" s="363"/>
      <c r="AC287" s="363"/>
      <c r="AD287" s="363"/>
      <c r="AE287" s="363" t="s">
        <v>478</v>
      </c>
      <c r="AF287" s="380" t="s">
        <v>63</v>
      </c>
      <c r="AG287" s="380">
        <v>3</v>
      </c>
      <c r="AH287" s="363" t="s">
        <v>667</v>
      </c>
    </row>
    <row r="288" spans="2:34" ht="15" hidden="1" customHeight="1" x14ac:dyDescent="0.3">
      <c r="B288" s="380" t="s">
        <v>14</v>
      </c>
      <c r="C288" s="423" t="s">
        <v>1229</v>
      </c>
      <c r="D288" s="423" t="s">
        <v>1230</v>
      </c>
      <c r="E288" s="419">
        <v>5500011884</v>
      </c>
      <c r="F288" s="387">
        <v>45898</v>
      </c>
      <c r="G288" s="380" t="s">
        <v>55</v>
      </c>
      <c r="H288" s="380">
        <v>1</v>
      </c>
      <c r="I288" s="388">
        <v>84000</v>
      </c>
      <c r="J288" s="380">
        <v>3</v>
      </c>
      <c r="K288" s="389">
        <f t="shared" si="14"/>
        <v>28000</v>
      </c>
      <c r="L288" s="381">
        <v>45901</v>
      </c>
      <c r="M288" s="381">
        <v>46265</v>
      </c>
      <c r="N288" s="663"/>
      <c r="O288" s="680"/>
      <c r="P288" s="363" t="s">
        <v>520</v>
      </c>
      <c r="Q288" s="380" t="s">
        <v>1231</v>
      </c>
      <c r="R288" s="380"/>
      <c r="S288" s="390" t="s">
        <v>345</v>
      </c>
      <c r="T288" s="363" t="s">
        <v>673</v>
      </c>
      <c r="U288" s="390" t="s">
        <v>347</v>
      </c>
      <c r="V288" s="363" t="s">
        <v>1232</v>
      </c>
      <c r="W288" s="363" t="s">
        <v>348</v>
      </c>
      <c r="X288" s="363"/>
      <c r="Y288" s="363"/>
      <c r="Z288" s="363"/>
      <c r="AA288" s="363"/>
      <c r="AB288" s="363"/>
      <c r="AC288" s="363"/>
      <c r="AD288" s="363"/>
      <c r="AE288" s="363" t="s">
        <v>96</v>
      </c>
      <c r="AF288" s="380" t="s">
        <v>97</v>
      </c>
      <c r="AG288" s="380">
        <v>2</v>
      </c>
      <c r="AH288" s="363" t="s">
        <v>667</v>
      </c>
    </row>
    <row r="289" spans="2:34" ht="15" hidden="1" customHeight="1" x14ac:dyDescent="0.3">
      <c r="B289" s="380" t="s">
        <v>14</v>
      </c>
      <c r="C289" s="429" t="s">
        <v>1233</v>
      </c>
      <c r="D289" s="434" t="s">
        <v>131</v>
      </c>
      <c r="E289" s="419" t="s">
        <v>1234</v>
      </c>
      <c r="F289" s="387">
        <v>45901</v>
      </c>
      <c r="G289" s="380" t="s">
        <v>55</v>
      </c>
      <c r="H289" s="380">
        <v>1</v>
      </c>
      <c r="I289" s="388">
        <v>84000</v>
      </c>
      <c r="J289" s="380">
        <v>2</v>
      </c>
      <c r="K289" s="389">
        <f t="shared" si="14"/>
        <v>42000</v>
      </c>
      <c r="L289" s="381">
        <v>45901</v>
      </c>
      <c r="M289" s="381">
        <v>46265</v>
      </c>
      <c r="N289" s="663"/>
      <c r="O289" s="680"/>
      <c r="P289" s="363" t="s">
        <v>520</v>
      </c>
      <c r="Q289" s="380" t="s">
        <v>1231</v>
      </c>
      <c r="R289" s="380"/>
      <c r="S289" s="390" t="s">
        <v>625</v>
      </c>
      <c r="T289" s="363" t="s">
        <v>854</v>
      </c>
      <c r="U289" s="363" t="s">
        <v>1235</v>
      </c>
      <c r="V289" s="363"/>
      <c r="W289" s="363"/>
      <c r="X289" s="363"/>
      <c r="Y289" s="363"/>
      <c r="Z289" s="363"/>
      <c r="AA289" s="363"/>
      <c r="AB289" s="363"/>
      <c r="AC289" s="363"/>
      <c r="AD289" s="363"/>
      <c r="AE289" s="363" t="s">
        <v>485</v>
      </c>
      <c r="AF289" s="380" t="s">
        <v>63</v>
      </c>
      <c r="AG289" s="380">
        <v>2</v>
      </c>
      <c r="AH289" s="386" t="s">
        <v>657</v>
      </c>
    </row>
    <row r="290" spans="2:34" ht="15" hidden="1" customHeight="1" x14ac:dyDescent="0.3">
      <c r="B290" s="380" t="s">
        <v>14</v>
      </c>
      <c r="C290" s="430" t="s">
        <v>1236</v>
      </c>
      <c r="D290" s="445" t="s">
        <v>1237</v>
      </c>
      <c r="E290" s="419">
        <v>4503803719</v>
      </c>
      <c r="F290" s="387">
        <v>45890</v>
      </c>
      <c r="G290" s="380" t="s">
        <v>55</v>
      </c>
      <c r="H290" s="710">
        <v>1</v>
      </c>
      <c r="I290" s="388">
        <v>75000</v>
      </c>
      <c r="J290" s="380">
        <v>3</v>
      </c>
      <c r="K290" s="389">
        <f t="shared" si="14"/>
        <v>25000</v>
      </c>
      <c r="L290" s="381">
        <v>45870</v>
      </c>
      <c r="M290" s="381">
        <v>46234</v>
      </c>
      <c r="N290" s="663"/>
      <c r="O290" s="680"/>
      <c r="P290" s="363" t="s">
        <v>998</v>
      </c>
      <c r="Q290" s="380" t="s">
        <v>1231</v>
      </c>
      <c r="R290" s="380"/>
      <c r="S290" s="390" t="s">
        <v>665</v>
      </c>
      <c r="T290" s="363" t="s">
        <v>1238</v>
      </c>
      <c r="U290" s="390" t="s">
        <v>361</v>
      </c>
      <c r="V290" s="363" t="s">
        <v>1239</v>
      </c>
      <c r="W290" s="363" t="s">
        <v>1080</v>
      </c>
      <c r="X290" s="363"/>
      <c r="Y290" s="363"/>
      <c r="Z290" s="363"/>
      <c r="AA290" s="363"/>
      <c r="AB290" s="363"/>
      <c r="AC290" s="363"/>
      <c r="AD290" s="363"/>
      <c r="AE290" s="363" t="s">
        <v>478</v>
      </c>
      <c r="AF290" s="380" t="s">
        <v>63</v>
      </c>
      <c r="AG290" s="380">
        <v>2</v>
      </c>
      <c r="AH290" s="386" t="s">
        <v>657</v>
      </c>
    </row>
    <row r="291" spans="2:34" ht="15" hidden="1" customHeight="1" x14ac:dyDescent="0.3">
      <c r="B291" s="380" t="s">
        <v>14</v>
      </c>
      <c r="C291" s="430" t="s">
        <v>1240</v>
      </c>
      <c r="D291" s="445" t="s">
        <v>1241</v>
      </c>
      <c r="E291" s="419" t="s">
        <v>1242</v>
      </c>
      <c r="F291" s="387">
        <v>45905</v>
      </c>
      <c r="G291" s="380" t="s">
        <v>55</v>
      </c>
      <c r="H291" s="380">
        <v>1</v>
      </c>
      <c r="I291" s="388">
        <v>60400</v>
      </c>
      <c r="J291" s="380">
        <v>2</v>
      </c>
      <c r="K291" s="389">
        <f t="shared" si="14"/>
        <v>30200</v>
      </c>
      <c r="L291" s="381">
        <v>45901</v>
      </c>
      <c r="M291" s="381">
        <v>46265</v>
      </c>
      <c r="N291" s="663"/>
      <c r="O291" s="680"/>
      <c r="P291" s="363" t="s">
        <v>520</v>
      </c>
      <c r="Q291" s="380" t="s">
        <v>1231</v>
      </c>
      <c r="R291" s="380"/>
      <c r="S291" s="390" t="s">
        <v>625</v>
      </c>
      <c r="T291" s="363" t="s">
        <v>171</v>
      </c>
      <c r="U291" s="363" t="s">
        <v>1235</v>
      </c>
      <c r="V291" s="363"/>
      <c r="W291" s="363"/>
      <c r="X291" s="363"/>
      <c r="Y291" s="363"/>
      <c r="Z291" s="363"/>
      <c r="AA291" s="363"/>
      <c r="AB291" s="363"/>
      <c r="AC291" s="363"/>
      <c r="AD291" s="363"/>
      <c r="AE291" s="363" t="s">
        <v>485</v>
      </c>
      <c r="AF291" s="380" t="s">
        <v>63</v>
      </c>
      <c r="AG291" s="380">
        <v>2</v>
      </c>
      <c r="AH291" s="386" t="s">
        <v>657</v>
      </c>
    </row>
    <row r="292" spans="2:34" ht="15" hidden="1" customHeight="1" x14ac:dyDescent="0.3">
      <c r="B292" s="380" t="s">
        <v>14</v>
      </c>
      <c r="C292" s="430" t="s">
        <v>195</v>
      </c>
      <c r="D292" s="445" t="s">
        <v>558</v>
      </c>
      <c r="E292" s="380" t="s">
        <v>1243</v>
      </c>
      <c r="F292" s="387">
        <v>45901</v>
      </c>
      <c r="G292" s="380" t="s">
        <v>55</v>
      </c>
      <c r="H292" s="380"/>
      <c r="I292" s="388">
        <f>1459883.52/2</f>
        <v>729941.76</v>
      </c>
      <c r="J292" s="380">
        <v>4</v>
      </c>
      <c r="K292" s="389">
        <f t="shared" si="14"/>
        <v>182485.44</v>
      </c>
      <c r="L292" s="381">
        <v>45901</v>
      </c>
      <c r="M292" s="381">
        <v>46265</v>
      </c>
      <c r="N292" s="663"/>
      <c r="O292" s="680"/>
      <c r="P292" s="363" t="s">
        <v>520</v>
      </c>
      <c r="Q292" s="380" t="s">
        <v>1231</v>
      </c>
      <c r="R292" s="380"/>
      <c r="S292" s="390" t="s">
        <v>1131</v>
      </c>
      <c r="T292" s="363" t="s">
        <v>1091</v>
      </c>
      <c r="U292" s="390" t="s">
        <v>1133</v>
      </c>
      <c r="V292" s="363" t="s">
        <v>291</v>
      </c>
      <c r="W292" s="390" t="s">
        <v>1134</v>
      </c>
      <c r="X292" s="363" t="s">
        <v>1711</v>
      </c>
      <c r="Y292" s="363" t="s">
        <v>1244</v>
      </c>
      <c r="Z292" s="363"/>
      <c r="AA292" s="363"/>
      <c r="AB292" s="363"/>
      <c r="AC292" s="363"/>
      <c r="AD292" s="363"/>
      <c r="AE292" s="363" t="s">
        <v>281</v>
      </c>
      <c r="AF292" s="380" t="s">
        <v>97</v>
      </c>
      <c r="AG292" s="380" t="s">
        <v>494</v>
      </c>
      <c r="AH292" s="386" t="s">
        <v>657</v>
      </c>
    </row>
    <row r="293" spans="2:34" ht="15" hidden="1" customHeight="1" x14ac:dyDescent="0.3">
      <c r="B293" s="380" t="s">
        <v>14</v>
      </c>
      <c r="C293" s="430" t="s">
        <v>195</v>
      </c>
      <c r="D293" s="445" t="s">
        <v>558</v>
      </c>
      <c r="E293" s="380" t="s">
        <v>1243</v>
      </c>
      <c r="F293" s="387">
        <v>45901</v>
      </c>
      <c r="G293" s="380" t="s">
        <v>55</v>
      </c>
      <c r="H293" s="380">
        <v>9</v>
      </c>
      <c r="I293" s="388">
        <f>1459883.52/2</f>
        <v>729941.76</v>
      </c>
      <c r="J293" s="380">
        <v>4</v>
      </c>
      <c r="K293" s="389">
        <f t="shared" si="14"/>
        <v>182485.44</v>
      </c>
      <c r="L293" s="381">
        <v>46266</v>
      </c>
      <c r="M293" s="381">
        <v>46630</v>
      </c>
      <c r="N293" s="663"/>
      <c r="O293" s="680"/>
      <c r="P293" s="363" t="s">
        <v>520</v>
      </c>
      <c r="Q293" s="380" t="s">
        <v>1231</v>
      </c>
      <c r="R293" s="380"/>
      <c r="S293" s="363" t="s">
        <v>1245</v>
      </c>
      <c r="T293" s="363"/>
      <c r="U293" s="363" t="s">
        <v>1246</v>
      </c>
      <c r="V293" s="363"/>
      <c r="W293" s="363" t="s">
        <v>1247</v>
      </c>
      <c r="X293" s="363"/>
      <c r="Y293" s="363" t="s">
        <v>1248</v>
      </c>
      <c r="Z293" s="363"/>
      <c r="AA293" s="363"/>
      <c r="AB293" s="363"/>
      <c r="AC293" s="363"/>
      <c r="AD293" s="363"/>
      <c r="AE293" s="363" t="s">
        <v>281</v>
      </c>
      <c r="AF293" s="380" t="s">
        <v>97</v>
      </c>
      <c r="AG293" s="380" t="s">
        <v>494</v>
      </c>
      <c r="AH293" s="386" t="s">
        <v>657</v>
      </c>
    </row>
    <row r="294" spans="2:34" ht="15" hidden="1" customHeight="1" x14ac:dyDescent="0.3">
      <c r="B294" s="380" t="s">
        <v>14</v>
      </c>
      <c r="C294" s="430" t="s">
        <v>1249</v>
      </c>
      <c r="D294" s="445" t="s">
        <v>151</v>
      </c>
      <c r="E294" s="419">
        <v>4509091008</v>
      </c>
      <c r="F294" s="387">
        <v>45909</v>
      </c>
      <c r="G294" s="380" t="s">
        <v>55</v>
      </c>
      <c r="H294" s="380"/>
      <c r="I294" s="388">
        <f>172000/2</f>
        <v>86000</v>
      </c>
      <c r="J294" s="380">
        <v>2</v>
      </c>
      <c r="K294" s="389">
        <f t="shared" si="14"/>
        <v>43000</v>
      </c>
      <c r="L294" s="381">
        <v>45870</v>
      </c>
      <c r="M294" s="381">
        <v>46234</v>
      </c>
      <c r="N294" s="663"/>
      <c r="O294" s="680"/>
      <c r="P294" s="363" t="s">
        <v>998</v>
      </c>
      <c r="Q294" s="380" t="s">
        <v>1231</v>
      </c>
      <c r="R294" s="380" t="s">
        <v>1</v>
      </c>
      <c r="S294" s="390" t="s">
        <v>424</v>
      </c>
      <c r="T294" s="363" t="s">
        <v>432</v>
      </c>
      <c r="U294" s="390" t="s">
        <v>426</v>
      </c>
      <c r="V294" s="363" t="s">
        <v>1936</v>
      </c>
      <c r="W294" s="363"/>
      <c r="X294" s="363"/>
      <c r="Y294" s="363"/>
      <c r="Z294" s="363"/>
      <c r="AA294" s="363"/>
      <c r="AB294" s="363"/>
      <c r="AC294" s="363"/>
      <c r="AD294" s="363"/>
      <c r="AE294" s="363" t="s">
        <v>478</v>
      </c>
      <c r="AF294" s="380" t="s">
        <v>63</v>
      </c>
      <c r="AG294" s="380">
        <v>3</v>
      </c>
      <c r="AH294" s="363" t="s">
        <v>1250</v>
      </c>
    </row>
    <row r="295" spans="2:34" ht="15" hidden="1" customHeight="1" x14ac:dyDescent="0.3">
      <c r="B295" s="380" t="s">
        <v>14</v>
      </c>
      <c r="C295" s="430" t="s">
        <v>1249</v>
      </c>
      <c r="D295" s="445" t="s">
        <v>151</v>
      </c>
      <c r="E295" s="419">
        <v>4509091008</v>
      </c>
      <c r="F295" s="387">
        <v>45909</v>
      </c>
      <c r="G295" s="380" t="s">
        <v>55</v>
      </c>
      <c r="H295" s="380">
        <v>1</v>
      </c>
      <c r="I295" s="388">
        <f>172000/2</f>
        <v>86000</v>
      </c>
      <c r="J295" s="380">
        <v>2</v>
      </c>
      <c r="K295" s="389">
        <f t="shared" si="14"/>
        <v>43000</v>
      </c>
      <c r="L295" s="381">
        <v>46235</v>
      </c>
      <c r="M295" s="381">
        <v>46599</v>
      </c>
      <c r="N295" s="663"/>
      <c r="O295" s="680"/>
      <c r="P295" s="363" t="s">
        <v>998</v>
      </c>
      <c r="Q295" s="380" t="s">
        <v>1231</v>
      </c>
      <c r="R295" s="380" t="s">
        <v>1</v>
      </c>
      <c r="S295" s="363" t="s">
        <v>427</v>
      </c>
      <c r="T295" s="363"/>
      <c r="U295" s="363" t="s">
        <v>428</v>
      </c>
      <c r="V295" s="363"/>
      <c r="W295" s="363"/>
      <c r="X295" s="363"/>
      <c r="Y295" s="363"/>
      <c r="Z295" s="363"/>
      <c r="AA295" s="363"/>
      <c r="AB295" s="363"/>
      <c r="AC295" s="363"/>
      <c r="AD295" s="363"/>
      <c r="AE295" s="363" t="s">
        <v>478</v>
      </c>
      <c r="AF295" s="380" t="s">
        <v>63</v>
      </c>
      <c r="AG295" s="380">
        <v>3</v>
      </c>
      <c r="AH295" s="363" t="s">
        <v>1250</v>
      </c>
    </row>
    <row r="296" spans="2:34" ht="15" customHeight="1" x14ac:dyDescent="0.3">
      <c r="B296" s="380" t="s">
        <v>14</v>
      </c>
      <c r="C296" s="430" t="s">
        <v>1002</v>
      </c>
      <c r="D296" s="445" t="s">
        <v>151</v>
      </c>
      <c r="E296" s="419">
        <v>4501010798</v>
      </c>
      <c r="F296" s="387">
        <v>45868</v>
      </c>
      <c r="G296" s="380" t="s">
        <v>55</v>
      </c>
      <c r="H296" s="380">
        <v>1</v>
      </c>
      <c r="I296" s="388">
        <v>90000</v>
      </c>
      <c r="J296" s="380">
        <v>3</v>
      </c>
      <c r="K296" s="389">
        <f t="shared" si="14"/>
        <v>30000</v>
      </c>
      <c r="L296" s="381">
        <v>45748</v>
      </c>
      <c r="M296" s="381">
        <v>46112</v>
      </c>
      <c r="N296" s="663"/>
      <c r="O296" s="680"/>
      <c r="P296" s="363" t="s">
        <v>19</v>
      </c>
      <c r="Q296" s="380" t="s">
        <v>3</v>
      </c>
      <c r="R296" s="380"/>
      <c r="S296" s="390" t="s">
        <v>357</v>
      </c>
      <c r="T296" s="363" t="s">
        <v>898</v>
      </c>
      <c r="U296" s="390" t="s">
        <v>665</v>
      </c>
      <c r="V296" s="363" t="s">
        <v>1251</v>
      </c>
      <c r="W296" s="390" t="s">
        <v>361</v>
      </c>
      <c r="X296" s="363" t="s">
        <v>1252</v>
      </c>
      <c r="Y296" s="363"/>
      <c r="Z296" s="363"/>
      <c r="AA296" s="363"/>
      <c r="AB296" s="363"/>
      <c r="AC296" s="363"/>
      <c r="AD296" s="363"/>
      <c r="AE296" s="363" t="s">
        <v>478</v>
      </c>
      <c r="AF296" s="380" t="s">
        <v>63</v>
      </c>
      <c r="AG296" s="380">
        <v>3</v>
      </c>
      <c r="AH296" s="363" t="s">
        <v>1253</v>
      </c>
    </row>
    <row r="297" spans="2:34" ht="15" hidden="1" customHeight="1" x14ac:dyDescent="0.3">
      <c r="B297" s="380" t="s">
        <v>14</v>
      </c>
      <c r="C297" s="409" t="s">
        <v>527</v>
      </c>
      <c r="D297" s="423" t="s">
        <v>151</v>
      </c>
      <c r="E297" s="419" t="s">
        <v>1254</v>
      </c>
      <c r="F297" s="387">
        <v>45916</v>
      </c>
      <c r="G297" s="380" t="s">
        <v>55</v>
      </c>
      <c r="H297" s="380">
        <v>3</v>
      </c>
      <c r="I297" s="388">
        <v>266976</v>
      </c>
      <c r="J297" s="380">
        <v>3</v>
      </c>
      <c r="K297" s="389">
        <f t="shared" si="14"/>
        <v>88992</v>
      </c>
      <c r="L297" s="381">
        <v>45901</v>
      </c>
      <c r="M297" s="381">
        <v>46265</v>
      </c>
      <c r="N297" s="663"/>
      <c r="O297" s="680"/>
      <c r="P297" s="363" t="s">
        <v>520</v>
      </c>
      <c r="Q297" s="380" t="s">
        <v>1231</v>
      </c>
      <c r="R297" s="380"/>
      <c r="S297" s="390" t="s">
        <v>345</v>
      </c>
      <c r="T297" s="363" t="s">
        <v>985</v>
      </c>
      <c r="U297" s="390" t="s">
        <v>347</v>
      </c>
      <c r="V297" s="363" t="s">
        <v>1859</v>
      </c>
      <c r="W297" s="363" t="s">
        <v>348</v>
      </c>
      <c r="X297" s="363" t="s">
        <v>1860</v>
      </c>
      <c r="Y297" s="363"/>
      <c r="Z297" s="363"/>
      <c r="AA297" s="363"/>
      <c r="AB297" s="363"/>
      <c r="AC297" s="363"/>
      <c r="AD297" s="363"/>
      <c r="AE297" s="363" t="s">
        <v>507</v>
      </c>
      <c r="AF297" s="380" t="s">
        <v>63</v>
      </c>
      <c r="AG297" s="380">
        <v>3</v>
      </c>
      <c r="AH297" s="430" t="s">
        <v>1255</v>
      </c>
    </row>
    <row r="298" spans="2:34" ht="15" customHeight="1" x14ac:dyDescent="0.3">
      <c r="B298" s="380" t="s">
        <v>14</v>
      </c>
      <c r="C298" s="430" t="s">
        <v>685</v>
      </c>
      <c r="D298" s="445" t="s">
        <v>151</v>
      </c>
      <c r="E298" s="419">
        <v>4513115639</v>
      </c>
      <c r="F298" s="387">
        <v>45915</v>
      </c>
      <c r="G298" s="380" t="s">
        <v>55</v>
      </c>
      <c r="H298" s="380">
        <v>1</v>
      </c>
      <c r="I298" s="388">
        <v>46000</v>
      </c>
      <c r="J298" s="380">
        <v>3</v>
      </c>
      <c r="K298" s="389">
        <f t="shared" si="14"/>
        <v>15333.333333333334</v>
      </c>
      <c r="L298" s="381">
        <v>45870</v>
      </c>
      <c r="M298" s="381">
        <v>46234</v>
      </c>
      <c r="N298" s="663">
        <v>154543</v>
      </c>
      <c r="O298" s="680">
        <v>4687</v>
      </c>
      <c r="P298" s="363" t="s">
        <v>19</v>
      </c>
      <c r="Q298" s="380" t="s">
        <v>11</v>
      </c>
      <c r="R298" s="380"/>
      <c r="S298" s="390" t="s">
        <v>901</v>
      </c>
      <c r="T298" s="363" t="s">
        <v>1256</v>
      </c>
      <c r="U298" s="390" t="s">
        <v>361</v>
      </c>
      <c r="V298" s="363" t="s">
        <v>688</v>
      </c>
      <c r="W298" s="390" t="s">
        <v>1257</v>
      </c>
      <c r="X298" s="363" t="s">
        <v>1953</v>
      </c>
      <c r="Y298" s="363"/>
      <c r="Z298" s="363"/>
      <c r="AA298" s="363"/>
      <c r="AB298" s="363"/>
      <c r="AC298" s="363"/>
      <c r="AD298" s="363"/>
      <c r="AE298" s="363" t="s">
        <v>478</v>
      </c>
      <c r="AF298" s="380" t="s">
        <v>63</v>
      </c>
      <c r="AG298" s="380">
        <v>5</v>
      </c>
      <c r="AH298" s="363" t="s">
        <v>667</v>
      </c>
    </row>
    <row r="299" spans="2:34" ht="15" hidden="1" customHeight="1" x14ac:dyDescent="0.3">
      <c r="B299" s="380" t="s">
        <v>14</v>
      </c>
      <c r="C299" s="409" t="s">
        <v>1095</v>
      </c>
      <c r="D299" s="434" t="s">
        <v>1258</v>
      </c>
      <c r="E299" s="419">
        <v>9709372716</v>
      </c>
      <c r="F299" s="387">
        <v>45916</v>
      </c>
      <c r="G299" s="380" t="s">
        <v>55</v>
      </c>
      <c r="H299" s="380"/>
      <c r="I299" s="388">
        <f>480000/3</f>
        <v>160000</v>
      </c>
      <c r="J299" s="380">
        <v>4</v>
      </c>
      <c r="K299" s="389">
        <f t="shared" si="14"/>
        <v>40000</v>
      </c>
      <c r="L299" s="381">
        <v>45870</v>
      </c>
      <c r="M299" s="381">
        <v>46234</v>
      </c>
      <c r="N299" s="663"/>
      <c r="O299" s="680"/>
      <c r="P299" s="363" t="s">
        <v>520</v>
      </c>
      <c r="Q299" s="380" t="s">
        <v>1231</v>
      </c>
      <c r="R299" s="380"/>
      <c r="S299" s="390" t="s">
        <v>267</v>
      </c>
      <c r="T299" s="363" t="s">
        <v>1003</v>
      </c>
      <c r="U299" s="390" t="s">
        <v>269</v>
      </c>
      <c r="V299" s="363" t="s">
        <v>930</v>
      </c>
      <c r="W299" s="390" t="s">
        <v>442</v>
      </c>
      <c r="X299" s="363" t="s">
        <v>1710</v>
      </c>
      <c r="Y299" s="363" t="s">
        <v>444</v>
      </c>
      <c r="Z299" s="363"/>
      <c r="AA299" s="363"/>
      <c r="AB299" s="363"/>
      <c r="AC299" s="363"/>
      <c r="AD299" s="363"/>
      <c r="AE299" s="363" t="s">
        <v>619</v>
      </c>
      <c r="AF299" s="380" t="s">
        <v>63</v>
      </c>
      <c r="AG299" s="380">
        <v>4</v>
      </c>
      <c r="AH299" s="363" t="s">
        <v>667</v>
      </c>
    </row>
    <row r="300" spans="2:34" ht="15" hidden="1" customHeight="1" x14ac:dyDescent="0.3">
      <c r="B300" s="380" t="s">
        <v>14</v>
      </c>
      <c r="C300" s="409" t="s">
        <v>1095</v>
      </c>
      <c r="D300" s="434" t="s">
        <v>1258</v>
      </c>
      <c r="E300" s="419">
        <v>9709372716</v>
      </c>
      <c r="F300" s="387">
        <v>45916</v>
      </c>
      <c r="G300" s="380" t="s">
        <v>55</v>
      </c>
      <c r="H300" s="380"/>
      <c r="I300" s="388">
        <f>480000/3</f>
        <v>160000</v>
      </c>
      <c r="J300" s="380">
        <v>4</v>
      </c>
      <c r="K300" s="389">
        <f t="shared" si="14"/>
        <v>40000</v>
      </c>
      <c r="L300" s="381">
        <v>46235</v>
      </c>
      <c r="M300" s="381">
        <v>46599</v>
      </c>
      <c r="N300" s="663"/>
      <c r="O300" s="680"/>
      <c r="P300" s="363" t="s">
        <v>520</v>
      </c>
      <c r="Q300" s="380" t="s">
        <v>1231</v>
      </c>
      <c r="R300" s="380"/>
      <c r="S300" s="363" t="s">
        <v>445</v>
      </c>
      <c r="T300" s="363"/>
      <c r="U300" s="363" t="s">
        <v>456</v>
      </c>
      <c r="V300" s="363"/>
      <c r="W300" s="363" t="s">
        <v>457</v>
      </c>
      <c r="X300" s="363"/>
      <c r="Y300" s="363" t="s">
        <v>458</v>
      </c>
      <c r="Z300" s="363"/>
      <c r="AA300" s="363"/>
      <c r="AB300" s="363"/>
      <c r="AC300" s="363"/>
      <c r="AD300" s="363"/>
      <c r="AE300" s="363" t="s">
        <v>619</v>
      </c>
      <c r="AF300" s="380" t="s">
        <v>63</v>
      </c>
      <c r="AG300" s="380">
        <v>4</v>
      </c>
      <c r="AH300" s="363" t="s">
        <v>667</v>
      </c>
    </row>
    <row r="301" spans="2:34" ht="15" hidden="1" customHeight="1" x14ac:dyDescent="0.3">
      <c r="B301" s="380" t="s">
        <v>14</v>
      </c>
      <c r="C301" s="409" t="s">
        <v>1095</v>
      </c>
      <c r="D301" s="434" t="s">
        <v>1258</v>
      </c>
      <c r="E301" s="419">
        <v>9709372716</v>
      </c>
      <c r="F301" s="387">
        <v>45916</v>
      </c>
      <c r="G301" s="380" t="s">
        <v>55</v>
      </c>
      <c r="H301" s="380">
        <v>2</v>
      </c>
      <c r="I301" s="388">
        <f>480000/3</f>
        <v>160000</v>
      </c>
      <c r="J301" s="380">
        <v>4</v>
      </c>
      <c r="K301" s="389">
        <f t="shared" si="14"/>
        <v>40000</v>
      </c>
      <c r="L301" s="381">
        <v>46600</v>
      </c>
      <c r="M301" s="381">
        <v>46965</v>
      </c>
      <c r="N301" s="663"/>
      <c r="O301" s="680"/>
      <c r="P301" s="363" t="s">
        <v>520</v>
      </c>
      <c r="Q301" s="380" t="s">
        <v>1231</v>
      </c>
      <c r="R301" s="380"/>
      <c r="S301" s="363" t="s">
        <v>459</v>
      </c>
      <c r="T301" s="363"/>
      <c r="U301" s="363" t="s">
        <v>893</v>
      </c>
      <c r="V301" s="363"/>
      <c r="W301" s="363" t="s">
        <v>894</v>
      </c>
      <c r="X301" s="363"/>
      <c r="Y301" s="363" t="s">
        <v>1259</v>
      </c>
      <c r="Z301" s="363"/>
      <c r="AA301" s="363"/>
      <c r="AB301" s="363"/>
      <c r="AC301" s="363"/>
      <c r="AD301" s="363"/>
      <c r="AE301" s="363" t="s">
        <v>619</v>
      </c>
      <c r="AF301" s="380" t="s">
        <v>63</v>
      </c>
      <c r="AG301" s="380">
        <v>4</v>
      </c>
      <c r="AH301" s="363" t="s">
        <v>667</v>
      </c>
    </row>
    <row r="302" spans="2:34" ht="15" hidden="1" customHeight="1" x14ac:dyDescent="0.3">
      <c r="B302" s="380" t="s">
        <v>14</v>
      </c>
      <c r="C302" s="409" t="s">
        <v>775</v>
      </c>
      <c r="D302" s="423" t="s">
        <v>1260</v>
      </c>
      <c r="E302" s="464">
        <v>2710001257</v>
      </c>
      <c r="F302" s="387">
        <v>45926</v>
      </c>
      <c r="G302" s="380" t="s">
        <v>55</v>
      </c>
      <c r="H302" s="380">
        <v>2</v>
      </c>
      <c r="I302" s="388">
        <v>170000</v>
      </c>
      <c r="J302" s="380">
        <v>2</v>
      </c>
      <c r="K302" s="389">
        <f t="shared" si="14"/>
        <v>85000</v>
      </c>
      <c r="L302" s="381">
        <v>45915</v>
      </c>
      <c r="M302" s="381">
        <v>46279</v>
      </c>
      <c r="N302" s="663"/>
      <c r="O302" s="680"/>
      <c r="P302" s="363" t="s">
        <v>520</v>
      </c>
      <c r="Q302" s="380" t="s">
        <v>1231</v>
      </c>
      <c r="R302" s="380"/>
      <c r="S302" s="390" t="s">
        <v>1261</v>
      </c>
      <c r="T302" s="363" t="s">
        <v>1262</v>
      </c>
      <c r="U302" s="363" t="s">
        <v>1263</v>
      </c>
      <c r="V302" s="363"/>
      <c r="W302" s="363"/>
      <c r="X302" s="363"/>
      <c r="Y302" s="363"/>
      <c r="Z302" s="363"/>
      <c r="AA302" s="363"/>
      <c r="AB302" s="363"/>
      <c r="AC302" s="363"/>
      <c r="AD302" s="363"/>
      <c r="AE302" s="363" t="s">
        <v>485</v>
      </c>
      <c r="AF302" s="380" t="s">
        <v>63</v>
      </c>
      <c r="AG302" s="380">
        <v>2</v>
      </c>
      <c r="AH302" s="430" t="s">
        <v>1264</v>
      </c>
    </row>
    <row r="303" spans="2:34" ht="15" hidden="1" customHeight="1" x14ac:dyDescent="0.3">
      <c r="B303" s="380" t="s">
        <v>14</v>
      </c>
      <c r="C303" s="409" t="s">
        <v>1172</v>
      </c>
      <c r="D303" s="423" t="s">
        <v>1016</v>
      </c>
      <c r="E303" s="419">
        <v>7100107808</v>
      </c>
      <c r="F303" s="387">
        <v>45904</v>
      </c>
      <c r="G303" s="380" t="s">
        <v>55</v>
      </c>
      <c r="H303" s="380">
        <v>1</v>
      </c>
      <c r="I303" s="388">
        <v>81000</v>
      </c>
      <c r="J303" s="380">
        <v>3</v>
      </c>
      <c r="K303" s="389">
        <f t="shared" si="14"/>
        <v>27000</v>
      </c>
      <c r="L303" s="381">
        <v>45901</v>
      </c>
      <c r="M303" s="381">
        <v>46265</v>
      </c>
      <c r="N303" s="663"/>
      <c r="O303" s="680"/>
      <c r="P303" s="363" t="s">
        <v>19</v>
      </c>
      <c r="Q303" s="380" t="s">
        <v>13</v>
      </c>
      <c r="R303" s="380"/>
      <c r="S303" s="390" t="s">
        <v>345</v>
      </c>
      <c r="T303" s="363" t="s">
        <v>582</v>
      </c>
      <c r="U303" s="390" t="s">
        <v>347</v>
      </c>
      <c r="V303" s="363" t="s">
        <v>1009</v>
      </c>
      <c r="W303" s="390" t="s">
        <v>348</v>
      </c>
      <c r="X303" s="363" t="s">
        <v>1847</v>
      </c>
      <c r="Y303" s="363"/>
      <c r="Z303" s="363"/>
      <c r="AA303" s="363"/>
      <c r="AB303" s="363"/>
      <c r="AC303" s="363"/>
      <c r="AD303" s="363"/>
      <c r="AE303" s="363" t="s">
        <v>619</v>
      </c>
      <c r="AF303" s="380" t="s">
        <v>63</v>
      </c>
      <c r="AG303" s="380">
        <v>3</v>
      </c>
      <c r="AH303" s="363" t="s">
        <v>667</v>
      </c>
    </row>
    <row r="304" spans="2:34" ht="15" hidden="1" customHeight="1" x14ac:dyDescent="0.3">
      <c r="B304" s="380" t="s">
        <v>14</v>
      </c>
      <c r="C304" s="412" t="s">
        <v>1265</v>
      </c>
      <c r="D304" s="437" t="s">
        <v>388</v>
      </c>
      <c r="E304" s="426">
        <v>3800035834</v>
      </c>
      <c r="F304" s="387">
        <v>45926</v>
      </c>
      <c r="G304" s="380" t="s">
        <v>55</v>
      </c>
      <c r="H304" s="380">
        <v>1</v>
      </c>
      <c r="I304" s="388">
        <v>58000</v>
      </c>
      <c r="J304" s="380">
        <v>2</v>
      </c>
      <c r="K304" s="389">
        <f t="shared" si="14"/>
        <v>29000</v>
      </c>
      <c r="L304" s="381">
        <v>45901</v>
      </c>
      <c r="M304" s="381">
        <v>46265</v>
      </c>
      <c r="N304" s="663"/>
      <c r="O304" s="680"/>
      <c r="P304" s="363" t="s">
        <v>520</v>
      </c>
      <c r="Q304" s="380" t="s">
        <v>1231</v>
      </c>
      <c r="R304" s="382"/>
      <c r="S304" s="390" t="s">
        <v>625</v>
      </c>
      <c r="T304" s="363" t="s">
        <v>1085</v>
      </c>
      <c r="U304" s="363" t="s">
        <v>1235</v>
      </c>
      <c r="V304" s="363"/>
      <c r="W304" s="363"/>
      <c r="X304" s="363"/>
      <c r="Y304" s="363"/>
      <c r="Z304" s="363"/>
      <c r="AA304" s="363"/>
      <c r="AB304" s="363"/>
      <c r="AC304" s="363"/>
      <c r="AD304" s="363"/>
      <c r="AE304" s="363" t="s">
        <v>478</v>
      </c>
      <c r="AF304" s="380" t="s">
        <v>63</v>
      </c>
      <c r="AG304" s="380">
        <v>2</v>
      </c>
      <c r="AH304" s="363" t="s">
        <v>1266</v>
      </c>
    </row>
    <row r="305" spans="1:34" ht="15" hidden="1" customHeight="1" x14ac:dyDescent="0.3">
      <c r="B305" s="380" t="s">
        <v>14</v>
      </c>
      <c r="C305" s="409" t="s">
        <v>195</v>
      </c>
      <c r="D305" s="423" t="s">
        <v>858</v>
      </c>
      <c r="E305" s="419" t="s">
        <v>1267</v>
      </c>
      <c r="F305" s="387">
        <v>45925</v>
      </c>
      <c r="G305" s="380" t="s">
        <v>55</v>
      </c>
      <c r="H305" s="380"/>
      <c r="I305" s="388">
        <v>506340</v>
      </c>
      <c r="J305" s="380">
        <v>4</v>
      </c>
      <c r="K305" s="389">
        <f t="shared" si="14"/>
        <v>126585</v>
      </c>
      <c r="L305" s="381">
        <v>45940</v>
      </c>
      <c r="M305" s="381">
        <v>46304</v>
      </c>
      <c r="N305" s="663"/>
      <c r="O305" s="680"/>
      <c r="P305" s="363" t="s">
        <v>520</v>
      </c>
      <c r="Q305" s="380" t="s">
        <v>1231</v>
      </c>
      <c r="R305" s="476"/>
      <c r="S305" s="390" t="s">
        <v>1268</v>
      </c>
      <c r="T305" s="363" t="s">
        <v>917</v>
      </c>
      <c r="U305" s="390" t="s">
        <v>1269</v>
      </c>
      <c r="V305" s="363" t="s">
        <v>930</v>
      </c>
      <c r="W305" s="390" t="s">
        <v>1270</v>
      </c>
      <c r="X305" s="363" t="s">
        <v>1852</v>
      </c>
      <c r="Y305" s="363" t="s">
        <v>1271</v>
      </c>
      <c r="Z305" s="363"/>
      <c r="AA305" s="363"/>
      <c r="AB305" s="363"/>
      <c r="AC305" s="363"/>
      <c r="AD305" s="363"/>
      <c r="AE305" s="363" t="s">
        <v>551</v>
      </c>
      <c r="AF305" s="380" t="s">
        <v>207</v>
      </c>
      <c r="AG305" s="380">
        <v>3</v>
      </c>
      <c r="AH305" s="363" t="s">
        <v>1272</v>
      </c>
    </row>
    <row r="306" spans="1:34" ht="15" hidden="1" customHeight="1" x14ac:dyDescent="0.3">
      <c r="B306" s="380" t="s">
        <v>14</v>
      </c>
      <c r="C306" s="409" t="s">
        <v>195</v>
      </c>
      <c r="D306" s="423" t="s">
        <v>858</v>
      </c>
      <c r="E306" s="419" t="s">
        <v>1267</v>
      </c>
      <c r="F306" s="387">
        <v>45925</v>
      </c>
      <c r="G306" s="380" t="s">
        <v>55</v>
      </c>
      <c r="H306" s="380">
        <v>9</v>
      </c>
      <c r="I306" s="388">
        <v>506340</v>
      </c>
      <c r="J306" s="380">
        <v>4</v>
      </c>
      <c r="K306" s="389">
        <f t="shared" si="14"/>
        <v>126585</v>
      </c>
      <c r="L306" s="381">
        <v>46305</v>
      </c>
      <c r="M306" s="381">
        <v>46669</v>
      </c>
      <c r="N306" s="663"/>
      <c r="O306" s="680"/>
      <c r="P306" s="363" t="s">
        <v>520</v>
      </c>
      <c r="Q306" s="380" t="s">
        <v>1231</v>
      </c>
      <c r="R306" s="536"/>
      <c r="S306" s="363" t="s">
        <v>1273</v>
      </c>
      <c r="T306" s="363"/>
      <c r="U306" s="363" t="s">
        <v>1274</v>
      </c>
      <c r="V306" s="363"/>
      <c r="W306" s="363" t="s">
        <v>1275</v>
      </c>
      <c r="X306" s="363"/>
      <c r="Y306" s="363" t="s">
        <v>1276</v>
      </c>
      <c r="Z306" s="363"/>
      <c r="AA306" s="363"/>
      <c r="AB306" s="363"/>
      <c r="AC306" s="363"/>
      <c r="AD306" s="363"/>
      <c r="AE306" s="363" t="s">
        <v>551</v>
      </c>
      <c r="AF306" s="380" t="s">
        <v>207</v>
      </c>
      <c r="AG306" s="380">
        <v>3</v>
      </c>
      <c r="AH306" s="363" t="s">
        <v>1272</v>
      </c>
    </row>
    <row r="307" spans="1:34" ht="15" hidden="1" customHeight="1" x14ac:dyDescent="0.3">
      <c r="B307" s="380" t="s">
        <v>14</v>
      </c>
      <c r="C307" s="409" t="s">
        <v>1277</v>
      </c>
      <c r="D307" s="423" t="s">
        <v>858</v>
      </c>
      <c r="E307" s="408" t="s">
        <v>1278</v>
      </c>
      <c r="F307" s="387">
        <v>45924</v>
      </c>
      <c r="G307" s="380" t="s">
        <v>55</v>
      </c>
      <c r="H307" s="380"/>
      <c r="I307" s="388">
        <v>310400</v>
      </c>
      <c r="J307" s="380">
        <v>4</v>
      </c>
      <c r="K307" s="389">
        <f t="shared" si="14"/>
        <v>77600</v>
      </c>
      <c r="L307" s="381">
        <v>45931</v>
      </c>
      <c r="M307" s="381">
        <v>46295</v>
      </c>
      <c r="N307" s="663"/>
      <c r="O307" s="680"/>
      <c r="P307" s="363" t="s">
        <v>520</v>
      </c>
      <c r="Q307" s="380" t="s">
        <v>1231</v>
      </c>
      <c r="R307" s="380"/>
      <c r="S307" s="390" t="s">
        <v>228</v>
      </c>
      <c r="T307" s="363" t="s">
        <v>718</v>
      </c>
      <c r="U307" s="390" t="s">
        <v>396</v>
      </c>
      <c r="V307" s="363" t="s">
        <v>1252</v>
      </c>
      <c r="W307" s="390" t="s">
        <v>397</v>
      </c>
      <c r="X307" s="363" t="s">
        <v>1849</v>
      </c>
      <c r="Y307" s="363" t="s">
        <v>496</v>
      </c>
      <c r="Z307" s="363"/>
      <c r="AA307" s="363"/>
      <c r="AB307" s="363"/>
      <c r="AC307" s="363"/>
      <c r="AD307" s="363"/>
      <c r="AE307" s="363" t="s">
        <v>551</v>
      </c>
      <c r="AF307" s="380" t="s">
        <v>207</v>
      </c>
      <c r="AG307" s="380">
        <v>3</v>
      </c>
      <c r="AH307" s="363" t="s">
        <v>1272</v>
      </c>
    </row>
    <row r="308" spans="1:34" ht="15" hidden="1" customHeight="1" x14ac:dyDescent="0.3">
      <c r="B308" s="380" t="s">
        <v>14</v>
      </c>
      <c r="C308" s="409" t="s">
        <v>1277</v>
      </c>
      <c r="D308" s="423" t="s">
        <v>858</v>
      </c>
      <c r="E308" s="408" t="s">
        <v>1278</v>
      </c>
      <c r="F308" s="387">
        <v>45924</v>
      </c>
      <c r="G308" s="380" t="s">
        <v>55</v>
      </c>
      <c r="H308" s="380"/>
      <c r="I308" s="388">
        <v>310400</v>
      </c>
      <c r="J308" s="380">
        <v>4</v>
      </c>
      <c r="K308" s="389">
        <f t="shared" si="14"/>
        <v>77600</v>
      </c>
      <c r="L308" s="381">
        <v>46296</v>
      </c>
      <c r="M308" s="381">
        <v>46660</v>
      </c>
      <c r="N308" s="663"/>
      <c r="O308" s="680"/>
      <c r="P308" s="363" t="s">
        <v>520</v>
      </c>
      <c r="Q308" s="380" t="s">
        <v>1231</v>
      </c>
      <c r="R308" s="380"/>
      <c r="S308" s="363" t="s">
        <v>497</v>
      </c>
      <c r="T308" s="363"/>
      <c r="U308" s="363" t="s">
        <v>498</v>
      </c>
      <c r="V308" s="363"/>
      <c r="W308" s="363" t="s">
        <v>499</v>
      </c>
      <c r="X308" s="363"/>
      <c r="Y308" s="363" t="s">
        <v>500</v>
      </c>
      <c r="Z308" s="363"/>
      <c r="AA308" s="363"/>
      <c r="AB308" s="363"/>
      <c r="AC308" s="363"/>
      <c r="AD308" s="363"/>
      <c r="AE308" s="363" t="s">
        <v>551</v>
      </c>
      <c r="AF308" s="380" t="s">
        <v>207</v>
      </c>
      <c r="AG308" s="380">
        <v>3</v>
      </c>
      <c r="AH308" s="363" t="s">
        <v>1272</v>
      </c>
    </row>
    <row r="309" spans="1:34" ht="15" hidden="1" customHeight="1" x14ac:dyDescent="0.3">
      <c r="B309" s="380" t="s">
        <v>14</v>
      </c>
      <c r="C309" s="409" t="s">
        <v>1277</v>
      </c>
      <c r="D309" s="423" t="s">
        <v>858</v>
      </c>
      <c r="E309" s="408" t="s">
        <v>1278</v>
      </c>
      <c r="F309" s="387">
        <v>45924</v>
      </c>
      <c r="G309" s="380" t="s">
        <v>55</v>
      </c>
      <c r="H309" s="380">
        <v>5</v>
      </c>
      <c r="I309" s="388">
        <v>310400</v>
      </c>
      <c r="J309" s="380">
        <v>4</v>
      </c>
      <c r="K309" s="389">
        <f t="shared" si="14"/>
        <v>77600</v>
      </c>
      <c r="L309" s="381">
        <v>46661</v>
      </c>
      <c r="M309" s="381">
        <v>47026</v>
      </c>
      <c r="N309" s="663"/>
      <c r="O309" s="680"/>
      <c r="P309" s="363" t="s">
        <v>520</v>
      </c>
      <c r="Q309" s="380" t="s">
        <v>1231</v>
      </c>
      <c r="R309" s="380"/>
      <c r="S309" s="381" t="s">
        <v>501</v>
      </c>
      <c r="T309" s="363"/>
      <c r="U309" s="363" t="s">
        <v>674</v>
      </c>
      <c r="V309" s="363"/>
      <c r="W309" s="363" t="s">
        <v>1279</v>
      </c>
      <c r="X309" s="363"/>
      <c r="Y309" s="363" t="s">
        <v>1280</v>
      </c>
      <c r="Z309" s="363"/>
      <c r="AA309" s="363"/>
      <c r="AB309" s="363"/>
      <c r="AC309" s="363"/>
      <c r="AD309" s="363"/>
      <c r="AE309" s="363" t="s">
        <v>551</v>
      </c>
      <c r="AF309" s="380" t="s">
        <v>207</v>
      </c>
      <c r="AG309" s="380">
        <v>3</v>
      </c>
      <c r="AH309" s="363" t="s">
        <v>1272</v>
      </c>
    </row>
    <row r="310" spans="1:34" ht="15" hidden="1" customHeight="1" x14ac:dyDescent="0.3">
      <c r="B310" s="380" t="s">
        <v>14</v>
      </c>
      <c r="C310" s="409" t="s">
        <v>1103</v>
      </c>
      <c r="D310" s="423" t="s">
        <v>176</v>
      </c>
      <c r="E310" s="477" t="s">
        <v>1284</v>
      </c>
      <c r="F310" s="387">
        <v>45924</v>
      </c>
      <c r="G310" s="380" t="s">
        <v>55</v>
      </c>
      <c r="H310" s="380">
        <v>1</v>
      </c>
      <c r="I310" s="388">
        <v>90000</v>
      </c>
      <c r="J310" s="380">
        <v>3</v>
      </c>
      <c r="K310" s="389">
        <f t="shared" si="14"/>
        <v>30000</v>
      </c>
      <c r="L310" s="381">
        <v>45901</v>
      </c>
      <c r="M310" s="381">
        <v>46265</v>
      </c>
      <c r="N310" s="663"/>
      <c r="O310" s="680"/>
      <c r="P310" s="363" t="s">
        <v>19</v>
      </c>
      <c r="Q310" s="380" t="s">
        <v>13</v>
      </c>
      <c r="R310" s="380"/>
      <c r="S310" s="390" t="s">
        <v>345</v>
      </c>
      <c r="T310" s="363" t="s">
        <v>1286</v>
      </c>
      <c r="U310" s="390" t="s">
        <v>347</v>
      </c>
      <c r="V310" s="363" t="s">
        <v>1287</v>
      </c>
      <c r="W310" s="390" t="s">
        <v>348</v>
      </c>
      <c r="X310" s="363" t="s">
        <v>1954</v>
      </c>
      <c r="Y310" s="363"/>
      <c r="Z310" s="363"/>
      <c r="AA310" s="363"/>
      <c r="AB310" s="363"/>
      <c r="AC310" s="363"/>
      <c r="AD310" s="363"/>
      <c r="AE310" s="363" t="s">
        <v>183</v>
      </c>
      <c r="AF310" s="380" t="s">
        <v>97</v>
      </c>
      <c r="AG310" s="380">
        <v>2</v>
      </c>
      <c r="AH310" s="363" t="s">
        <v>1272</v>
      </c>
    </row>
    <row r="311" spans="1:34" ht="15" hidden="1" customHeight="1" x14ac:dyDescent="0.3">
      <c r="B311" s="380" t="s">
        <v>14</v>
      </c>
      <c r="C311" s="409" t="s">
        <v>1288</v>
      </c>
      <c r="D311" s="423" t="s">
        <v>1114</v>
      </c>
      <c r="E311" s="380">
        <v>4504881247</v>
      </c>
      <c r="F311" s="387">
        <v>45917</v>
      </c>
      <c r="G311" s="380" t="s">
        <v>55</v>
      </c>
      <c r="H311" s="380">
        <v>10</v>
      </c>
      <c r="I311" s="388">
        <v>850000</v>
      </c>
      <c r="J311" s="380">
        <v>4</v>
      </c>
      <c r="K311" s="389">
        <f t="shared" si="14"/>
        <v>212500</v>
      </c>
      <c r="L311" s="381">
        <v>45901</v>
      </c>
      <c r="M311" s="381">
        <v>46265</v>
      </c>
      <c r="N311" s="663"/>
      <c r="O311" s="680"/>
      <c r="P311" s="363" t="s">
        <v>520</v>
      </c>
      <c r="Q311" s="380" t="s">
        <v>1285</v>
      </c>
      <c r="R311" s="380"/>
      <c r="S311" s="390" t="s">
        <v>1131</v>
      </c>
      <c r="T311" s="363" t="s">
        <v>247</v>
      </c>
      <c r="U311" s="390" t="s">
        <v>1133</v>
      </c>
      <c r="V311" s="363" t="s">
        <v>747</v>
      </c>
      <c r="W311" s="390" t="s">
        <v>1134</v>
      </c>
      <c r="X311" s="363" t="s">
        <v>1289</v>
      </c>
      <c r="Y311" s="363" t="s">
        <v>1244</v>
      </c>
      <c r="Z311" s="363"/>
      <c r="AA311" s="363"/>
      <c r="AB311" s="363"/>
      <c r="AC311" s="363"/>
      <c r="AD311" s="363"/>
      <c r="AE311" s="363" t="s">
        <v>183</v>
      </c>
      <c r="AF311" s="380" t="s">
        <v>97</v>
      </c>
      <c r="AG311" s="380">
        <v>4</v>
      </c>
      <c r="AH311" s="363" t="s">
        <v>1290</v>
      </c>
    </row>
    <row r="312" spans="1:34" ht="15" hidden="1" customHeight="1" x14ac:dyDescent="0.3">
      <c r="B312" s="380" t="s">
        <v>14</v>
      </c>
      <c r="C312" s="409" t="s">
        <v>1291</v>
      </c>
      <c r="D312" s="423" t="s">
        <v>176</v>
      </c>
      <c r="E312" s="380">
        <v>5600003069</v>
      </c>
      <c r="F312" s="387">
        <v>45890</v>
      </c>
      <c r="G312" s="380" t="s">
        <v>55</v>
      </c>
      <c r="H312" s="380">
        <v>1</v>
      </c>
      <c r="I312" s="388">
        <v>94500</v>
      </c>
      <c r="J312" s="380">
        <v>2</v>
      </c>
      <c r="K312" s="389">
        <f t="shared" si="14"/>
        <v>47250</v>
      </c>
      <c r="L312" s="381">
        <v>45901</v>
      </c>
      <c r="M312" s="381">
        <v>46265</v>
      </c>
      <c r="N312" s="663"/>
      <c r="O312" s="680"/>
      <c r="P312" s="363" t="s">
        <v>19</v>
      </c>
      <c r="Q312" s="380" t="s">
        <v>13</v>
      </c>
      <c r="R312" s="380" t="s">
        <v>1</v>
      </c>
      <c r="S312" s="390" t="s">
        <v>625</v>
      </c>
      <c r="T312" s="363" t="s">
        <v>1091</v>
      </c>
      <c r="U312" s="390" t="s">
        <v>1235</v>
      </c>
      <c r="V312" s="363" t="s">
        <v>1858</v>
      </c>
      <c r="W312" s="363"/>
      <c r="X312" s="363"/>
      <c r="Y312" s="363"/>
      <c r="Z312" s="363"/>
      <c r="AA312" s="363"/>
      <c r="AB312" s="363"/>
      <c r="AC312" s="363"/>
      <c r="AD312" s="363"/>
      <c r="AE312" s="363" t="s">
        <v>183</v>
      </c>
      <c r="AF312" s="380" t="s">
        <v>97</v>
      </c>
      <c r="AG312" s="380">
        <v>2</v>
      </c>
      <c r="AH312" s="363" t="s">
        <v>1292</v>
      </c>
    </row>
    <row r="313" spans="1:34" ht="15" hidden="1" customHeight="1" x14ac:dyDescent="0.3">
      <c r="B313" s="380" t="s">
        <v>14</v>
      </c>
      <c r="C313" s="478" t="s">
        <v>508</v>
      </c>
      <c r="D313" s="437" t="s">
        <v>866</v>
      </c>
      <c r="E313" s="425" t="s">
        <v>1293</v>
      </c>
      <c r="F313" s="415">
        <v>45926</v>
      </c>
      <c r="G313" s="380" t="s">
        <v>55</v>
      </c>
      <c r="H313" s="380">
        <v>1</v>
      </c>
      <c r="I313" s="388">
        <v>89000</v>
      </c>
      <c r="J313" s="380">
        <v>3</v>
      </c>
      <c r="K313" s="389">
        <f t="shared" si="14"/>
        <v>29666.666666666668</v>
      </c>
      <c r="L313" s="381">
        <v>45931</v>
      </c>
      <c r="M313" s="381">
        <v>46295</v>
      </c>
      <c r="N313" s="663"/>
      <c r="O313" s="680"/>
      <c r="P313" s="363" t="s">
        <v>520</v>
      </c>
      <c r="Q313" s="380" t="s">
        <v>1285</v>
      </c>
      <c r="R313" s="380"/>
      <c r="S313" s="390" t="s">
        <v>83</v>
      </c>
      <c r="T313" s="363" t="s">
        <v>1294</v>
      </c>
      <c r="U313" s="390" t="s">
        <v>404</v>
      </c>
      <c r="V313" s="363" t="s">
        <v>1295</v>
      </c>
      <c r="W313" s="363" t="s">
        <v>406</v>
      </c>
      <c r="X313" s="363" t="s">
        <v>1045</v>
      </c>
      <c r="Y313" s="363"/>
      <c r="Z313" s="363"/>
      <c r="AA313" s="363"/>
      <c r="AB313" s="363"/>
      <c r="AC313" s="363"/>
      <c r="AD313" s="363"/>
      <c r="AE313" s="363" t="s">
        <v>96</v>
      </c>
      <c r="AF313" s="380" t="s">
        <v>97</v>
      </c>
      <c r="AG313" s="380" t="s">
        <v>494</v>
      </c>
      <c r="AH313" s="430" t="s">
        <v>1861</v>
      </c>
    </row>
    <row r="314" spans="1:34" ht="15" hidden="1" customHeight="1" x14ac:dyDescent="0.3">
      <c r="B314" s="380" t="s">
        <v>14</v>
      </c>
      <c r="C314" s="412" t="s">
        <v>1297</v>
      </c>
      <c r="D314" s="437" t="s">
        <v>1298</v>
      </c>
      <c r="E314" s="479" t="s">
        <v>1299</v>
      </c>
      <c r="F314" s="415">
        <v>45934</v>
      </c>
      <c r="G314" s="380" t="s">
        <v>55</v>
      </c>
      <c r="H314" s="380">
        <v>3</v>
      </c>
      <c r="I314" s="388">
        <v>303600</v>
      </c>
      <c r="J314" s="380">
        <v>3</v>
      </c>
      <c r="K314" s="389">
        <f t="shared" si="14"/>
        <v>101200</v>
      </c>
      <c r="L314" s="381">
        <v>45931</v>
      </c>
      <c r="M314" s="381">
        <v>46295</v>
      </c>
      <c r="N314" s="663"/>
      <c r="O314" s="680"/>
      <c r="P314" s="363" t="s">
        <v>520</v>
      </c>
      <c r="Q314" s="380" t="s">
        <v>1285</v>
      </c>
      <c r="R314" s="380"/>
      <c r="S314" s="390" t="s">
        <v>83</v>
      </c>
      <c r="T314" s="363" t="s">
        <v>417</v>
      </c>
      <c r="U314" s="390" t="s">
        <v>404</v>
      </c>
      <c r="V314" s="363" t="s">
        <v>1723</v>
      </c>
      <c r="W314" s="363" t="s">
        <v>406</v>
      </c>
      <c r="X314" s="363"/>
      <c r="Y314" s="363"/>
      <c r="Z314" s="363"/>
      <c r="AA314" s="363"/>
      <c r="AB314" s="363"/>
      <c r="AC314" s="363"/>
      <c r="AD314" s="363"/>
      <c r="AE314" s="363" t="s">
        <v>834</v>
      </c>
      <c r="AF314" s="380" t="s">
        <v>207</v>
      </c>
      <c r="AG314" s="380">
        <v>3</v>
      </c>
      <c r="AH314" s="386" t="s">
        <v>667</v>
      </c>
    </row>
    <row r="315" spans="1:34" ht="15" hidden="1" customHeight="1" x14ac:dyDescent="0.3">
      <c r="B315" s="380" t="s">
        <v>14</v>
      </c>
      <c r="C315" s="478" t="s">
        <v>1300</v>
      </c>
      <c r="D315" s="480" t="s">
        <v>841</v>
      </c>
      <c r="E315" s="481" t="s">
        <v>1301</v>
      </c>
      <c r="F315" s="415">
        <v>45937</v>
      </c>
      <c r="G315" s="380" t="s">
        <v>55</v>
      </c>
      <c r="H315" s="380">
        <v>1</v>
      </c>
      <c r="I315" s="388">
        <v>52800</v>
      </c>
      <c r="J315" s="380">
        <v>1</v>
      </c>
      <c r="K315" s="389">
        <f t="shared" si="14"/>
        <v>52800</v>
      </c>
      <c r="L315" s="381">
        <v>45931</v>
      </c>
      <c r="M315" s="381">
        <v>46295</v>
      </c>
      <c r="N315" s="663"/>
      <c r="O315" s="680"/>
      <c r="P315" s="363" t="s">
        <v>520</v>
      </c>
      <c r="Q315" s="380" t="s">
        <v>1285</v>
      </c>
      <c r="R315" s="380"/>
      <c r="S315" s="363" t="s">
        <v>1302</v>
      </c>
      <c r="T315" s="363"/>
      <c r="U315" s="363"/>
      <c r="V315" s="363"/>
      <c r="W315" s="363"/>
      <c r="X315" s="363"/>
      <c r="Y315" s="363"/>
      <c r="Z315" s="363"/>
      <c r="AA315" s="363"/>
      <c r="AB315" s="363"/>
      <c r="AC315" s="363"/>
      <c r="AD315" s="363"/>
      <c r="AE315" s="363" t="s">
        <v>485</v>
      </c>
      <c r="AF315" s="380" t="s">
        <v>63</v>
      </c>
      <c r="AG315" s="380">
        <v>2</v>
      </c>
      <c r="AH315" s="386" t="s">
        <v>1303</v>
      </c>
    </row>
    <row r="316" spans="1:34" ht="15" hidden="1" customHeight="1" x14ac:dyDescent="0.3">
      <c r="A316" s="469"/>
      <c r="B316" s="380" t="s">
        <v>14</v>
      </c>
      <c r="C316" s="482" t="s">
        <v>1304</v>
      </c>
      <c r="D316" s="483" t="s">
        <v>906</v>
      </c>
      <c r="E316" s="468">
        <v>2400019724</v>
      </c>
      <c r="F316" s="387">
        <v>45938</v>
      </c>
      <c r="G316" s="407" t="s">
        <v>703</v>
      </c>
      <c r="H316" s="380">
        <v>1</v>
      </c>
      <c r="I316" s="388">
        <v>350000</v>
      </c>
      <c r="J316" s="380">
        <v>3</v>
      </c>
      <c r="K316" s="389">
        <f>I316/2</f>
        <v>175000</v>
      </c>
      <c r="L316" s="381">
        <v>45938</v>
      </c>
      <c r="M316" s="381">
        <v>46302</v>
      </c>
      <c r="N316" s="663"/>
      <c r="O316" s="680"/>
      <c r="P316" s="363" t="s">
        <v>19</v>
      </c>
      <c r="Q316" s="380" t="s">
        <v>1285</v>
      </c>
      <c r="R316" s="380"/>
      <c r="S316" s="390" t="s">
        <v>1305</v>
      </c>
      <c r="T316" s="363" t="s">
        <v>1306</v>
      </c>
      <c r="U316" s="390" t="s">
        <v>1307</v>
      </c>
      <c r="V316" s="363" t="s">
        <v>1308</v>
      </c>
      <c r="W316" s="390" t="s">
        <v>1309</v>
      </c>
      <c r="X316" s="363" t="s">
        <v>1940</v>
      </c>
      <c r="Y316" s="363"/>
      <c r="Z316" s="363"/>
      <c r="AA316" s="363"/>
      <c r="AB316" s="363"/>
      <c r="AC316" s="363"/>
      <c r="AD316" s="363"/>
      <c r="AE316" s="363" t="s">
        <v>834</v>
      </c>
      <c r="AF316" s="380" t="s">
        <v>207</v>
      </c>
      <c r="AG316" s="380" t="s">
        <v>1310</v>
      </c>
      <c r="AH316" s="363" t="s">
        <v>1311</v>
      </c>
    </row>
    <row r="317" spans="1:34" ht="15" hidden="1" customHeight="1" x14ac:dyDescent="0.3">
      <c r="B317" s="380" t="s">
        <v>14</v>
      </c>
      <c r="C317" s="409" t="s">
        <v>1312</v>
      </c>
      <c r="D317" s="386" t="s">
        <v>1313</v>
      </c>
      <c r="E317" s="397">
        <v>2800095345</v>
      </c>
      <c r="F317" s="387">
        <v>45947</v>
      </c>
      <c r="G317" s="380" t="s">
        <v>643</v>
      </c>
      <c r="H317" s="380">
        <v>2</v>
      </c>
      <c r="I317" s="388">
        <v>172872</v>
      </c>
      <c r="J317" s="380">
        <v>2</v>
      </c>
      <c r="K317" s="389">
        <f t="shared" ref="K317:K329" si="15">I317/J317</f>
        <v>86436</v>
      </c>
      <c r="L317" s="381">
        <v>45931</v>
      </c>
      <c r="M317" s="381">
        <v>46295</v>
      </c>
      <c r="N317" s="663"/>
      <c r="O317" s="680"/>
      <c r="P317" s="363" t="s">
        <v>520</v>
      </c>
      <c r="Q317" s="380" t="s">
        <v>1285</v>
      </c>
      <c r="R317" s="380"/>
      <c r="S317" s="390" t="s">
        <v>465</v>
      </c>
      <c r="T317" s="363" t="s">
        <v>1314</v>
      </c>
      <c r="U317" s="363" t="s">
        <v>467</v>
      </c>
      <c r="V317" s="363"/>
      <c r="W317" s="363"/>
      <c r="X317" s="363"/>
      <c r="Y317" s="363"/>
      <c r="Z317" s="363"/>
      <c r="AA317" s="363"/>
      <c r="AB317" s="363"/>
      <c r="AC317" s="363"/>
      <c r="AD317" s="363"/>
      <c r="AE317" s="363" t="s">
        <v>96</v>
      </c>
      <c r="AF317" s="380" t="s">
        <v>97</v>
      </c>
      <c r="AG317" s="380">
        <v>6</v>
      </c>
      <c r="AH317" s="363" t="s">
        <v>667</v>
      </c>
    </row>
    <row r="318" spans="1:34" ht="15" hidden="1" customHeight="1" x14ac:dyDescent="0.3">
      <c r="B318" s="380" t="s">
        <v>14</v>
      </c>
      <c r="C318" s="482" t="s">
        <v>905</v>
      </c>
      <c r="D318" s="483" t="s">
        <v>545</v>
      </c>
      <c r="E318" s="468">
        <v>1100035324</v>
      </c>
      <c r="F318" s="387">
        <v>45938</v>
      </c>
      <c r="G318" s="380" t="s">
        <v>643</v>
      </c>
      <c r="H318" s="380">
        <v>2</v>
      </c>
      <c r="I318" s="388">
        <v>142500</v>
      </c>
      <c r="J318" s="380">
        <v>2</v>
      </c>
      <c r="K318" s="389">
        <f t="shared" si="15"/>
        <v>71250</v>
      </c>
      <c r="L318" s="381">
        <v>45962</v>
      </c>
      <c r="M318" s="381">
        <v>46326</v>
      </c>
      <c r="N318" s="663"/>
      <c r="O318" s="680"/>
      <c r="P318" s="363" t="s">
        <v>19</v>
      </c>
      <c r="Q318" s="380" t="s">
        <v>1285</v>
      </c>
      <c r="R318" s="380"/>
      <c r="S318" s="390" t="s">
        <v>330</v>
      </c>
      <c r="T318" s="363" t="s">
        <v>441</v>
      </c>
      <c r="U318" s="390" t="s">
        <v>1315</v>
      </c>
      <c r="V318" s="363" t="s">
        <v>1955</v>
      </c>
      <c r="W318" s="363"/>
      <c r="X318" s="363"/>
      <c r="Y318" s="363"/>
      <c r="Z318" s="363"/>
      <c r="AA318" s="363"/>
      <c r="AB318" s="363"/>
      <c r="AC318" s="363"/>
      <c r="AD318" s="363"/>
      <c r="AE318" s="363" t="s">
        <v>551</v>
      </c>
      <c r="AF318" s="380" t="s">
        <v>207</v>
      </c>
      <c r="AG318" s="380">
        <v>3</v>
      </c>
      <c r="AH318" s="363" t="s">
        <v>667</v>
      </c>
    </row>
    <row r="319" spans="1:34" ht="15" hidden="1" customHeight="1" x14ac:dyDescent="0.3">
      <c r="B319" s="380" t="s">
        <v>14</v>
      </c>
      <c r="C319" s="482" t="s">
        <v>1316</v>
      </c>
      <c r="D319" s="483" t="s">
        <v>1317</v>
      </c>
      <c r="E319" s="468" t="s">
        <v>1318</v>
      </c>
      <c r="F319" s="387">
        <v>45918</v>
      </c>
      <c r="G319" s="380" t="s">
        <v>643</v>
      </c>
      <c r="H319" s="380">
        <v>2</v>
      </c>
      <c r="I319" s="388">
        <v>160000</v>
      </c>
      <c r="J319" s="380">
        <v>2</v>
      </c>
      <c r="K319" s="389">
        <f t="shared" si="15"/>
        <v>80000</v>
      </c>
      <c r="L319" s="381">
        <v>45901</v>
      </c>
      <c r="M319" s="381">
        <v>46265</v>
      </c>
      <c r="N319" s="663"/>
      <c r="O319" s="680"/>
      <c r="P319" s="363" t="s">
        <v>19</v>
      </c>
      <c r="Q319" s="380" t="s">
        <v>13</v>
      </c>
      <c r="R319" s="380"/>
      <c r="S319" s="390" t="s">
        <v>625</v>
      </c>
      <c r="T319" s="363" t="s">
        <v>765</v>
      </c>
      <c r="U319" s="390" t="s">
        <v>1235</v>
      </c>
      <c r="V319" s="363" t="s">
        <v>1862</v>
      </c>
      <c r="W319" s="363"/>
      <c r="X319" s="363"/>
      <c r="Y319" s="363"/>
      <c r="Z319" s="363"/>
      <c r="AA319" s="363"/>
      <c r="AB319" s="363"/>
      <c r="AC319" s="363"/>
      <c r="AD319" s="363"/>
      <c r="AE319" s="363" t="s">
        <v>478</v>
      </c>
      <c r="AF319" s="380" t="s">
        <v>63</v>
      </c>
      <c r="AG319" s="380">
        <v>3</v>
      </c>
      <c r="AH319" s="363" t="s">
        <v>1319</v>
      </c>
    </row>
    <row r="320" spans="1:34" ht="15" hidden="1" customHeight="1" x14ac:dyDescent="0.3">
      <c r="B320" s="380" t="s">
        <v>14</v>
      </c>
      <c r="C320" s="482" t="s">
        <v>658</v>
      </c>
      <c r="D320" s="483" t="s">
        <v>1320</v>
      </c>
      <c r="E320" s="468" t="s">
        <v>1321</v>
      </c>
      <c r="F320" s="387">
        <v>45953</v>
      </c>
      <c r="G320" s="407" t="s">
        <v>703</v>
      </c>
      <c r="H320" s="380">
        <v>1</v>
      </c>
      <c r="I320" s="388">
        <v>460000</v>
      </c>
      <c r="J320" s="380">
        <v>4</v>
      </c>
      <c r="K320" s="389">
        <f t="shared" si="15"/>
        <v>115000</v>
      </c>
      <c r="L320" s="381">
        <v>45962</v>
      </c>
      <c r="M320" s="381">
        <v>46326</v>
      </c>
      <c r="N320" s="663"/>
      <c r="O320" s="680"/>
      <c r="P320" s="363" t="s">
        <v>520</v>
      </c>
      <c r="Q320" s="380" t="s">
        <v>1285</v>
      </c>
      <c r="R320" s="380"/>
      <c r="S320" s="390" t="s">
        <v>269</v>
      </c>
      <c r="T320" s="363" t="s">
        <v>653</v>
      </c>
      <c r="U320" s="390" t="s">
        <v>442</v>
      </c>
      <c r="V320" s="363" t="s">
        <v>1322</v>
      </c>
      <c r="W320" s="390" t="s">
        <v>444</v>
      </c>
      <c r="X320" s="363" t="s">
        <v>1955</v>
      </c>
      <c r="Y320" s="363" t="s">
        <v>445</v>
      </c>
      <c r="Z320" s="363"/>
      <c r="AA320" s="363"/>
      <c r="AB320" s="363"/>
      <c r="AC320" s="363"/>
      <c r="AD320" s="363"/>
      <c r="AE320" s="363" t="s">
        <v>183</v>
      </c>
      <c r="AF320" s="380" t="s">
        <v>968</v>
      </c>
      <c r="AG320" s="380" t="s">
        <v>494</v>
      </c>
      <c r="AH320" s="363" t="s">
        <v>1323</v>
      </c>
    </row>
    <row r="321" spans="2:34" ht="15" customHeight="1" x14ac:dyDescent="0.3">
      <c r="B321" s="380" t="s">
        <v>14</v>
      </c>
      <c r="C321" s="482" t="s">
        <v>905</v>
      </c>
      <c r="D321" s="483" t="s">
        <v>151</v>
      </c>
      <c r="E321" s="468">
        <v>1100035470</v>
      </c>
      <c r="F321" s="387">
        <v>45959</v>
      </c>
      <c r="G321" s="380" t="s">
        <v>643</v>
      </c>
      <c r="H321" s="380">
        <v>2</v>
      </c>
      <c r="I321" s="388">
        <v>134000</v>
      </c>
      <c r="J321" s="380">
        <v>2</v>
      </c>
      <c r="K321" s="389">
        <f t="shared" si="15"/>
        <v>67000</v>
      </c>
      <c r="L321" s="381">
        <v>45870</v>
      </c>
      <c r="M321" s="381">
        <v>46234</v>
      </c>
      <c r="N321" s="663"/>
      <c r="O321" s="680"/>
      <c r="P321" s="363" t="s">
        <v>19</v>
      </c>
      <c r="Q321" s="380" t="s">
        <v>11</v>
      </c>
      <c r="R321" s="380"/>
      <c r="S321" s="390" t="s">
        <v>424</v>
      </c>
      <c r="T321" s="363" t="s">
        <v>1324</v>
      </c>
      <c r="U321" s="390" t="s">
        <v>426</v>
      </c>
      <c r="V321" s="363" t="s">
        <v>1943</v>
      </c>
      <c r="W321" s="363"/>
      <c r="X321" s="363"/>
      <c r="Y321" s="363"/>
      <c r="Z321" s="363"/>
      <c r="AA321" s="363"/>
      <c r="AB321" s="363"/>
      <c r="AC321" s="363"/>
      <c r="AD321" s="363"/>
      <c r="AE321" s="363" t="s">
        <v>1325</v>
      </c>
      <c r="AF321" s="380" t="s">
        <v>63</v>
      </c>
      <c r="AG321" s="380">
        <v>3</v>
      </c>
      <c r="AH321" s="363" t="s">
        <v>667</v>
      </c>
    </row>
    <row r="322" spans="2:34" ht="15" hidden="1" customHeight="1" x14ac:dyDescent="0.3">
      <c r="B322" s="380" t="s">
        <v>14</v>
      </c>
      <c r="C322" s="409" t="s">
        <v>1326</v>
      </c>
      <c r="D322" s="423" t="s">
        <v>151</v>
      </c>
      <c r="E322" s="380">
        <v>700672062</v>
      </c>
      <c r="F322" s="387">
        <v>45957</v>
      </c>
      <c r="G322" s="380" t="s">
        <v>643</v>
      </c>
      <c r="H322" s="710">
        <v>3</v>
      </c>
      <c r="I322" s="388">
        <f>96000*3</f>
        <v>288000</v>
      </c>
      <c r="J322" s="380">
        <v>3</v>
      </c>
      <c r="K322" s="389">
        <f t="shared" si="15"/>
        <v>96000</v>
      </c>
      <c r="L322" s="381">
        <v>45870</v>
      </c>
      <c r="M322" s="381">
        <v>46234</v>
      </c>
      <c r="N322" s="663"/>
      <c r="O322" s="680"/>
      <c r="P322" s="363" t="s">
        <v>520</v>
      </c>
      <c r="Q322" s="380" t="s">
        <v>1285</v>
      </c>
      <c r="R322" s="380"/>
      <c r="S322" s="390" t="s">
        <v>665</v>
      </c>
      <c r="T322" s="363" t="s">
        <v>73</v>
      </c>
      <c r="U322" s="390" t="s">
        <v>361</v>
      </c>
      <c r="V322" s="363" t="s">
        <v>1239</v>
      </c>
      <c r="W322" s="363" t="s">
        <v>1080</v>
      </c>
      <c r="X322" s="363"/>
      <c r="Y322" s="363"/>
      <c r="Z322" s="363"/>
      <c r="AA322" s="363"/>
      <c r="AB322" s="363"/>
      <c r="AC322" s="363"/>
      <c r="AD322" s="363"/>
      <c r="AE322" s="363" t="s">
        <v>507</v>
      </c>
      <c r="AF322" s="380" t="s">
        <v>63</v>
      </c>
      <c r="AG322" s="380">
        <v>3</v>
      </c>
      <c r="AH322" s="363" t="s">
        <v>1327</v>
      </c>
    </row>
    <row r="323" spans="2:34" ht="15" hidden="1" customHeight="1" x14ac:dyDescent="0.3">
      <c r="B323" s="380" t="s">
        <v>14</v>
      </c>
      <c r="C323" s="478" t="s">
        <v>1328</v>
      </c>
      <c r="D323" s="480" t="s">
        <v>841</v>
      </c>
      <c r="E323" s="481">
        <v>470075997</v>
      </c>
      <c r="F323" s="415">
        <v>45936</v>
      </c>
      <c r="G323" s="380" t="s">
        <v>643</v>
      </c>
      <c r="H323" s="380">
        <v>2</v>
      </c>
      <c r="I323" s="388">
        <v>176000</v>
      </c>
      <c r="J323" s="380">
        <v>1</v>
      </c>
      <c r="K323" s="389">
        <f t="shared" si="15"/>
        <v>176000</v>
      </c>
      <c r="L323" s="381">
        <v>45955</v>
      </c>
      <c r="M323" s="381">
        <v>46319</v>
      </c>
      <c r="N323" s="663"/>
      <c r="O323" s="680"/>
      <c r="P323" s="363" t="s">
        <v>520</v>
      </c>
      <c r="Q323" s="380" t="s">
        <v>1285</v>
      </c>
      <c r="R323" s="380"/>
      <c r="S323" s="363" t="s">
        <v>1329</v>
      </c>
      <c r="T323" s="363"/>
      <c r="U323" s="363"/>
      <c r="V323" s="363"/>
      <c r="W323" s="363"/>
      <c r="X323" s="363"/>
      <c r="Y323" s="363"/>
      <c r="Z323" s="363"/>
      <c r="AA323" s="363"/>
      <c r="AB323" s="363"/>
      <c r="AC323" s="363"/>
      <c r="AD323" s="363"/>
      <c r="AE323" s="363" t="s">
        <v>485</v>
      </c>
      <c r="AF323" s="380" t="s">
        <v>63</v>
      </c>
      <c r="AG323" s="380">
        <v>2</v>
      </c>
      <c r="AH323" s="363" t="s">
        <v>1127</v>
      </c>
    </row>
    <row r="324" spans="2:34" ht="15" hidden="1" customHeight="1" x14ac:dyDescent="0.3">
      <c r="B324" s="380" t="s">
        <v>14</v>
      </c>
      <c r="C324" s="409" t="s">
        <v>1330</v>
      </c>
      <c r="D324" s="423" t="s">
        <v>1230</v>
      </c>
      <c r="E324" s="408" t="s">
        <v>1331</v>
      </c>
      <c r="F324" s="387">
        <v>45955</v>
      </c>
      <c r="G324" s="380" t="s">
        <v>643</v>
      </c>
      <c r="H324" s="380">
        <v>1</v>
      </c>
      <c r="I324" s="388">
        <v>109200</v>
      </c>
      <c r="J324" s="380">
        <v>3</v>
      </c>
      <c r="K324" s="389">
        <f t="shared" si="15"/>
        <v>36400</v>
      </c>
      <c r="L324" s="381">
        <v>45950</v>
      </c>
      <c r="M324" s="381">
        <v>46314</v>
      </c>
      <c r="N324" s="663"/>
      <c r="O324" s="680"/>
      <c r="P324" s="363" t="s">
        <v>520</v>
      </c>
      <c r="Q324" s="380" t="s">
        <v>1285</v>
      </c>
      <c r="R324" s="380"/>
      <c r="S324" s="390" t="s">
        <v>1332</v>
      </c>
      <c r="T324" s="363" t="s">
        <v>1009</v>
      </c>
      <c r="U324" s="390" t="s">
        <v>1333</v>
      </c>
      <c r="V324" s="363" t="s">
        <v>1849</v>
      </c>
      <c r="W324" s="363" t="s">
        <v>1334</v>
      </c>
      <c r="X324" s="363"/>
      <c r="Y324" s="363"/>
      <c r="Z324" s="363"/>
      <c r="AA324" s="363"/>
      <c r="AB324" s="363"/>
      <c r="AC324" s="363"/>
      <c r="AD324" s="363"/>
      <c r="AE324" s="363" t="s">
        <v>96</v>
      </c>
      <c r="AF324" s="380" t="s">
        <v>968</v>
      </c>
      <c r="AG324" s="380">
        <v>3</v>
      </c>
      <c r="AH324" s="363" t="s">
        <v>1335</v>
      </c>
    </row>
    <row r="325" spans="2:34" ht="15" customHeight="1" x14ac:dyDescent="0.3">
      <c r="B325" s="380" t="s">
        <v>14</v>
      </c>
      <c r="C325" s="412" t="s">
        <v>1336</v>
      </c>
      <c r="D325" s="437" t="s">
        <v>388</v>
      </c>
      <c r="E325" s="425">
        <v>3800044370</v>
      </c>
      <c r="F325" s="415">
        <v>45964</v>
      </c>
      <c r="G325" s="380" t="s">
        <v>643</v>
      </c>
      <c r="H325" s="380">
        <v>2</v>
      </c>
      <c r="I325" s="388">
        <v>148500</v>
      </c>
      <c r="J325" s="380">
        <v>2</v>
      </c>
      <c r="K325" s="389">
        <f t="shared" si="15"/>
        <v>74250</v>
      </c>
      <c r="L325" s="381">
        <v>45870</v>
      </c>
      <c r="M325" s="381">
        <v>46234</v>
      </c>
      <c r="N325" s="663"/>
      <c r="O325" s="680"/>
      <c r="P325" s="363" t="s">
        <v>19</v>
      </c>
      <c r="Q325" s="380" t="s">
        <v>11</v>
      </c>
      <c r="R325" s="380"/>
      <c r="S325" s="390" t="s">
        <v>424</v>
      </c>
      <c r="T325" s="363" t="s">
        <v>626</v>
      </c>
      <c r="U325" s="390" t="s">
        <v>426</v>
      </c>
      <c r="V325" s="363" t="s">
        <v>1855</v>
      </c>
      <c r="W325" s="363"/>
      <c r="X325" s="363"/>
      <c r="Y325" s="363"/>
      <c r="Z325" s="363"/>
      <c r="AA325" s="363"/>
      <c r="AB325" s="363"/>
      <c r="AC325" s="363"/>
      <c r="AD325" s="363"/>
      <c r="AE325" s="363" t="s">
        <v>478</v>
      </c>
      <c r="AF325" s="380" t="s">
        <v>63</v>
      </c>
      <c r="AG325" s="380">
        <v>2</v>
      </c>
      <c r="AH325" s="363" t="s">
        <v>799</v>
      </c>
    </row>
    <row r="326" spans="2:34" ht="15" hidden="1" customHeight="1" x14ac:dyDescent="0.3">
      <c r="B326" s="380" t="s">
        <v>14</v>
      </c>
      <c r="C326" s="430" t="s">
        <v>527</v>
      </c>
      <c r="D326" s="445" t="s">
        <v>131</v>
      </c>
      <c r="E326" s="419">
        <v>7001113889</v>
      </c>
      <c r="F326" s="387">
        <v>45964</v>
      </c>
      <c r="G326" s="380" t="s">
        <v>643</v>
      </c>
      <c r="H326" s="380">
        <v>1</v>
      </c>
      <c r="I326" s="388">
        <v>78750</v>
      </c>
      <c r="J326" s="380">
        <v>2</v>
      </c>
      <c r="K326" s="389">
        <f t="shared" si="15"/>
        <v>39375</v>
      </c>
      <c r="L326" s="381">
        <v>45962</v>
      </c>
      <c r="M326" s="381">
        <v>46326</v>
      </c>
      <c r="N326" s="663"/>
      <c r="O326" s="680"/>
      <c r="P326" s="363" t="s">
        <v>520</v>
      </c>
      <c r="Q326" s="380" t="s">
        <v>1337</v>
      </c>
      <c r="R326" s="380"/>
      <c r="S326" s="390" t="s">
        <v>330</v>
      </c>
      <c r="T326" s="363" t="s">
        <v>1338</v>
      </c>
      <c r="U326" s="363" t="s">
        <v>1339</v>
      </c>
      <c r="V326" s="363"/>
      <c r="W326" s="363"/>
      <c r="X326" s="363"/>
      <c r="Y326" s="363"/>
      <c r="Z326" s="363"/>
      <c r="AA326" s="363"/>
      <c r="AB326" s="363"/>
      <c r="AC326" s="363"/>
      <c r="AD326" s="363"/>
      <c r="AE326" s="363" t="s">
        <v>485</v>
      </c>
      <c r="AF326" s="380" t="s">
        <v>63</v>
      </c>
      <c r="AG326" s="380">
        <v>2</v>
      </c>
      <c r="AH326" s="363" t="s">
        <v>799</v>
      </c>
    </row>
    <row r="327" spans="2:34" ht="15" hidden="1" customHeight="1" x14ac:dyDescent="0.3">
      <c r="B327" s="380" t="s">
        <v>14</v>
      </c>
      <c r="C327" s="409" t="s">
        <v>1340</v>
      </c>
      <c r="D327" s="434" t="s">
        <v>1341</v>
      </c>
      <c r="E327" s="380">
        <v>1443021479</v>
      </c>
      <c r="F327" s="387">
        <v>45961</v>
      </c>
      <c r="G327" s="380" t="s">
        <v>643</v>
      </c>
      <c r="H327" s="380">
        <v>1</v>
      </c>
      <c r="I327" s="388">
        <v>70000</v>
      </c>
      <c r="J327" s="380">
        <v>2</v>
      </c>
      <c r="K327" s="389">
        <f t="shared" si="15"/>
        <v>35000</v>
      </c>
      <c r="L327" s="381">
        <v>45962</v>
      </c>
      <c r="M327" s="381">
        <v>46326</v>
      </c>
      <c r="N327" s="663"/>
      <c r="O327" s="680"/>
      <c r="P327" s="363" t="s">
        <v>520</v>
      </c>
      <c r="Q327" s="380" t="s">
        <v>1337</v>
      </c>
      <c r="R327" s="380"/>
      <c r="S327" s="390" t="s">
        <v>330</v>
      </c>
      <c r="T327" s="363" t="s">
        <v>1858</v>
      </c>
      <c r="U327" s="363" t="s">
        <v>1339</v>
      </c>
      <c r="V327" s="363"/>
      <c r="W327" s="363"/>
      <c r="X327" s="363"/>
      <c r="Y327" s="363"/>
      <c r="Z327" s="363"/>
      <c r="AA327" s="363"/>
      <c r="AB327" s="363"/>
      <c r="AC327" s="363"/>
      <c r="AD327" s="363"/>
      <c r="AE327" s="363" t="s">
        <v>478</v>
      </c>
      <c r="AF327" s="380" t="s">
        <v>63</v>
      </c>
      <c r="AG327" s="380">
        <v>2</v>
      </c>
      <c r="AH327" s="363" t="s">
        <v>667</v>
      </c>
    </row>
    <row r="328" spans="2:34" ht="15" hidden="1" customHeight="1" x14ac:dyDescent="0.3">
      <c r="B328" s="380" t="s">
        <v>14</v>
      </c>
      <c r="C328" s="409" t="s">
        <v>1340</v>
      </c>
      <c r="D328" s="434" t="s">
        <v>1341</v>
      </c>
      <c r="E328" s="380">
        <v>1443021480</v>
      </c>
      <c r="F328" s="387">
        <v>45961</v>
      </c>
      <c r="G328" s="380" t="s">
        <v>643</v>
      </c>
      <c r="H328" s="380">
        <v>1</v>
      </c>
      <c r="I328" s="388">
        <v>70000</v>
      </c>
      <c r="J328" s="380">
        <v>2</v>
      </c>
      <c r="K328" s="389">
        <f t="shared" si="15"/>
        <v>35000</v>
      </c>
      <c r="L328" s="381">
        <v>45962</v>
      </c>
      <c r="M328" s="381">
        <v>46326</v>
      </c>
      <c r="N328" s="663"/>
      <c r="O328" s="680"/>
      <c r="P328" s="363" t="s">
        <v>520</v>
      </c>
      <c r="Q328" s="380" t="s">
        <v>1337</v>
      </c>
      <c r="R328" s="380"/>
      <c r="S328" s="390" t="s">
        <v>330</v>
      </c>
      <c r="T328" s="363" t="s">
        <v>1858</v>
      </c>
      <c r="U328" s="363" t="s">
        <v>1339</v>
      </c>
      <c r="V328" s="363"/>
      <c r="W328" s="363"/>
      <c r="X328" s="363"/>
      <c r="Y328" s="363"/>
      <c r="Z328" s="363"/>
      <c r="AA328" s="363"/>
      <c r="AB328" s="363"/>
      <c r="AC328" s="363"/>
      <c r="AD328" s="363"/>
      <c r="AE328" s="363" t="s">
        <v>478</v>
      </c>
      <c r="AF328" s="380" t="s">
        <v>63</v>
      </c>
      <c r="AG328" s="380">
        <v>2</v>
      </c>
      <c r="AH328" s="363" t="s">
        <v>667</v>
      </c>
    </row>
    <row r="329" spans="2:34" ht="15" hidden="1" customHeight="1" x14ac:dyDescent="0.3">
      <c r="B329" s="380" t="s">
        <v>14</v>
      </c>
      <c r="C329" s="482" t="s">
        <v>1342</v>
      </c>
      <c r="D329" s="483" t="s">
        <v>447</v>
      </c>
      <c r="E329" s="468">
        <v>1000105113</v>
      </c>
      <c r="F329" s="387">
        <v>45961</v>
      </c>
      <c r="G329" s="380" t="s">
        <v>643</v>
      </c>
      <c r="H329" s="380">
        <v>2</v>
      </c>
      <c r="I329" s="388">
        <v>171712</v>
      </c>
      <c r="J329" s="380">
        <v>3</v>
      </c>
      <c r="K329" s="389">
        <f t="shared" si="15"/>
        <v>57237.333333333336</v>
      </c>
      <c r="L329" s="381">
        <v>45962</v>
      </c>
      <c r="M329" s="381">
        <v>46326</v>
      </c>
      <c r="N329" s="663"/>
      <c r="O329" s="680"/>
      <c r="P329" s="363" t="s">
        <v>520</v>
      </c>
      <c r="Q329" s="380" t="s">
        <v>1337</v>
      </c>
      <c r="R329" s="380"/>
      <c r="S329" s="390" t="s">
        <v>192</v>
      </c>
      <c r="T329" s="363" t="s">
        <v>1343</v>
      </c>
      <c r="U329" s="390" t="s">
        <v>194</v>
      </c>
      <c r="V329" s="363" t="s">
        <v>1725</v>
      </c>
      <c r="W329" s="363" t="s">
        <v>1344</v>
      </c>
      <c r="X329" s="363"/>
      <c r="Y329" s="363"/>
      <c r="Z329" s="363"/>
      <c r="AA329" s="363"/>
      <c r="AB329" s="363"/>
      <c r="AC329" s="363"/>
      <c r="AD329" s="363"/>
      <c r="AE329" s="363" t="s">
        <v>281</v>
      </c>
      <c r="AF329" s="380" t="s">
        <v>97</v>
      </c>
      <c r="AG329" s="380">
        <v>3</v>
      </c>
      <c r="AH329" s="363" t="s">
        <v>1345</v>
      </c>
    </row>
    <row r="330" spans="2:34" ht="15" hidden="1" customHeight="1" x14ac:dyDescent="0.3">
      <c r="B330" s="380" t="s">
        <v>14</v>
      </c>
      <c r="C330" s="409" t="s">
        <v>1346</v>
      </c>
      <c r="D330" s="483" t="s">
        <v>447</v>
      </c>
      <c r="E330" s="397" t="s">
        <v>1347</v>
      </c>
      <c r="F330" s="387">
        <v>45960</v>
      </c>
      <c r="G330" s="380" t="s">
        <v>643</v>
      </c>
      <c r="H330" s="380">
        <v>13</v>
      </c>
      <c r="I330" s="388">
        <v>1150488</v>
      </c>
      <c r="J330" s="380">
        <v>6</v>
      </c>
      <c r="K330" s="389">
        <f>I330/3</f>
        <v>383496</v>
      </c>
      <c r="L330" s="381">
        <v>45901</v>
      </c>
      <c r="M330" s="381">
        <v>46446</v>
      </c>
      <c r="N330" s="663"/>
      <c r="O330" s="680"/>
      <c r="P330" s="363" t="s">
        <v>520</v>
      </c>
      <c r="Q330" s="380" t="s">
        <v>1337</v>
      </c>
      <c r="R330" s="380"/>
      <c r="S330" s="390" t="s">
        <v>1348</v>
      </c>
      <c r="T330" s="363" t="s">
        <v>1349</v>
      </c>
      <c r="U330" s="390" t="s">
        <v>1133</v>
      </c>
      <c r="V330" s="363" t="s">
        <v>386</v>
      </c>
      <c r="W330" s="390" t="s">
        <v>1134</v>
      </c>
      <c r="X330" s="363" t="s">
        <v>1726</v>
      </c>
      <c r="Y330" s="363" t="s">
        <v>1244</v>
      </c>
      <c r="Z330" s="363" t="s">
        <v>1350</v>
      </c>
      <c r="AA330" s="363" t="s">
        <v>1245</v>
      </c>
      <c r="AB330" s="363" t="s">
        <v>1351</v>
      </c>
      <c r="AC330" s="363" t="s">
        <v>1246</v>
      </c>
      <c r="AD330" s="363"/>
      <c r="AE330" s="363" t="s">
        <v>281</v>
      </c>
      <c r="AF330" s="380" t="s">
        <v>97</v>
      </c>
      <c r="AG330" s="380">
        <v>3</v>
      </c>
      <c r="AH330" s="363" t="s">
        <v>1352</v>
      </c>
    </row>
    <row r="331" spans="2:34" ht="15" hidden="1" customHeight="1" x14ac:dyDescent="0.3">
      <c r="B331" s="380" t="s">
        <v>14</v>
      </c>
      <c r="C331" s="409" t="s">
        <v>1353</v>
      </c>
      <c r="D331" s="434" t="s">
        <v>1354</v>
      </c>
      <c r="E331" s="472">
        <v>4900003846</v>
      </c>
      <c r="F331" s="387">
        <v>45966</v>
      </c>
      <c r="G331" s="380" t="s">
        <v>643</v>
      </c>
      <c r="H331" s="380">
        <v>1</v>
      </c>
      <c r="I331" s="388">
        <v>85560</v>
      </c>
      <c r="J331" s="380">
        <v>3</v>
      </c>
      <c r="K331" s="389">
        <f t="shared" ref="K331:K362" si="16">I331/J331</f>
        <v>28520</v>
      </c>
      <c r="L331" s="381">
        <v>45932</v>
      </c>
      <c r="M331" s="381">
        <v>46296</v>
      </c>
      <c r="N331" s="663"/>
      <c r="O331" s="680"/>
      <c r="P331" s="363" t="s">
        <v>520</v>
      </c>
      <c r="Q331" s="380" t="s">
        <v>1337</v>
      </c>
      <c r="R331" s="380"/>
      <c r="S331" s="390" t="s">
        <v>1355</v>
      </c>
      <c r="T331" s="363" t="s">
        <v>1105</v>
      </c>
      <c r="U331" s="390" t="s">
        <v>1356</v>
      </c>
      <c r="V331" s="363" t="s">
        <v>1863</v>
      </c>
      <c r="W331" s="363" t="s">
        <v>1357</v>
      </c>
      <c r="X331" s="363"/>
      <c r="Y331" s="363"/>
      <c r="Z331" s="363"/>
      <c r="AA331" s="363"/>
      <c r="AB331" s="363"/>
      <c r="AC331" s="363"/>
      <c r="AD331" s="363"/>
      <c r="AE331" s="363" t="s">
        <v>485</v>
      </c>
      <c r="AF331" s="380" t="s">
        <v>63</v>
      </c>
      <c r="AG331" s="380">
        <v>4</v>
      </c>
      <c r="AH331" s="363" t="s">
        <v>1358</v>
      </c>
    </row>
    <row r="332" spans="2:34" ht="15" hidden="1" customHeight="1" x14ac:dyDescent="0.3">
      <c r="B332" s="380" t="s">
        <v>14</v>
      </c>
      <c r="C332" s="482" t="s">
        <v>1359</v>
      </c>
      <c r="D332" s="483" t="s">
        <v>1360</v>
      </c>
      <c r="E332" s="468">
        <v>4500035457</v>
      </c>
      <c r="F332" s="387">
        <v>45942</v>
      </c>
      <c r="G332" s="380" t="s">
        <v>643</v>
      </c>
      <c r="H332" s="380">
        <v>1</v>
      </c>
      <c r="I332" s="388">
        <v>175000</v>
      </c>
      <c r="J332" s="380">
        <v>2</v>
      </c>
      <c r="K332" s="389">
        <f t="shared" si="16"/>
        <v>87500</v>
      </c>
      <c r="L332" s="381">
        <v>45942</v>
      </c>
      <c r="M332" s="381">
        <v>46306</v>
      </c>
      <c r="N332" s="663"/>
      <c r="O332" s="680"/>
      <c r="P332" s="363" t="s">
        <v>19</v>
      </c>
      <c r="Q332" s="380" t="s">
        <v>1285</v>
      </c>
      <c r="R332" s="380"/>
      <c r="S332" s="390" t="s">
        <v>1361</v>
      </c>
      <c r="T332" s="381" t="s">
        <v>84</v>
      </c>
      <c r="U332" s="390" t="s">
        <v>1362</v>
      </c>
      <c r="V332" s="363" t="s">
        <v>1953</v>
      </c>
      <c r="W332" s="363"/>
      <c r="X332" s="363"/>
      <c r="Y332" s="363"/>
      <c r="Z332" s="363"/>
      <c r="AA332" s="363"/>
      <c r="AB332" s="363"/>
      <c r="AC332" s="363"/>
      <c r="AD332" s="363"/>
      <c r="AE332" s="363" t="s">
        <v>128</v>
      </c>
      <c r="AF332" s="380" t="s">
        <v>129</v>
      </c>
      <c r="AG332" s="380">
        <v>2</v>
      </c>
      <c r="AH332" s="363" t="s">
        <v>1363</v>
      </c>
    </row>
    <row r="333" spans="2:34" ht="15" hidden="1" customHeight="1" x14ac:dyDescent="0.3">
      <c r="B333" s="380" t="s">
        <v>14</v>
      </c>
      <c r="C333" s="409" t="s">
        <v>1364</v>
      </c>
      <c r="D333" s="423" t="s">
        <v>997</v>
      </c>
      <c r="E333" s="484">
        <v>4400000465</v>
      </c>
      <c r="F333" s="387">
        <v>45974</v>
      </c>
      <c r="G333" s="380" t="s">
        <v>643</v>
      </c>
      <c r="H333" s="380">
        <v>3</v>
      </c>
      <c r="I333" s="388">
        <v>300000</v>
      </c>
      <c r="J333" s="380">
        <v>2</v>
      </c>
      <c r="K333" s="389">
        <f t="shared" si="16"/>
        <v>150000</v>
      </c>
      <c r="L333" s="381">
        <v>45962</v>
      </c>
      <c r="M333" s="381">
        <v>46326</v>
      </c>
      <c r="N333" s="663"/>
      <c r="O333" s="680"/>
      <c r="P333" s="363" t="s">
        <v>520</v>
      </c>
      <c r="Q333" s="380" t="s">
        <v>1337</v>
      </c>
      <c r="R333" s="380"/>
      <c r="S333" s="390" t="s">
        <v>330</v>
      </c>
      <c r="T333" s="363" t="s">
        <v>1044</v>
      </c>
      <c r="U333" s="363" t="s">
        <v>1339</v>
      </c>
      <c r="V333" s="363"/>
      <c r="W333" s="363"/>
      <c r="X333" s="363"/>
      <c r="Y333" s="363"/>
      <c r="Z333" s="363"/>
      <c r="AA333" s="363"/>
      <c r="AB333" s="363"/>
      <c r="AC333" s="363"/>
      <c r="AD333" s="363"/>
      <c r="AE333" s="363" t="s">
        <v>96</v>
      </c>
      <c r="AF333" s="380" t="s">
        <v>97</v>
      </c>
      <c r="AG333" s="380">
        <v>3</v>
      </c>
      <c r="AH333" s="363" t="s">
        <v>1365</v>
      </c>
    </row>
    <row r="334" spans="2:34" ht="15" hidden="1" customHeight="1" x14ac:dyDescent="0.3">
      <c r="B334" s="380" t="s">
        <v>14</v>
      </c>
      <c r="C334" s="409" t="s">
        <v>1011</v>
      </c>
      <c r="D334" s="418" t="s">
        <v>1012</v>
      </c>
      <c r="E334" s="419" t="s">
        <v>1366</v>
      </c>
      <c r="F334" s="387">
        <v>45974</v>
      </c>
      <c r="G334" s="380" t="s">
        <v>643</v>
      </c>
      <c r="H334" s="380">
        <v>1</v>
      </c>
      <c r="I334" s="388">
        <v>55200</v>
      </c>
      <c r="J334" s="380">
        <v>2</v>
      </c>
      <c r="K334" s="389">
        <f t="shared" si="16"/>
        <v>27600</v>
      </c>
      <c r="L334" s="381">
        <v>46023</v>
      </c>
      <c r="M334" s="381">
        <v>46387</v>
      </c>
      <c r="N334" s="663"/>
      <c r="O334" s="680"/>
      <c r="P334" s="363" t="s">
        <v>520</v>
      </c>
      <c r="Q334" s="380" t="s">
        <v>1337</v>
      </c>
      <c r="R334" s="380"/>
      <c r="S334" s="390" t="s">
        <v>607</v>
      </c>
      <c r="T334" s="363" t="s">
        <v>1859</v>
      </c>
      <c r="U334" s="363" t="s">
        <v>608</v>
      </c>
      <c r="V334" s="363"/>
      <c r="W334" s="363"/>
      <c r="X334" s="363"/>
      <c r="Y334" s="363"/>
      <c r="Z334" s="363"/>
      <c r="AA334" s="363"/>
      <c r="AB334" s="363"/>
      <c r="AC334" s="363"/>
      <c r="AD334" s="363"/>
      <c r="AE334" s="363" t="s">
        <v>619</v>
      </c>
      <c r="AF334" s="380" t="s">
        <v>63</v>
      </c>
      <c r="AG334" s="380" t="s">
        <v>1367</v>
      </c>
      <c r="AH334" s="363" t="s">
        <v>835</v>
      </c>
    </row>
    <row r="335" spans="2:34" ht="15" hidden="1" customHeight="1" x14ac:dyDescent="0.3">
      <c r="B335" s="380" t="s">
        <v>14</v>
      </c>
      <c r="C335" s="409" t="s">
        <v>195</v>
      </c>
      <c r="D335" s="483" t="s">
        <v>447</v>
      </c>
      <c r="E335" s="468" t="s">
        <v>1368</v>
      </c>
      <c r="F335" s="387">
        <v>45978</v>
      </c>
      <c r="G335" s="380" t="s">
        <v>643</v>
      </c>
      <c r="H335" s="380">
        <v>23</v>
      </c>
      <c r="I335" s="388">
        <v>1413120</v>
      </c>
      <c r="J335" s="380">
        <v>4</v>
      </c>
      <c r="K335" s="391">
        <f t="shared" si="16"/>
        <v>353280</v>
      </c>
      <c r="L335" s="381">
        <v>45979</v>
      </c>
      <c r="M335" s="381">
        <v>46343</v>
      </c>
      <c r="N335" s="663"/>
      <c r="O335" s="680"/>
      <c r="P335" s="363" t="s">
        <v>520</v>
      </c>
      <c r="Q335" s="380" t="s">
        <v>1337</v>
      </c>
      <c r="R335" s="380"/>
      <c r="S335" s="390" t="s">
        <v>1369</v>
      </c>
      <c r="T335" s="363" t="s">
        <v>441</v>
      </c>
      <c r="U335" s="390" t="s">
        <v>1370</v>
      </c>
      <c r="V335" s="363" t="s">
        <v>1723</v>
      </c>
      <c r="W335" s="363" t="s">
        <v>1371</v>
      </c>
      <c r="X335" s="363"/>
      <c r="Y335" s="363" t="s">
        <v>1372</v>
      </c>
      <c r="Z335" s="363"/>
      <c r="AA335" s="363"/>
      <c r="AB335" s="363"/>
      <c r="AC335" s="363"/>
      <c r="AD335" s="363"/>
      <c r="AE335" s="363" t="s">
        <v>96</v>
      </c>
      <c r="AF335" s="380" t="s">
        <v>97</v>
      </c>
      <c r="AG335" s="380" t="s">
        <v>494</v>
      </c>
      <c r="AH335" s="363" t="s">
        <v>667</v>
      </c>
    </row>
    <row r="336" spans="2:34" ht="15" hidden="1" customHeight="1" x14ac:dyDescent="0.3">
      <c r="B336" s="380" t="s">
        <v>14</v>
      </c>
      <c r="C336" s="482" t="s">
        <v>1359</v>
      </c>
      <c r="D336" s="483" t="s">
        <v>1360</v>
      </c>
      <c r="E336" s="468">
        <v>4500035464</v>
      </c>
      <c r="F336" s="387">
        <v>45943</v>
      </c>
      <c r="G336" s="380" t="s">
        <v>643</v>
      </c>
      <c r="H336" s="380">
        <v>2</v>
      </c>
      <c r="I336" s="388">
        <v>175000</v>
      </c>
      <c r="J336" s="380">
        <v>1</v>
      </c>
      <c r="K336" s="389">
        <f t="shared" si="16"/>
        <v>175000</v>
      </c>
      <c r="L336" s="381">
        <v>45943</v>
      </c>
      <c r="M336" s="381">
        <v>46124</v>
      </c>
      <c r="N336" s="663"/>
      <c r="O336" s="680"/>
      <c r="P336" s="363" t="s">
        <v>520</v>
      </c>
      <c r="Q336" s="380" t="s">
        <v>1337</v>
      </c>
      <c r="R336" s="380"/>
      <c r="S336" s="390" t="s">
        <v>1373</v>
      </c>
      <c r="T336" s="363" t="s">
        <v>1374</v>
      </c>
      <c r="U336" s="363"/>
      <c r="V336" s="363"/>
      <c r="W336" s="363"/>
      <c r="X336" s="363"/>
      <c r="Y336" s="363"/>
      <c r="Z336" s="363"/>
      <c r="AA336" s="363"/>
      <c r="AB336" s="363"/>
      <c r="AC336" s="363"/>
      <c r="AD336" s="363"/>
      <c r="AE336" s="363" t="s">
        <v>128</v>
      </c>
      <c r="AF336" s="380" t="s">
        <v>129</v>
      </c>
      <c r="AG336" s="380">
        <v>2</v>
      </c>
      <c r="AH336" s="363" t="s">
        <v>1272</v>
      </c>
    </row>
    <row r="337" spans="2:34" ht="15" hidden="1" customHeight="1" x14ac:dyDescent="0.3">
      <c r="B337" s="380" t="s">
        <v>14</v>
      </c>
      <c r="C337" s="482" t="s">
        <v>1359</v>
      </c>
      <c r="D337" s="483" t="s">
        <v>1360</v>
      </c>
      <c r="E337" s="468">
        <v>4500035465</v>
      </c>
      <c r="F337" s="387">
        <v>45943</v>
      </c>
      <c r="G337" s="380" t="s">
        <v>643</v>
      </c>
      <c r="H337" s="380">
        <v>2</v>
      </c>
      <c r="I337" s="388">
        <v>175000</v>
      </c>
      <c r="J337" s="380">
        <v>1</v>
      </c>
      <c r="K337" s="389">
        <f t="shared" si="16"/>
        <v>175000</v>
      </c>
      <c r="L337" s="381">
        <v>46125</v>
      </c>
      <c r="M337" s="381">
        <v>46307</v>
      </c>
      <c r="N337" s="663"/>
      <c r="O337" s="680"/>
      <c r="P337" s="363" t="s">
        <v>19</v>
      </c>
      <c r="Q337" s="380" t="s">
        <v>1285</v>
      </c>
      <c r="R337" s="380"/>
      <c r="S337" s="390" t="s">
        <v>1956</v>
      </c>
      <c r="T337" s="363" t="s">
        <v>1943</v>
      </c>
      <c r="U337" s="363"/>
      <c r="V337" s="363"/>
      <c r="W337" s="363"/>
      <c r="X337" s="363"/>
      <c r="Y337" s="363"/>
      <c r="Z337" s="363"/>
      <c r="AA337" s="363"/>
      <c r="AB337" s="363"/>
      <c r="AC337" s="363"/>
      <c r="AD337" s="363"/>
      <c r="AE337" s="363" t="s">
        <v>128</v>
      </c>
      <c r="AF337" s="380" t="s">
        <v>129</v>
      </c>
      <c r="AG337" s="380">
        <v>2</v>
      </c>
      <c r="AH337" s="363" t="s">
        <v>1272</v>
      </c>
    </row>
    <row r="338" spans="2:34" ht="15" hidden="1" customHeight="1" x14ac:dyDescent="0.3">
      <c r="B338" s="380" t="s">
        <v>14</v>
      </c>
      <c r="C338" s="409" t="s">
        <v>1377</v>
      </c>
      <c r="D338" s="423" t="s">
        <v>151</v>
      </c>
      <c r="E338" s="419">
        <v>4500089503</v>
      </c>
      <c r="F338" s="387">
        <v>45980</v>
      </c>
      <c r="G338" s="380" t="s">
        <v>643</v>
      </c>
      <c r="H338" s="380">
        <v>1</v>
      </c>
      <c r="I338" s="388">
        <v>100008</v>
      </c>
      <c r="J338" s="380">
        <v>3</v>
      </c>
      <c r="K338" s="389">
        <f t="shared" si="16"/>
        <v>33336</v>
      </c>
      <c r="L338" s="381">
        <v>45981</v>
      </c>
      <c r="M338" s="381">
        <v>46345</v>
      </c>
      <c r="N338" s="663"/>
      <c r="O338" s="680"/>
      <c r="P338" s="363" t="s">
        <v>520</v>
      </c>
      <c r="Q338" s="380" t="s">
        <v>1337</v>
      </c>
      <c r="R338" s="380"/>
      <c r="S338" s="390" t="s">
        <v>1378</v>
      </c>
      <c r="T338" s="363" t="s">
        <v>1162</v>
      </c>
      <c r="U338" s="363" t="s">
        <v>1379</v>
      </c>
      <c r="V338" s="363"/>
      <c r="W338" s="363" t="s">
        <v>1380</v>
      </c>
      <c r="X338" s="363"/>
      <c r="Y338" s="363"/>
      <c r="Z338" s="363"/>
      <c r="AA338" s="363"/>
      <c r="AB338" s="363"/>
      <c r="AC338" s="363"/>
      <c r="AD338" s="363"/>
      <c r="AE338" s="363" t="s">
        <v>507</v>
      </c>
      <c r="AF338" s="380" t="s">
        <v>63</v>
      </c>
      <c r="AG338" s="380">
        <v>3</v>
      </c>
      <c r="AH338" s="363" t="s">
        <v>1272</v>
      </c>
    </row>
    <row r="339" spans="2:34" ht="15" customHeight="1" x14ac:dyDescent="0.3">
      <c r="B339" s="380" t="s">
        <v>14</v>
      </c>
      <c r="C339" s="482" t="s">
        <v>658</v>
      </c>
      <c r="D339" s="483" t="s">
        <v>388</v>
      </c>
      <c r="E339" s="468" t="s">
        <v>1381</v>
      </c>
      <c r="F339" s="387">
        <v>45981</v>
      </c>
      <c r="G339" s="380" t="s">
        <v>643</v>
      </c>
      <c r="H339" s="380">
        <v>3</v>
      </c>
      <c r="I339" s="388">
        <v>204000</v>
      </c>
      <c r="J339" s="380">
        <v>2</v>
      </c>
      <c r="K339" s="391">
        <f t="shared" si="16"/>
        <v>102000</v>
      </c>
      <c r="L339" s="381">
        <v>45809</v>
      </c>
      <c r="M339" s="381">
        <v>46173</v>
      </c>
      <c r="N339" s="663"/>
      <c r="O339" s="680"/>
      <c r="P339" s="363" t="s">
        <v>19</v>
      </c>
      <c r="Q339" s="380" t="s">
        <v>9</v>
      </c>
      <c r="R339" s="380"/>
      <c r="S339" s="390" t="s">
        <v>125</v>
      </c>
      <c r="T339" s="363" t="s">
        <v>346</v>
      </c>
      <c r="U339" s="390" t="s">
        <v>127</v>
      </c>
      <c r="V339" s="363" t="s">
        <v>1852</v>
      </c>
      <c r="W339" s="363"/>
      <c r="X339" s="363"/>
      <c r="Y339" s="363"/>
      <c r="Z339" s="363"/>
      <c r="AA339" s="363"/>
      <c r="AB339" s="363"/>
      <c r="AC339" s="363"/>
      <c r="AD339" s="363"/>
      <c r="AE339" s="363" t="s">
        <v>478</v>
      </c>
      <c r="AF339" s="380" t="s">
        <v>63</v>
      </c>
      <c r="AG339" s="380">
        <v>3</v>
      </c>
      <c r="AH339" s="363" t="s">
        <v>1272</v>
      </c>
    </row>
    <row r="340" spans="2:34" ht="15" hidden="1" customHeight="1" x14ac:dyDescent="0.3">
      <c r="B340" s="380" t="s">
        <v>14</v>
      </c>
      <c r="C340" s="443" t="s">
        <v>1382</v>
      </c>
      <c r="D340" s="444" t="s">
        <v>1383</v>
      </c>
      <c r="E340" s="426">
        <v>3100343411</v>
      </c>
      <c r="F340" s="387">
        <v>45981</v>
      </c>
      <c r="G340" s="380" t="s">
        <v>643</v>
      </c>
      <c r="H340" s="380">
        <v>1</v>
      </c>
      <c r="I340" s="388">
        <v>55000</v>
      </c>
      <c r="J340" s="380">
        <v>1</v>
      </c>
      <c r="K340" s="389">
        <f t="shared" si="16"/>
        <v>55000</v>
      </c>
      <c r="L340" s="381">
        <v>45870</v>
      </c>
      <c r="M340" s="487">
        <v>46234</v>
      </c>
      <c r="N340" s="666"/>
      <c r="O340" s="683"/>
      <c r="P340" s="363"/>
      <c r="Q340" s="387"/>
      <c r="R340" s="380"/>
      <c r="S340" s="363" t="s">
        <v>1384</v>
      </c>
      <c r="T340" s="363"/>
      <c r="U340" s="363"/>
      <c r="V340" s="363"/>
      <c r="W340" s="363"/>
      <c r="X340" s="363"/>
      <c r="Y340" s="363"/>
      <c r="Z340" s="363"/>
      <c r="AA340" s="363"/>
      <c r="AB340" s="363"/>
      <c r="AC340" s="363"/>
      <c r="AD340" s="363"/>
      <c r="AE340" s="363" t="s">
        <v>507</v>
      </c>
      <c r="AF340" s="380" t="s">
        <v>63</v>
      </c>
      <c r="AG340" s="380" t="s">
        <v>1367</v>
      </c>
      <c r="AH340" s="363" t="s">
        <v>667</v>
      </c>
    </row>
    <row r="341" spans="2:34" ht="15" hidden="1" customHeight="1" x14ac:dyDescent="0.3">
      <c r="B341" s="380" t="s">
        <v>14</v>
      </c>
      <c r="C341" s="482" t="s">
        <v>1385</v>
      </c>
      <c r="D341" s="483" t="s">
        <v>151</v>
      </c>
      <c r="E341" s="468">
        <v>4500088897</v>
      </c>
      <c r="F341" s="488">
        <v>45958</v>
      </c>
      <c r="G341" s="380" t="s">
        <v>643</v>
      </c>
      <c r="H341" s="380">
        <v>2</v>
      </c>
      <c r="I341" s="388">
        <v>90000</v>
      </c>
      <c r="J341" s="380">
        <v>1</v>
      </c>
      <c r="K341" s="389">
        <f t="shared" si="16"/>
        <v>90000</v>
      </c>
      <c r="L341" s="381">
        <v>45962</v>
      </c>
      <c r="M341" s="381">
        <v>46326</v>
      </c>
      <c r="N341" s="663"/>
      <c r="O341" s="680"/>
      <c r="P341" s="363" t="s">
        <v>520</v>
      </c>
      <c r="Q341" s="380" t="s">
        <v>1337</v>
      </c>
      <c r="R341" s="380"/>
      <c r="S341" s="363" t="s">
        <v>1386</v>
      </c>
      <c r="T341" s="363"/>
      <c r="U341" s="363"/>
      <c r="V341" s="363"/>
      <c r="W341" s="363"/>
      <c r="X341" s="363"/>
      <c r="Y341" s="363"/>
      <c r="Z341" s="363"/>
      <c r="AA341" s="363"/>
      <c r="AB341" s="363"/>
      <c r="AC341" s="363"/>
      <c r="AD341" s="363"/>
      <c r="AE341" s="363" t="s">
        <v>478</v>
      </c>
      <c r="AF341" s="380" t="s">
        <v>63</v>
      </c>
      <c r="AG341" s="380">
        <v>1</v>
      </c>
      <c r="AH341" s="363" t="s">
        <v>667</v>
      </c>
    </row>
    <row r="342" spans="2:34" ht="15" hidden="1" customHeight="1" x14ac:dyDescent="0.3">
      <c r="B342" s="380" t="s">
        <v>14</v>
      </c>
      <c r="C342" s="478" t="s">
        <v>948</v>
      </c>
      <c r="D342" s="480" t="s">
        <v>987</v>
      </c>
      <c r="E342" s="425">
        <v>946532</v>
      </c>
      <c r="F342" s="415">
        <v>45955</v>
      </c>
      <c r="G342" s="380" t="s">
        <v>643</v>
      </c>
      <c r="H342" s="380">
        <v>2</v>
      </c>
      <c r="I342" s="388">
        <v>148960</v>
      </c>
      <c r="J342" s="380">
        <v>4</v>
      </c>
      <c r="K342" s="389">
        <f t="shared" si="16"/>
        <v>37240</v>
      </c>
      <c r="L342" s="381">
        <v>45962</v>
      </c>
      <c r="M342" s="381">
        <v>46326</v>
      </c>
      <c r="N342" s="663"/>
      <c r="O342" s="680"/>
      <c r="P342" s="363" t="s">
        <v>520</v>
      </c>
      <c r="Q342" s="380"/>
      <c r="R342" s="380"/>
      <c r="S342" s="390" t="s">
        <v>269</v>
      </c>
      <c r="T342" s="363" t="s">
        <v>1387</v>
      </c>
      <c r="U342" s="390" t="s">
        <v>442</v>
      </c>
      <c r="V342" s="363" t="s">
        <v>443</v>
      </c>
      <c r="W342" s="390" t="s">
        <v>444</v>
      </c>
      <c r="X342" s="363" t="s">
        <v>1943</v>
      </c>
      <c r="Y342" s="363" t="s">
        <v>445</v>
      </c>
      <c r="Z342" s="363"/>
      <c r="AA342" s="363"/>
      <c r="AB342" s="363"/>
      <c r="AC342" s="363"/>
      <c r="AD342" s="363"/>
      <c r="AE342" s="363" t="s">
        <v>551</v>
      </c>
      <c r="AF342" s="380" t="s">
        <v>207</v>
      </c>
      <c r="AG342" s="380">
        <v>4</v>
      </c>
      <c r="AH342" s="446">
        <v>1</v>
      </c>
    </row>
    <row r="343" spans="2:34" ht="15" hidden="1" customHeight="1" x14ac:dyDescent="0.3">
      <c r="B343" s="380" t="s">
        <v>14</v>
      </c>
      <c r="C343" s="409" t="s">
        <v>1095</v>
      </c>
      <c r="D343" s="489" t="s">
        <v>1258</v>
      </c>
      <c r="E343" s="380">
        <v>4513730038</v>
      </c>
      <c r="F343" s="488">
        <v>45973</v>
      </c>
      <c r="G343" s="380" t="s">
        <v>643</v>
      </c>
      <c r="H343" s="380"/>
      <c r="I343" s="388">
        <v>82000</v>
      </c>
      <c r="J343" s="380">
        <v>4</v>
      </c>
      <c r="K343" s="389">
        <f t="shared" si="16"/>
        <v>20500</v>
      </c>
      <c r="L343" s="381">
        <v>45870</v>
      </c>
      <c r="M343" s="381">
        <v>46234</v>
      </c>
      <c r="N343" s="663"/>
      <c r="O343" s="680"/>
      <c r="P343" s="363" t="s">
        <v>520</v>
      </c>
      <c r="Q343" s="380"/>
      <c r="R343" s="380"/>
      <c r="S343" s="390" t="s">
        <v>267</v>
      </c>
      <c r="T343" s="363" t="s">
        <v>1388</v>
      </c>
      <c r="U343" s="390" t="s">
        <v>269</v>
      </c>
      <c r="V343" s="363" t="s">
        <v>270</v>
      </c>
      <c r="W343" s="390" t="s">
        <v>442</v>
      </c>
      <c r="X343" s="363" t="s">
        <v>1727</v>
      </c>
      <c r="Y343" s="363" t="s">
        <v>444</v>
      </c>
      <c r="Z343" s="363"/>
      <c r="AA343" s="363"/>
      <c r="AB343" s="363"/>
      <c r="AC343" s="363"/>
      <c r="AD343" s="363"/>
      <c r="AE343" s="363" t="s">
        <v>619</v>
      </c>
      <c r="AF343" s="380" t="s">
        <v>63</v>
      </c>
      <c r="AG343" s="380">
        <v>4</v>
      </c>
      <c r="AH343" s="363" t="s">
        <v>667</v>
      </c>
    </row>
    <row r="344" spans="2:34" ht="15" hidden="1" customHeight="1" x14ac:dyDescent="0.3">
      <c r="B344" s="380" t="s">
        <v>14</v>
      </c>
      <c r="C344" s="409" t="s">
        <v>1095</v>
      </c>
      <c r="D344" s="489" t="s">
        <v>1258</v>
      </c>
      <c r="E344" s="380">
        <v>4513730038</v>
      </c>
      <c r="F344" s="488">
        <v>45973</v>
      </c>
      <c r="G344" s="380" t="s">
        <v>643</v>
      </c>
      <c r="H344" s="380"/>
      <c r="I344" s="388">
        <v>82000</v>
      </c>
      <c r="J344" s="380">
        <v>4</v>
      </c>
      <c r="K344" s="389">
        <f t="shared" si="16"/>
        <v>20500</v>
      </c>
      <c r="L344" s="381">
        <v>46235</v>
      </c>
      <c r="M344" s="381">
        <v>46599</v>
      </c>
      <c r="N344" s="663"/>
      <c r="O344" s="680"/>
      <c r="P344" s="363" t="s">
        <v>520</v>
      </c>
      <c r="Q344" s="380"/>
      <c r="R344" s="380"/>
      <c r="S344" s="363" t="s">
        <v>445</v>
      </c>
      <c r="T344" s="363"/>
      <c r="U344" s="363" t="s">
        <v>456</v>
      </c>
      <c r="V344" s="363"/>
      <c r="W344" s="363" t="s">
        <v>457</v>
      </c>
      <c r="X344" s="363"/>
      <c r="Y344" s="363" t="s">
        <v>458</v>
      </c>
      <c r="Z344" s="363"/>
      <c r="AA344" s="363"/>
      <c r="AB344" s="363"/>
      <c r="AC344" s="363"/>
      <c r="AD344" s="363"/>
      <c r="AE344" s="363" t="s">
        <v>619</v>
      </c>
      <c r="AF344" s="380" t="s">
        <v>63</v>
      </c>
      <c r="AG344" s="380">
        <v>4</v>
      </c>
      <c r="AH344" s="363" t="s">
        <v>667</v>
      </c>
    </row>
    <row r="345" spans="2:34" ht="15" hidden="1" customHeight="1" x14ac:dyDescent="0.3">
      <c r="B345" s="380" t="s">
        <v>14</v>
      </c>
      <c r="C345" s="409" t="s">
        <v>1095</v>
      </c>
      <c r="D345" s="489" t="s">
        <v>1258</v>
      </c>
      <c r="E345" s="380">
        <v>4513730038</v>
      </c>
      <c r="F345" s="488">
        <v>45973</v>
      </c>
      <c r="G345" s="380" t="s">
        <v>643</v>
      </c>
      <c r="H345" s="380">
        <v>1</v>
      </c>
      <c r="I345" s="388">
        <v>90200</v>
      </c>
      <c r="J345" s="380">
        <v>4</v>
      </c>
      <c r="K345" s="389">
        <f t="shared" si="16"/>
        <v>22550</v>
      </c>
      <c r="L345" s="381">
        <v>46600</v>
      </c>
      <c r="M345" s="381">
        <v>46965</v>
      </c>
      <c r="N345" s="663"/>
      <c r="O345" s="680"/>
      <c r="P345" s="363" t="s">
        <v>520</v>
      </c>
      <c r="Q345" s="380"/>
      <c r="R345" s="380"/>
      <c r="S345" s="363" t="s">
        <v>459</v>
      </c>
      <c r="T345" s="363"/>
      <c r="U345" s="363" t="s">
        <v>893</v>
      </c>
      <c r="V345" s="363"/>
      <c r="W345" s="363" t="s">
        <v>894</v>
      </c>
      <c r="X345" s="363"/>
      <c r="Y345" s="363" t="s">
        <v>1259</v>
      </c>
      <c r="Z345" s="363"/>
      <c r="AA345" s="363"/>
      <c r="AB345" s="363"/>
      <c r="AC345" s="363"/>
      <c r="AD345" s="363"/>
      <c r="AE345" s="363" t="s">
        <v>619</v>
      </c>
      <c r="AF345" s="380" t="s">
        <v>63</v>
      </c>
      <c r="AG345" s="380">
        <v>4</v>
      </c>
      <c r="AH345" s="363" t="s">
        <v>667</v>
      </c>
    </row>
    <row r="346" spans="2:34" ht="15" hidden="1" customHeight="1" x14ac:dyDescent="0.3">
      <c r="B346" s="380" t="s">
        <v>14</v>
      </c>
      <c r="C346" s="482" t="s">
        <v>1389</v>
      </c>
      <c r="D346" s="483" t="s">
        <v>1088</v>
      </c>
      <c r="E346" s="490">
        <v>132964</v>
      </c>
      <c r="F346" s="488">
        <v>45981</v>
      </c>
      <c r="G346" s="380" t="s">
        <v>643</v>
      </c>
      <c r="H346" s="380">
        <v>4</v>
      </c>
      <c r="I346" s="388">
        <v>300000</v>
      </c>
      <c r="J346" s="380">
        <v>4</v>
      </c>
      <c r="K346" s="389">
        <f t="shared" si="16"/>
        <v>75000</v>
      </c>
      <c r="L346" s="381">
        <v>45931</v>
      </c>
      <c r="M346" s="381">
        <v>46295</v>
      </c>
      <c r="N346" s="663"/>
      <c r="O346" s="680"/>
      <c r="P346" s="363" t="s">
        <v>520</v>
      </c>
      <c r="Q346" s="380"/>
      <c r="R346" s="380"/>
      <c r="S346" s="390" t="s">
        <v>228</v>
      </c>
      <c r="T346" s="363" t="s">
        <v>873</v>
      </c>
      <c r="U346" s="390" t="s">
        <v>396</v>
      </c>
      <c r="V346" s="363" t="s">
        <v>1093</v>
      </c>
      <c r="W346" s="390" t="s">
        <v>397</v>
      </c>
      <c r="X346" s="363" t="s">
        <v>1843</v>
      </c>
      <c r="Y346" s="363" t="s">
        <v>496</v>
      </c>
      <c r="Z346" s="363"/>
      <c r="AA346" s="363"/>
      <c r="AB346" s="363"/>
      <c r="AC346" s="363"/>
      <c r="AD346" s="363"/>
      <c r="AE346" s="363" t="s">
        <v>96</v>
      </c>
      <c r="AF346" s="380" t="s">
        <v>97</v>
      </c>
      <c r="AG346" s="380">
        <v>4</v>
      </c>
      <c r="AH346" s="363" t="s">
        <v>667</v>
      </c>
    </row>
    <row r="347" spans="2:34" ht="15" hidden="1" customHeight="1" x14ac:dyDescent="0.3">
      <c r="B347" s="380" t="s">
        <v>14</v>
      </c>
      <c r="C347" s="482" t="s">
        <v>1158</v>
      </c>
      <c r="D347" s="483" t="s">
        <v>801</v>
      </c>
      <c r="E347" s="468">
        <v>1600036220</v>
      </c>
      <c r="F347" s="488">
        <v>46000</v>
      </c>
      <c r="G347" s="380" t="s">
        <v>643</v>
      </c>
      <c r="H347" s="380">
        <v>1</v>
      </c>
      <c r="I347" s="388">
        <v>71250</v>
      </c>
      <c r="J347" s="380">
        <v>3</v>
      </c>
      <c r="K347" s="389">
        <f t="shared" si="16"/>
        <v>23750</v>
      </c>
      <c r="L347" s="381">
        <v>45658</v>
      </c>
      <c r="M347" s="381">
        <v>46387</v>
      </c>
      <c r="N347" s="663"/>
      <c r="O347" s="680"/>
      <c r="P347" s="363" t="s">
        <v>520</v>
      </c>
      <c r="Q347" s="380"/>
      <c r="R347" s="380"/>
      <c r="S347" s="390" t="s">
        <v>347</v>
      </c>
      <c r="T347" s="363" t="s">
        <v>626</v>
      </c>
      <c r="U347" s="363" t="s">
        <v>348</v>
      </c>
      <c r="V347" s="363"/>
      <c r="W347" s="363" t="s">
        <v>349</v>
      </c>
      <c r="X347" s="363"/>
      <c r="Y347" s="363"/>
      <c r="Z347" s="363"/>
      <c r="AA347" s="363"/>
      <c r="AB347" s="363"/>
      <c r="AC347" s="363"/>
      <c r="AD347" s="363"/>
      <c r="AE347" s="363" t="s">
        <v>485</v>
      </c>
      <c r="AF347" s="380" t="s">
        <v>63</v>
      </c>
      <c r="AG347" s="380">
        <v>3</v>
      </c>
      <c r="AH347" s="363" t="s">
        <v>804</v>
      </c>
    </row>
    <row r="348" spans="2:34" ht="15" hidden="1" customHeight="1" x14ac:dyDescent="0.3">
      <c r="B348" s="380" t="s">
        <v>14</v>
      </c>
      <c r="C348" s="482" t="s">
        <v>1390</v>
      </c>
      <c r="D348" s="483" t="s">
        <v>1391</v>
      </c>
      <c r="E348" s="468" t="s">
        <v>1392</v>
      </c>
      <c r="F348" s="488">
        <v>46003</v>
      </c>
      <c r="G348" s="380" t="s">
        <v>643</v>
      </c>
      <c r="H348" s="380">
        <v>1</v>
      </c>
      <c r="I348" s="388">
        <v>86000</v>
      </c>
      <c r="J348" s="380">
        <v>2</v>
      </c>
      <c r="K348" s="389">
        <f t="shared" si="16"/>
        <v>43000</v>
      </c>
      <c r="L348" s="381">
        <v>46003</v>
      </c>
      <c r="M348" s="381">
        <v>46367</v>
      </c>
      <c r="N348" s="663"/>
      <c r="O348" s="680"/>
      <c r="P348" s="363" t="s">
        <v>520</v>
      </c>
      <c r="Q348" s="380"/>
      <c r="R348" s="380"/>
      <c r="S348" s="390" t="s">
        <v>1393</v>
      </c>
      <c r="T348" s="363" t="s">
        <v>930</v>
      </c>
      <c r="U348" s="363" t="s">
        <v>1394</v>
      </c>
      <c r="V348" s="363"/>
      <c r="W348" s="363"/>
      <c r="X348" s="363"/>
      <c r="Y348" s="363"/>
      <c r="Z348" s="363"/>
      <c r="AA348" s="363"/>
      <c r="AB348" s="363"/>
      <c r="AC348" s="363"/>
      <c r="AD348" s="363"/>
      <c r="AE348" s="363" t="s">
        <v>485</v>
      </c>
      <c r="AF348" s="380" t="s">
        <v>63</v>
      </c>
      <c r="AG348" s="380">
        <v>2</v>
      </c>
      <c r="AH348" s="363" t="s">
        <v>804</v>
      </c>
    </row>
    <row r="349" spans="2:34" ht="15" hidden="1" customHeight="1" x14ac:dyDescent="0.3">
      <c r="B349" s="380" t="s">
        <v>14</v>
      </c>
      <c r="C349" s="363" t="s">
        <v>1395</v>
      </c>
      <c r="D349" s="386" t="s">
        <v>86</v>
      </c>
      <c r="E349" s="380" t="s">
        <v>1396</v>
      </c>
      <c r="F349" s="387">
        <v>46000</v>
      </c>
      <c r="G349" s="407" t="s">
        <v>703</v>
      </c>
      <c r="H349" s="380"/>
      <c r="I349" s="388">
        <v>220000</v>
      </c>
      <c r="J349" s="380">
        <v>4</v>
      </c>
      <c r="K349" s="389">
        <f t="shared" si="16"/>
        <v>55000</v>
      </c>
      <c r="L349" s="381">
        <v>46023</v>
      </c>
      <c r="M349" s="381">
        <v>46387</v>
      </c>
      <c r="N349" s="663"/>
      <c r="O349" s="680"/>
      <c r="P349" s="363" t="s">
        <v>520</v>
      </c>
      <c r="Q349" s="380"/>
      <c r="R349" s="380"/>
      <c r="S349" s="390" t="s">
        <v>396</v>
      </c>
      <c r="T349" s="363" t="s">
        <v>1397</v>
      </c>
      <c r="U349" s="390" t="s">
        <v>397</v>
      </c>
      <c r="V349" s="363" t="s">
        <v>1845</v>
      </c>
      <c r="W349" s="363" t="s">
        <v>496</v>
      </c>
      <c r="X349" s="363"/>
      <c r="Y349" s="363" t="s">
        <v>497</v>
      </c>
      <c r="Z349" s="363"/>
      <c r="AA349" s="363"/>
      <c r="AB349" s="363"/>
      <c r="AC349" s="363"/>
      <c r="AD349" s="363"/>
      <c r="AE349" s="363" t="s">
        <v>96</v>
      </c>
      <c r="AF349" s="380" t="s">
        <v>97</v>
      </c>
      <c r="AG349" s="380" t="s">
        <v>494</v>
      </c>
      <c r="AH349" s="363" t="s">
        <v>667</v>
      </c>
    </row>
    <row r="350" spans="2:34" ht="15" hidden="1" customHeight="1" x14ac:dyDescent="0.3">
      <c r="B350" s="380" t="s">
        <v>14</v>
      </c>
      <c r="C350" s="363" t="s">
        <v>1395</v>
      </c>
      <c r="D350" s="386" t="s">
        <v>86</v>
      </c>
      <c r="E350" s="380" t="s">
        <v>1396</v>
      </c>
      <c r="F350" s="387">
        <v>46000</v>
      </c>
      <c r="G350" s="407" t="s">
        <v>703</v>
      </c>
      <c r="H350" s="380"/>
      <c r="I350" s="388">
        <v>220000</v>
      </c>
      <c r="J350" s="380">
        <v>4</v>
      </c>
      <c r="K350" s="389">
        <f t="shared" si="16"/>
        <v>55000</v>
      </c>
      <c r="L350" s="381">
        <v>46388</v>
      </c>
      <c r="M350" s="381">
        <v>46752</v>
      </c>
      <c r="N350" s="663"/>
      <c r="O350" s="680"/>
      <c r="P350" s="363" t="s">
        <v>520</v>
      </c>
      <c r="Q350" s="380"/>
      <c r="R350" s="380"/>
      <c r="S350" s="363" t="s">
        <v>498</v>
      </c>
      <c r="T350" s="363"/>
      <c r="U350" s="363" t="s">
        <v>499</v>
      </c>
      <c r="V350" s="363"/>
      <c r="W350" s="363" t="s">
        <v>500</v>
      </c>
      <c r="X350" s="363"/>
      <c r="Y350" s="363" t="s">
        <v>501</v>
      </c>
      <c r="Z350" s="363"/>
      <c r="AA350" s="363"/>
      <c r="AB350" s="363"/>
      <c r="AC350" s="363"/>
      <c r="AD350" s="363"/>
      <c r="AE350" s="363" t="s">
        <v>96</v>
      </c>
      <c r="AF350" s="380" t="s">
        <v>97</v>
      </c>
      <c r="AG350" s="380" t="s">
        <v>494</v>
      </c>
      <c r="AH350" s="363" t="s">
        <v>667</v>
      </c>
    </row>
    <row r="351" spans="2:34" ht="15" hidden="1" customHeight="1" x14ac:dyDescent="0.3">
      <c r="B351" s="380" t="s">
        <v>14</v>
      </c>
      <c r="C351" s="363" t="s">
        <v>1395</v>
      </c>
      <c r="D351" s="386" t="s">
        <v>86</v>
      </c>
      <c r="E351" s="380" t="s">
        <v>1396</v>
      </c>
      <c r="F351" s="387">
        <v>46000</v>
      </c>
      <c r="G351" s="407" t="s">
        <v>703</v>
      </c>
      <c r="H351" s="380">
        <v>1</v>
      </c>
      <c r="I351" s="388">
        <v>220000</v>
      </c>
      <c r="J351" s="380">
        <v>4</v>
      </c>
      <c r="K351" s="389">
        <f t="shared" si="16"/>
        <v>55000</v>
      </c>
      <c r="L351" s="381">
        <v>46753</v>
      </c>
      <c r="M351" s="381">
        <v>47118</v>
      </c>
      <c r="N351" s="663"/>
      <c r="O351" s="680"/>
      <c r="P351" s="363" t="s">
        <v>520</v>
      </c>
      <c r="Q351" s="380"/>
      <c r="R351" s="380"/>
      <c r="S351" s="363" t="s">
        <v>674</v>
      </c>
      <c r="T351" s="363"/>
      <c r="U351" s="363" t="s">
        <v>1279</v>
      </c>
      <c r="V351" s="363"/>
      <c r="W351" s="363" t="s">
        <v>1280</v>
      </c>
      <c r="X351" s="363"/>
      <c r="Y351" s="363" t="s">
        <v>1398</v>
      </c>
      <c r="Z351" s="363"/>
      <c r="AA351" s="363"/>
      <c r="AB351" s="363"/>
      <c r="AC351" s="363"/>
      <c r="AD351" s="363"/>
      <c r="AE351" s="363" t="s">
        <v>96</v>
      </c>
      <c r="AF351" s="380" t="s">
        <v>97</v>
      </c>
      <c r="AG351" s="380" t="s">
        <v>494</v>
      </c>
      <c r="AH351" s="363" t="s">
        <v>667</v>
      </c>
    </row>
    <row r="352" spans="2:34" ht="15" hidden="1" customHeight="1" x14ac:dyDescent="0.3">
      <c r="B352" s="380" t="s">
        <v>14</v>
      </c>
      <c r="C352" s="478" t="s">
        <v>508</v>
      </c>
      <c r="D352" s="480" t="s">
        <v>866</v>
      </c>
      <c r="E352" s="481" t="s">
        <v>1399</v>
      </c>
      <c r="F352" s="488">
        <v>46002</v>
      </c>
      <c r="G352" s="380" t="s">
        <v>643</v>
      </c>
      <c r="H352" s="380">
        <v>2</v>
      </c>
      <c r="I352" s="388">
        <v>178000</v>
      </c>
      <c r="J352" s="380">
        <v>3</v>
      </c>
      <c r="K352" s="389">
        <f t="shared" si="16"/>
        <v>59333.333333333336</v>
      </c>
      <c r="L352" s="381">
        <v>46011</v>
      </c>
      <c r="M352" s="381">
        <v>46375</v>
      </c>
      <c r="N352" s="663"/>
      <c r="O352" s="680"/>
      <c r="P352" s="363" t="s">
        <v>520</v>
      </c>
      <c r="Q352" s="380"/>
      <c r="R352" s="380"/>
      <c r="S352" s="390" t="s">
        <v>1400</v>
      </c>
      <c r="T352" s="363" t="s">
        <v>1401</v>
      </c>
      <c r="U352" s="363" t="s">
        <v>1402</v>
      </c>
      <c r="V352" s="363" t="s">
        <v>1864</v>
      </c>
      <c r="W352" s="363" t="s">
        <v>1404</v>
      </c>
      <c r="X352" s="363"/>
      <c r="Y352" s="363"/>
      <c r="Z352" s="363"/>
      <c r="AA352" s="363"/>
      <c r="AB352" s="363"/>
      <c r="AC352" s="363"/>
      <c r="AD352" s="363"/>
      <c r="AE352" s="363" t="s">
        <v>96</v>
      </c>
      <c r="AF352" s="380" t="s">
        <v>97</v>
      </c>
      <c r="AG352" s="380" t="s">
        <v>494</v>
      </c>
      <c r="AH352" s="363" t="s">
        <v>1405</v>
      </c>
    </row>
    <row r="353" spans="2:34" ht="15" hidden="1" customHeight="1" x14ac:dyDescent="0.3">
      <c r="B353" s="380" t="s">
        <v>14</v>
      </c>
      <c r="C353" s="430" t="s">
        <v>527</v>
      </c>
      <c r="D353" s="445" t="s">
        <v>131</v>
      </c>
      <c r="E353" s="419">
        <v>7001094920</v>
      </c>
      <c r="F353" s="488">
        <v>45947</v>
      </c>
      <c r="G353" s="380" t="s">
        <v>643</v>
      </c>
      <c r="H353" s="380">
        <v>1</v>
      </c>
      <c r="I353" s="388">
        <v>78750</v>
      </c>
      <c r="J353" s="380">
        <v>2</v>
      </c>
      <c r="K353" s="389">
        <f t="shared" si="16"/>
        <v>39375</v>
      </c>
      <c r="L353" s="381">
        <v>45931</v>
      </c>
      <c r="M353" s="381">
        <v>46295</v>
      </c>
      <c r="N353" s="663"/>
      <c r="O353" s="680"/>
      <c r="P353" s="363" t="s">
        <v>520</v>
      </c>
      <c r="Q353" s="363"/>
      <c r="R353" s="363"/>
      <c r="S353" s="390" t="s">
        <v>465</v>
      </c>
      <c r="T353" s="363" t="s">
        <v>1314</v>
      </c>
      <c r="U353" s="363" t="s">
        <v>467</v>
      </c>
      <c r="V353" s="363"/>
      <c r="W353" s="363"/>
      <c r="X353" s="363"/>
      <c r="Y353" s="363"/>
      <c r="Z353" s="363"/>
      <c r="AA353" s="363"/>
      <c r="AB353" s="363"/>
      <c r="AC353" s="363"/>
      <c r="AD353" s="363"/>
      <c r="AE353" s="363" t="s">
        <v>485</v>
      </c>
      <c r="AF353" s="380" t="s">
        <v>63</v>
      </c>
      <c r="AG353" s="380">
        <v>2</v>
      </c>
      <c r="AH353" s="363" t="s">
        <v>799</v>
      </c>
    </row>
    <row r="354" spans="2:34" ht="15" hidden="1" customHeight="1" x14ac:dyDescent="0.3">
      <c r="B354" s="380" t="s">
        <v>14</v>
      </c>
      <c r="C354" s="430" t="s">
        <v>527</v>
      </c>
      <c r="D354" s="445" t="s">
        <v>131</v>
      </c>
      <c r="E354" s="419">
        <v>7001175723</v>
      </c>
      <c r="F354" s="488">
        <v>46019</v>
      </c>
      <c r="G354" s="380" t="s">
        <v>643</v>
      </c>
      <c r="H354" s="380">
        <v>1</v>
      </c>
      <c r="I354" s="388">
        <v>78750</v>
      </c>
      <c r="J354" s="380">
        <v>2</v>
      </c>
      <c r="K354" s="389">
        <f t="shared" si="16"/>
        <v>39375</v>
      </c>
      <c r="L354" s="381">
        <v>45658</v>
      </c>
      <c r="M354" s="381">
        <v>46387</v>
      </c>
      <c r="N354" s="663"/>
      <c r="O354" s="680"/>
      <c r="P354" s="363" t="s">
        <v>520</v>
      </c>
      <c r="Q354" s="363"/>
      <c r="R354" s="363"/>
      <c r="S354" s="390" t="s">
        <v>607</v>
      </c>
      <c r="T354" s="363" t="s">
        <v>1338</v>
      </c>
      <c r="U354" s="363" t="s">
        <v>608</v>
      </c>
      <c r="V354" s="363"/>
      <c r="W354" s="363"/>
      <c r="X354" s="363"/>
      <c r="Y354" s="363"/>
      <c r="Z354" s="363"/>
      <c r="AA354" s="363"/>
      <c r="AB354" s="363"/>
      <c r="AC354" s="363"/>
      <c r="AD354" s="363"/>
      <c r="AE354" s="363" t="s">
        <v>485</v>
      </c>
      <c r="AF354" s="380" t="s">
        <v>63</v>
      </c>
      <c r="AG354" s="380">
        <v>2</v>
      </c>
      <c r="AH354" s="363" t="s">
        <v>799</v>
      </c>
    </row>
    <row r="355" spans="2:34" ht="15" hidden="1" customHeight="1" x14ac:dyDescent="0.3">
      <c r="B355" s="380" t="s">
        <v>14</v>
      </c>
      <c r="C355" s="482" t="s">
        <v>609</v>
      </c>
      <c r="D355" s="483" t="s">
        <v>131</v>
      </c>
      <c r="E355" s="491">
        <v>2100055536</v>
      </c>
      <c r="F355" s="488">
        <v>46017</v>
      </c>
      <c r="G355" s="380" t="s">
        <v>643</v>
      </c>
      <c r="H355" s="380">
        <v>2</v>
      </c>
      <c r="I355" s="388">
        <v>180000</v>
      </c>
      <c r="J355" s="380">
        <v>2</v>
      </c>
      <c r="K355" s="389">
        <f t="shared" si="16"/>
        <v>90000</v>
      </c>
      <c r="L355" s="381">
        <v>46014</v>
      </c>
      <c r="M355" s="381">
        <v>46378</v>
      </c>
      <c r="N355" s="663"/>
      <c r="O355" s="680"/>
      <c r="P355" s="363" t="s">
        <v>520</v>
      </c>
      <c r="Q355" s="363"/>
      <c r="R355" s="363"/>
      <c r="S355" s="390" t="s">
        <v>1406</v>
      </c>
      <c r="T355" s="363" t="s">
        <v>1169</v>
      </c>
      <c r="U355" s="363" t="s">
        <v>1407</v>
      </c>
      <c r="V355" s="363"/>
      <c r="W355" s="363"/>
      <c r="X355" s="363"/>
      <c r="Y355" s="363"/>
      <c r="Z355" s="363"/>
      <c r="AA355" s="363"/>
      <c r="AB355" s="363"/>
      <c r="AC355" s="363"/>
      <c r="AD355" s="363"/>
      <c r="AE355" s="363" t="s">
        <v>485</v>
      </c>
      <c r="AF355" s="380" t="s">
        <v>63</v>
      </c>
      <c r="AG355" s="380">
        <v>2</v>
      </c>
      <c r="AH355" s="363" t="s">
        <v>667</v>
      </c>
    </row>
    <row r="356" spans="2:34" ht="15" hidden="1" customHeight="1" x14ac:dyDescent="0.3">
      <c r="B356" s="380" t="s">
        <v>14</v>
      </c>
      <c r="C356" s="482" t="s">
        <v>130</v>
      </c>
      <c r="D356" s="483" t="s">
        <v>131</v>
      </c>
      <c r="E356" s="468">
        <v>6800050248</v>
      </c>
      <c r="F356" s="488">
        <v>46015</v>
      </c>
      <c r="G356" s="380" t="s">
        <v>643</v>
      </c>
      <c r="H356" s="380">
        <v>1</v>
      </c>
      <c r="I356" s="388">
        <v>90000</v>
      </c>
      <c r="J356" s="380">
        <v>3</v>
      </c>
      <c r="K356" s="389">
        <f t="shared" si="16"/>
        <v>30000</v>
      </c>
      <c r="L356" s="381">
        <v>46023</v>
      </c>
      <c r="M356" s="381">
        <v>46387</v>
      </c>
      <c r="N356" s="663"/>
      <c r="O356" s="680"/>
      <c r="P356" s="363" t="s">
        <v>520</v>
      </c>
      <c r="Q356" s="363"/>
      <c r="R356" s="363"/>
      <c r="S356" s="390" t="s">
        <v>347</v>
      </c>
      <c r="T356" s="363" t="s">
        <v>828</v>
      </c>
      <c r="U356" s="363" t="s">
        <v>348</v>
      </c>
      <c r="V356" s="363"/>
      <c r="W356" s="363" t="s">
        <v>349</v>
      </c>
      <c r="X356" s="363"/>
      <c r="Y356" s="363"/>
      <c r="Z356" s="363"/>
      <c r="AA356" s="363"/>
      <c r="AB356" s="363"/>
      <c r="AC356" s="363"/>
      <c r="AD356" s="363"/>
      <c r="AE356" s="363" t="s">
        <v>485</v>
      </c>
      <c r="AF356" s="380" t="s">
        <v>63</v>
      </c>
      <c r="AG356" s="380">
        <v>2</v>
      </c>
      <c r="AH356" s="363" t="s">
        <v>1408</v>
      </c>
    </row>
    <row r="357" spans="2:34" ht="15" hidden="1" customHeight="1" x14ac:dyDescent="0.3">
      <c r="B357" s="380" t="s">
        <v>14</v>
      </c>
      <c r="C357" s="482" t="s">
        <v>1385</v>
      </c>
      <c r="D357" s="483" t="s">
        <v>151</v>
      </c>
      <c r="E357" s="468">
        <v>4500089764</v>
      </c>
      <c r="F357" s="488">
        <v>46006</v>
      </c>
      <c r="G357" s="380" t="s">
        <v>643</v>
      </c>
      <c r="H357" s="380">
        <v>1</v>
      </c>
      <c r="I357" s="388">
        <v>45000</v>
      </c>
      <c r="J357" s="380">
        <v>1</v>
      </c>
      <c r="K357" s="389">
        <f t="shared" si="16"/>
        <v>45000</v>
      </c>
      <c r="L357" s="381">
        <v>45992</v>
      </c>
      <c r="M357" s="381">
        <v>46356</v>
      </c>
      <c r="N357" s="663"/>
      <c r="O357" s="680"/>
      <c r="P357" s="363" t="s">
        <v>520</v>
      </c>
      <c r="Q357" s="363"/>
      <c r="R357" s="363"/>
      <c r="S357" s="390" t="s">
        <v>1409</v>
      </c>
      <c r="T357" s="363" t="s">
        <v>1093</v>
      </c>
      <c r="U357" s="363"/>
      <c r="V357" s="363"/>
      <c r="W357" s="363"/>
      <c r="X357" s="363"/>
      <c r="Y357" s="363"/>
      <c r="Z357" s="363"/>
      <c r="AA357" s="363"/>
      <c r="AB357" s="363"/>
      <c r="AC357" s="363"/>
      <c r="AD357" s="363"/>
      <c r="AE357" s="363" t="s">
        <v>478</v>
      </c>
      <c r="AF357" s="380" t="s">
        <v>63</v>
      </c>
      <c r="AG357" s="380">
        <v>1</v>
      </c>
      <c r="AH357" s="363" t="s">
        <v>667</v>
      </c>
    </row>
    <row r="358" spans="2:34" ht="15" hidden="1" customHeight="1" x14ac:dyDescent="0.3">
      <c r="B358" s="380" t="s">
        <v>14</v>
      </c>
      <c r="C358" s="409" t="s">
        <v>1410</v>
      </c>
      <c r="D358" s="489" t="s">
        <v>447</v>
      </c>
      <c r="E358" s="492" t="s">
        <v>1411</v>
      </c>
      <c r="F358" s="488">
        <v>46020</v>
      </c>
      <c r="G358" s="380" t="s">
        <v>643</v>
      </c>
      <c r="H358" s="380">
        <v>3</v>
      </c>
      <c r="I358" s="388">
        <v>333000</v>
      </c>
      <c r="J358" s="380">
        <v>4</v>
      </c>
      <c r="K358" s="389">
        <f t="shared" si="16"/>
        <v>83250</v>
      </c>
      <c r="L358" s="381">
        <v>46023</v>
      </c>
      <c r="M358" s="381">
        <v>46387</v>
      </c>
      <c r="N358" s="663"/>
      <c r="O358" s="680"/>
      <c r="P358" s="363" t="s">
        <v>520</v>
      </c>
      <c r="Q358" s="363"/>
      <c r="R358" s="363"/>
      <c r="S358" s="390" t="s">
        <v>396</v>
      </c>
      <c r="T358" s="363" t="s">
        <v>1412</v>
      </c>
      <c r="U358" s="390" t="s">
        <v>397</v>
      </c>
      <c r="V358" s="363" t="s">
        <v>1855</v>
      </c>
      <c r="W358" s="363" t="s">
        <v>496</v>
      </c>
      <c r="X358" s="363"/>
      <c r="Y358" s="363" t="s">
        <v>497</v>
      </c>
      <c r="Z358" s="363"/>
      <c r="AA358" s="363"/>
      <c r="AB358" s="363"/>
      <c r="AC358" s="363"/>
      <c r="AD358" s="363"/>
      <c r="AE358" s="363" t="s">
        <v>96</v>
      </c>
      <c r="AF358" s="380" t="s">
        <v>97</v>
      </c>
      <c r="AG358" s="380" t="s">
        <v>494</v>
      </c>
      <c r="AH358" s="363" t="s">
        <v>799</v>
      </c>
    </row>
    <row r="359" spans="2:34" ht="15" hidden="1" customHeight="1" x14ac:dyDescent="0.3">
      <c r="B359" s="380" t="s">
        <v>0</v>
      </c>
      <c r="C359" s="482" t="s">
        <v>565</v>
      </c>
      <c r="D359" s="483" t="s">
        <v>566</v>
      </c>
      <c r="E359" s="468">
        <v>1011707106</v>
      </c>
      <c r="F359" s="488">
        <v>46025</v>
      </c>
      <c r="G359" s="380" t="s">
        <v>643</v>
      </c>
      <c r="H359" s="380">
        <v>1</v>
      </c>
      <c r="I359" s="388">
        <v>82450</v>
      </c>
      <c r="J359" s="380">
        <v>2</v>
      </c>
      <c r="K359" s="391">
        <f t="shared" si="16"/>
        <v>41225</v>
      </c>
      <c r="L359" s="381">
        <v>45992</v>
      </c>
      <c r="M359" s="381">
        <v>46356</v>
      </c>
      <c r="N359" s="663"/>
      <c r="O359" s="680"/>
      <c r="P359" s="363" t="s">
        <v>520</v>
      </c>
      <c r="Q359" s="380"/>
      <c r="R359" s="380"/>
      <c r="S359" s="390" t="s">
        <v>127</v>
      </c>
      <c r="T359" s="363" t="s">
        <v>1413</v>
      </c>
      <c r="U359" s="363" t="s">
        <v>1414</v>
      </c>
      <c r="V359" s="363"/>
      <c r="W359" s="363"/>
      <c r="X359" s="363"/>
      <c r="Y359" s="363"/>
      <c r="Z359" s="363"/>
      <c r="AA359" s="363"/>
      <c r="AB359" s="363"/>
      <c r="AC359" s="363"/>
      <c r="AD359" s="363"/>
      <c r="AE359" s="363" t="s">
        <v>551</v>
      </c>
      <c r="AF359" s="380" t="s">
        <v>207</v>
      </c>
      <c r="AG359" s="380">
        <v>1</v>
      </c>
      <c r="AH359" s="363"/>
    </row>
    <row r="360" spans="2:34" ht="15" hidden="1" customHeight="1" x14ac:dyDescent="0.3">
      <c r="B360" s="380" t="s">
        <v>0</v>
      </c>
      <c r="C360" s="409" t="s">
        <v>1415</v>
      </c>
      <c r="D360" s="423" t="s">
        <v>1416</v>
      </c>
      <c r="E360" s="493">
        <v>2125011222</v>
      </c>
      <c r="F360" s="488">
        <v>46000</v>
      </c>
      <c r="G360" s="380" t="s">
        <v>643</v>
      </c>
      <c r="H360" s="380">
        <v>2</v>
      </c>
      <c r="I360" s="388">
        <v>311948</v>
      </c>
      <c r="J360" s="380">
        <v>2</v>
      </c>
      <c r="K360" s="389">
        <f t="shared" si="16"/>
        <v>155974</v>
      </c>
      <c r="L360" s="381">
        <v>46023</v>
      </c>
      <c r="M360" s="381">
        <v>46387</v>
      </c>
      <c r="N360" s="663"/>
      <c r="O360" s="680"/>
      <c r="P360" s="363" t="s">
        <v>520</v>
      </c>
      <c r="Q360" s="380"/>
      <c r="R360" s="380"/>
      <c r="S360" s="390" t="s">
        <v>607</v>
      </c>
      <c r="T360" s="363" t="s">
        <v>1728</v>
      </c>
      <c r="U360" s="363" t="s">
        <v>608</v>
      </c>
      <c r="V360" s="363"/>
      <c r="W360" s="363"/>
      <c r="X360" s="363"/>
      <c r="Y360" s="363"/>
      <c r="Z360" s="363"/>
      <c r="AA360" s="363"/>
      <c r="AB360" s="363"/>
      <c r="AC360" s="363"/>
      <c r="AD360" s="363"/>
      <c r="AE360" s="363" t="s">
        <v>281</v>
      </c>
      <c r="AF360" s="380" t="s">
        <v>97</v>
      </c>
      <c r="AG360" s="380">
        <v>2</v>
      </c>
      <c r="AH360" s="363" t="s">
        <v>667</v>
      </c>
    </row>
    <row r="361" spans="2:34" ht="15" hidden="1" customHeight="1" x14ac:dyDescent="0.3">
      <c r="B361" s="380" t="s">
        <v>0</v>
      </c>
      <c r="C361" s="409" t="s">
        <v>1417</v>
      </c>
      <c r="D361" s="423" t="s">
        <v>86</v>
      </c>
      <c r="E361" s="491">
        <v>4200321224</v>
      </c>
      <c r="F361" s="488">
        <v>46014</v>
      </c>
      <c r="G361" s="380" t="s">
        <v>643</v>
      </c>
      <c r="H361" s="380">
        <v>5</v>
      </c>
      <c r="I361" s="388">
        <v>544860</v>
      </c>
      <c r="J361" s="380">
        <v>4</v>
      </c>
      <c r="K361" s="389">
        <f t="shared" si="16"/>
        <v>136215</v>
      </c>
      <c r="L361" s="381">
        <v>46023</v>
      </c>
      <c r="M361" s="381">
        <v>46387</v>
      </c>
      <c r="N361" s="663"/>
      <c r="O361" s="680"/>
      <c r="P361" s="363" t="s">
        <v>520</v>
      </c>
      <c r="Q361" s="380"/>
      <c r="R361" s="380"/>
      <c r="S361" s="390" t="s">
        <v>396</v>
      </c>
      <c r="T361" s="363" t="s">
        <v>1418</v>
      </c>
      <c r="U361" s="390" t="s">
        <v>397</v>
      </c>
      <c r="V361" s="363" t="s">
        <v>1849</v>
      </c>
      <c r="W361" s="363" t="s">
        <v>496</v>
      </c>
      <c r="X361" s="363"/>
      <c r="Y361" s="363" t="s">
        <v>497</v>
      </c>
      <c r="Z361" s="363"/>
      <c r="AA361" s="363"/>
      <c r="AB361" s="363"/>
      <c r="AC361" s="363"/>
      <c r="AD361" s="363"/>
      <c r="AE361" s="363" t="s">
        <v>281</v>
      </c>
      <c r="AF361" s="380" t="s">
        <v>97</v>
      </c>
      <c r="AG361" s="380">
        <v>4</v>
      </c>
      <c r="AH361" s="363" t="s">
        <v>1345</v>
      </c>
    </row>
    <row r="362" spans="2:34" ht="15" hidden="1" customHeight="1" x14ac:dyDescent="0.3">
      <c r="B362" s="380" t="s">
        <v>0</v>
      </c>
      <c r="C362" s="409" t="s">
        <v>604</v>
      </c>
      <c r="D362" s="423" t="s">
        <v>1419</v>
      </c>
      <c r="E362" s="408">
        <v>5700203580</v>
      </c>
      <c r="F362" s="488">
        <v>45996</v>
      </c>
      <c r="G362" s="380" t="s">
        <v>643</v>
      </c>
      <c r="H362" s="380">
        <v>1</v>
      </c>
      <c r="I362" s="388">
        <v>118335</v>
      </c>
      <c r="J362" s="380">
        <v>2</v>
      </c>
      <c r="K362" s="389">
        <f t="shared" si="16"/>
        <v>59167.5</v>
      </c>
      <c r="L362" s="381">
        <v>46023</v>
      </c>
      <c r="M362" s="381">
        <v>46387</v>
      </c>
      <c r="N362" s="663"/>
      <c r="O362" s="680"/>
      <c r="P362" s="363" t="s">
        <v>520</v>
      </c>
      <c r="Q362" s="380"/>
      <c r="R362" s="380"/>
      <c r="S362" s="390" t="s">
        <v>607</v>
      </c>
      <c r="T362" s="363" t="s">
        <v>1710</v>
      </c>
      <c r="U362" s="363" t="s">
        <v>608</v>
      </c>
      <c r="V362" s="363"/>
      <c r="W362" s="363"/>
      <c r="X362" s="363"/>
      <c r="Y362" s="363"/>
      <c r="Z362" s="363"/>
      <c r="AA362" s="363"/>
      <c r="AB362" s="363"/>
      <c r="AC362" s="363"/>
      <c r="AD362" s="363"/>
      <c r="AE362" s="363" t="s">
        <v>281</v>
      </c>
      <c r="AF362" s="380" t="s">
        <v>97</v>
      </c>
      <c r="AG362" s="380">
        <v>2</v>
      </c>
      <c r="AH362" s="363" t="s">
        <v>1345</v>
      </c>
    </row>
    <row r="363" spans="2:34" ht="15" hidden="1" customHeight="1" x14ac:dyDescent="0.3">
      <c r="B363" s="380" t="s">
        <v>0</v>
      </c>
      <c r="C363" s="482" t="s">
        <v>614</v>
      </c>
      <c r="D363" s="483" t="s">
        <v>447</v>
      </c>
      <c r="E363" s="494" t="s">
        <v>1420</v>
      </c>
      <c r="F363" s="488">
        <v>46009</v>
      </c>
      <c r="G363" s="380" t="s">
        <v>643</v>
      </c>
      <c r="H363" s="380">
        <v>1</v>
      </c>
      <c r="I363" s="388">
        <v>76440</v>
      </c>
      <c r="J363" s="380">
        <v>3</v>
      </c>
      <c r="K363" s="389">
        <f t="shared" ref="K363:K394" si="17">I363/J363</f>
        <v>25480</v>
      </c>
      <c r="L363" s="381">
        <v>46023</v>
      </c>
      <c r="M363" s="381">
        <v>46387</v>
      </c>
      <c r="N363" s="663"/>
      <c r="O363" s="680"/>
      <c r="P363" s="363" t="s">
        <v>520</v>
      </c>
      <c r="Q363" s="380"/>
      <c r="R363" s="380"/>
      <c r="S363" s="390" t="s">
        <v>347</v>
      </c>
      <c r="T363" s="363" t="s">
        <v>331</v>
      </c>
      <c r="U363" s="363" t="s">
        <v>348</v>
      </c>
      <c r="V363" s="363"/>
      <c r="W363" s="363" t="s">
        <v>349</v>
      </c>
      <c r="X363" s="363"/>
      <c r="Y363" s="363"/>
      <c r="Z363" s="363"/>
      <c r="AA363" s="363"/>
      <c r="AB363" s="363"/>
      <c r="AC363" s="363"/>
      <c r="AD363" s="363"/>
      <c r="AE363" s="363" t="s">
        <v>281</v>
      </c>
      <c r="AF363" s="380" t="s">
        <v>97</v>
      </c>
      <c r="AG363" s="380">
        <v>3</v>
      </c>
      <c r="AH363" s="363" t="s">
        <v>1060</v>
      </c>
    </row>
    <row r="364" spans="2:34" ht="15" hidden="1" customHeight="1" x14ac:dyDescent="0.3">
      <c r="B364" s="380" t="s">
        <v>0</v>
      </c>
      <c r="C364" s="409" t="s">
        <v>640</v>
      </c>
      <c r="D364" s="489" t="s">
        <v>1421</v>
      </c>
      <c r="E364" s="411" t="s">
        <v>1422</v>
      </c>
      <c r="F364" s="488">
        <v>45996</v>
      </c>
      <c r="G364" s="380" t="s">
        <v>643</v>
      </c>
      <c r="H364" s="380"/>
      <c r="I364" s="388">
        <v>2068693.74</v>
      </c>
      <c r="J364" s="380">
        <v>3</v>
      </c>
      <c r="K364" s="389">
        <f t="shared" si="17"/>
        <v>689564.58</v>
      </c>
      <c r="L364" s="381">
        <v>46003</v>
      </c>
      <c r="M364" s="381">
        <v>46367</v>
      </c>
      <c r="N364" s="663"/>
      <c r="O364" s="680"/>
      <c r="P364" s="363" t="s">
        <v>520</v>
      </c>
      <c r="Q364" s="380"/>
      <c r="R364" s="380"/>
      <c r="S364" s="390" t="s">
        <v>1423</v>
      </c>
      <c r="T364" s="363" t="s">
        <v>1252</v>
      </c>
      <c r="U364" s="363" t="s">
        <v>1424</v>
      </c>
      <c r="V364" s="363"/>
      <c r="W364" s="363" t="s">
        <v>1425</v>
      </c>
      <c r="X364" s="363"/>
      <c r="Y364" s="363"/>
      <c r="Z364" s="363"/>
      <c r="AA364" s="363"/>
      <c r="AB364" s="363"/>
      <c r="AC364" s="363"/>
      <c r="AD364" s="363"/>
      <c r="AE364" s="363" t="s">
        <v>281</v>
      </c>
      <c r="AF364" s="380" t="s">
        <v>97</v>
      </c>
      <c r="AG364" s="380">
        <v>3</v>
      </c>
      <c r="AH364" s="363" t="s">
        <v>1345</v>
      </c>
    </row>
    <row r="365" spans="2:34" ht="15" hidden="1" customHeight="1" x14ac:dyDescent="0.3">
      <c r="B365" s="380" t="s">
        <v>0</v>
      </c>
      <c r="C365" s="409" t="s">
        <v>640</v>
      </c>
      <c r="D365" s="489" t="s">
        <v>1421</v>
      </c>
      <c r="E365" s="411" t="s">
        <v>1422</v>
      </c>
      <c r="F365" s="488">
        <v>45996</v>
      </c>
      <c r="G365" s="380" t="s">
        <v>643</v>
      </c>
      <c r="H365" s="380">
        <v>34</v>
      </c>
      <c r="I365" s="388">
        <v>2068693.74</v>
      </c>
      <c r="J365" s="380">
        <v>3</v>
      </c>
      <c r="K365" s="389">
        <f t="shared" si="17"/>
        <v>689564.58</v>
      </c>
      <c r="L365" s="381">
        <v>46368</v>
      </c>
      <c r="M365" s="381">
        <v>46732</v>
      </c>
      <c r="N365" s="663"/>
      <c r="O365" s="680"/>
      <c r="P365" s="363" t="s">
        <v>520</v>
      </c>
      <c r="Q365" s="380"/>
      <c r="R365" s="380"/>
      <c r="S365" s="363" t="s">
        <v>1426</v>
      </c>
      <c r="T365" s="363"/>
      <c r="U365" s="363" t="s">
        <v>1427</v>
      </c>
      <c r="V365" s="363"/>
      <c r="W365" s="363" t="s">
        <v>1428</v>
      </c>
      <c r="X365" s="363"/>
      <c r="Y365" s="363"/>
      <c r="Z365" s="363"/>
      <c r="AA365" s="363"/>
      <c r="AB365" s="363"/>
      <c r="AC365" s="363"/>
      <c r="AD365" s="363"/>
      <c r="AE365" s="363" t="s">
        <v>281</v>
      </c>
      <c r="AF365" s="380" t="s">
        <v>97</v>
      </c>
      <c r="AG365" s="380">
        <v>3</v>
      </c>
      <c r="AH365" s="363" t="s">
        <v>1345</v>
      </c>
    </row>
    <row r="366" spans="2:34" ht="15" hidden="1" customHeight="1" x14ac:dyDescent="0.3">
      <c r="B366" s="380" t="s">
        <v>0</v>
      </c>
      <c r="C366" s="482" t="s">
        <v>1429</v>
      </c>
      <c r="D366" s="483" t="s">
        <v>388</v>
      </c>
      <c r="E366" s="491" t="s">
        <v>1430</v>
      </c>
      <c r="F366" s="488">
        <v>46010</v>
      </c>
      <c r="G366" s="380" t="s">
        <v>643</v>
      </c>
      <c r="H366" s="380">
        <v>6</v>
      </c>
      <c r="I366" s="388">
        <v>493800</v>
      </c>
      <c r="J366" s="380">
        <v>2</v>
      </c>
      <c r="K366" s="389">
        <f t="shared" si="17"/>
        <v>246900</v>
      </c>
      <c r="L366" s="381">
        <v>46023</v>
      </c>
      <c r="M366" s="381">
        <v>46387</v>
      </c>
      <c r="N366" s="663"/>
      <c r="O366" s="680"/>
      <c r="P366" s="363" t="s">
        <v>520</v>
      </c>
      <c r="Q366" s="380"/>
      <c r="R366" s="380"/>
      <c r="S366" s="390" t="s">
        <v>607</v>
      </c>
      <c r="T366" s="363" t="s">
        <v>1845</v>
      </c>
      <c r="U366" s="363" t="s">
        <v>608</v>
      </c>
      <c r="V366" s="363"/>
      <c r="W366" s="363"/>
      <c r="X366" s="363"/>
      <c r="Y366" s="363"/>
      <c r="Z366" s="363"/>
      <c r="AA366" s="363"/>
      <c r="AB366" s="363"/>
      <c r="AC366" s="363"/>
      <c r="AD366" s="363"/>
      <c r="AE366" s="363" t="s">
        <v>619</v>
      </c>
      <c r="AF366" s="380" t="s">
        <v>63</v>
      </c>
      <c r="AG366" s="380">
        <v>3</v>
      </c>
      <c r="AH366" s="363" t="s">
        <v>667</v>
      </c>
    </row>
    <row r="367" spans="2:34" ht="15" hidden="1" customHeight="1" x14ac:dyDescent="0.3">
      <c r="B367" s="380" t="s">
        <v>0</v>
      </c>
      <c r="C367" s="482" t="s">
        <v>518</v>
      </c>
      <c r="D367" s="483" t="s">
        <v>176</v>
      </c>
      <c r="E367" s="468">
        <v>4518267425</v>
      </c>
      <c r="F367" s="488">
        <v>46027</v>
      </c>
      <c r="G367" s="380" t="s">
        <v>643</v>
      </c>
      <c r="H367" s="380">
        <v>1</v>
      </c>
      <c r="I367" s="388">
        <v>77200</v>
      </c>
      <c r="J367" s="380">
        <v>4</v>
      </c>
      <c r="K367" s="389">
        <f t="shared" si="17"/>
        <v>19300</v>
      </c>
      <c r="L367" s="381">
        <v>46023</v>
      </c>
      <c r="M367" s="381">
        <v>46387</v>
      </c>
      <c r="N367" s="663"/>
      <c r="O367" s="680"/>
      <c r="P367" s="363" t="s">
        <v>520</v>
      </c>
      <c r="Q367" s="380"/>
      <c r="R367" s="380"/>
      <c r="S367" s="390" t="s">
        <v>396</v>
      </c>
      <c r="T367" s="363" t="s">
        <v>909</v>
      </c>
      <c r="U367" s="390" t="s">
        <v>397</v>
      </c>
      <c r="V367" s="363" t="s">
        <v>1729</v>
      </c>
      <c r="W367" s="363" t="s">
        <v>496</v>
      </c>
      <c r="X367" s="363"/>
      <c r="Y367" s="363" t="s">
        <v>497</v>
      </c>
      <c r="Z367" s="363"/>
      <c r="AA367" s="363"/>
      <c r="AB367" s="363"/>
      <c r="AC367" s="363"/>
      <c r="AD367" s="363"/>
      <c r="AE367" s="363" t="s">
        <v>183</v>
      </c>
      <c r="AF367" s="380" t="s">
        <v>97</v>
      </c>
      <c r="AG367" s="380">
        <v>3</v>
      </c>
      <c r="AH367" s="363" t="s">
        <v>1431</v>
      </c>
    </row>
    <row r="368" spans="2:34" ht="15" hidden="1" customHeight="1" x14ac:dyDescent="0.3">
      <c r="B368" s="380" t="s">
        <v>0</v>
      </c>
      <c r="C368" s="482" t="s">
        <v>518</v>
      </c>
      <c r="D368" s="483" t="s">
        <v>176</v>
      </c>
      <c r="E368" s="468">
        <v>4518267076</v>
      </c>
      <c r="F368" s="488">
        <v>46027</v>
      </c>
      <c r="G368" s="380" t="s">
        <v>643</v>
      </c>
      <c r="H368" s="380">
        <v>2</v>
      </c>
      <c r="I368" s="388">
        <v>179600</v>
      </c>
      <c r="J368" s="380">
        <v>4</v>
      </c>
      <c r="K368" s="389">
        <f t="shared" si="17"/>
        <v>44900</v>
      </c>
      <c r="L368" s="381">
        <v>46023</v>
      </c>
      <c r="M368" s="381">
        <v>46387</v>
      </c>
      <c r="N368" s="663"/>
      <c r="O368" s="680"/>
      <c r="P368" s="363" t="s">
        <v>520</v>
      </c>
      <c r="Q368" s="380"/>
      <c r="R368" s="380"/>
      <c r="S368" s="390" t="s">
        <v>396</v>
      </c>
      <c r="T368" s="363" t="s">
        <v>909</v>
      </c>
      <c r="U368" s="390" t="s">
        <v>397</v>
      </c>
      <c r="V368" s="363" t="s">
        <v>1729</v>
      </c>
      <c r="W368" s="363" t="s">
        <v>496</v>
      </c>
      <c r="X368" s="363"/>
      <c r="Y368" s="363" t="s">
        <v>497</v>
      </c>
      <c r="Z368" s="363"/>
      <c r="AA368" s="363"/>
      <c r="AB368" s="363"/>
      <c r="AC368" s="363"/>
      <c r="AD368" s="363"/>
      <c r="AE368" s="363" t="s">
        <v>183</v>
      </c>
      <c r="AF368" s="380" t="s">
        <v>97</v>
      </c>
      <c r="AG368" s="380">
        <v>3</v>
      </c>
      <c r="AH368" s="363" t="s">
        <v>1431</v>
      </c>
    </row>
    <row r="369" spans="2:34" ht="15" hidden="1" customHeight="1" x14ac:dyDescent="0.3">
      <c r="B369" s="380" t="s">
        <v>0</v>
      </c>
      <c r="C369" s="482" t="s">
        <v>604</v>
      </c>
      <c r="D369" s="483" t="s">
        <v>1012</v>
      </c>
      <c r="E369" s="491">
        <v>5700206412</v>
      </c>
      <c r="F369" s="488">
        <v>46027</v>
      </c>
      <c r="G369" s="380" t="s">
        <v>643</v>
      </c>
      <c r="H369" s="380">
        <v>12</v>
      </c>
      <c r="I369" s="388">
        <v>1373715</v>
      </c>
      <c r="J369" s="380">
        <v>2</v>
      </c>
      <c r="K369" s="389">
        <f t="shared" si="17"/>
        <v>686857.5</v>
      </c>
      <c r="L369" s="381">
        <v>46023</v>
      </c>
      <c r="M369" s="381">
        <v>46387</v>
      </c>
      <c r="N369" s="663"/>
      <c r="O369" s="680"/>
      <c r="P369" s="363" t="s">
        <v>520</v>
      </c>
      <c r="Q369" s="380"/>
      <c r="R369" s="380"/>
      <c r="S369" s="390" t="s">
        <v>607</v>
      </c>
      <c r="T369" s="363" t="s">
        <v>1865</v>
      </c>
      <c r="U369" s="363" t="s">
        <v>608</v>
      </c>
      <c r="V369" s="363"/>
      <c r="W369" s="363"/>
      <c r="X369" s="363"/>
      <c r="Y369" s="363"/>
      <c r="Z369" s="363"/>
      <c r="AA369" s="363"/>
      <c r="AB369" s="363"/>
      <c r="AC369" s="363"/>
      <c r="AD369" s="363"/>
      <c r="AE369" s="363" t="s">
        <v>619</v>
      </c>
      <c r="AF369" s="380" t="s">
        <v>63</v>
      </c>
      <c r="AG369" s="380">
        <v>3</v>
      </c>
      <c r="AH369" s="363" t="s">
        <v>799</v>
      </c>
    </row>
    <row r="370" spans="2:34" ht="15" hidden="1" customHeight="1" x14ac:dyDescent="0.3">
      <c r="B370" s="380" t="s">
        <v>0</v>
      </c>
      <c r="C370" s="478" t="s">
        <v>598</v>
      </c>
      <c r="D370" s="480" t="s">
        <v>1354</v>
      </c>
      <c r="E370" s="481">
        <v>3800059115</v>
      </c>
      <c r="F370" s="488">
        <v>46028</v>
      </c>
      <c r="G370" s="380" t="s">
        <v>643</v>
      </c>
      <c r="H370" s="380">
        <v>3</v>
      </c>
      <c r="I370" s="388">
        <v>174000</v>
      </c>
      <c r="J370" s="380">
        <v>2</v>
      </c>
      <c r="K370" s="389">
        <f t="shared" si="17"/>
        <v>87000</v>
      </c>
      <c r="L370" s="381">
        <v>46023</v>
      </c>
      <c r="M370" s="381">
        <v>46387</v>
      </c>
      <c r="N370" s="663"/>
      <c r="O370" s="680"/>
      <c r="P370" s="363" t="s">
        <v>520</v>
      </c>
      <c r="Q370" s="380"/>
      <c r="R370" s="380"/>
      <c r="S370" s="390" t="s">
        <v>607</v>
      </c>
      <c r="T370" s="363" t="s">
        <v>1432</v>
      </c>
      <c r="U370" s="363" t="s">
        <v>608</v>
      </c>
      <c r="V370" s="363"/>
      <c r="W370" s="363"/>
      <c r="X370" s="363"/>
      <c r="Y370" s="363"/>
      <c r="Z370" s="363"/>
      <c r="AA370" s="363"/>
      <c r="AB370" s="363"/>
      <c r="AC370" s="363"/>
      <c r="AD370" s="363"/>
      <c r="AE370" s="363" t="s">
        <v>485</v>
      </c>
      <c r="AF370" s="380" t="s">
        <v>63</v>
      </c>
      <c r="AG370" s="380">
        <v>2</v>
      </c>
      <c r="AH370" s="363" t="s">
        <v>799</v>
      </c>
    </row>
    <row r="371" spans="2:34" ht="15" hidden="1" customHeight="1" x14ac:dyDescent="0.3">
      <c r="B371" s="380" t="s">
        <v>0</v>
      </c>
      <c r="C371" s="482" t="s">
        <v>1433</v>
      </c>
      <c r="D371" s="483" t="s">
        <v>434</v>
      </c>
      <c r="E371" s="491" t="s">
        <v>1434</v>
      </c>
      <c r="F371" s="488">
        <v>45666</v>
      </c>
      <c r="G371" s="407" t="s">
        <v>703</v>
      </c>
      <c r="H371" s="380">
        <v>19</v>
      </c>
      <c r="I371" s="388">
        <v>3915197</v>
      </c>
      <c r="J371" s="380">
        <v>4</v>
      </c>
      <c r="K371" s="389">
        <f t="shared" si="17"/>
        <v>978799.25</v>
      </c>
      <c r="L371" s="381">
        <v>46034</v>
      </c>
      <c r="M371" s="381">
        <v>46398</v>
      </c>
      <c r="N371" s="663">
        <v>155067</v>
      </c>
      <c r="O371" s="680">
        <v>4708</v>
      </c>
      <c r="P371" s="363" t="s">
        <v>520</v>
      </c>
      <c r="Q371" s="380"/>
      <c r="R371" s="380"/>
      <c r="S371" s="390" t="s">
        <v>1435</v>
      </c>
      <c r="T371" s="363" t="s">
        <v>1436</v>
      </c>
      <c r="U371" s="390" t="s">
        <v>1437</v>
      </c>
      <c r="V371" s="363" t="s">
        <v>1953</v>
      </c>
      <c r="W371" s="363" t="s">
        <v>1438</v>
      </c>
      <c r="X371" s="363"/>
      <c r="Y371" s="363" t="s">
        <v>1439</v>
      </c>
      <c r="Z371" s="363"/>
      <c r="AA371" s="363"/>
      <c r="AB371" s="363"/>
      <c r="AC371" s="363"/>
      <c r="AD371" s="363"/>
      <c r="AE371" s="363" t="s">
        <v>281</v>
      </c>
      <c r="AF371" s="380" t="s">
        <v>97</v>
      </c>
      <c r="AG371" s="380" t="s">
        <v>494</v>
      </c>
      <c r="AH371" s="386" t="s">
        <v>1345</v>
      </c>
    </row>
    <row r="372" spans="2:34" ht="15" hidden="1" customHeight="1" x14ac:dyDescent="0.3">
      <c r="B372" s="380" t="s">
        <v>0</v>
      </c>
      <c r="C372" s="478" t="s">
        <v>614</v>
      </c>
      <c r="D372" s="480" t="s">
        <v>447</v>
      </c>
      <c r="E372" s="495" t="s">
        <v>1440</v>
      </c>
      <c r="F372" s="496">
        <v>46000</v>
      </c>
      <c r="G372" s="380" t="s">
        <v>643</v>
      </c>
      <c r="H372" s="380">
        <v>1</v>
      </c>
      <c r="I372" s="388">
        <v>76440</v>
      </c>
      <c r="J372" s="380">
        <v>3</v>
      </c>
      <c r="K372" s="389">
        <f t="shared" si="17"/>
        <v>25480</v>
      </c>
      <c r="L372" s="381">
        <v>45992</v>
      </c>
      <c r="M372" s="381">
        <v>46356</v>
      </c>
      <c r="N372" s="663"/>
      <c r="O372" s="680"/>
      <c r="P372" s="363" t="s">
        <v>520</v>
      </c>
      <c r="Q372" s="380"/>
      <c r="R372" s="380"/>
      <c r="S372" s="390" t="s">
        <v>361</v>
      </c>
      <c r="T372" s="363" t="s">
        <v>1412</v>
      </c>
      <c r="U372" s="390" t="s">
        <v>1080</v>
      </c>
      <c r="V372" s="363" t="s">
        <v>1944</v>
      </c>
      <c r="W372" s="363" t="s">
        <v>1108</v>
      </c>
      <c r="X372" s="363"/>
      <c r="Y372" s="363"/>
      <c r="Z372" s="363"/>
      <c r="AA372" s="363"/>
      <c r="AB372" s="363"/>
      <c r="AC372" s="363"/>
      <c r="AD372" s="363"/>
      <c r="AE372" s="363" t="s">
        <v>281</v>
      </c>
      <c r="AF372" s="380" t="s">
        <v>97</v>
      </c>
      <c r="AG372" s="380">
        <v>3</v>
      </c>
      <c r="AH372" s="363" t="s">
        <v>1441</v>
      </c>
    </row>
    <row r="373" spans="2:34" ht="15" hidden="1" customHeight="1" x14ac:dyDescent="0.3">
      <c r="B373" s="380" t="s">
        <v>0</v>
      </c>
      <c r="C373" s="482" t="s">
        <v>195</v>
      </c>
      <c r="D373" s="483" t="s">
        <v>447</v>
      </c>
      <c r="E373" s="468" t="s">
        <v>255</v>
      </c>
      <c r="F373" s="488" t="s">
        <v>1442</v>
      </c>
      <c r="G373" s="380" t="s">
        <v>643</v>
      </c>
      <c r="H373" s="380">
        <v>3</v>
      </c>
      <c r="I373" s="388">
        <v>177000</v>
      </c>
      <c r="J373" s="380">
        <v>4</v>
      </c>
      <c r="K373" s="389">
        <f t="shared" si="17"/>
        <v>44250</v>
      </c>
      <c r="L373" s="381">
        <v>46054</v>
      </c>
      <c r="M373" s="381">
        <v>46418</v>
      </c>
      <c r="N373" s="663">
        <v>155089</v>
      </c>
      <c r="O373" s="680">
        <v>4714</v>
      </c>
      <c r="P373" s="363" t="s">
        <v>520</v>
      </c>
      <c r="Q373" s="380"/>
      <c r="R373" s="380"/>
      <c r="S373" s="390" t="s">
        <v>442</v>
      </c>
      <c r="T373" s="363" t="s">
        <v>1226</v>
      </c>
      <c r="U373" s="390" t="s">
        <v>444</v>
      </c>
      <c r="V373" s="363" t="s">
        <v>1954</v>
      </c>
      <c r="W373" s="363" t="s">
        <v>1443</v>
      </c>
      <c r="X373" s="363"/>
      <c r="Y373" s="363" t="s">
        <v>456</v>
      </c>
      <c r="Z373" s="363"/>
      <c r="AA373" s="363"/>
      <c r="AB373" s="363"/>
      <c r="AC373" s="363"/>
      <c r="AD373" s="363"/>
      <c r="AE373" s="363" t="s">
        <v>96</v>
      </c>
      <c r="AF373" s="380" t="s">
        <v>97</v>
      </c>
      <c r="AG373" s="380" t="s">
        <v>494</v>
      </c>
      <c r="AH373" s="363"/>
    </row>
    <row r="374" spans="2:34" ht="15" hidden="1" customHeight="1" x14ac:dyDescent="0.3">
      <c r="B374" s="380" t="s">
        <v>0</v>
      </c>
      <c r="C374" s="409" t="s">
        <v>1444</v>
      </c>
      <c r="D374" s="418" t="s">
        <v>841</v>
      </c>
      <c r="E374" s="493" t="s">
        <v>1445</v>
      </c>
      <c r="F374" s="488">
        <v>46021</v>
      </c>
      <c r="G374" s="380" t="s">
        <v>643</v>
      </c>
      <c r="H374" s="380">
        <v>7</v>
      </c>
      <c r="I374" s="388">
        <v>371000</v>
      </c>
      <c r="J374" s="380">
        <v>2</v>
      </c>
      <c r="K374" s="389">
        <f t="shared" si="17"/>
        <v>185500</v>
      </c>
      <c r="L374" s="381">
        <v>46023</v>
      </c>
      <c r="M374" s="381">
        <v>46387</v>
      </c>
      <c r="N374" s="663"/>
      <c r="O374" s="680"/>
      <c r="P374" s="363" t="s">
        <v>520</v>
      </c>
      <c r="Q374" s="380"/>
      <c r="R374" s="380"/>
      <c r="S374" s="390" t="s">
        <v>486</v>
      </c>
      <c r="T374" s="363" t="s">
        <v>1730</v>
      </c>
      <c r="U374" s="363" t="s">
        <v>608</v>
      </c>
      <c r="V374" s="363"/>
      <c r="W374" s="363"/>
      <c r="X374" s="363"/>
      <c r="Y374" s="363"/>
      <c r="Z374" s="363"/>
      <c r="AA374" s="363"/>
      <c r="AB374" s="363"/>
      <c r="AC374" s="363"/>
      <c r="AD374" s="363"/>
      <c r="AE374" s="363" t="s">
        <v>485</v>
      </c>
      <c r="AF374" s="380" t="s">
        <v>63</v>
      </c>
      <c r="AG374" s="380">
        <v>2</v>
      </c>
      <c r="AH374" s="363" t="s">
        <v>1446</v>
      </c>
    </row>
    <row r="375" spans="2:34" ht="15" hidden="1" customHeight="1" x14ac:dyDescent="0.3">
      <c r="B375" s="380" t="s">
        <v>0</v>
      </c>
      <c r="C375" s="409" t="s">
        <v>1447</v>
      </c>
      <c r="D375" s="423" t="s">
        <v>388</v>
      </c>
      <c r="E375" s="419">
        <v>3800061135</v>
      </c>
      <c r="F375" s="488">
        <v>46035</v>
      </c>
      <c r="G375" s="380" t="s">
        <v>643</v>
      </c>
      <c r="H375" s="380">
        <v>3</v>
      </c>
      <c r="I375" s="388">
        <v>174000</v>
      </c>
      <c r="J375" s="380">
        <v>2</v>
      </c>
      <c r="K375" s="389">
        <f t="shared" si="17"/>
        <v>87000</v>
      </c>
      <c r="L375" s="381">
        <v>46023</v>
      </c>
      <c r="M375" s="381">
        <v>46387</v>
      </c>
      <c r="N375" s="663"/>
      <c r="O375" s="680"/>
      <c r="P375" s="363" t="s">
        <v>520</v>
      </c>
      <c r="Q375" s="380"/>
      <c r="R375" s="380"/>
      <c r="S375" s="390" t="s">
        <v>607</v>
      </c>
      <c r="T375" s="363" t="s">
        <v>1862</v>
      </c>
      <c r="U375" s="363" t="s">
        <v>608</v>
      </c>
      <c r="V375" s="363"/>
      <c r="W375" s="363"/>
      <c r="X375" s="363"/>
      <c r="Y375" s="363"/>
      <c r="Z375" s="363"/>
      <c r="AA375" s="363"/>
      <c r="AB375" s="363"/>
      <c r="AC375" s="363"/>
      <c r="AD375" s="363"/>
      <c r="AE375" s="363" t="s">
        <v>478</v>
      </c>
      <c r="AF375" s="380" t="s">
        <v>63</v>
      </c>
      <c r="AG375" s="380">
        <v>2</v>
      </c>
      <c r="AH375" s="363" t="s">
        <v>667</v>
      </c>
    </row>
    <row r="376" spans="2:34" ht="15" hidden="1" customHeight="1" x14ac:dyDescent="0.3">
      <c r="B376" s="380" t="s">
        <v>0</v>
      </c>
      <c r="C376" s="409" t="s">
        <v>1448</v>
      </c>
      <c r="D376" s="418" t="s">
        <v>151</v>
      </c>
      <c r="E376" s="497" t="s">
        <v>1449</v>
      </c>
      <c r="F376" s="488">
        <v>46031</v>
      </c>
      <c r="G376" s="380" t="s">
        <v>643</v>
      </c>
      <c r="H376" s="380">
        <v>1</v>
      </c>
      <c r="I376" s="388">
        <v>160000</v>
      </c>
      <c r="J376" s="380">
        <v>3</v>
      </c>
      <c r="K376" s="389">
        <f t="shared" si="17"/>
        <v>53333.333333333336</v>
      </c>
      <c r="L376" s="381">
        <v>46023</v>
      </c>
      <c r="M376" s="381">
        <v>46387</v>
      </c>
      <c r="N376" s="663"/>
      <c r="O376" s="680"/>
      <c r="P376" s="363" t="s">
        <v>520</v>
      </c>
      <c r="Q376" s="380"/>
      <c r="R376" s="380"/>
      <c r="S376" s="390" t="s">
        <v>347</v>
      </c>
      <c r="T376" s="363" t="s">
        <v>1450</v>
      </c>
      <c r="U376" s="363" t="s">
        <v>348</v>
      </c>
      <c r="V376" s="363"/>
      <c r="W376" s="363" t="s">
        <v>349</v>
      </c>
      <c r="X376" s="363"/>
      <c r="Y376" s="363"/>
      <c r="Z376" s="363"/>
      <c r="AA376" s="363"/>
      <c r="AB376" s="363"/>
      <c r="AC376" s="363"/>
      <c r="AD376" s="363"/>
      <c r="AE376" s="363" t="s">
        <v>507</v>
      </c>
      <c r="AF376" s="380" t="s">
        <v>63</v>
      </c>
      <c r="AG376" s="380">
        <v>3</v>
      </c>
      <c r="AH376" s="363" t="s">
        <v>667</v>
      </c>
    </row>
    <row r="377" spans="2:34" ht="15" hidden="1" customHeight="1" x14ac:dyDescent="0.3">
      <c r="B377" s="380" t="s">
        <v>0</v>
      </c>
      <c r="C377" s="482" t="s">
        <v>1451</v>
      </c>
      <c r="D377" s="483" t="s">
        <v>151</v>
      </c>
      <c r="E377" s="419">
        <v>8182414</v>
      </c>
      <c r="F377" s="488">
        <v>46034</v>
      </c>
      <c r="G377" s="380" t="s">
        <v>643</v>
      </c>
      <c r="H377" s="380">
        <v>3</v>
      </c>
      <c r="I377" s="388">
        <v>232497</v>
      </c>
      <c r="J377" s="380">
        <v>3</v>
      </c>
      <c r="K377" s="389">
        <f t="shared" si="17"/>
        <v>77499</v>
      </c>
      <c r="L377" s="381">
        <v>46023</v>
      </c>
      <c r="M377" s="381">
        <v>46387</v>
      </c>
      <c r="N377" s="663"/>
      <c r="O377" s="680"/>
      <c r="P377" s="363" t="s">
        <v>520</v>
      </c>
      <c r="Q377" s="380"/>
      <c r="R377" s="380"/>
      <c r="S377" s="390" t="s">
        <v>347</v>
      </c>
      <c r="T377" s="363" t="s">
        <v>331</v>
      </c>
      <c r="U377" s="363" t="s">
        <v>348</v>
      </c>
      <c r="V377" s="363"/>
      <c r="W377" s="363" t="s">
        <v>349</v>
      </c>
      <c r="X377" s="363"/>
      <c r="Y377" s="363"/>
      <c r="Z377" s="363"/>
      <c r="AA377" s="363"/>
      <c r="AB377" s="363"/>
      <c r="AC377" s="363"/>
      <c r="AD377" s="363"/>
      <c r="AE377" s="363" t="s">
        <v>478</v>
      </c>
      <c r="AF377" s="380" t="s">
        <v>63</v>
      </c>
      <c r="AG377" s="380">
        <v>3</v>
      </c>
      <c r="AH377" s="363" t="s">
        <v>667</v>
      </c>
    </row>
    <row r="378" spans="2:34" ht="15" hidden="1" customHeight="1" x14ac:dyDescent="0.3">
      <c r="B378" s="380" t="s">
        <v>0</v>
      </c>
      <c r="C378" s="478" t="s">
        <v>1452</v>
      </c>
      <c r="D378" s="480" t="s">
        <v>1453</v>
      </c>
      <c r="E378" s="481" t="s">
        <v>1454</v>
      </c>
      <c r="F378" s="488">
        <v>45960</v>
      </c>
      <c r="G378" s="380" t="s">
        <v>643</v>
      </c>
      <c r="H378" s="380">
        <v>1</v>
      </c>
      <c r="I378" s="388">
        <v>93800</v>
      </c>
      <c r="J378" s="380">
        <v>3</v>
      </c>
      <c r="K378" s="389">
        <f t="shared" si="17"/>
        <v>31266.666666666668</v>
      </c>
      <c r="L378" s="381">
        <v>45931</v>
      </c>
      <c r="M378" s="381">
        <v>46295</v>
      </c>
      <c r="N378" s="663"/>
      <c r="O378" s="680"/>
      <c r="P378" s="363" t="s">
        <v>520</v>
      </c>
      <c r="Q378" s="380"/>
      <c r="R378" s="380"/>
      <c r="S378" s="390" t="s">
        <v>83</v>
      </c>
      <c r="T378" s="363" t="s">
        <v>454</v>
      </c>
      <c r="U378" s="390" t="s">
        <v>1455</v>
      </c>
      <c r="V378" s="363" t="s">
        <v>695</v>
      </c>
      <c r="W378" s="363" t="s">
        <v>406</v>
      </c>
      <c r="X378" s="363"/>
      <c r="Y378" s="363"/>
      <c r="Z378" s="363"/>
      <c r="AA378" s="363"/>
      <c r="AB378" s="363"/>
      <c r="AC378" s="363"/>
      <c r="AD378" s="363"/>
      <c r="AE378" s="363" t="s">
        <v>183</v>
      </c>
      <c r="AF378" s="380" t="s">
        <v>968</v>
      </c>
      <c r="AG378" s="380">
        <v>1</v>
      </c>
      <c r="AH378" s="363" t="s">
        <v>799</v>
      </c>
    </row>
    <row r="379" spans="2:34" ht="15" hidden="1" customHeight="1" x14ac:dyDescent="0.3">
      <c r="B379" s="380" t="s">
        <v>0</v>
      </c>
      <c r="C379" s="482" t="s">
        <v>544</v>
      </c>
      <c r="D379" s="483" t="s">
        <v>545</v>
      </c>
      <c r="E379" s="468">
        <v>1250053807</v>
      </c>
      <c r="F379" s="488">
        <v>46027</v>
      </c>
      <c r="G379" s="380" t="s">
        <v>643</v>
      </c>
      <c r="H379" s="380">
        <v>2</v>
      </c>
      <c r="I379" s="388">
        <v>156000</v>
      </c>
      <c r="J379" s="380">
        <v>3</v>
      </c>
      <c r="K379" s="389">
        <f t="shared" si="17"/>
        <v>52000</v>
      </c>
      <c r="L379" s="381">
        <v>46035</v>
      </c>
      <c r="M379" s="381">
        <v>46399</v>
      </c>
      <c r="N379" s="663"/>
      <c r="O379" s="680"/>
      <c r="P379" s="363" t="s">
        <v>520</v>
      </c>
      <c r="Q379" s="380"/>
      <c r="R379" s="380"/>
      <c r="S379" s="390" t="s">
        <v>1456</v>
      </c>
      <c r="T379" s="363" t="s">
        <v>1162</v>
      </c>
      <c r="U379" s="390" t="s">
        <v>1457</v>
      </c>
      <c r="V379" s="363" t="s">
        <v>1859</v>
      </c>
      <c r="W379" s="363" t="s">
        <v>1458</v>
      </c>
      <c r="X379" s="363"/>
      <c r="Y379" s="363"/>
      <c r="Z379" s="363"/>
      <c r="AA379" s="363"/>
      <c r="AB379" s="363"/>
      <c r="AC379" s="363"/>
      <c r="AD379" s="363"/>
      <c r="AE379" s="363" t="s">
        <v>551</v>
      </c>
      <c r="AF379" s="380" t="s">
        <v>207</v>
      </c>
      <c r="AG379" s="380">
        <v>3</v>
      </c>
      <c r="AH379" s="363" t="s">
        <v>799</v>
      </c>
    </row>
    <row r="380" spans="2:34" ht="15" hidden="1" customHeight="1" x14ac:dyDescent="0.3">
      <c r="B380" s="380" t="s">
        <v>0</v>
      </c>
      <c r="C380" s="409" t="s">
        <v>595</v>
      </c>
      <c r="D380" s="418" t="s">
        <v>596</v>
      </c>
      <c r="E380" s="498">
        <v>7710030270</v>
      </c>
      <c r="F380" s="488">
        <v>46034</v>
      </c>
      <c r="G380" s="380" t="s">
        <v>643</v>
      </c>
      <c r="H380" s="380">
        <v>10</v>
      </c>
      <c r="I380" s="388">
        <v>500000</v>
      </c>
      <c r="J380" s="380">
        <v>2</v>
      </c>
      <c r="K380" s="389">
        <f t="shared" si="17"/>
        <v>250000</v>
      </c>
      <c r="L380" s="381">
        <v>46023</v>
      </c>
      <c r="M380" s="381">
        <v>46387</v>
      </c>
      <c r="N380" s="663"/>
      <c r="O380" s="680"/>
      <c r="P380" s="363" t="s">
        <v>520</v>
      </c>
      <c r="Q380" s="389"/>
      <c r="R380" s="380"/>
      <c r="S380" s="363" t="s">
        <v>607</v>
      </c>
      <c r="T380" s="363"/>
      <c r="U380" s="363" t="s">
        <v>608</v>
      </c>
      <c r="V380" s="363"/>
      <c r="W380" s="363"/>
      <c r="X380" s="363"/>
      <c r="Y380" s="363"/>
      <c r="Z380" s="363"/>
      <c r="AA380" s="363"/>
      <c r="AB380" s="363"/>
      <c r="AC380" s="363"/>
      <c r="AD380" s="363"/>
      <c r="AE380" s="363" t="s">
        <v>478</v>
      </c>
      <c r="AF380" s="380" t="s">
        <v>63</v>
      </c>
      <c r="AG380" s="380">
        <v>2</v>
      </c>
      <c r="AH380" s="363" t="s">
        <v>667</v>
      </c>
    </row>
    <row r="381" spans="2:34" ht="15" hidden="1" customHeight="1" x14ac:dyDescent="0.3">
      <c r="B381" s="380" t="s">
        <v>0</v>
      </c>
      <c r="C381" s="409" t="s">
        <v>1330</v>
      </c>
      <c r="D381" s="423" t="s">
        <v>323</v>
      </c>
      <c r="E381" s="419" t="s">
        <v>1459</v>
      </c>
      <c r="F381" s="488">
        <v>46032</v>
      </c>
      <c r="G381" s="380" t="s">
        <v>643</v>
      </c>
      <c r="H381" s="380">
        <v>1</v>
      </c>
      <c r="I381" s="388">
        <v>109200</v>
      </c>
      <c r="J381" s="380">
        <v>3</v>
      </c>
      <c r="K381" s="389">
        <f t="shared" si="17"/>
        <v>36400</v>
      </c>
      <c r="L381" s="381">
        <v>46023</v>
      </c>
      <c r="M381" s="381">
        <v>46387</v>
      </c>
      <c r="N381" s="663"/>
      <c r="O381" s="680"/>
      <c r="P381" s="363" t="s">
        <v>520</v>
      </c>
      <c r="Q381" s="380"/>
      <c r="R381" s="380"/>
      <c r="S381" s="390" t="s">
        <v>347</v>
      </c>
      <c r="T381" s="363" t="s">
        <v>1314</v>
      </c>
      <c r="U381" s="363" t="s">
        <v>348</v>
      </c>
      <c r="V381" s="363"/>
      <c r="W381" s="363" t="s">
        <v>349</v>
      </c>
      <c r="X381" s="363"/>
      <c r="Y381" s="363"/>
      <c r="Z381" s="363"/>
      <c r="AA381" s="363"/>
      <c r="AB381" s="363"/>
      <c r="AC381" s="363"/>
      <c r="AD381" s="363"/>
      <c r="AE381" s="363" t="s">
        <v>96</v>
      </c>
      <c r="AF381" s="380" t="s">
        <v>97</v>
      </c>
      <c r="AG381" s="380" t="s">
        <v>494</v>
      </c>
      <c r="AH381" s="363" t="s">
        <v>667</v>
      </c>
    </row>
    <row r="382" spans="2:34" ht="15" hidden="1" customHeight="1" x14ac:dyDescent="0.3">
      <c r="B382" s="380" t="s">
        <v>0</v>
      </c>
      <c r="C382" s="409" t="s">
        <v>195</v>
      </c>
      <c r="D382" s="483" t="s">
        <v>447</v>
      </c>
      <c r="E382" s="491" t="s">
        <v>1460</v>
      </c>
      <c r="F382" s="488">
        <v>46043</v>
      </c>
      <c r="G382" s="380" t="s">
        <v>643</v>
      </c>
      <c r="H382" s="380"/>
      <c r="I382" s="388">
        <v>706090</v>
      </c>
      <c r="J382" s="380">
        <v>4</v>
      </c>
      <c r="K382" s="389">
        <f t="shared" si="17"/>
        <v>176522.5</v>
      </c>
      <c r="L382" s="381">
        <v>46043</v>
      </c>
      <c r="M382" s="381">
        <v>46407</v>
      </c>
      <c r="N382" s="663">
        <v>154949</v>
      </c>
      <c r="O382" s="680">
        <v>4699</v>
      </c>
      <c r="P382" s="363" t="s">
        <v>520</v>
      </c>
      <c r="Q382" s="389"/>
      <c r="R382" s="389"/>
      <c r="S382" s="390" t="s">
        <v>1461</v>
      </c>
      <c r="T382" s="363" t="s">
        <v>1957</v>
      </c>
      <c r="U382" s="390" t="s">
        <v>1462</v>
      </c>
      <c r="V382" s="363" t="s">
        <v>1958</v>
      </c>
      <c r="W382" s="363" t="s">
        <v>1463</v>
      </c>
      <c r="X382" s="363"/>
      <c r="Y382" s="363" t="s">
        <v>1464</v>
      </c>
      <c r="Z382" s="363"/>
      <c r="AA382" s="363"/>
      <c r="AB382" s="363"/>
      <c r="AC382" s="363"/>
      <c r="AD382" s="363"/>
      <c r="AE382" s="363" t="s">
        <v>96</v>
      </c>
      <c r="AF382" s="380" t="s">
        <v>97</v>
      </c>
      <c r="AG382" s="380" t="s">
        <v>494</v>
      </c>
      <c r="AH382" s="363" t="s">
        <v>667</v>
      </c>
    </row>
    <row r="383" spans="2:34" ht="15" hidden="1" customHeight="1" x14ac:dyDescent="0.3">
      <c r="B383" s="380" t="s">
        <v>0</v>
      </c>
      <c r="C383" s="409" t="s">
        <v>195</v>
      </c>
      <c r="D383" s="483" t="s">
        <v>447</v>
      </c>
      <c r="E383" s="468" t="s">
        <v>1460</v>
      </c>
      <c r="F383" s="488">
        <v>46043</v>
      </c>
      <c r="G383" s="380" t="s">
        <v>643</v>
      </c>
      <c r="H383" s="380"/>
      <c r="I383" s="388">
        <v>706090</v>
      </c>
      <c r="J383" s="380">
        <v>4</v>
      </c>
      <c r="K383" s="389">
        <f t="shared" si="17"/>
        <v>176522.5</v>
      </c>
      <c r="L383" s="381">
        <v>46408</v>
      </c>
      <c r="M383" s="381">
        <v>46772</v>
      </c>
      <c r="N383" s="663"/>
      <c r="O383" s="680"/>
      <c r="P383" s="363" t="s">
        <v>520</v>
      </c>
      <c r="Q383" s="380"/>
      <c r="R383" s="380"/>
      <c r="S383" s="363" t="s">
        <v>1465</v>
      </c>
      <c r="T383" s="363"/>
      <c r="U383" s="363" t="s">
        <v>1466</v>
      </c>
      <c r="V383" s="363"/>
      <c r="W383" s="363" t="s">
        <v>1467</v>
      </c>
      <c r="X383" s="363"/>
      <c r="Y383" s="363" t="s">
        <v>1468</v>
      </c>
      <c r="Z383" s="363"/>
      <c r="AA383" s="363"/>
      <c r="AB383" s="363"/>
      <c r="AC383" s="363"/>
      <c r="AD383" s="363"/>
      <c r="AE383" s="363" t="s">
        <v>96</v>
      </c>
      <c r="AF383" s="380" t="s">
        <v>97</v>
      </c>
      <c r="AG383" s="380" t="s">
        <v>494</v>
      </c>
      <c r="AH383" s="363" t="s">
        <v>667</v>
      </c>
    </row>
    <row r="384" spans="2:34" ht="15" hidden="1" customHeight="1" x14ac:dyDescent="0.3">
      <c r="B384" s="380" t="s">
        <v>0</v>
      </c>
      <c r="C384" s="409" t="s">
        <v>195</v>
      </c>
      <c r="D384" s="483" t="s">
        <v>447</v>
      </c>
      <c r="E384" s="468" t="s">
        <v>1460</v>
      </c>
      <c r="F384" s="488">
        <v>46043</v>
      </c>
      <c r="G384" s="380" t="s">
        <v>643</v>
      </c>
      <c r="H384" s="380">
        <v>11</v>
      </c>
      <c r="I384" s="388">
        <v>706090</v>
      </c>
      <c r="J384" s="380">
        <v>4</v>
      </c>
      <c r="K384" s="389">
        <f t="shared" si="17"/>
        <v>176522.5</v>
      </c>
      <c r="L384" s="381">
        <v>46773</v>
      </c>
      <c r="M384" s="381">
        <v>47138</v>
      </c>
      <c r="N384" s="663"/>
      <c r="O384" s="680"/>
      <c r="P384" s="363" t="s">
        <v>520</v>
      </c>
      <c r="Q384" s="380"/>
      <c r="R384" s="380"/>
      <c r="S384" s="363" t="s">
        <v>1469</v>
      </c>
      <c r="T384" s="363"/>
      <c r="U384" s="363" t="s">
        <v>1470</v>
      </c>
      <c r="V384" s="363"/>
      <c r="W384" s="363" t="s">
        <v>1471</v>
      </c>
      <c r="X384" s="363"/>
      <c r="Y384" s="363" t="s">
        <v>1472</v>
      </c>
      <c r="Z384" s="363"/>
      <c r="AA384" s="363"/>
      <c r="AB384" s="363"/>
      <c r="AC384" s="363"/>
      <c r="AD384" s="363"/>
      <c r="AE384" s="363" t="s">
        <v>96</v>
      </c>
      <c r="AF384" s="380" t="s">
        <v>97</v>
      </c>
      <c r="AG384" s="380" t="s">
        <v>494</v>
      </c>
      <c r="AH384" s="363" t="s">
        <v>667</v>
      </c>
    </row>
    <row r="385" spans="2:34" ht="15" hidden="1" customHeight="1" x14ac:dyDescent="0.3">
      <c r="B385" s="380" t="s">
        <v>0</v>
      </c>
      <c r="C385" s="482" t="s">
        <v>1473</v>
      </c>
      <c r="D385" s="483" t="s">
        <v>1474</v>
      </c>
      <c r="E385" s="491">
        <v>4340105757</v>
      </c>
      <c r="F385" s="488">
        <v>46020</v>
      </c>
      <c r="G385" s="380" t="s">
        <v>643</v>
      </c>
      <c r="H385" s="380">
        <v>8</v>
      </c>
      <c r="I385" s="388">
        <v>736117.2</v>
      </c>
      <c r="J385" s="380">
        <v>3</v>
      </c>
      <c r="K385" s="389">
        <f t="shared" si="17"/>
        <v>245372.4</v>
      </c>
      <c r="L385" s="381">
        <v>46023</v>
      </c>
      <c r="M385" s="381">
        <v>46387</v>
      </c>
      <c r="N385" s="663"/>
      <c r="O385" s="680"/>
      <c r="P385" s="363" t="s">
        <v>520</v>
      </c>
      <c r="Q385" s="380"/>
      <c r="R385" s="380"/>
      <c r="S385" s="390" t="s">
        <v>347</v>
      </c>
      <c r="T385" s="363" t="s">
        <v>1475</v>
      </c>
      <c r="U385" s="363" t="s">
        <v>348</v>
      </c>
      <c r="V385" s="363"/>
      <c r="W385" s="363" t="s">
        <v>349</v>
      </c>
      <c r="X385" s="363"/>
      <c r="Y385" s="363"/>
      <c r="Z385" s="363"/>
      <c r="AA385" s="363"/>
      <c r="AB385" s="363"/>
      <c r="AC385" s="363"/>
      <c r="AD385" s="363"/>
      <c r="AE385" s="363" t="s">
        <v>551</v>
      </c>
      <c r="AF385" s="380" t="s">
        <v>207</v>
      </c>
      <c r="AG385" s="380">
        <v>3</v>
      </c>
      <c r="AH385" s="363" t="s">
        <v>667</v>
      </c>
    </row>
    <row r="386" spans="2:34" ht="15" hidden="1" customHeight="1" x14ac:dyDescent="0.3">
      <c r="B386" s="380" t="s">
        <v>0</v>
      </c>
      <c r="C386" s="412" t="s">
        <v>614</v>
      </c>
      <c r="D386" s="437" t="s">
        <v>984</v>
      </c>
      <c r="E386" s="414" t="s">
        <v>1476</v>
      </c>
      <c r="F386" s="499">
        <v>46028</v>
      </c>
      <c r="G386" s="380" t="s">
        <v>643</v>
      </c>
      <c r="H386" s="380">
        <v>1</v>
      </c>
      <c r="I386" s="388">
        <v>76440</v>
      </c>
      <c r="J386" s="380">
        <v>3</v>
      </c>
      <c r="K386" s="389">
        <f t="shared" si="17"/>
        <v>25480</v>
      </c>
      <c r="L386" s="381">
        <v>46023</v>
      </c>
      <c r="M386" s="381">
        <v>46387</v>
      </c>
      <c r="N386" s="663"/>
      <c r="O386" s="680"/>
      <c r="P386" s="363" t="s">
        <v>520</v>
      </c>
      <c r="Q386" s="380"/>
      <c r="R386" s="380"/>
      <c r="S386" s="390" t="s">
        <v>347</v>
      </c>
      <c r="T386" s="363" t="s">
        <v>1169</v>
      </c>
      <c r="U386" s="363" t="s">
        <v>348</v>
      </c>
      <c r="V386" s="363"/>
      <c r="W386" s="363" t="s">
        <v>349</v>
      </c>
      <c r="X386" s="363"/>
      <c r="Y386" s="363"/>
      <c r="Z386" s="363"/>
      <c r="AA386" s="363"/>
      <c r="AB386" s="363"/>
      <c r="AC386" s="363"/>
      <c r="AD386" s="363"/>
      <c r="AE386" s="363" t="s">
        <v>281</v>
      </c>
      <c r="AF386" s="380" t="s">
        <v>97</v>
      </c>
      <c r="AG386" s="380">
        <v>3</v>
      </c>
      <c r="AH386" s="363" t="s">
        <v>1060</v>
      </c>
    </row>
    <row r="387" spans="2:34" ht="15" hidden="1" customHeight="1" x14ac:dyDescent="0.3">
      <c r="B387" s="380" t="s">
        <v>0</v>
      </c>
      <c r="C387" s="412" t="s">
        <v>614</v>
      </c>
      <c r="D387" s="463" t="s">
        <v>1016</v>
      </c>
      <c r="E387" s="465" t="s">
        <v>1477</v>
      </c>
      <c r="F387" s="500">
        <v>46041</v>
      </c>
      <c r="G387" s="380" t="s">
        <v>643</v>
      </c>
      <c r="H387" s="380">
        <v>2</v>
      </c>
      <c r="I387" s="388">
        <v>152880</v>
      </c>
      <c r="J387" s="380">
        <v>3</v>
      </c>
      <c r="K387" s="389">
        <f t="shared" si="17"/>
        <v>50960</v>
      </c>
      <c r="L387" s="381">
        <v>46023</v>
      </c>
      <c r="M387" s="381">
        <v>46387</v>
      </c>
      <c r="N387" s="663"/>
      <c r="O387" s="680"/>
      <c r="P387" s="363" t="s">
        <v>520</v>
      </c>
      <c r="Q387" s="380"/>
      <c r="R387" s="380"/>
      <c r="S387" s="390" t="s">
        <v>347</v>
      </c>
      <c r="T387" s="363" t="s">
        <v>1450</v>
      </c>
      <c r="U387" s="363" t="s">
        <v>348</v>
      </c>
      <c r="V387" s="363"/>
      <c r="W387" s="363" t="s">
        <v>349</v>
      </c>
      <c r="X387" s="363"/>
      <c r="Y387" s="363"/>
      <c r="Z387" s="363"/>
      <c r="AA387" s="363"/>
      <c r="AB387" s="363"/>
      <c r="AC387" s="363"/>
      <c r="AD387" s="363"/>
      <c r="AE387" s="363" t="s">
        <v>619</v>
      </c>
      <c r="AF387" s="380" t="s">
        <v>63</v>
      </c>
      <c r="AG387" s="380">
        <v>3</v>
      </c>
      <c r="AH387" s="363" t="s">
        <v>1060</v>
      </c>
    </row>
    <row r="388" spans="2:34" ht="15" hidden="1" customHeight="1" x14ac:dyDescent="0.3">
      <c r="B388" s="380" t="s">
        <v>0</v>
      </c>
      <c r="C388" s="409" t="s">
        <v>614</v>
      </c>
      <c r="D388" s="418" t="s">
        <v>1016</v>
      </c>
      <c r="E388" s="459" t="s">
        <v>1478</v>
      </c>
      <c r="F388" s="488">
        <v>46029</v>
      </c>
      <c r="G388" s="380" t="s">
        <v>643</v>
      </c>
      <c r="H388" s="380">
        <v>2</v>
      </c>
      <c r="I388" s="388">
        <v>152880</v>
      </c>
      <c r="J388" s="380">
        <v>3</v>
      </c>
      <c r="K388" s="389">
        <f t="shared" si="17"/>
        <v>50960</v>
      </c>
      <c r="L388" s="381">
        <v>46023</v>
      </c>
      <c r="M388" s="381">
        <v>46387</v>
      </c>
      <c r="N388" s="663"/>
      <c r="O388" s="680"/>
      <c r="P388" s="363" t="s">
        <v>520</v>
      </c>
      <c r="Q388" s="380"/>
      <c r="R388" s="380"/>
      <c r="S388" s="390" t="s">
        <v>347</v>
      </c>
      <c r="T388" s="363" t="s">
        <v>909</v>
      </c>
      <c r="U388" s="363" t="s">
        <v>348</v>
      </c>
      <c r="V388" s="363"/>
      <c r="W388" s="363" t="s">
        <v>349</v>
      </c>
      <c r="X388" s="363"/>
      <c r="Y388" s="363"/>
      <c r="Z388" s="363"/>
      <c r="AA388" s="363"/>
      <c r="AB388" s="363"/>
      <c r="AC388" s="363"/>
      <c r="AD388" s="363"/>
      <c r="AE388" s="363" t="s">
        <v>619</v>
      </c>
      <c r="AF388" s="380" t="s">
        <v>63</v>
      </c>
      <c r="AG388" s="380">
        <v>3</v>
      </c>
      <c r="AH388" s="363" t="s">
        <v>1060</v>
      </c>
    </row>
    <row r="389" spans="2:34" ht="15" hidden="1" customHeight="1" x14ac:dyDescent="0.3">
      <c r="B389" s="380" t="s">
        <v>0</v>
      </c>
      <c r="C389" s="482" t="s">
        <v>1429</v>
      </c>
      <c r="D389" s="483" t="s">
        <v>388</v>
      </c>
      <c r="E389" s="491" t="s">
        <v>1479</v>
      </c>
      <c r="F389" s="501">
        <v>46035</v>
      </c>
      <c r="G389" s="380" t="s">
        <v>643</v>
      </c>
      <c r="H389" s="380">
        <v>4</v>
      </c>
      <c r="I389" s="388">
        <v>329200</v>
      </c>
      <c r="J389" s="380">
        <v>2</v>
      </c>
      <c r="K389" s="389">
        <f t="shared" si="17"/>
        <v>164600</v>
      </c>
      <c r="L389" s="381">
        <v>46023</v>
      </c>
      <c r="M389" s="381">
        <v>46387</v>
      </c>
      <c r="N389" s="663"/>
      <c r="O389" s="680"/>
      <c r="P389" s="363" t="s">
        <v>520</v>
      </c>
      <c r="Q389" s="380"/>
      <c r="R389" s="380"/>
      <c r="S389" s="390" t="s">
        <v>607</v>
      </c>
      <c r="T389" s="363" t="s">
        <v>1959</v>
      </c>
      <c r="U389" s="363" t="s">
        <v>608</v>
      </c>
      <c r="V389" s="363"/>
      <c r="W389" s="363"/>
      <c r="X389" s="363"/>
      <c r="Y389" s="363"/>
      <c r="Z389" s="363"/>
      <c r="AA389" s="363"/>
      <c r="AB389" s="363"/>
      <c r="AC389" s="363"/>
      <c r="AD389" s="363"/>
      <c r="AE389" s="363" t="s">
        <v>619</v>
      </c>
      <c r="AF389" s="380" t="s">
        <v>63</v>
      </c>
      <c r="AG389" s="380">
        <v>3</v>
      </c>
      <c r="AH389" s="363" t="s">
        <v>667</v>
      </c>
    </row>
    <row r="390" spans="2:34" ht="15" hidden="1" customHeight="1" x14ac:dyDescent="0.3">
      <c r="B390" s="380" t="s">
        <v>0</v>
      </c>
      <c r="C390" s="482" t="s">
        <v>1480</v>
      </c>
      <c r="D390" s="483" t="s">
        <v>1481</v>
      </c>
      <c r="E390" s="468">
        <v>6025000320</v>
      </c>
      <c r="F390" s="488">
        <v>45986</v>
      </c>
      <c r="G390" s="380" t="s">
        <v>643</v>
      </c>
      <c r="H390" s="380">
        <v>1</v>
      </c>
      <c r="I390" s="388">
        <v>115500</v>
      </c>
      <c r="J390" s="380">
        <v>3</v>
      </c>
      <c r="K390" s="391">
        <f t="shared" si="17"/>
        <v>38500</v>
      </c>
      <c r="L390" s="381">
        <v>45931</v>
      </c>
      <c r="M390" s="381">
        <v>46295</v>
      </c>
      <c r="N390" s="663"/>
      <c r="O390" s="680"/>
      <c r="P390" s="363" t="s">
        <v>520</v>
      </c>
      <c r="Q390" s="380"/>
      <c r="R390" s="380"/>
      <c r="S390" s="390" t="s">
        <v>83</v>
      </c>
      <c r="T390" s="363" t="s">
        <v>573</v>
      </c>
      <c r="U390" s="390" t="s">
        <v>404</v>
      </c>
      <c r="V390" s="363" t="s">
        <v>1713</v>
      </c>
      <c r="W390" s="363" t="s">
        <v>406</v>
      </c>
      <c r="X390" s="363"/>
      <c r="Y390" s="363"/>
      <c r="Z390" s="363"/>
      <c r="AA390" s="363"/>
      <c r="AB390" s="363"/>
      <c r="AC390" s="363"/>
      <c r="AD390" s="363"/>
      <c r="AE390" s="363" t="s">
        <v>183</v>
      </c>
      <c r="AF390" s="380" t="s">
        <v>97</v>
      </c>
      <c r="AG390" s="380">
        <v>3</v>
      </c>
      <c r="AH390" s="363" t="s">
        <v>667</v>
      </c>
    </row>
    <row r="391" spans="2:34" ht="15" hidden="1" customHeight="1" x14ac:dyDescent="0.3">
      <c r="B391" s="380" t="s">
        <v>0</v>
      </c>
      <c r="C391" s="482" t="s">
        <v>604</v>
      </c>
      <c r="D391" s="483" t="s">
        <v>620</v>
      </c>
      <c r="E391" s="468">
        <v>5700204128</v>
      </c>
      <c r="F391" s="488">
        <v>46030</v>
      </c>
      <c r="G391" s="380" t="s">
        <v>643</v>
      </c>
      <c r="H391" s="380"/>
      <c r="I391" s="388">
        <f>1893360/2</f>
        <v>946680</v>
      </c>
      <c r="J391" s="380">
        <v>2</v>
      </c>
      <c r="K391" s="389">
        <f t="shared" si="17"/>
        <v>473340</v>
      </c>
      <c r="L391" s="381">
        <v>46023</v>
      </c>
      <c r="M391" s="381">
        <v>46387</v>
      </c>
      <c r="N391" s="663"/>
      <c r="O391" s="680"/>
      <c r="P391" s="363" t="s">
        <v>520</v>
      </c>
      <c r="Q391" s="380"/>
      <c r="R391" s="380"/>
      <c r="S391" s="390" t="s">
        <v>486</v>
      </c>
      <c r="T391" s="363" t="s">
        <v>798</v>
      </c>
      <c r="U391" s="363" t="s">
        <v>608</v>
      </c>
      <c r="V391" s="363"/>
      <c r="W391" s="363"/>
      <c r="X391" s="363"/>
      <c r="Y391" s="363"/>
      <c r="Z391" s="363"/>
      <c r="AA391" s="363"/>
      <c r="AB391" s="363"/>
      <c r="AC391" s="363"/>
      <c r="AD391" s="363"/>
      <c r="AE391" s="363" t="s">
        <v>619</v>
      </c>
      <c r="AF391" s="380" t="s">
        <v>63</v>
      </c>
      <c r="AG391" s="380">
        <v>3</v>
      </c>
      <c r="AH391" s="363" t="s">
        <v>799</v>
      </c>
    </row>
    <row r="392" spans="2:34" ht="15" hidden="1" customHeight="1" x14ac:dyDescent="0.3">
      <c r="B392" s="380" t="s">
        <v>0</v>
      </c>
      <c r="C392" s="482" t="s">
        <v>604</v>
      </c>
      <c r="D392" s="483" t="s">
        <v>620</v>
      </c>
      <c r="E392" s="468">
        <v>5700204128</v>
      </c>
      <c r="F392" s="488">
        <v>46030</v>
      </c>
      <c r="G392" s="380" t="s">
        <v>643</v>
      </c>
      <c r="H392" s="380">
        <v>8</v>
      </c>
      <c r="I392" s="388">
        <f>1893360/2</f>
        <v>946680</v>
      </c>
      <c r="J392" s="380">
        <v>2</v>
      </c>
      <c r="K392" s="389">
        <f t="shared" si="17"/>
        <v>473340</v>
      </c>
      <c r="L392" s="381">
        <v>46388</v>
      </c>
      <c r="M392" s="381">
        <v>46752</v>
      </c>
      <c r="N392" s="663"/>
      <c r="O392" s="680"/>
      <c r="P392" s="363" t="s">
        <v>520</v>
      </c>
      <c r="Q392" s="380"/>
      <c r="R392" s="380"/>
      <c r="S392" s="363" t="s">
        <v>1119</v>
      </c>
      <c r="T392" s="363"/>
      <c r="U392" s="363" t="s">
        <v>1482</v>
      </c>
      <c r="V392" s="363"/>
      <c r="W392" s="363"/>
      <c r="X392" s="363"/>
      <c r="Y392" s="363"/>
      <c r="Z392" s="363"/>
      <c r="AA392" s="363"/>
      <c r="AB392" s="363"/>
      <c r="AC392" s="363"/>
      <c r="AD392" s="363"/>
      <c r="AE392" s="363" t="s">
        <v>619</v>
      </c>
      <c r="AF392" s="380" t="s">
        <v>63</v>
      </c>
      <c r="AG392" s="380">
        <v>3</v>
      </c>
      <c r="AH392" s="363" t="s">
        <v>799</v>
      </c>
    </row>
    <row r="393" spans="2:34" ht="15" hidden="1" customHeight="1" x14ac:dyDescent="0.3">
      <c r="B393" s="380" t="s">
        <v>0</v>
      </c>
      <c r="C393" s="409" t="s">
        <v>614</v>
      </c>
      <c r="D393" s="423" t="s">
        <v>1483</v>
      </c>
      <c r="E393" s="502" t="s">
        <v>1484</v>
      </c>
      <c r="F393" s="488">
        <v>45677</v>
      </c>
      <c r="G393" s="380" t="s">
        <v>643</v>
      </c>
      <c r="H393" s="380">
        <v>2</v>
      </c>
      <c r="I393" s="388">
        <v>158000</v>
      </c>
      <c r="J393" s="380">
        <v>3</v>
      </c>
      <c r="K393" s="389">
        <f t="shared" si="17"/>
        <v>52666.666666666664</v>
      </c>
      <c r="L393" s="381">
        <v>46054</v>
      </c>
      <c r="M393" s="381">
        <v>46418</v>
      </c>
      <c r="N393" s="663"/>
      <c r="O393" s="680"/>
      <c r="P393" s="363" t="s">
        <v>520</v>
      </c>
      <c r="Q393" s="380"/>
      <c r="R393" s="380"/>
      <c r="S393" s="390" t="s">
        <v>1455</v>
      </c>
      <c r="T393" s="363" t="s">
        <v>1485</v>
      </c>
      <c r="U393" s="363" t="s">
        <v>406</v>
      </c>
      <c r="V393" s="363"/>
      <c r="W393" s="363" t="s">
        <v>407</v>
      </c>
      <c r="X393" s="363"/>
      <c r="Y393" s="363"/>
      <c r="Z393" s="363"/>
      <c r="AA393" s="363"/>
      <c r="AB393" s="363"/>
      <c r="AC393" s="363"/>
      <c r="AD393" s="363"/>
      <c r="AE393" s="363" t="s">
        <v>834</v>
      </c>
      <c r="AF393" s="380" t="s">
        <v>207</v>
      </c>
      <c r="AG393" s="380">
        <v>3</v>
      </c>
      <c r="AH393" s="363" t="s">
        <v>829</v>
      </c>
    </row>
    <row r="394" spans="2:34" ht="15" hidden="1" customHeight="1" x14ac:dyDescent="0.3">
      <c r="B394" s="380" t="s">
        <v>0</v>
      </c>
      <c r="C394" s="409" t="s">
        <v>614</v>
      </c>
      <c r="D394" s="423" t="s">
        <v>1483</v>
      </c>
      <c r="E394" s="393" t="s">
        <v>1486</v>
      </c>
      <c r="F394" s="488">
        <v>46006</v>
      </c>
      <c r="G394" s="380" t="s">
        <v>643</v>
      </c>
      <c r="H394" s="380">
        <v>3</v>
      </c>
      <c r="I394" s="388">
        <v>237000</v>
      </c>
      <c r="J394" s="380">
        <v>3</v>
      </c>
      <c r="K394" s="389">
        <f t="shared" si="17"/>
        <v>79000</v>
      </c>
      <c r="L394" s="381">
        <v>46023</v>
      </c>
      <c r="M394" s="381">
        <v>46387</v>
      </c>
      <c r="N394" s="663"/>
      <c r="O394" s="680"/>
      <c r="P394" s="363" t="s">
        <v>520</v>
      </c>
      <c r="Q394" s="380"/>
      <c r="R394" s="380"/>
      <c r="S394" s="390" t="s">
        <v>347</v>
      </c>
      <c r="T394" s="363" t="s">
        <v>1262</v>
      </c>
      <c r="U394" s="390" t="s">
        <v>348</v>
      </c>
      <c r="V394" s="363" t="s">
        <v>1727</v>
      </c>
      <c r="W394" s="363" t="s">
        <v>349</v>
      </c>
      <c r="X394" s="363"/>
      <c r="Y394" s="363"/>
      <c r="Z394" s="363"/>
      <c r="AA394" s="363"/>
      <c r="AB394" s="363"/>
      <c r="AC394" s="363"/>
      <c r="AD394" s="363"/>
      <c r="AE394" s="363" t="s">
        <v>834</v>
      </c>
      <c r="AF394" s="380" t="s">
        <v>207</v>
      </c>
      <c r="AG394" s="380">
        <v>3</v>
      </c>
      <c r="AH394" s="363" t="s">
        <v>799</v>
      </c>
    </row>
    <row r="395" spans="2:34" ht="15" hidden="1" customHeight="1" x14ac:dyDescent="0.3">
      <c r="B395" s="380" t="s">
        <v>0</v>
      </c>
      <c r="C395" s="409" t="s">
        <v>1487</v>
      </c>
      <c r="D395" s="434" t="s">
        <v>841</v>
      </c>
      <c r="E395" s="472">
        <v>91049299</v>
      </c>
      <c r="F395" s="488">
        <v>46035</v>
      </c>
      <c r="G395" s="380" t="s">
        <v>643</v>
      </c>
      <c r="H395" s="380"/>
      <c r="I395" s="388">
        <v>275625</v>
      </c>
      <c r="J395" s="380">
        <v>2</v>
      </c>
      <c r="K395" s="389">
        <f t="shared" ref="K395:K424" si="18">I395/J395</f>
        <v>137812.5</v>
      </c>
      <c r="L395" s="381">
        <v>46023</v>
      </c>
      <c r="M395" s="381">
        <v>46387</v>
      </c>
      <c r="N395" s="663"/>
      <c r="O395" s="680"/>
      <c r="P395" s="363" t="s">
        <v>520</v>
      </c>
      <c r="Q395" s="380"/>
      <c r="R395" s="380"/>
      <c r="S395" s="363" t="s">
        <v>607</v>
      </c>
      <c r="T395" s="363"/>
      <c r="U395" s="363" t="s">
        <v>608</v>
      </c>
      <c r="V395" s="363"/>
      <c r="W395" s="363"/>
      <c r="X395" s="363"/>
      <c r="Y395" s="363"/>
      <c r="Z395" s="363"/>
      <c r="AA395" s="363"/>
      <c r="AB395" s="363"/>
      <c r="AC395" s="363"/>
      <c r="AD395" s="363"/>
      <c r="AE395" s="363" t="s">
        <v>485</v>
      </c>
      <c r="AF395" s="380" t="s">
        <v>63</v>
      </c>
      <c r="AG395" s="380">
        <v>3</v>
      </c>
      <c r="AH395" s="363" t="s">
        <v>1488</v>
      </c>
    </row>
    <row r="396" spans="2:34" ht="15" hidden="1" customHeight="1" x14ac:dyDescent="0.3">
      <c r="B396" s="380" t="s">
        <v>0</v>
      </c>
      <c r="C396" s="409" t="s">
        <v>1487</v>
      </c>
      <c r="D396" s="434" t="s">
        <v>841</v>
      </c>
      <c r="E396" s="472">
        <v>91049299</v>
      </c>
      <c r="F396" s="488">
        <v>46035</v>
      </c>
      <c r="G396" s="380" t="s">
        <v>643</v>
      </c>
      <c r="H396" s="380"/>
      <c r="I396" s="388">
        <v>275625</v>
      </c>
      <c r="J396" s="380">
        <v>2</v>
      </c>
      <c r="K396" s="389">
        <f t="shared" si="18"/>
        <v>137812.5</v>
      </c>
      <c r="L396" s="381">
        <v>46388</v>
      </c>
      <c r="M396" s="381">
        <v>46752</v>
      </c>
      <c r="N396" s="663"/>
      <c r="O396" s="680"/>
      <c r="P396" s="363" t="s">
        <v>520</v>
      </c>
      <c r="Q396" s="380"/>
      <c r="R396" s="380"/>
      <c r="S396" s="363" t="s">
        <v>1119</v>
      </c>
      <c r="T396" s="363"/>
      <c r="U396" s="363" t="s">
        <v>1482</v>
      </c>
      <c r="V396" s="363"/>
      <c r="W396" s="363"/>
      <c r="X396" s="363"/>
      <c r="Y396" s="363"/>
      <c r="Z396" s="363"/>
      <c r="AA396" s="363"/>
      <c r="AB396" s="363"/>
      <c r="AC396" s="363"/>
      <c r="AD396" s="363"/>
      <c r="AE396" s="363" t="s">
        <v>485</v>
      </c>
      <c r="AF396" s="380" t="s">
        <v>63</v>
      </c>
      <c r="AG396" s="380">
        <v>3</v>
      </c>
      <c r="AH396" s="363" t="s">
        <v>1488</v>
      </c>
    </row>
    <row r="397" spans="2:34" ht="15" hidden="1" customHeight="1" x14ac:dyDescent="0.3">
      <c r="B397" s="380" t="s">
        <v>0</v>
      </c>
      <c r="C397" s="409" t="s">
        <v>1487</v>
      </c>
      <c r="D397" s="434" t="s">
        <v>841</v>
      </c>
      <c r="E397" s="472">
        <v>91049299</v>
      </c>
      <c r="F397" s="488">
        <v>46035</v>
      </c>
      <c r="G397" s="380" t="s">
        <v>643</v>
      </c>
      <c r="H397" s="380">
        <v>5</v>
      </c>
      <c r="I397" s="388">
        <v>275625</v>
      </c>
      <c r="J397" s="380">
        <v>2</v>
      </c>
      <c r="K397" s="389">
        <f t="shared" si="18"/>
        <v>137812.5</v>
      </c>
      <c r="L397" s="381">
        <v>46753</v>
      </c>
      <c r="M397" s="381">
        <v>47118</v>
      </c>
      <c r="N397" s="663"/>
      <c r="O397" s="680"/>
      <c r="P397" s="363" t="s">
        <v>520</v>
      </c>
      <c r="Q397" s="380"/>
      <c r="R397" s="380"/>
      <c r="S397" s="363" t="s">
        <v>1489</v>
      </c>
      <c r="T397" s="363"/>
      <c r="U397" s="363" t="s">
        <v>1490</v>
      </c>
      <c r="V397" s="363"/>
      <c r="W397" s="363"/>
      <c r="X397" s="363"/>
      <c r="Y397" s="363"/>
      <c r="Z397" s="363"/>
      <c r="AA397" s="363"/>
      <c r="AB397" s="363"/>
      <c r="AC397" s="363"/>
      <c r="AD397" s="363"/>
      <c r="AE397" s="363" t="s">
        <v>485</v>
      </c>
      <c r="AF397" s="380" t="s">
        <v>63</v>
      </c>
      <c r="AG397" s="380">
        <v>3</v>
      </c>
      <c r="AH397" s="363" t="s">
        <v>1488</v>
      </c>
    </row>
    <row r="398" spans="2:34" ht="15" hidden="1" customHeight="1" x14ac:dyDescent="0.3">
      <c r="B398" s="410" t="s">
        <v>2</v>
      </c>
      <c r="C398" s="482" t="s">
        <v>195</v>
      </c>
      <c r="D398" s="483" t="s">
        <v>1491</v>
      </c>
      <c r="E398" s="468" t="s">
        <v>1492</v>
      </c>
      <c r="F398" s="488">
        <v>45982</v>
      </c>
      <c r="G398" s="380" t="s">
        <v>643</v>
      </c>
      <c r="H398" s="380">
        <v>5</v>
      </c>
      <c r="I398" s="388">
        <v>287100</v>
      </c>
      <c r="J398" s="380">
        <v>4</v>
      </c>
      <c r="K398" s="391">
        <f t="shared" si="18"/>
        <v>71775</v>
      </c>
      <c r="L398" s="381">
        <v>45992</v>
      </c>
      <c r="M398" s="381">
        <v>46356</v>
      </c>
      <c r="N398" s="663"/>
      <c r="O398" s="680"/>
      <c r="P398" s="363" t="s">
        <v>520</v>
      </c>
      <c r="Q398" s="380"/>
      <c r="R398" s="380"/>
      <c r="S398" s="390" t="s">
        <v>1133</v>
      </c>
      <c r="T398" s="363" t="s">
        <v>1173</v>
      </c>
      <c r="U398" s="390" t="s">
        <v>1134</v>
      </c>
      <c r="V398" s="363" t="s">
        <v>1723</v>
      </c>
      <c r="W398" s="363" t="s">
        <v>1244</v>
      </c>
      <c r="X398" s="363"/>
      <c r="Y398" s="363" t="s">
        <v>1245</v>
      </c>
      <c r="Z398" s="363"/>
      <c r="AA398" s="363"/>
      <c r="AB398" s="363"/>
      <c r="AC398" s="363"/>
      <c r="AD398" s="363"/>
      <c r="AE398" s="363" t="s">
        <v>551</v>
      </c>
      <c r="AF398" s="380" t="s">
        <v>207</v>
      </c>
      <c r="AG398" s="380">
        <v>4</v>
      </c>
      <c r="AH398" s="363"/>
    </row>
    <row r="399" spans="2:34" ht="15" hidden="1" customHeight="1" x14ac:dyDescent="0.3">
      <c r="B399" s="380" t="s">
        <v>2</v>
      </c>
      <c r="C399" s="409" t="s">
        <v>1493</v>
      </c>
      <c r="D399" s="423" t="s">
        <v>1114</v>
      </c>
      <c r="E399" s="408" t="s">
        <v>1494</v>
      </c>
      <c r="F399" s="488">
        <v>45995</v>
      </c>
      <c r="G399" s="380" t="s">
        <v>643</v>
      </c>
      <c r="H399" s="380">
        <v>1</v>
      </c>
      <c r="I399" s="388">
        <v>90000</v>
      </c>
      <c r="J399" s="380">
        <v>3</v>
      </c>
      <c r="K399" s="389">
        <f t="shared" si="18"/>
        <v>30000</v>
      </c>
      <c r="L399" s="381">
        <v>45992</v>
      </c>
      <c r="M399" s="381">
        <v>46356</v>
      </c>
      <c r="N399" s="663"/>
      <c r="O399" s="680"/>
      <c r="P399" s="363" t="s">
        <v>520</v>
      </c>
      <c r="Q399" s="380"/>
      <c r="R399" s="380"/>
      <c r="S399" s="390" t="s">
        <v>361</v>
      </c>
      <c r="T399" s="363" t="s">
        <v>386</v>
      </c>
      <c r="U399" s="390" t="s">
        <v>1080</v>
      </c>
      <c r="V399" s="363" t="s">
        <v>1732</v>
      </c>
      <c r="W399" s="363" t="s">
        <v>1108</v>
      </c>
      <c r="X399" s="363"/>
      <c r="Y399" s="363"/>
      <c r="Z399" s="363"/>
      <c r="AA399" s="363"/>
      <c r="AB399" s="363"/>
      <c r="AC399" s="363"/>
      <c r="AD399" s="363"/>
      <c r="AE399" s="363" t="s">
        <v>183</v>
      </c>
      <c r="AF399" s="380" t="s">
        <v>97</v>
      </c>
      <c r="AG399" s="380">
        <v>3</v>
      </c>
      <c r="AH399" s="363" t="s">
        <v>667</v>
      </c>
    </row>
    <row r="400" spans="2:34" ht="15" hidden="1" customHeight="1" x14ac:dyDescent="0.3">
      <c r="B400" s="380" t="s">
        <v>2</v>
      </c>
      <c r="C400" s="482" t="s">
        <v>587</v>
      </c>
      <c r="D400" s="483" t="s">
        <v>176</v>
      </c>
      <c r="E400" s="468">
        <v>4800014029</v>
      </c>
      <c r="F400" s="501">
        <v>46043</v>
      </c>
      <c r="G400" s="380" t="s">
        <v>643</v>
      </c>
      <c r="H400" s="380">
        <v>1</v>
      </c>
      <c r="I400" s="388">
        <v>90667</v>
      </c>
      <c r="J400" s="380">
        <v>2</v>
      </c>
      <c r="K400" s="389">
        <f t="shared" si="18"/>
        <v>45333.5</v>
      </c>
      <c r="L400" s="381">
        <v>46054</v>
      </c>
      <c r="M400" s="381">
        <v>46418</v>
      </c>
      <c r="N400" s="663"/>
      <c r="O400" s="680"/>
      <c r="P400" s="363" t="s">
        <v>520</v>
      </c>
      <c r="Q400" s="380"/>
      <c r="R400" s="380"/>
      <c r="S400" s="390" t="s">
        <v>426</v>
      </c>
      <c r="T400" s="363" t="s">
        <v>1733</v>
      </c>
      <c r="U400" s="363" t="s">
        <v>427</v>
      </c>
      <c r="V400" s="363"/>
      <c r="W400" s="363"/>
      <c r="X400" s="363"/>
      <c r="Y400" s="363"/>
      <c r="Z400" s="363"/>
      <c r="AA400" s="363"/>
      <c r="AB400" s="363"/>
      <c r="AC400" s="363"/>
      <c r="AD400" s="363"/>
      <c r="AE400" s="363" t="s">
        <v>183</v>
      </c>
      <c r="AF400" s="380" t="s">
        <v>97</v>
      </c>
      <c r="AG400" s="380">
        <v>3</v>
      </c>
      <c r="AH400" s="363" t="s">
        <v>1495</v>
      </c>
    </row>
    <row r="401" spans="2:34" ht="15" hidden="1" customHeight="1" x14ac:dyDescent="0.3">
      <c r="B401" s="380" t="s">
        <v>2</v>
      </c>
      <c r="C401" s="482" t="s">
        <v>1497</v>
      </c>
      <c r="D401" s="483" t="s">
        <v>447</v>
      </c>
      <c r="E401" s="380" t="s">
        <v>1498</v>
      </c>
      <c r="F401" s="488">
        <v>46046</v>
      </c>
      <c r="G401" s="380" t="s">
        <v>643</v>
      </c>
      <c r="H401" s="380">
        <v>2</v>
      </c>
      <c r="I401" s="388">
        <v>156090</v>
      </c>
      <c r="J401" s="380">
        <v>3</v>
      </c>
      <c r="K401" s="389">
        <f t="shared" si="18"/>
        <v>52030</v>
      </c>
      <c r="L401" s="381">
        <v>46023</v>
      </c>
      <c r="M401" s="381">
        <v>46387</v>
      </c>
      <c r="N401" s="663"/>
      <c r="O401" s="680"/>
      <c r="P401" s="363" t="s">
        <v>520</v>
      </c>
      <c r="Q401" s="380"/>
      <c r="R401" s="380"/>
      <c r="S401" s="390" t="s">
        <v>347</v>
      </c>
      <c r="T401" s="363" t="s">
        <v>495</v>
      </c>
      <c r="U401" s="363" t="s">
        <v>348</v>
      </c>
      <c r="V401" s="363"/>
      <c r="W401" s="363" t="s">
        <v>349</v>
      </c>
      <c r="X401" s="363"/>
      <c r="Y401" s="363"/>
      <c r="Z401" s="363"/>
      <c r="AA401" s="363"/>
      <c r="AB401" s="363"/>
      <c r="AC401" s="363"/>
      <c r="AD401" s="363"/>
      <c r="AE401" s="363" t="s">
        <v>281</v>
      </c>
      <c r="AF401" s="380" t="s">
        <v>97</v>
      </c>
      <c r="AG401" s="380">
        <v>3</v>
      </c>
      <c r="AH401" s="363"/>
    </row>
    <row r="402" spans="2:34" ht="15" hidden="1" customHeight="1" x14ac:dyDescent="0.3">
      <c r="B402" s="380" t="s">
        <v>2</v>
      </c>
      <c r="C402" s="482" t="s">
        <v>1501</v>
      </c>
      <c r="D402" s="483" t="s">
        <v>151</v>
      </c>
      <c r="E402" s="468">
        <v>10105567</v>
      </c>
      <c r="F402" s="488">
        <v>46055</v>
      </c>
      <c r="G402" s="380" t="s">
        <v>643</v>
      </c>
      <c r="H402" s="380">
        <v>1</v>
      </c>
      <c r="I402" s="388">
        <v>60000</v>
      </c>
      <c r="J402" s="380">
        <v>3</v>
      </c>
      <c r="K402" s="389">
        <f t="shared" si="18"/>
        <v>20000</v>
      </c>
      <c r="L402" s="381">
        <v>46023</v>
      </c>
      <c r="M402" s="381">
        <v>46387</v>
      </c>
      <c r="N402" s="663"/>
      <c r="O402" s="680"/>
      <c r="P402" s="363" t="s">
        <v>520</v>
      </c>
      <c r="Q402" s="380"/>
      <c r="R402" s="380"/>
      <c r="S402" s="390" t="s">
        <v>347</v>
      </c>
      <c r="T402" s="363" t="s">
        <v>1044</v>
      </c>
      <c r="U402" s="363" t="s">
        <v>348</v>
      </c>
      <c r="V402" s="363"/>
      <c r="W402" s="363" t="s">
        <v>349</v>
      </c>
      <c r="X402" s="363"/>
      <c r="Y402" s="363"/>
      <c r="Z402" s="363"/>
      <c r="AA402" s="363"/>
      <c r="AB402" s="363"/>
      <c r="AC402" s="363"/>
      <c r="AD402" s="363"/>
      <c r="AE402" s="363" t="s">
        <v>478</v>
      </c>
      <c r="AF402" s="380" t="s">
        <v>63</v>
      </c>
      <c r="AG402" s="380">
        <v>5</v>
      </c>
      <c r="AH402" s="363" t="s">
        <v>667</v>
      </c>
    </row>
    <row r="403" spans="2:34" ht="15" hidden="1" customHeight="1" x14ac:dyDescent="0.3">
      <c r="B403" s="380" t="s">
        <v>2</v>
      </c>
      <c r="C403" s="482" t="s">
        <v>1502</v>
      </c>
      <c r="D403" s="483" t="s">
        <v>151</v>
      </c>
      <c r="E403" s="380">
        <v>10105566</v>
      </c>
      <c r="F403" s="488">
        <v>46055</v>
      </c>
      <c r="G403" s="380" t="s">
        <v>643</v>
      </c>
      <c r="H403" s="380">
        <v>1</v>
      </c>
      <c r="I403" s="388">
        <v>60000</v>
      </c>
      <c r="J403" s="380">
        <v>3</v>
      </c>
      <c r="K403" s="389">
        <f t="shared" si="18"/>
        <v>20000</v>
      </c>
      <c r="L403" s="381">
        <v>46023</v>
      </c>
      <c r="M403" s="381">
        <v>46387</v>
      </c>
      <c r="N403" s="663"/>
      <c r="O403" s="680"/>
      <c r="P403" s="363" t="s">
        <v>520</v>
      </c>
      <c r="Q403" s="380"/>
      <c r="R403" s="380"/>
      <c r="S403" s="390" t="s">
        <v>347</v>
      </c>
      <c r="T403" s="363" t="s">
        <v>1710</v>
      </c>
      <c r="U403" s="363" t="s">
        <v>348</v>
      </c>
      <c r="V403" s="363"/>
      <c r="W403" s="363" t="s">
        <v>349</v>
      </c>
      <c r="X403" s="363"/>
      <c r="Y403" s="363"/>
      <c r="Z403" s="363"/>
      <c r="AA403" s="363"/>
      <c r="AB403" s="363"/>
      <c r="AC403" s="363"/>
      <c r="AD403" s="363"/>
      <c r="AE403" s="363" t="s">
        <v>478</v>
      </c>
      <c r="AF403" s="380" t="s">
        <v>63</v>
      </c>
      <c r="AG403" s="380">
        <v>5</v>
      </c>
      <c r="AH403" s="363" t="s">
        <v>667</v>
      </c>
    </row>
    <row r="404" spans="2:34" ht="15" hidden="1" customHeight="1" x14ac:dyDescent="0.3">
      <c r="B404" s="380" t="s">
        <v>2</v>
      </c>
      <c r="C404" s="482" t="s">
        <v>1503</v>
      </c>
      <c r="D404" s="483" t="s">
        <v>151</v>
      </c>
      <c r="E404" s="468">
        <v>10105569</v>
      </c>
      <c r="F404" s="488">
        <v>46055</v>
      </c>
      <c r="G404" s="380" t="s">
        <v>643</v>
      </c>
      <c r="H404" s="380">
        <v>1</v>
      </c>
      <c r="I404" s="388">
        <v>60000</v>
      </c>
      <c r="J404" s="380">
        <v>3</v>
      </c>
      <c r="K404" s="389">
        <f t="shared" si="18"/>
        <v>20000</v>
      </c>
      <c r="L404" s="381">
        <v>46023</v>
      </c>
      <c r="M404" s="381">
        <v>46387</v>
      </c>
      <c r="N404" s="663"/>
      <c r="O404" s="680"/>
      <c r="P404" s="363" t="s">
        <v>520</v>
      </c>
      <c r="Q404" s="380"/>
      <c r="R404" s="380"/>
      <c r="S404" s="390" t="s">
        <v>347</v>
      </c>
      <c r="T404" s="363" t="s">
        <v>1044</v>
      </c>
      <c r="U404" s="363" t="s">
        <v>348</v>
      </c>
      <c r="V404" s="363"/>
      <c r="W404" s="363" t="s">
        <v>349</v>
      </c>
      <c r="X404" s="363"/>
      <c r="Y404" s="363"/>
      <c r="Z404" s="363"/>
      <c r="AA404" s="363"/>
      <c r="AB404" s="363"/>
      <c r="AC404" s="363"/>
      <c r="AD404" s="363"/>
      <c r="AE404" s="363" t="s">
        <v>478</v>
      </c>
      <c r="AF404" s="380" t="s">
        <v>63</v>
      </c>
      <c r="AG404" s="380">
        <v>5</v>
      </c>
      <c r="AH404" s="363" t="s">
        <v>667</v>
      </c>
    </row>
    <row r="405" spans="2:34" ht="15" hidden="1" customHeight="1" x14ac:dyDescent="0.3">
      <c r="B405" s="380" t="s">
        <v>2</v>
      </c>
      <c r="C405" s="482" t="s">
        <v>1504</v>
      </c>
      <c r="D405" s="483" t="s">
        <v>151</v>
      </c>
      <c r="E405" s="468">
        <v>10105568</v>
      </c>
      <c r="F405" s="488">
        <v>46055</v>
      </c>
      <c r="G405" s="380" t="s">
        <v>643</v>
      </c>
      <c r="H405" s="380">
        <v>1</v>
      </c>
      <c r="I405" s="388">
        <v>60000</v>
      </c>
      <c r="J405" s="380">
        <v>3</v>
      </c>
      <c r="K405" s="389">
        <f t="shared" si="18"/>
        <v>20000</v>
      </c>
      <c r="L405" s="381">
        <v>46023</v>
      </c>
      <c r="M405" s="381">
        <v>46387</v>
      </c>
      <c r="N405" s="663"/>
      <c r="O405" s="680"/>
      <c r="P405" s="363" t="s">
        <v>520</v>
      </c>
      <c r="Q405" s="380"/>
      <c r="R405" s="380"/>
      <c r="S405" s="390" t="s">
        <v>347</v>
      </c>
      <c r="T405" s="363" t="s">
        <v>1044</v>
      </c>
      <c r="U405" s="363" t="s">
        <v>348</v>
      </c>
      <c r="V405" s="363"/>
      <c r="W405" s="363" t="s">
        <v>349</v>
      </c>
      <c r="X405" s="363"/>
      <c r="Y405" s="363"/>
      <c r="Z405" s="363"/>
      <c r="AA405" s="363"/>
      <c r="AB405" s="363"/>
      <c r="AC405" s="363"/>
      <c r="AD405" s="363"/>
      <c r="AE405" s="363" t="s">
        <v>478</v>
      </c>
      <c r="AF405" s="380" t="s">
        <v>63</v>
      </c>
      <c r="AG405" s="380">
        <v>5</v>
      </c>
      <c r="AH405" s="363" t="s">
        <v>667</v>
      </c>
    </row>
    <row r="406" spans="2:34" ht="15" hidden="1" customHeight="1" x14ac:dyDescent="0.3">
      <c r="B406" s="380" t="s">
        <v>2</v>
      </c>
      <c r="C406" s="482" t="s">
        <v>1505</v>
      </c>
      <c r="D406" s="483" t="s">
        <v>151</v>
      </c>
      <c r="E406" s="380">
        <v>10105571</v>
      </c>
      <c r="F406" s="488">
        <v>46055</v>
      </c>
      <c r="G406" s="380" t="s">
        <v>643</v>
      </c>
      <c r="H406" s="380">
        <v>1</v>
      </c>
      <c r="I406" s="388">
        <v>60000</v>
      </c>
      <c r="J406" s="380">
        <v>3</v>
      </c>
      <c r="K406" s="389">
        <f t="shared" si="18"/>
        <v>20000</v>
      </c>
      <c r="L406" s="381">
        <v>46023</v>
      </c>
      <c r="M406" s="381">
        <v>46387</v>
      </c>
      <c r="N406" s="663"/>
      <c r="O406" s="680"/>
      <c r="P406" s="363" t="s">
        <v>520</v>
      </c>
      <c r="Q406" s="380"/>
      <c r="R406" s="380"/>
      <c r="S406" s="390" t="s">
        <v>347</v>
      </c>
      <c r="T406" s="363" t="s">
        <v>1169</v>
      </c>
      <c r="U406" s="363" t="s">
        <v>348</v>
      </c>
      <c r="V406" s="363"/>
      <c r="W406" s="363" t="s">
        <v>349</v>
      </c>
      <c r="X406" s="363"/>
      <c r="Y406" s="363"/>
      <c r="Z406" s="363"/>
      <c r="AA406" s="363"/>
      <c r="AB406" s="363"/>
      <c r="AC406" s="363"/>
      <c r="AD406" s="363"/>
      <c r="AE406" s="363" t="s">
        <v>478</v>
      </c>
      <c r="AF406" s="380" t="s">
        <v>63</v>
      </c>
      <c r="AG406" s="380">
        <v>5</v>
      </c>
      <c r="AH406" s="363" t="s">
        <v>667</v>
      </c>
    </row>
    <row r="407" spans="2:34" ht="15" hidden="1" customHeight="1" x14ac:dyDescent="0.3">
      <c r="B407" s="380" t="s">
        <v>2</v>
      </c>
      <c r="C407" s="482" t="s">
        <v>1506</v>
      </c>
      <c r="D407" s="483" t="s">
        <v>151</v>
      </c>
      <c r="E407" s="380">
        <v>10105572</v>
      </c>
      <c r="F407" s="488">
        <v>46055</v>
      </c>
      <c r="G407" s="380" t="s">
        <v>643</v>
      </c>
      <c r="H407" s="380">
        <v>2</v>
      </c>
      <c r="I407" s="388">
        <v>120000</v>
      </c>
      <c r="J407" s="380">
        <v>3</v>
      </c>
      <c r="K407" s="389">
        <f t="shared" si="18"/>
        <v>40000</v>
      </c>
      <c r="L407" s="381">
        <v>46023</v>
      </c>
      <c r="M407" s="381">
        <v>46387</v>
      </c>
      <c r="N407" s="663"/>
      <c r="O407" s="680"/>
      <c r="P407" s="363" t="s">
        <v>520</v>
      </c>
      <c r="Q407" s="380"/>
      <c r="R407" s="380"/>
      <c r="S407" s="390" t="s">
        <v>347</v>
      </c>
      <c r="T407" s="363" t="s">
        <v>149</v>
      </c>
      <c r="U407" s="363" t="s">
        <v>348</v>
      </c>
      <c r="V407" s="363"/>
      <c r="W407" s="363" t="s">
        <v>349</v>
      </c>
      <c r="X407" s="363"/>
      <c r="Y407" s="363"/>
      <c r="Z407" s="363"/>
      <c r="AA407" s="363"/>
      <c r="AB407" s="363"/>
      <c r="AC407" s="363"/>
      <c r="AD407" s="363"/>
      <c r="AE407" s="363" t="s">
        <v>478</v>
      </c>
      <c r="AF407" s="380" t="s">
        <v>63</v>
      </c>
      <c r="AG407" s="380">
        <v>5</v>
      </c>
      <c r="AH407" s="363" t="s">
        <v>667</v>
      </c>
    </row>
    <row r="408" spans="2:34" ht="15" hidden="1" customHeight="1" x14ac:dyDescent="0.3">
      <c r="B408" s="380" t="s">
        <v>2</v>
      </c>
      <c r="C408" s="482" t="s">
        <v>1507</v>
      </c>
      <c r="D408" s="483" t="s">
        <v>151</v>
      </c>
      <c r="E408" s="380">
        <v>10105574</v>
      </c>
      <c r="F408" s="488">
        <v>46055</v>
      </c>
      <c r="G408" s="380" t="s">
        <v>643</v>
      </c>
      <c r="H408" s="380">
        <v>1</v>
      </c>
      <c r="I408" s="388">
        <v>60000</v>
      </c>
      <c r="J408" s="380">
        <v>3</v>
      </c>
      <c r="K408" s="389">
        <f t="shared" si="18"/>
        <v>20000</v>
      </c>
      <c r="L408" s="381">
        <v>46023</v>
      </c>
      <c r="M408" s="381">
        <v>46387</v>
      </c>
      <c r="N408" s="663"/>
      <c r="O408" s="680"/>
      <c r="P408" s="363" t="s">
        <v>520</v>
      </c>
      <c r="Q408" s="380"/>
      <c r="R408" s="380"/>
      <c r="S408" s="390" t="s">
        <v>347</v>
      </c>
      <c r="T408" s="363" t="s">
        <v>1169</v>
      </c>
      <c r="U408" s="363" t="s">
        <v>348</v>
      </c>
      <c r="V408" s="363"/>
      <c r="W408" s="363" t="s">
        <v>349</v>
      </c>
      <c r="X408" s="363"/>
      <c r="Y408" s="363"/>
      <c r="Z408" s="363"/>
      <c r="AA408" s="363"/>
      <c r="AB408" s="363"/>
      <c r="AC408" s="363"/>
      <c r="AD408" s="363"/>
      <c r="AE408" s="363" t="s">
        <v>478</v>
      </c>
      <c r="AF408" s="380" t="s">
        <v>63</v>
      </c>
      <c r="AG408" s="380">
        <v>5</v>
      </c>
      <c r="AH408" s="363" t="s">
        <v>667</v>
      </c>
    </row>
    <row r="409" spans="2:34" ht="15" hidden="1" customHeight="1" x14ac:dyDescent="0.3">
      <c r="B409" s="380" t="s">
        <v>2</v>
      </c>
      <c r="C409" s="482" t="s">
        <v>1508</v>
      </c>
      <c r="D409" s="483" t="s">
        <v>151</v>
      </c>
      <c r="E409" s="380">
        <v>10105573</v>
      </c>
      <c r="F409" s="488">
        <v>46055</v>
      </c>
      <c r="G409" s="380" t="s">
        <v>643</v>
      </c>
      <c r="H409" s="380">
        <v>2</v>
      </c>
      <c r="I409" s="388">
        <v>120000</v>
      </c>
      <c r="J409" s="380">
        <v>3</v>
      </c>
      <c r="K409" s="389">
        <f t="shared" si="18"/>
        <v>40000</v>
      </c>
      <c r="L409" s="381">
        <v>46023</v>
      </c>
      <c r="M409" s="381">
        <v>46387</v>
      </c>
      <c r="N409" s="663"/>
      <c r="O409" s="680"/>
      <c r="P409" s="363" t="s">
        <v>520</v>
      </c>
      <c r="Q409" s="380"/>
      <c r="R409" s="380"/>
      <c r="S409" s="390" t="s">
        <v>347</v>
      </c>
      <c r="T409" s="363" t="s">
        <v>149</v>
      </c>
      <c r="U409" s="363" t="s">
        <v>348</v>
      </c>
      <c r="V409" s="363"/>
      <c r="W409" s="363" t="s">
        <v>349</v>
      </c>
      <c r="X409" s="363"/>
      <c r="Y409" s="363"/>
      <c r="Z409" s="363"/>
      <c r="AA409" s="363"/>
      <c r="AB409" s="363"/>
      <c r="AC409" s="363"/>
      <c r="AD409" s="363"/>
      <c r="AE409" s="363" t="s">
        <v>478</v>
      </c>
      <c r="AF409" s="380" t="s">
        <v>63</v>
      </c>
      <c r="AG409" s="380">
        <v>3</v>
      </c>
      <c r="AH409" s="363" t="s">
        <v>667</v>
      </c>
    </row>
    <row r="410" spans="2:34" ht="15" hidden="1" customHeight="1" x14ac:dyDescent="0.3">
      <c r="B410" s="380" t="s">
        <v>2</v>
      </c>
      <c r="C410" s="482" t="s">
        <v>1509</v>
      </c>
      <c r="D410" s="483" t="s">
        <v>151</v>
      </c>
      <c r="E410" s="380">
        <v>10105565</v>
      </c>
      <c r="F410" s="488">
        <v>46055</v>
      </c>
      <c r="G410" s="380" t="s">
        <v>643</v>
      </c>
      <c r="H410" s="380">
        <v>1</v>
      </c>
      <c r="I410" s="388">
        <v>60000</v>
      </c>
      <c r="J410" s="380">
        <v>3</v>
      </c>
      <c r="K410" s="389">
        <f t="shared" si="18"/>
        <v>20000</v>
      </c>
      <c r="L410" s="381">
        <v>46023</v>
      </c>
      <c r="M410" s="381">
        <v>46387</v>
      </c>
      <c r="N410" s="663"/>
      <c r="O410" s="680"/>
      <c r="P410" s="363" t="s">
        <v>520</v>
      </c>
      <c r="Q410" s="380"/>
      <c r="R410" s="380"/>
      <c r="S410" s="390" t="s">
        <v>347</v>
      </c>
      <c r="T410" s="363" t="s">
        <v>1044</v>
      </c>
      <c r="U410" s="363" t="s">
        <v>348</v>
      </c>
      <c r="V410" s="363"/>
      <c r="W410" s="363" t="s">
        <v>349</v>
      </c>
      <c r="X410" s="363"/>
      <c r="Y410" s="363"/>
      <c r="Z410" s="363"/>
      <c r="AA410" s="363"/>
      <c r="AB410" s="363"/>
      <c r="AC410" s="363"/>
      <c r="AD410" s="363"/>
      <c r="AE410" s="363" t="s">
        <v>478</v>
      </c>
      <c r="AF410" s="380" t="s">
        <v>63</v>
      </c>
      <c r="AG410" s="380">
        <v>3</v>
      </c>
      <c r="AH410" s="363" t="s">
        <v>667</v>
      </c>
    </row>
    <row r="411" spans="2:34" ht="15" hidden="1" customHeight="1" x14ac:dyDescent="0.3">
      <c r="B411" s="380" t="s">
        <v>2</v>
      </c>
      <c r="C411" s="482" t="s">
        <v>557</v>
      </c>
      <c r="D411" s="483" t="s">
        <v>558</v>
      </c>
      <c r="E411" s="468" t="s">
        <v>1510</v>
      </c>
      <c r="F411" s="488">
        <v>46050</v>
      </c>
      <c r="G411" s="380" t="s">
        <v>643</v>
      </c>
      <c r="H411" s="380">
        <v>1</v>
      </c>
      <c r="I411" s="388">
        <v>134698</v>
      </c>
      <c r="J411" s="380">
        <v>4</v>
      </c>
      <c r="K411" s="389">
        <f t="shared" si="18"/>
        <v>33674.5</v>
      </c>
      <c r="L411" s="381">
        <v>46053</v>
      </c>
      <c r="M411" s="381">
        <v>46417</v>
      </c>
      <c r="N411" s="663">
        <v>155060</v>
      </c>
      <c r="O411" s="680">
        <v>4680</v>
      </c>
      <c r="P411" s="363" t="s">
        <v>520</v>
      </c>
      <c r="Q411" s="380"/>
      <c r="R411" s="380"/>
      <c r="S411" s="390" t="s">
        <v>1511</v>
      </c>
      <c r="T411" s="363" t="s">
        <v>712</v>
      </c>
      <c r="U411" s="390" t="s">
        <v>444</v>
      </c>
      <c r="V411" s="363" t="s">
        <v>1941</v>
      </c>
      <c r="W411" s="363" t="s">
        <v>445</v>
      </c>
      <c r="X411" s="363"/>
      <c r="Y411" s="363" t="s">
        <v>1512</v>
      </c>
      <c r="Z411" s="363"/>
      <c r="AA411" s="363"/>
      <c r="AB411" s="363"/>
      <c r="AC411" s="363"/>
      <c r="AD411" s="363"/>
      <c r="AE411" s="363" t="s">
        <v>281</v>
      </c>
      <c r="AF411" s="380" t="s">
        <v>97</v>
      </c>
      <c r="AG411" s="380" t="s">
        <v>494</v>
      </c>
      <c r="AH411" s="363" t="s">
        <v>1345</v>
      </c>
    </row>
    <row r="412" spans="2:34" ht="15" hidden="1" customHeight="1" x14ac:dyDescent="0.3">
      <c r="B412" s="380" t="s">
        <v>2</v>
      </c>
      <c r="C412" s="482" t="s">
        <v>1513</v>
      </c>
      <c r="D412" s="483" t="s">
        <v>1129</v>
      </c>
      <c r="E412" s="491">
        <v>4200020634</v>
      </c>
      <c r="F412" s="488">
        <v>46045</v>
      </c>
      <c r="G412" s="380" t="s">
        <v>643</v>
      </c>
      <c r="H412" s="380">
        <v>2</v>
      </c>
      <c r="I412" s="388">
        <v>344709.4</v>
      </c>
      <c r="J412" s="380">
        <v>3</v>
      </c>
      <c r="K412" s="389">
        <f t="shared" si="18"/>
        <v>114903.13333333335</v>
      </c>
      <c r="L412" s="381">
        <v>46045</v>
      </c>
      <c r="M412" s="381">
        <v>46409</v>
      </c>
      <c r="N412" s="663"/>
      <c r="O412" s="680"/>
      <c r="P412" s="363" t="s">
        <v>520</v>
      </c>
      <c r="Q412" s="380"/>
      <c r="R412" s="380"/>
      <c r="S412" s="390" t="s">
        <v>1514</v>
      </c>
      <c r="T412" s="363" t="s">
        <v>1515</v>
      </c>
      <c r="U412" s="363" t="s">
        <v>1516</v>
      </c>
      <c r="V412" s="363"/>
      <c r="W412" s="363" t="s">
        <v>1517</v>
      </c>
      <c r="X412" s="363"/>
      <c r="Y412" s="363"/>
      <c r="Z412" s="363"/>
      <c r="AA412" s="363"/>
      <c r="AB412" s="363"/>
      <c r="AC412" s="363"/>
      <c r="AD412" s="363"/>
      <c r="AE412" s="363" t="s">
        <v>281</v>
      </c>
      <c r="AF412" s="380" t="s">
        <v>97</v>
      </c>
      <c r="AG412" s="380">
        <v>3</v>
      </c>
      <c r="AH412" s="363" t="s">
        <v>667</v>
      </c>
    </row>
    <row r="413" spans="2:34" ht="15" hidden="1" customHeight="1" x14ac:dyDescent="0.3">
      <c r="B413" s="380" t="s">
        <v>2</v>
      </c>
      <c r="C413" s="443" t="s">
        <v>1518</v>
      </c>
      <c r="D413" s="444" t="s">
        <v>131</v>
      </c>
      <c r="E413" s="426">
        <v>1300004372</v>
      </c>
      <c r="F413" s="496">
        <v>46042</v>
      </c>
      <c r="G413" s="380" t="s">
        <v>643</v>
      </c>
      <c r="H413" s="380">
        <v>1</v>
      </c>
      <c r="I413" s="388">
        <v>78000</v>
      </c>
      <c r="J413" s="380">
        <v>3</v>
      </c>
      <c r="K413" s="389">
        <f t="shared" si="18"/>
        <v>26000</v>
      </c>
      <c r="L413" s="381">
        <v>46054</v>
      </c>
      <c r="M413" s="381">
        <v>46418</v>
      </c>
      <c r="N413" s="663"/>
      <c r="O413" s="680"/>
      <c r="P413" s="363" t="s">
        <v>520</v>
      </c>
      <c r="Q413" s="380"/>
      <c r="R413" s="380"/>
      <c r="S413" s="390" t="s">
        <v>404</v>
      </c>
      <c r="T413" s="363" t="s">
        <v>1239</v>
      </c>
      <c r="U413" s="363" t="s">
        <v>406</v>
      </c>
      <c r="V413" s="363"/>
      <c r="W413" s="363" t="s">
        <v>407</v>
      </c>
      <c r="X413" s="363"/>
      <c r="Y413" s="363"/>
      <c r="Z413" s="363"/>
      <c r="AA413" s="363"/>
      <c r="AB413" s="363"/>
      <c r="AC413" s="363"/>
      <c r="AD413" s="363"/>
      <c r="AE413" s="363" t="s">
        <v>485</v>
      </c>
      <c r="AF413" s="380" t="s">
        <v>63</v>
      </c>
      <c r="AG413" s="380">
        <v>4</v>
      </c>
      <c r="AH413" s="363" t="s">
        <v>1519</v>
      </c>
    </row>
    <row r="414" spans="2:34" ht="15" hidden="1" customHeight="1" x14ac:dyDescent="0.3">
      <c r="B414" s="380" t="s">
        <v>2</v>
      </c>
      <c r="C414" s="430" t="s">
        <v>1520</v>
      </c>
      <c r="D414" s="445" t="s">
        <v>151</v>
      </c>
      <c r="E414" s="419">
        <v>7100008763</v>
      </c>
      <c r="F414" s="488">
        <v>46006</v>
      </c>
      <c r="G414" s="380" t="s">
        <v>643</v>
      </c>
      <c r="H414" s="380">
        <v>1</v>
      </c>
      <c r="I414" s="388">
        <v>75000</v>
      </c>
      <c r="J414" s="380">
        <v>3</v>
      </c>
      <c r="K414" s="389">
        <f t="shared" si="18"/>
        <v>25000</v>
      </c>
      <c r="L414" s="381">
        <v>46023</v>
      </c>
      <c r="M414" s="381">
        <v>46387</v>
      </c>
      <c r="N414" s="663"/>
      <c r="O414" s="680"/>
      <c r="P414" s="363" t="s">
        <v>520</v>
      </c>
      <c r="Q414" s="380"/>
      <c r="R414" s="380"/>
      <c r="S414" s="390" t="s">
        <v>347</v>
      </c>
      <c r="T414" s="381" t="s">
        <v>726</v>
      </c>
      <c r="U414" s="363" t="s">
        <v>348</v>
      </c>
      <c r="V414" s="363"/>
      <c r="W414" s="363" t="s">
        <v>349</v>
      </c>
      <c r="X414" s="363"/>
      <c r="Y414" s="363"/>
      <c r="Z414" s="363"/>
      <c r="AA414" s="363"/>
      <c r="AB414" s="363"/>
      <c r="AC414" s="363"/>
      <c r="AD414" s="363"/>
      <c r="AE414" s="363" t="s">
        <v>478</v>
      </c>
      <c r="AF414" s="380" t="s">
        <v>63</v>
      </c>
      <c r="AG414" s="380">
        <v>3</v>
      </c>
      <c r="AH414" s="363" t="s">
        <v>1319</v>
      </c>
    </row>
    <row r="415" spans="2:34" ht="15" hidden="1" customHeight="1" x14ac:dyDescent="0.3">
      <c r="B415" s="380" t="s">
        <v>2</v>
      </c>
      <c r="C415" s="482" t="s">
        <v>1521</v>
      </c>
      <c r="D415" s="483" t="s">
        <v>151</v>
      </c>
      <c r="E415" s="468">
        <v>7100007753</v>
      </c>
      <c r="F415" s="501">
        <v>45975</v>
      </c>
      <c r="G415" s="380" t="s">
        <v>643</v>
      </c>
      <c r="H415" s="380">
        <v>1</v>
      </c>
      <c r="I415" s="388">
        <v>75000</v>
      </c>
      <c r="J415" s="380">
        <v>3</v>
      </c>
      <c r="K415" s="389">
        <f t="shared" si="18"/>
        <v>25000</v>
      </c>
      <c r="L415" s="381">
        <v>45962</v>
      </c>
      <c r="M415" s="381">
        <v>46326</v>
      </c>
      <c r="N415" s="663"/>
      <c r="O415" s="680"/>
      <c r="P415" s="363" t="s">
        <v>520</v>
      </c>
      <c r="Q415" s="380"/>
      <c r="R415" s="380"/>
      <c r="S415" s="390" t="s">
        <v>192</v>
      </c>
      <c r="T415" s="363" t="s">
        <v>291</v>
      </c>
      <c r="U415" s="390" t="s">
        <v>1522</v>
      </c>
      <c r="V415" s="363" t="s">
        <v>1866</v>
      </c>
      <c r="W415" s="363" t="s">
        <v>1344</v>
      </c>
      <c r="X415" s="363"/>
      <c r="Y415" s="363"/>
      <c r="Z415" s="363"/>
      <c r="AA415" s="363"/>
      <c r="AB415" s="363"/>
      <c r="AC415" s="363"/>
      <c r="AD415" s="363"/>
      <c r="AE415" s="363" t="s">
        <v>478</v>
      </c>
      <c r="AF415" s="380" t="s">
        <v>63</v>
      </c>
      <c r="AG415" s="380">
        <v>2</v>
      </c>
      <c r="AH415" s="363" t="s">
        <v>667</v>
      </c>
    </row>
    <row r="416" spans="2:34" ht="15" hidden="1" customHeight="1" x14ac:dyDescent="0.3">
      <c r="B416" s="380" t="s">
        <v>2</v>
      </c>
      <c r="C416" s="482" t="s">
        <v>595</v>
      </c>
      <c r="D416" s="483" t="s">
        <v>1012</v>
      </c>
      <c r="E416" s="488" t="s">
        <v>1523</v>
      </c>
      <c r="F416" s="488">
        <v>46029</v>
      </c>
      <c r="G416" s="380" t="s">
        <v>643</v>
      </c>
      <c r="H416" s="380">
        <v>1</v>
      </c>
      <c r="I416" s="388">
        <v>93312</v>
      </c>
      <c r="J416" s="380">
        <v>3</v>
      </c>
      <c r="K416" s="389">
        <f t="shared" si="18"/>
        <v>31104</v>
      </c>
      <c r="L416" s="381">
        <v>46023</v>
      </c>
      <c r="M416" s="381">
        <v>46387</v>
      </c>
      <c r="N416" s="663"/>
      <c r="O416" s="680"/>
      <c r="P416" s="363" t="s">
        <v>520</v>
      </c>
      <c r="Q416" s="380"/>
      <c r="R416" s="380"/>
      <c r="S416" s="390" t="s">
        <v>347</v>
      </c>
      <c r="T416" s="363" t="s">
        <v>1524</v>
      </c>
      <c r="U416" s="363" t="s">
        <v>1525</v>
      </c>
      <c r="V416" s="363"/>
      <c r="W416" s="363" t="s">
        <v>349</v>
      </c>
      <c r="X416" s="363"/>
      <c r="Y416" s="363"/>
      <c r="Z416" s="363"/>
      <c r="AA416" s="363"/>
      <c r="AB416" s="363"/>
      <c r="AC416" s="363"/>
      <c r="AD416" s="363"/>
      <c r="AE416" s="363" t="s">
        <v>619</v>
      </c>
      <c r="AF416" s="380" t="s">
        <v>63</v>
      </c>
      <c r="AG416" s="380">
        <v>3</v>
      </c>
      <c r="AH416" s="363" t="s">
        <v>799</v>
      </c>
    </row>
    <row r="417" spans="1:34" ht="15" hidden="1" customHeight="1" x14ac:dyDescent="0.3">
      <c r="B417" s="380" t="s">
        <v>2</v>
      </c>
      <c r="C417" s="482" t="s">
        <v>771</v>
      </c>
      <c r="D417" s="483" t="s">
        <v>388</v>
      </c>
      <c r="E417" s="493">
        <v>6000063663</v>
      </c>
      <c r="F417" s="488">
        <v>46045</v>
      </c>
      <c r="G417" s="380" t="s">
        <v>643</v>
      </c>
      <c r="H417" s="380">
        <v>4</v>
      </c>
      <c r="I417" s="388">
        <v>282800</v>
      </c>
      <c r="J417" s="380">
        <v>2</v>
      </c>
      <c r="K417" s="389">
        <f t="shared" si="18"/>
        <v>141400</v>
      </c>
      <c r="L417" s="381">
        <v>46023</v>
      </c>
      <c r="M417" s="381">
        <v>46387</v>
      </c>
      <c r="N417" s="663"/>
      <c r="O417" s="680"/>
      <c r="P417" s="363" t="s">
        <v>520</v>
      </c>
      <c r="Q417" s="380"/>
      <c r="R417" s="380"/>
      <c r="S417" s="390" t="s">
        <v>607</v>
      </c>
      <c r="T417" s="363" t="s">
        <v>1867</v>
      </c>
      <c r="U417" s="363" t="s">
        <v>608</v>
      </c>
      <c r="V417" s="363"/>
      <c r="W417" s="363"/>
      <c r="X417" s="363"/>
      <c r="Y417" s="363"/>
      <c r="Z417" s="363"/>
      <c r="AA417" s="363"/>
      <c r="AB417" s="363"/>
      <c r="AC417" s="363"/>
      <c r="AD417" s="363"/>
      <c r="AE417" s="363" t="s">
        <v>619</v>
      </c>
      <c r="AF417" s="380" t="s">
        <v>63</v>
      </c>
      <c r="AG417" s="380">
        <v>2</v>
      </c>
      <c r="AH417" s="363" t="s">
        <v>667</v>
      </c>
    </row>
    <row r="418" spans="1:34" ht="15" hidden="1" customHeight="1" x14ac:dyDescent="0.3">
      <c r="A418" s="537" t="s">
        <v>1526</v>
      </c>
      <c r="B418" s="380" t="s">
        <v>2</v>
      </c>
      <c r="C418" s="420" t="s">
        <v>530</v>
      </c>
      <c r="D418" s="421" t="s">
        <v>176</v>
      </c>
      <c r="E418" s="380">
        <v>16882528</v>
      </c>
      <c r="F418" s="387">
        <v>45670</v>
      </c>
      <c r="G418" s="380" t="s">
        <v>55</v>
      </c>
      <c r="H418" s="380">
        <v>1</v>
      </c>
      <c r="I418" s="388">
        <f>568000/4</f>
        <v>142000</v>
      </c>
      <c r="J418" s="380">
        <v>4</v>
      </c>
      <c r="K418" s="389">
        <f t="shared" si="18"/>
        <v>35500</v>
      </c>
      <c r="L418" s="381">
        <v>45670</v>
      </c>
      <c r="M418" s="381">
        <v>46764</v>
      </c>
      <c r="N418" s="663"/>
      <c r="O418" s="680"/>
      <c r="P418" s="363" t="s">
        <v>520</v>
      </c>
      <c r="Q418" s="380"/>
      <c r="R418" s="380"/>
      <c r="S418" s="422" t="s">
        <v>1527</v>
      </c>
      <c r="T418" s="363" t="s">
        <v>1734</v>
      </c>
      <c r="U418" s="390" t="s">
        <v>1528</v>
      </c>
      <c r="V418" s="363" t="s">
        <v>1736</v>
      </c>
      <c r="W418" s="363" t="s">
        <v>1529</v>
      </c>
      <c r="X418" s="363"/>
      <c r="Y418" s="363" t="s">
        <v>1530</v>
      </c>
      <c r="Z418" s="363"/>
      <c r="AA418" s="363"/>
      <c r="AB418" s="363"/>
      <c r="AC418" s="363"/>
      <c r="AD418" s="363"/>
      <c r="AE418" s="363" t="s">
        <v>183</v>
      </c>
      <c r="AF418" s="380" t="s">
        <v>97</v>
      </c>
      <c r="AG418" s="380">
        <v>4</v>
      </c>
      <c r="AH418" s="363"/>
    </row>
    <row r="419" spans="1:34" ht="15" hidden="1" customHeight="1" x14ac:dyDescent="0.3">
      <c r="B419" s="380" t="s">
        <v>2</v>
      </c>
      <c r="C419" s="420" t="s">
        <v>530</v>
      </c>
      <c r="D419" s="421" t="s">
        <v>535</v>
      </c>
      <c r="E419" s="380">
        <v>16882528</v>
      </c>
      <c r="F419" s="387">
        <v>45670</v>
      </c>
      <c r="G419" s="380" t="s">
        <v>55</v>
      </c>
      <c r="H419" s="380">
        <v>1</v>
      </c>
      <c r="I419" s="388">
        <f>568000/4</f>
        <v>142000</v>
      </c>
      <c r="J419" s="380">
        <v>4</v>
      </c>
      <c r="K419" s="389">
        <f t="shared" si="18"/>
        <v>35500</v>
      </c>
      <c r="L419" s="381">
        <v>45670</v>
      </c>
      <c r="M419" s="381">
        <v>46764</v>
      </c>
      <c r="N419" s="663"/>
      <c r="O419" s="680"/>
      <c r="P419" s="363" t="s">
        <v>520</v>
      </c>
      <c r="Q419" s="380"/>
      <c r="R419" s="380"/>
      <c r="S419" s="390" t="s">
        <v>1527</v>
      </c>
      <c r="T419" s="363" t="s">
        <v>798</v>
      </c>
      <c r="U419" s="390" t="s">
        <v>1528</v>
      </c>
      <c r="V419" s="363" t="s">
        <v>1853</v>
      </c>
      <c r="W419" s="363" t="s">
        <v>1529</v>
      </c>
      <c r="X419" s="363"/>
      <c r="Y419" s="363" t="s">
        <v>1530</v>
      </c>
      <c r="Z419" s="363"/>
      <c r="AA419" s="363"/>
      <c r="AB419" s="363"/>
      <c r="AC419" s="363"/>
      <c r="AD419" s="363"/>
      <c r="AE419" s="363" t="s">
        <v>183</v>
      </c>
      <c r="AF419" s="380" t="s">
        <v>97</v>
      </c>
      <c r="AG419" s="380">
        <v>4</v>
      </c>
      <c r="AH419" s="363"/>
    </row>
    <row r="420" spans="1:34" ht="15" hidden="1" customHeight="1" x14ac:dyDescent="0.3">
      <c r="B420" s="380" t="s">
        <v>2</v>
      </c>
      <c r="C420" s="420" t="s">
        <v>530</v>
      </c>
      <c r="D420" s="421" t="s">
        <v>538</v>
      </c>
      <c r="E420" s="380">
        <v>16882528</v>
      </c>
      <c r="F420" s="387">
        <v>45670</v>
      </c>
      <c r="G420" s="380" t="s">
        <v>55</v>
      </c>
      <c r="H420" s="380">
        <v>1</v>
      </c>
      <c r="I420" s="388">
        <f>568000/4</f>
        <v>142000</v>
      </c>
      <c r="J420" s="380">
        <v>4</v>
      </c>
      <c r="K420" s="389">
        <f t="shared" si="18"/>
        <v>35500</v>
      </c>
      <c r="L420" s="381">
        <v>45670</v>
      </c>
      <c r="M420" s="381">
        <v>46764</v>
      </c>
      <c r="N420" s="663"/>
      <c r="O420" s="680"/>
      <c r="P420" s="363" t="s">
        <v>520</v>
      </c>
      <c r="Q420" s="380"/>
      <c r="R420" s="380"/>
      <c r="S420" s="390" t="s">
        <v>1527</v>
      </c>
      <c r="T420" s="363" t="s">
        <v>455</v>
      </c>
      <c r="U420" s="363" t="s">
        <v>1528</v>
      </c>
      <c r="V420" s="363"/>
      <c r="W420" s="363" t="s">
        <v>1529</v>
      </c>
      <c r="X420" s="363"/>
      <c r="Y420" s="363" t="s">
        <v>1530</v>
      </c>
      <c r="Z420" s="363"/>
      <c r="AA420" s="363"/>
      <c r="AB420" s="363"/>
      <c r="AC420" s="363"/>
      <c r="AD420" s="363"/>
      <c r="AE420" s="363" t="s">
        <v>485</v>
      </c>
      <c r="AF420" s="380" t="s">
        <v>63</v>
      </c>
      <c r="AG420" s="380">
        <v>4</v>
      </c>
      <c r="AH420" s="363"/>
    </row>
    <row r="421" spans="1:34" ht="15" hidden="1" customHeight="1" x14ac:dyDescent="0.3">
      <c r="B421" s="380" t="s">
        <v>2</v>
      </c>
      <c r="C421" s="420" t="s">
        <v>530</v>
      </c>
      <c r="D421" s="421" t="s">
        <v>540</v>
      </c>
      <c r="E421" s="380">
        <v>16882528</v>
      </c>
      <c r="F421" s="387">
        <v>45670</v>
      </c>
      <c r="G421" s="380" t="s">
        <v>55</v>
      </c>
      <c r="H421" s="380">
        <v>1</v>
      </c>
      <c r="I421" s="388">
        <f>568000/4</f>
        <v>142000</v>
      </c>
      <c r="J421" s="380">
        <v>4</v>
      </c>
      <c r="K421" s="389">
        <f t="shared" si="18"/>
        <v>35500</v>
      </c>
      <c r="L421" s="381">
        <v>45670</v>
      </c>
      <c r="M421" s="381">
        <v>46764</v>
      </c>
      <c r="N421" s="663"/>
      <c r="O421" s="680"/>
      <c r="P421" s="363" t="s">
        <v>520</v>
      </c>
      <c r="Q421" s="380"/>
      <c r="R421" s="380"/>
      <c r="S421" s="390" t="s">
        <v>1527</v>
      </c>
      <c r="T421" s="363" t="s">
        <v>149</v>
      </c>
      <c r="U421" s="390" t="s">
        <v>1528</v>
      </c>
      <c r="V421" s="363" t="s">
        <v>1944</v>
      </c>
      <c r="W421" s="363" t="s">
        <v>1529</v>
      </c>
      <c r="X421" s="363"/>
      <c r="Y421" s="363" t="s">
        <v>1530</v>
      </c>
      <c r="Z421" s="363"/>
      <c r="AA421" s="363"/>
      <c r="AB421" s="363"/>
      <c r="AC421" s="363"/>
      <c r="AD421" s="363"/>
      <c r="AE421" s="363" t="s">
        <v>128</v>
      </c>
      <c r="AF421" s="380" t="s">
        <v>129</v>
      </c>
      <c r="AG421" s="380">
        <v>4</v>
      </c>
      <c r="AH421" s="363"/>
    </row>
    <row r="422" spans="1:34" ht="15" hidden="1" customHeight="1" x14ac:dyDescent="0.3">
      <c r="B422" s="380" t="s">
        <v>2</v>
      </c>
      <c r="C422" s="409" t="s">
        <v>1069</v>
      </c>
      <c r="D422" s="423" t="s">
        <v>1531</v>
      </c>
      <c r="E422" s="491">
        <v>4400018763</v>
      </c>
      <c r="F422" s="488">
        <v>46041</v>
      </c>
      <c r="G422" s="380" t="s">
        <v>55</v>
      </c>
      <c r="H422" s="380">
        <v>5</v>
      </c>
      <c r="I422" s="388">
        <v>698145</v>
      </c>
      <c r="J422" s="380">
        <v>3</v>
      </c>
      <c r="K422" s="389">
        <f t="shared" si="18"/>
        <v>232715</v>
      </c>
      <c r="L422" s="381">
        <v>46023</v>
      </c>
      <c r="M422" s="381">
        <v>46387</v>
      </c>
      <c r="N422" s="663"/>
      <c r="O422" s="680"/>
      <c r="P422" s="363" t="s">
        <v>520</v>
      </c>
      <c r="Q422" s="380"/>
      <c r="R422" s="380"/>
      <c r="S422" s="390" t="s">
        <v>347</v>
      </c>
      <c r="T422" s="363" t="s">
        <v>1532</v>
      </c>
      <c r="U422" s="363" t="s">
        <v>348</v>
      </c>
      <c r="V422" s="363"/>
      <c r="W422" s="363" t="s">
        <v>349</v>
      </c>
      <c r="X422" s="363"/>
      <c r="Y422" s="363"/>
      <c r="Z422" s="363"/>
      <c r="AA422" s="363"/>
      <c r="AB422" s="363"/>
      <c r="AC422" s="363"/>
      <c r="AD422" s="363"/>
      <c r="AE422" s="363" t="s">
        <v>281</v>
      </c>
      <c r="AF422" s="380" t="s">
        <v>968</v>
      </c>
      <c r="AG422" s="380">
        <v>3</v>
      </c>
      <c r="AH422" s="363" t="s">
        <v>667</v>
      </c>
    </row>
    <row r="423" spans="1:34" ht="15" hidden="1" customHeight="1" x14ac:dyDescent="0.3">
      <c r="B423" s="380" t="s">
        <v>2</v>
      </c>
      <c r="C423" s="409" t="s">
        <v>647</v>
      </c>
      <c r="D423" s="489" t="s">
        <v>648</v>
      </c>
      <c r="E423" s="503">
        <v>450093582</v>
      </c>
      <c r="F423" s="501">
        <v>46053</v>
      </c>
      <c r="G423" s="380" t="s">
        <v>55</v>
      </c>
      <c r="H423" s="380">
        <v>2</v>
      </c>
      <c r="I423" s="388">
        <v>224000</v>
      </c>
      <c r="J423" s="380">
        <v>2</v>
      </c>
      <c r="K423" s="389">
        <f t="shared" si="18"/>
        <v>112000</v>
      </c>
      <c r="L423" s="381">
        <v>46082</v>
      </c>
      <c r="M423" s="381">
        <v>46446</v>
      </c>
      <c r="N423" s="663">
        <v>155053</v>
      </c>
      <c r="O423" s="680">
        <v>4180</v>
      </c>
      <c r="P423" s="363" t="s">
        <v>520</v>
      </c>
      <c r="Q423" s="380"/>
      <c r="R423" s="380"/>
      <c r="S423" s="390" t="s">
        <v>1533</v>
      </c>
      <c r="T423" s="363" t="s">
        <v>1953</v>
      </c>
      <c r="U423" s="363" t="s">
        <v>1534</v>
      </c>
      <c r="V423" s="363"/>
      <c r="W423" s="363"/>
      <c r="X423" s="363"/>
      <c r="Y423" s="363"/>
      <c r="Z423" s="363"/>
      <c r="AA423" s="363"/>
      <c r="AB423" s="363"/>
      <c r="AC423" s="363"/>
      <c r="AD423" s="363"/>
      <c r="AE423" s="363" t="s">
        <v>1535</v>
      </c>
      <c r="AF423" s="380" t="s">
        <v>97</v>
      </c>
      <c r="AG423" s="380">
        <v>2</v>
      </c>
      <c r="AH423" s="363" t="s">
        <v>1536</v>
      </c>
    </row>
    <row r="424" spans="1:34" ht="15" hidden="1" customHeight="1" x14ac:dyDescent="0.3">
      <c r="B424" s="380" t="s">
        <v>2</v>
      </c>
      <c r="C424" s="482" t="s">
        <v>1537</v>
      </c>
      <c r="D424" s="483" t="s">
        <v>1022</v>
      </c>
      <c r="E424" s="468">
        <v>6460008580</v>
      </c>
      <c r="F424" s="488">
        <v>46052</v>
      </c>
      <c r="G424" s="380" t="s">
        <v>55</v>
      </c>
      <c r="H424" s="380">
        <v>1</v>
      </c>
      <c r="I424" s="388">
        <v>60000</v>
      </c>
      <c r="J424" s="380">
        <v>1</v>
      </c>
      <c r="K424" s="389">
        <f t="shared" si="18"/>
        <v>60000</v>
      </c>
      <c r="L424" s="504">
        <v>46054</v>
      </c>
      <c r="M424" s="504">
        <v>46418</v>
      </c>
      <c r="N424" s="667"/>
      <c r="O424" s="684"/>
      <c r="P424" s="363" t="s">
        <v>520</v>
      </c>
      <c r="Q424" s="380"/>
      <c r="R424" s="380"/>
      <c r="S424" s="363" t="s">
        <v>1538</v>
      </c>
      <c r="T424" s="363"/>
      <c r="U424" s="363"/>
      <c r="V424" s="363"/>
      <c r="W424" s="363"/>
      <c r="X424" s="363"/>
      <c r="Y424" s="363"/>
      <c r="Z424" s="363"/>
      <c r="AA424" s="363"/>
      <c r="AB424" s="363"/>
      <c r="AC424" s="363"/>
      <c r="AD424" s="363"/>
      <c r="AE424" s="363" t="s">
        <v>485</v>
      </c>
      <c r="AF424" s="380" t="s">
        <v>63</v>
      </c>
      <c r="AG424" s="380">
        <v>2</v>
      </c>
      <c r="AH424" s="363" t="s">
        <v>1539</v>
      </c>
    </row>
    <row r="425" spans="1:34" ht="15" hidden="1" customHeight="1" x14ac:dyDescent="0.3">
      <c r="B425" s="380" t="s">
        <v>2</v>
      </c>
      <c r="C425" s="551" t="s">
        <v>1540</v>
      </c>
      <c r="D425" s="480" t="s">
        <v>176</v>
      </c>
      <c r="E425" s="481" t="s">
        <v>1541</v>
      </c>
      <c r="F425" s="488">
        <v>45985</v>
      </c>
      <c r="G425" s="380" t="s">
        <v>55</v>
      </c>
      <c r="H425" s="380">
        <v>3</v>
      </c>
      <c r="I425" s="388">
        <v>268500</v>
      </c>
      <c r="J425" s="380">
        <v>3</v>
      </c>
      <c r="K425" s="389">
        <f>I425/2</f>
        <v>134250</v>
      </c>
      <c r="L425" s="504">
        <v>45668</v>
      </c>
      <c r="M425" s="504">
        <v>46326</v>
      </c>
      <c r="N425" s="667"/>
      <c r="O425" s="684"/>
      <c r="P425" s="363" t="s">
        <v>520</v>
      </c>
      <c r="Q425" s="380"/>
      <c r="R425" s="380"/>
      <c r="S425" s="390" t="s">
        <v>192</v>
      </c>
      <c r="T425" s="363" t="s">
        <v>639</v>
      </c>
      <c r="U425" s="390" t="s">
        <v>194</v>
      </c>
      <c r="V425" s="363" t="s">
        <v>1868</v>
      </c>
      <c r="W425" s="363" t="s">
        <v>1344</v>
      </c>
      <c r="X425" s="363"/>
      <c r="Y425" s="363"/>
      <c r="Z425" s="363"/>
      <c r="AA425" s="363"/>
      <c r="AB425" s="363"/>
      <c r="AC425" s="363"/>
      <c r="AD425" s="363"/>
      <c r="AE425" s="363" t="s">
        <v>183</v>
      </c>
      <c r="AF425" s="380" t="s">
        <v>97</v>
      </c>
      <c r="AG425" s="380">
        <v>6</v>
      </c>
      <c r="AH425" s="363" t="s">
        <v>1544</v>
      </c>
    </row>
    <row r="426" spans="1:34" ht="15" hidden="1" customHeight="1" x14ac:dyDescent="0.3">
      <c r="B426" s="380" t="s">
        <v>2</v>
      </c>
      <c r="C426" s="482" t="s">
        <v>195</v>
      </c>
      <c r="D426" s="483" t="s">
        <v>447</v>
      </c>
      <c r="E426" s="468" t="s">
        <v>1545</v>
      </c>
      <c r="F426" s="488">
        <v>46058</v>
      </c>
      <c r="G426" s="380" t="s">
        <v>55</v>
      </c>
      <c r="H426" s="380"/>
      <c r="I426" s="388">
        <v>325000</v>
      </c>
      <c r="J426" s="380">
        <v>4</v>
      </c>
      <c r="K426" s="389">
        <f t="shared" ref="K426:K437" si="19">I426/J426</f>
        <v>81250</v>
      </c>
      <c r="L426" s="504">
        <v>46059</v>
      </c>
      <c r="M426" s="504">
        <v>46423</v>
      </c>
      <c r="N426" s="667"/>
      <c r="O426" s="684"/>
      <c r="P426" s="363" t="s">
        <v>520</v>
      </c>
      <c r="Q426" s="380"/>
      <c r="R426" s="380"/>
      <c r="S426" s="390" t="s">
        <v>1546</v>
      </c>
      <c r="T426" s="363" t="s">
        <v>712</v>
      </c>
      <c r="U426" s="363" t="s">
        <v>1547</v>
      </c>
      <c r="V426" s="363"/>
      <c r="W426" s="363" t="s">
        <v>1548</v>
      </c>
      <c r="X426" s="363"/>
      <c r="Y426" s="363" t="s">
        <v>1549</v>
      </c>
      <c r="Z426" s="363"/>
      <c r="AA426" s="363"/>
      <c r="AB426" s="363"/>
      <c r="AC426" s="363"/>
      <c r="AD426" s="363"/>
      <c r="AE426" s="363" t="s">
        <v>96</v>
      </c>
      <c r="AF426" s="380" t="s">
        <v>97</v>
      </c>
      <c r="AG426" s="380" t="s">
        <v>494</v>
      </c>
      <c r="AH426" s="363" t="s">
        <v>667</v>
      </c>
    </row>
    <row r="427" spans="1:34" ht="15" hidden="1" customHeight="1" x14ac:dyDescent="0.3">
      <c r="B427" s="380" t="s">
        <v>2</v>
      </c>
      <c r="C427" s="482" t="s">
        <v>195</v>
      </c>
      <c r="D427" s="483" t="s">
        <v>447</v>
      </c>
      <c r="E427" s="468" t="s">
        <v>1545</v>
      </c>
      <c r="F427" s="488">
        <v>46058</v>
      </c>
      <c r="G427" s="380" t="s">
        <v>55</v>
      </c>
      <c r="H427" s="380"/>
      <c r="I427" s="388">
        <v>325000</v>
      </c>
      <c r="J427" s="380">
        <v>4</v>
      </c>
      <c r="K427" s="389">
        <f t="shared" si="19"/>
        <v>81250</v>
      </c>
      <c r="L427" s="381">
        <v>46424</v>
      </c>
      <c r="M427" s="381">
        <v>46788</v>
      </c>
      <c r="N427" s="663"/>
      <c r="O427" s="680"/>
      <c r="P427" s="363" t="s">
        <v>520</v>
      </c>
      <c r="Q427" s="380"/>
      <c r="R427" s="380"/>
      <c r="S427" s="363" t="s">
        <v>1550</v>
      </c>
      <c r="T427" s="363"/>
      <c r="U427" s="363" t="s">
        <v>1551</v>
      </c>
      <c r="V427" s="363"/>
      <c r="W427" s="363" t="s">
        <v>1552</v>
      </c>
      <c r="X427" s="363"/>
      <c r="Y427" s="363" t="s">
        <v>1553</v>
      </c>
      <c r="Z427" s="363"/>
      <c r="AA427" s="363"/>
      <c r="AB427" s="363"/>
      <c r="AC427" s="363"/>
      <c r="AD427" s="363"/>
      <c r="AE427" s="363" t="s">
        <v>96</v>
      </c>
      <c r="AF427" s="380" t="s">
        <v>97</v>
      </c>
      <c r="AG427" s="380" t="s">
        <v>494</v>
      </c>
      <c r="AH427" s="363" t="s">
        <v>667</v>
      </c>
    </row>
    <row r="428" spans="1:34" ht="15" hidden="1" customHeight="1" x14ac:dyDescent="0.3">
      <c r="B428" s="380" t="s">
        <v>2</v>
      </c>
      <c r="C428" s="482" t="s">
        <v>195</v>
      </c>
      <c r="D428" s="483" t="s">
        <v>447</v>
      </c>
      <c r="E428" s="468" t="s">
        <v>1545</v>
      </c>
      <c r="F428" s="488">
        <v>46058</v>
      </c>
      <c r="G428" s="380" t="s">
        <v>55</v>
      </c>
      <c r="H428" s="380">
        <v>5</v>
      </c>
      <c r="I428" s="388">
        <v>325000</v>
      </c>
      <c r="J428" s="380">
        <v>4</v>
      </c>
      <c r="K428" s="389">
        <f t="shared" si="19"/>
        <v>81250</v>
      </c>
      <c r="L428" s="381">
        <v>46789</v>
      </c>
      <c r="M428" s="381">
        <v>47154</v>
      </c>
      <c r="N428" s="663"/>
      <c r="O428" s="680"/>
      <c r="P428" s="363" t="s">
        <v>520</v>
      </c>
      <c r="Q428" s="380"/>
      <c r="R428" s="380"/>
      <c r="S428" s="363" t="s">
        <v>1554</v>
      </c>
      <c r="T428" s="363"/>
      <c r="U428" s="363" t="s">
        <v>1555</v>
      </c>
      <c r="V428" s="363"/>
      <c r="W428" s="363" t="s">
        <v>1556</v>
      </c>
      <c r="X428" s="363"/>
      <c r="Y428" s="363" t="s">
        <v>1557</v>
      </c>
      <c r="Z428" s="363"/>
      <c r="AA428" s="363"/>
      <c r="AB428" s="363"/>
      <c r="AC428" s="363"/>
      <c r="AD428" s="363"/>
      <c r="AE428" s="363" t="s">
        <v>96</v>
      </c>
      <c r="AF428" s="380" t="s">
        <v>97</v>
      </c>
      <c r="AG428" s="380" t="s">
        <v>494</v>
      </c>
      <c r="AH428" s="363" t="s">
        <v>667</v>
      </c>
    </row>
    <row r="429" spans="1:34" ht="15" hidden="1" customHeight="1" x14ac:dyDescent="0.3">
      <c r="B429" s="380" t="s">
        <v>2</v>
      </c>
      <c r="C429" s="482" t="s">
        <v>1558</v>
      </c>
      <c r="D429" s="483" t="s">
        <v>151</v>
      </c>
      <c r="E429" s="468">
        <v>10106079</v>
      </c>
      <c r="F429" s="488">
        <v>46062</v>
      </c>
      <c r="G429" s="380" t="s">
        <v>55</v>
      </c>
      <c r="H429" s="380">
        <v>1</v>
      </c>
      <c r="I429" s="388">
        <v>130000</v>
      </c>
      <c r="J429" s="380">
        <v>3</v>
      </c>
      <c r="K429" s="389">
        <f t="shared" si="19"/>
        <v>43333.333333333336</v>
      </c>
      <c r="L429" s="381">
        <v>46023</v>
      </c>
      <c r="M429" s="381">
        <v>46387</v>
      </c>
      <c r="N429" s="663"/>
      <c r="O429" s="680"/>
      <c r="P429" s="363" t="s">
        <v>520</v>
      </c>
      <c r="Q429" s="380"/>
      <c r="R429" s="380"/>
      <c r="S429" s="390" t="s">
        <v>1559</v>
      </c>
      <c r="T429" s="363" t="s">
        <v>1710</v>
      </c>
      <c r="U429" s="363" t="s">
        <v>348</v>
      </c>
      <c r="V429" s="363"/>
      <c r="W429" s="363" t="s">
        <v>349</v>
      </c>
      <c r="X429" s="363"/>
      <c r="Y429" s="363"/>
      <c r="Z429" s="363"/>
      <c r="AA429" s="363"/>
      <c r="AB429" s="363"/>
      <c r="AC429" s="363"/>
      <c r="AD429" s="363"/>
      <c r="AE429" s="363" t="s">
        <v>478</v>
      </c>
      <c r="AF429" s="380" t="s">
        <v>63</v>
      </c>
      <c r="AG429" s="380">
        <v>3</v>
      </c>
      <c r="AH429" s="363" t="s">
        <v>667</v>
      </c>
    </row>
    <row r="430" spans="1:34" ht="15" hidden="1" customHeight="1" x14ac:dyDescent="0.3">
      <c r="B430" s="380" t="s">
        <v>2</v>
      </c>
      <c r="C430" s="409" t="s">
        <v>1560</v>
      </c>
      <c r="D430" s="418" t="s">
        <v>388</v>
      </c>
      <c r="E430" s="493">
        <v>4511430093</v>
      </c>
      <c r="F430" s="488">
        <v>46059</v>
      </c>
      <c r="G430" s="380" t="s">
        <v>55</v>
      </c>
      <c r="H430" s="380">
        <v>3</v>
      </c>
      <c r="I430" s="388">
        <v>755305</v>
      </c>
      <c r="J430" s="380">
        <v>4</v>
      </c>
      <c r="K430" s="389">
        <f t="shared" si="19"/>
        <v>188826.25</v>
      </c>
      <c r="L430" s="381">
        <v>46007</v>
      </c>
      <c r="M430" s="381">
        <v>46371</v>
      </c>
      <c r="N430" s="663"/>
      <c r="O430" s="680"/>
      <c r="P430" s="363" t="s">
        <v>520</v>
      </c>
      <c r="Q430" s="380"/>
      <c r="R430" s="380"/>
      <c r="S430" s="390" t="s">
        <v>1561</v>
      </c>
      <c r="T430" s="363" t="s">
        <v>1019</v>
      </c>
      <c r="U430" s="390" t="s">
        <v>1562</v>
      </c>
      <c r="V430" s="363" t="s">
        <v>1866</v>
      </c>
      <c r="W430" s="363" t="s">
        <v>1563</v>
      </c>
      <c r="X430" s="363"/>
      <c r="Y430" s="363" t="s">
        <v>1564</v>
      </c>
      <c r="Z430" s="363"/>
      <c r="AA430" s="363"/>
      <c r="AB430" s="363"/>
      <c r="AC430" s="363"/>
      <c r="AD430" s="363"/>
      <c r="AE430" s="363" t="s">
        <v>478</v>
      </c>
      <c r="AF430" s="380" t="s">
        <v>63</v>
      </c>
      <c r="AG430" s="380">
        <v>3</v>
      </c>
      <c r="AH430" s="363" t="s">
        <v>667</v>
      </c>
    </row>
    <row r="431" spans="1:34" ht="15" hidden="1" customHeight="1" x14ac:dyDescent="0.3">
      <c r="B431" s="380" t="s">
        <v>2</v>
      </c>
      <c r="C431" s="482" t="s">
        <v>1385</v>
      </c>
      <c r="D431" s="483" t="s">
        <v>1565</v>
      </c>
      <c r="E431" s="468">
        <v>4500090444</v>
      </c>
      <c r="F431" s="488">
        <v>46060</v>
      </c>
      <c r="G431" s="380" t="s">
        <v>55</v>
      </c>
      <c r="H431" s="380">
        <v>1</v>
      </c>
      <c r="I431" s="388">
        <v>80000</v>
      </c>
      <c r="J431" s="380">
        <v>2</v>
      </c>
      <c r="K431" s="389">
        <f t="shared" si="19"/>
        <v>40000</v>
      </c>
      <c r="L431" s="381">
        <v>46064</v>
      </c>
      <c r="M431" s="381">
        <v>46428</v>
      </c>
      <c r="N431" s="663"/>
      <c r="O431" s="680"/>
      <c r="P431" s="363" t="s">
        <v>520</v>
      </c>
      <c r="Q431" s="380"/>
      <c r="R431" s="380"/>
      <c r="S431" s="363" t="s">
        <v>1566</v>
      </c>
      <c r="T431" s="363"/>
      <c r="U431" s="363" t="s">
        <v>1567</v>
      </c>
      <c r="V431" s="363"/>
      <c r="W431" s="363"/>
      <c r="X431" s="363"/>
      <c r="Y431" s="363"/>
      <c r="Z431" s="363"/>
      <c r="AA431" s="363"/>
      <c r="AB431" s="363"/>
      <c r="AC431" s="363"/>
      <c r="AD431" s="363"/>
      <c r="AE431" s="363" t="s">
        <v>619</v>
      </c>
      <c r="AF431" s="380" t="s">
        <v>63</v>
      </c>
      <c r="AG431" s="380">
        <v>3</v>
      </c>
      <c r="AH431" s="363" t="s">
        <v>667</v>
      </c>
    </row>
    <row r="432" spans="1:34" ht="15" hidden="1" customHeight="1" x14ac:dyDescent="0.3">
      <c r="B432" s="380" t="s">
        <v>2</v>
      </c>
      <c r="C432" s="409" t="s">
        <v>598</v>
      </c>
      <c r="D432" s="423" t="s">
        <v>599</v>
      </c>
      <c r="E432" s="491">
        <v>3800068846</v>
      </c>
      <c r="F432" s="488">
        <v>46062</v>
      </c>
      <c r="G432" s="380" t="s">
        <v>55</v>
      </c>
      <c r="H432" s="380">
        <v>5</v>
      </c>
      <c r="I432" s="388">
        <v>290000</v>
      </c>
      <c r="J432" s="380">
        <v>2</v>
      </c>
      <c r="K432" s="389">
        <f t="shared" si="19"/>
        <v>145000</v>
      </c>
      <c r="L432" s="504">
        <v>46067</v>
      </c>
      <c r="M432" s="504">
        <v>46431</v>
      </c>
      <c r="N432" s="667"/>
      <c r="O432" s="684"/>
      <c r="P432" s="363" t="s">
        <v>520</v>
      </c>
      <c r="Q432" s="380"/>
      <c r="R432" s="380"/>
      <c r="S432" s="363" t="s">
        <v>1568</v>
      </c>
      <c r="T432" s="363" t="s">
        <v>1569</v>
      </c>
      <c r="U432" s="363" t="s">
        <v>1570</v>
      </c>
      <c r="V432" s="363"/>
      <c r="W432" s="363"/>
      <c r="X432" s="363"/>
      <c r="Y432" s="363"/>
      <c r="Z432" s="363"/>
      <c r="AA432" s="363"/>
      <c r="AB432" s="363"/>
      <c r="AC432" s="363"/>
      <c r="AD432" s="363"/>
      <c r="AE432" s="363" t="s">
        <v>485</v>
      </c>
      <c r="AF432" s="380" t="s">
        <v>63</v>
      </c>
      <c r="AG432" s="380">
        <v>2</v>
      </c>
      <c r="AH432" s="363" t="s">
        <v>1571</v>
      </c>
    </row>
    <row r="433" spans="2:34" ht="15" hidden="1" customHeight="1" x14ac:dyDescent="0.3">
      <c r="B433" s="380" t="s">
        <v>2</v>
      </c>
      <c r="C433" s="409" t="s">
        <v>130</v>
      </c>
      <c r="D433" s="489" t="s">
        <v>1572</v>
      </c>
      <c r="E433" s="397">
        <v>6800048397</v>
      </c>
      <c r="F433" s="488">
        <v>45882</v>
      </c>
      <c r="G433" s="380" t="s">
        <v>55</v>
      </c>
      <c r="H433" s="380">
        <v>1</v>
      </c>
      <c r="I433" s="388">
        <v>88000</v>
      </c>
      <c r="J433" s="380">
        <v>2</v>
      </c>
      <c r="K433" s="389">
        <f t="shared" si="19"/>
        <v>44000</v>
      </c>
      <c r="L433" s="505">
        <v>45901</v>
      </c>
      <c r="M433" s="505">
        <v>46265</v>
      </c>
      <c r="N433" s="668"/>
      <c r="O433" s="685"/>
      <c r="P433" s="363" t="s">
        <v>19</v>
      </c>
      <c r="Q433" s="380" t="s">
        <v>13</v>
      </c>
      <c r="R433" s="380"/>
      <c r="S433" s="390" t="s">
        <v>625</v>
      </c>
      <c r="T433" s="363" t="s">
        <v>1009</v>
      </c>
      <c r="U433" s="390" t="s">
        <v>1235</v>
      </c>
      <c r="V433" s="363" t="s">
        <v>1857</v>
      </c>
      <c r="W433" s="363"/>
      <c r="X433" s="363"/>
      <c r="Y433" s="363"/>
      <c r="Z433" s="363"/>
      <c r="AA433" s="363"/>
      <c r="AB433" s="363"/>
      <c r="AC433" s="363"/>
      <c r="AD433" s="363"/>
      <c r="AE433" s="363" t="s">
        <v>183</v>
      </c>
      <c r="AF433" s="380" t="s">
        <v>97</v>
      </c>
      <c r="AG433" s="380">
        <v>2</v>
      </c>
      <c r="AH433" s="363" t="s">
        <v>1573</v>
      </c>
    </row>
    <row r="434" spans="2:34" ht="15" hidden="1" customHeight="1" x14ac:dyDescent="0.3">
      <c r="B434" s="380" t="s">
        <v>2</v>
      </c>
      <c r="C434" s="482" t="s">
        <v>1032</v>
      </c>
      <c r="D434" s="483" t="s">
        <v>1227</v>
      </c>
      <c r="E434" s="491">
        <v>2560049212</v>
      </c>
      <c r="F434" s="488">
        <v>46064</v>
      </c>
      <c r="G434" s="380" t="s">
        <v>55</v>
      </c>
      <c r="H434" s="380">
        <v>2</v>
      </c>
      <c r="I434" s="388">
        <v>180000</v>
      </c>
      <c r="J434" s="380">
        <v>2</v>
      </c>
      <c r="K434" s="389">
        <f t="shared" si="19"/>
        <v>90000</v>
      </c>
      <c r="L434" s="504">
        <v>46054</v>
      </c>
      <c r="M434" s="504">
        <v>46418</v>
      </c>
      <c r="N434" s="667"/>
      <c r="O434" s="684"/>
      <c r="P434" s="363" t="s">
        <v>520</v>
      </c>
      <c r="Q434" s="380"/>
      <c r="R434" s="380" t="s">
        <v>1</v>
      </c>
      <c r="S434" s="363" t="s">
        <v>426</v>
      </c>
      <c r="T434" s="363"/>
      <c r="U434" s="363" t="s">
        <v>427</v>
      </c>
      <c r="V434" s="363"/>
      <c r="W434" s="363"/>
      <c r="X434" s="363"/>
      <c r="Y434" s="363"/>
      <c r="Z434" s="363"/>
      <c r="AA434" s="363"/>
      <c r="AB434" s="363"/>
      <c r="AC434" s="363"/>
      <c r="AD434" s="363"/>
      <c r="AE434" s="363" t="s">
        <v>507</v>
      </c>
      <c r="AF434" s="380" t="s">
        <v>63</v>
      </c>
      <c r="AG434" s="380">
        <v>3</v>
      </c>
      <c r="AH434" s="363" t="s">
        <v>799</v>
      </c>
    </row>
    <row r="435" spans="2:34" ht="15" hidden="1" customHeight="1" x14ac:dyDescent="0.3">
      <c r="B435" s="380" t="s">
        <v>2</v>
      </c>
      <c r="C435" s="482" t="s">
        <v>1326</v>
      </c>
      <c r="D435" s="483" t="s">
        <v>151</v>
      </c>
      <c r="E435" s="468">
        <v>928978356</v>
      </c>
      <c r="F435" s="488">
        <v>46064</v>
      </c>
      <c r="G435" s="380" t="s">
        <v>55</v>
      </c>
      <c r="H435" s="380">
        <v>1</v>
      </c>
      <c r="I435" s="388">
        <v>96000</v>
      </c>
      <c r="J435" s="380">
        <v>3</v>
      </c>
      <c r="K435" s="389">
        <f t="shared" si="19"/>
        <v>32000</v>
      </c>
      <c r="L435" s="504">
        <v>46064</v>
      </c>
      <c r="M435" s="504">
        <v>46428</v>
      </c>
      <c r="N435" s="667"/>
      <c r="O435" s="684"/>
      <c r="P435" s="363" t="s">
        <v>520</v>
      </c>
      <c r="Q435" s="380"/>
      <c r="R435" s="380"/>
      <c r="S435" s="390" t="s">
        <v>1574</v>
      </c>
      <c r="T435" s="363" t="s">
        <v>1162</v>
      </c>
      <c r="U435" s="363" t="s">
        <v>1575</v>
      </c>
      <c r="V435" s="363"/>
      <c r="W435" s="363" t="s">
        <v>1576</v>
      </c>
      <c r="X435" s="363"/>
      <c r="Y435" s="363"/>
      <c r="Z435" s="363"/>
      <c r="AA435" s="363"/>
      <c r="AB435" s="363"/>
      <c r="AC435" s="363"/>
      <c r="AD435" s="363"/>
      <c r="AE435" s="363" t="s">
        <v>507</v>
      </c>
      <c r="AF435" s="380" t="s">
        <v>63</v>
      </c>
      <c r="AG435" s="380">
        <v>3</v>
      </c>
      <c r="AH435" s="363" t="s">
        <v>1577</v>
      </c>
    </row>
    <row r="436" spans="2:34" ht="15" hidden="1" customHeight="1" x14ac:dyDescent="0.3">
      <c r="B436" s="380" t="s">
        <v>2</v>
      </c>
      <c r="C436" s="409" t="s">
        <v>1095</v>
      </c>
      <c r="D436" s="434" t="s">
        <v>1578</v>
      </c>
      <c r="E436" s="506">
        <v>9709627472</v>
      </c>
      <c r="F436" s="488">
        <v>46069</v>
      </c>
      <c r="G436" s="380" t="s">
        <v>55</v>
      </c>
      <c r="H436" s="380">
        <v>13</v>
      </c>
      <c r="I436" s="388">
        <v>1040000</v>
      </c>
      <c r="J436" s="380">
        <v>4</v>
      </c>
      <c r="K436" s="389">
        <f t="shared" si="19"/>
        <v>260000</v>
      </c>
      <c r="L436" s="505">
        <v>45668</v>
      </c>
      <c r="M436" s="505">
        <v>46326</v>
      </c>
      <c r="N436" s="668"/>
      <c r="O436" s="685"/>
      <c r="P436" s="363" t="s">
        <v>520</v>
      </c>
      <c r="Q436" s="380"/>
      <c r="R436" s="380"/>
      <c r="S436" s="390" t="s">
        <v>269</v>
      </c>
      <c r="T436" s="363" t="s">
        <v>999</v>
      </c>
      <c r="U436" s="390" t="s">
        <v>442</v>
      </c>
      <c r="V436" s="363" t="s">
        <v>1857</v>
      </c>
      <c r="W436" s="363" t="s">
        <v>444</v>
      </c>
      <c r="X436" s="363"/>
      <c r="Y436" s="363" t="s">
        <v>445</v>
      </c>
      <c r="Z436" s="363"/>
      <c r="AA436" s="363"/>
      <c r="AB436" s="363"/>
      <c r="AC436" s="363"/>
      <c r="AD436" s="363"/>
      <c r="AE436" s="363" t="s">
        <v>619</v>
      </c>
      <c r="AF436" s="380" t="s">
        <v>63</v>
      </c>
      <c r="AG436" s="380">
        <v>4</v>
      </c>
      <c r="AH436" s="363" t="s">
        <v>667</v>
      </c>
    </row>
    <row r="437" spans="2:34" ht="15" hidden="1" customHeight="1" x14ac:dyDescent="0.3">
      <c r="B437" s="380" t="s">
        <v>2</v>
      </c>
      <c r="C437" s="409" t="s">
        <v>975</v>
      </c>
      <c r="D437" s="423" t="s">
        <v>1136</v>
      </c>
      <c r="E437" s="408">
        <v>6100013233</v>
      </c>
      <c r="F437" s="488">
        <v>46055</v>
      </c>
      <c r="G437" s="380" t="s">
        <v>55</v>
      </c>
      <c r="H437" s="380">
        <v>1</v>
      </c>
      <c r="I437" s="388">
        <v>112000</v>
      </c>
      <c r="J437" s="380">
        <v>3</v>
      </c>
      <c r="K437" s="389">
        <f t="shared" si="19"/>
        <v>37333.333333333336</v>
      </c>
      <c r="L437" s="505">
        <v>45992</v>
      </c>
      <c r="M437" s="505">
        <v>46356</v>
      </c>
      <c r="N437" s="668"/>
      <c r="O437" s="685"/>
      <c r="P437" s="363" t="s">
        <v>520</v>
      </c>
      <c r="Q437" s="380"/>
      <c r="R437" s="380"/>
      <c r="S437" s="390" t="s">
        <v>361</v>
      </c>
      <c r="T437" s="363" t="s">
        <v>1262</v>
      </c>
      <c r="U437" s="390" t="s">
        <v>1579</v>
      </c>
      <c r="V437" s="363" t="s">
        <v>1960</v>
      </c>
      <c r="W437" s="363" t="s">
        <v>1108</v>
      </c>
      <c r="X437" s="363" t="s">
        <v>1580</v>
      </c>
      <c r="Y437" s="363"/>
      <c r="Z437" s="363"/>
      <c r="AA437" s="363"/>
      <c r="AB437" s="363"/>
      <c r="AC437" s="363"/>
      <c r="AD437" s="363"/>
      <c r="AE437" s="363" t="s">
        <v>551</v>
      </c>
      <c r="AF437" s="380" t="s">
        <v>207</v>
      </c>
      <c r="AG437" s="380">
        <v>3</v>
      </c>
      <c r="AH437" s="363" t="s">
        <v>1581</v>
      </c>
    </row>
    <row r="438" spans="2:34" ht="15" hidden="1" customHeight="1" x14ac:dyDescent="0.3">
      <c r="B438" s="380" t="s">
        <v>2</v>
      </c>
      <c r="C438" s="412" t="s">
        <v>502</v>
      </c>
      <c r="D438" s="437" t="s">
        <v>151</v>
      </c>
      <c r="E438" s="447" t="s">
        <v>1582</v>
      </c>
      <c r="F438" s="488">
        <v>46049</v>
      </c>
      <c r="G438" s="380" t="s">
        <v>55</v>
      </c>
      <c r="H438" s="380">
        <v>1</v>
      </c>
      <c r="I438" s="388">
        <v>76440</v>
      </c>
      <c r="J438" s="380">
        <v>3</v>
      </c>
      <c r="K438" s="389"/>
      <c r="L438" s="505">
        <v>46023</v>
      </c>
      <c r="M438" s="505">
        <v>46387</v>
      </c>
      <c r="N438" s="668"/>
      <c r="O438" s="685"/>
      <c r="P438" s="363" t="s">
        <v>520</v>
      </c>
      <c r="Q438" s="380"/>
      <c r="R438" s="380"/>
      <c r="S438" s="390" t="s">
        <v>347</v>
      </c>
      <c r="T438" s="363" t="s">
        <v>1727</v>
      </c>
      <c r="U438" s="363" t="s">
        <v>348</v>
      </c>
      <c r="V438" s="363"/>
      <c r="W438" s="363" t="s">
        <v>349</v>
      </c>
      <c r="X438" s="363"/>
      <c r="Y438" s="363"/>
      <c r="Z438" s="363"/>
      <c r="AA438" s="363"/>
      <c r="AB438" s="363"/>
      <c r="AC438" s="363"/>
      <c r="AD438" s="363"/>
      <c r="AE438" s="363" t="s">
        <v>507</v>
      </c>
      <c r="AF438" s="380" t="s">
        <v>63</v>
      </c>
      <c r="AG438" s="380">
        <v>3</v>
      </c>
      <c r="AH438" s="363" t="s">
        <v>1583</v>
      </c>
    </row>
    <row r="439" spans="2:34" ht="15" hidden="1" customHeight="1" x14ac:dyDescent="0.3">
      <c r="B439" s="380" t="s">
        <v>2</v>
      </c>
      <c r="C439" s="482" t="s">
        <v>1584</v>
      </c>
      <c r="D439" s="483" t="s">
        <v>151</v>
      </c>
      <c r="E439" s="468">
        <v>7408</v>
      </c>
      <c r="F439" s="488">
        <v>46029</v>
      </c>
      <c r="G439" s="380" t="s">
        <v>55</v>
      </c>
      <c r="H439" s="380">
        <v>1</v>
      </c>
      <c r="I439" s="388">
        <v>67500</v>
      </c>
      <c r="J439" s="380">
        <v>3</v>
      </c>
      <c r="K439" s="389">
        <f t="shared" ref="K439:K457" si="20">I439/J439</f>
        <v>22500</v>
      </c>
      <c r="L439" s="504">
        <v>46023</v>
      </c>
      <c r="M439" s="504">
        <v>46387</v>
      </c>
      <c r="N439" s="667"/>
      <c r="O439" s="684"/>
      <c r="P439" s="363" t="s">
        <v>520</v>
      </c>
      <c r="Q439" s="380"/>
      <c r="R439" s="380"/>
      <c r="S439" s="390" t="s">
        <v>347</v>
      </c>
      <c r="T439" s="363" t="s">
        <v>1735</v>
      </c>
      <c r="U439" s="363" t="s">
        <v>348</v>
      </c>
      <c r="V439" s="363"/>
      <c r="W439" s="363" t="s">
        <v>349</v>
      </c>
      <c r="X439" s="363"/>
      <c r="Y439" s="363"/>
      <c r="Z439" s="363"/>
      <c r="AA439" s="363"/>
      <c r="AB439" s="363"/>
      <c r="AC439" s="363"/>
      <c r="AD439" s="363"/>
      <c r="AE439" s="363" t="s">
        <v>507</v>
      </c>
      <c r="AF439" s="380" t="s">
        <v>63</v>
      </c>
      <c r="AG439" s="380">
        <v>3</v>
      </c>
      <c r="AH439" s="363" t="s">
        <v>1585</v>
      </c>
    </row>
    <row r="440" spans="2:34" ht="15" customHeight="1" x14ac:dyDescent="0.3">
      <c r="B440" s="380" t="s">
        <v>2</v>
      </c>
      <c r="C440" s="485" t="s">
        <v>948</v>
      </c>
      <c r="D440" s="486" t="s">
        <v>987</v>
      </c>
      <c r="E440" s="451">
        <v>9000005172</v>
      </c>
      <c r="F440" s="387">
        <v>46069</v>
      </c>
      <c r="G440" s="380" t="s">
        <v>55</v>
      </c>
      <c r="H440" s="380">
        <v>1</v>
      </c>
      <c r="I440" s="388">
        <v>18620</v>
      </c>
      <c r="J440" s="380">
        <v>1</v>
      </c>
      <c r="K440" s="389">
        <f t="shared" si="20"/>
        <v>18620</v>
      </c>
      <c r="L440" s="507">
        <v>46023</v>
      </c>
      <c r="M440" s="507">
        <v>46112</v>
      </c>
      <c r="N440" s="663"/>
      <c r="O440" s="680"/>
      <c r="P440" s="363" t="s">
        <v>19</v>
      </c>
      <c r="Q440" s="380" t="s">
        <v>3</v>
      </c>
      <c r="R440" s="380"/>
      <c r="S440" s="390" t="s">
        <v>396</v>
      </c>
      <c r="T440" s="363" t="s">
        <v>1162</v>
      </c>
      <c r="U440" s="363"/>
      <c r="V440" s="363"/>
      <c r="W440" s="363"/>
      <c r="X440" s="363"/>
      <c r="Y440" s="363"/>
      <c r="Z440" s="363"/>
      <c r="AA440" s="363"/>
      <c r="AB440" s="363"/>
      <c r="AC440" s="363"/>
      <c r="AD440" s="363"/>
      <c r="AE440" s="363" t="s">
        <v>551</v>
      </c>
      <c r="AF440" s="380" t="s">
        <v>207</v>
      </c>
      <c r="AG440" s="380"/>
      <c r="AH440" s="363"/>
    </row>
    <row r="441" spans="2:34" ht="15" hidden="1" customHeight="1" x14ac:dyDescent="0.3">
      <c r="B441" s="380" t="s">
        <v>2</v>
      </c>
      <c r="C441" s="409" t="s">
        <v>1586</v>
      </c>
      <c r="D441" s="423" t="s">
        <v>151</v>
      </c>
      <c r="E441" s="408" t="s">
        <v>1587</v>
      </c>
      <c r="F441" s="501">
        <v>46045</v>
      </c>
      <c r="G441" s="380" t="s">
        <v>55</v>
      </c>
      <c r="H441" s="380"/>
      <c r="I441" s="388">
        <v>240000</v>
      </c>
      <c r="J441" s="380">
        <v>2</v>
      </c>
      <c r="K441" s="389">
        <f t="shared" si="20"/>
        <v>120000</v>
      </c>
      <c r="L441" s="505">
        <v>46023</v>
      </c>
      <c r="M441" s="505">
        <v>46387</v>
      </c>
      <c r="N441" s="668"/>
      <c r="O441" s="685"/>
      <c r="P441" s="363" t="s">
        <v>520</v>
      </c>
      <c r="Q441" s="380"/>
      <c r="R441" s="380"/>
      <c r="S441" s="390" t="s">
        <v>607</v>
      </c>
      <c r="T441" s="363" t="s">
        <v>1854</v>
      </c>
      <c r="U441" s="363" t="s">
        <v>608</v>
      </c>
      <c r="V441" s="363"/>
      <c r="W441" s="363"/>
      <c r="X441" s="363"/>
      <c r="Y441" s="363"/>
      <c r="Z441" s="363"/>
      <c r="AA441" s="363"/>
      <c r="AB441" s="363"/>
      <c r="AC441" s="363"/>
      <c r="AD441" s="363"/>
      <c r="AE441" s="363" t="s">
        <v>478</v>
      </c>
      <c r="AF441" s="380" t="s">
        <v>63</v>
      </c>
      <c r="AG441" s="380">
        <v>3</v>
      </c>
      <c r="AH441" s="363" t="s">
        <v>667</v>
      </c>
    </row>
    <row r="442" spans="2:34" ht="15" hidden="1" customHeight="1" x14ac:dyDescent="0.3">
      <c r="B442" s="380" t="s">
        <v>2</v>
      </c>
      <c r="C442" s="409" t="s">
        <v>1586</v>
      </c>
      <c r="D442" s="423" t="s">
        <v>151</v>
      </c>
      <c r="E442" s="408" t="s">
        <v>1587</v>
      </c>
      <c r="F442" s="501">
        <v>46045</v>
      </c>
      <c r="G442" s="380" t="s">
        <v>55</v>
      </c>
      <c r="H442" s="380">
        <v>2</v>
      </c>
      <c r="I442" s="388">
        <v>240000</v>
      </c>
      <c r="J442" s="380">
        <v>2</v>
      </c>
      <c r="K442" s="389">
        <f t="shared" si="20"/>
        <v>120000</v>
      </c>
      <c r="L442" s="507">
        <v>46388</v>
      </c>
      <c r="M442" s="507">
        <v>46752</v>
      </c>
      <c r="N442" s="663"/>
      <c r="O442" s="680"/>
      <c r="P442" s="363" t="s">
        <v>520</v>
      </c>
      <c r="Q442" s="380"/>
      <c r="R442" s="380"/>
      <c r="S442" s="363" t="s">
        <v>1588</v>
      </c>
      <c r="T442" s="363"/>
      <c r="U442" s="363" t="s">
        <v>1482</v>
      </c>
      <c r="V442" s="363"/>
      <c r="W442" s="363"/>
      <c r="X442" s="363"/>
      <c r="Y442" s="363"/>
      <c r="Z442" s="363"/>
      <c r="AA442" s="363"/>
      <c r="AB442" s="363"/>
      <c r="AC442" s="363"/>
      <c r="AD442" s="363"/>
      <c r="AE442" s="363" t="s">
        <v>478</v>
      </c>
      <c r="AF442" s="380" t="s">
        <v>63</v>
      </c>
      <c r="AG442" s="380">
        <v>3</v>
      </c>
      <c r="AH442" s="363" t="s">
        <v>667</v>
      </c>
    </row>
    <row r="443" spans="2:34" ht="15" hidden="1" customHeight="1" x14ac:dyDescent="0.3">
      <c r="B443" s="380" t="s">
        <v>2</v>
      </c>
      <c r="C443" s="409" t="s">
        <v>1961</v>
      </c>
      <c r="D443" s="423" t="s">
        <v>1317</v>
      </c>
      <c r="E443" s="408" t="s">
        <v>1590</v>
      </c>
      <c r="F443" s="488">
        <v>46064</v>
      </c>
      <c r="G443" s="380" t="s">
        <v>55</v>
      </c>
      <c r="H443" s="380">
        <v>1</v>
      </c>
      <c r="I443" s="388">
        <v>80000</v>
      </c>
      <c r="J443" s="380">
        <v>2</v>
      </c>
      <c r="K443" s="389">
        <f t="shared" si="20"/>
        <v>40000</v>
      </c>
      <c r="L443" s="505">
        <v>46023</v>
      </c>
      <c r="M443" s="508">
        <v>46387</v>
      </c>
      <c r="N443" s="668">
        <v>155363</v>
      </c>
      <c r="O443" s="685">
        <v>4900</v>
      </c>
      <c r="P443" s="363" t="s">
        <v>520</v>
      </c>
      <c r="Q443" s="380"/>
      <c r="R443" s="380"/>
      <c r="S443" s="394" t="s">
        <v>607</v>
      </c>
      <c r="T443" s="363" t="s">
        <v>1937</v>
      </c>
      <c r="U443" s="363" t="s">
        <v>608</v>
      </c>
      <c r="V443" s="363"/>
      <c r="W443" s="363"/>
      <c r="X443" s="363"/>
      <c r="Y443" s="363"/>
      <c r="Z443" s="363"/>
      <c r="AA443" s="363"/>
      <c r="AB443" s="363"/>
      <c r="AC443" s="363"/>
      <c r="AD443" s="363"/>
      <c r="AE443" s="363" t="s">
        <v>478</v>
      </c>
      <c r="AF443" s="380" t="s">
        <v>63</v>
      </c>
      <c r="AG443" s="380">
        <v>3</v>
      </c>
      <c r="AH443" s="363" t="s">
        <v>1319</v>
      </c>
    </row>
    <row r="444" spans="2:34" ht="15" hidden="1" customHeight="1" x14ac:dyDescent="0.3">
      <c r="B444" s="380" t="s">
        <v>2</v>
      </c>
      <c r="C444" s="409" t="s">
        <v>598</v>
      </c>
      <c r="D444" s="423" t="s">
        <v>388</v>
      </c>
      <c r="E444" s="419">
        <v>3800068822</v>
      </c>
      <c r="F444" s="488">
        <v>46069</v>
      </c>
      <c r="G444" s="380" t="s">
        <v>55</v>
      </c>
      <c r="H444" s="380">
        <v>2</v>
      </c>
      <c r="I444" s="388">
        <v>116000</v>
      </c>
      <c r="J444" s="380">
        <v>2</v>
      </c>
      <c r="K444" s="389">
        <f t="shared" si="20"/>
        <v>58000</v>
      </c>
      <c r="L444" s="505">
        <v>46082</v>
      </c>
      <c r="M444" s="505">
        <v>46446</v>
      </c>
      <c r="N444" s="668"/>
      <c r="O444" s="685"/>
      <c r="P444" s="363" t="s">
        <v>520</v>
      </c>
      <c r="Q444" s="380"/>
      <c r="R444" s="380"/>
      <c r="S444" s="363" t="s">
        <v>1235</v>
      </c>
      <c r="T444" s="363"/>
      <c r="U444" s="363" t="s">
        <v>1534</v>
      </c>
      <c r="V444" s="363"/>
      <c r="W444" s="363"/>
      <c r="X444" s="363"/>
      <c r="Y444" s="363"/>
      <c r="Z444" s="363"/>
      <c r="AA444" s="363"/>
      <c r="AB444" s="363"/>
      <c r="AC444" s="363"/>
      <c r="AD444" s="363"/>
      <c r="AE444" s="363" t="s">
        <v>478</v>
      </c>
      <c r="AF444" s="380" t="s">
        <v>63</v>
      </c>
      <c r="AG444" s="380">
        <v>2</v>
      </c>
      <c r="AH444" s="363" t="s">
        <v>799</v>
      </c>
    </row>
    <row r="445" spans="2:34" ht="15" hidden="1" customHeight="1" x14ac:dyDescent="0.3">
      <c r="B445" s="380" t="s">
        <v>2</v>
      </c>
      <c r="C445" s="482" t="s">
        <v>1591</v>
      </c>
      <c r="D445" s="483" t="s">
        <v>1592</v>
      </c>
      <c r="E445" s="468">
        <v>4601527055</v>
      </c>
      <c r="F445" s="488">
        <v>46073</v>
      </c>
      <c r="G445" s="380" t="s">
        <v>55</v>
      </c>
      <c r="H445" s="380">
        <v>1</v>
      </c>
      <c r="I445" s="388">
        <v>75000</v>
      </c>
      <c r="J445" s="380">
        <v>3</v>
      </c>
      <c r="K445" s="389">
        <f t="shared" si="20"/>
        <v>25000</v>
      </c>
      <c r="L445" s="504">
        <v>46073</v>
      </c>
      <c r="M445" s="504">
        <v>46437</v>
      </c>
      <c r="N445" s="667"/>
      <c r="O445" s="684"/>
      <c r="P445" s="363" t="s">
        <v>520</v>
      </c>
      <c r="Q445" s="380"/>
      <c r="R445" s="380"/>
      <c r="S445" s="390" t="s">
        <v>1333</v>
      </c>
      <c r="T445" s="363" t="s">
        <v>1869</v>
      </c>
      <c r="U445" s="363" t="s">
        <v>1334</v>
      </c>
      <c r="V445" s="363"/>
      <c r="W445" s="363" t="s">
        <v>1593</v>
      </c>
      <c r="X445" s="363"/>
      <c r="Y445" s="363"/>
      <c r="Z445" s="363"/>
      <c r="AA445" s="363"/>
      <c r="AB445" s="363"/>
      <c r="AC445" s="363"/>
      <c r="AD445" s="363"/>
      <c r="AE445" s="363" t="s">
        <v>478</v>
      </c>
      <c r="AF445" s="380" t="s">
        <v>63</v>
      </c>
      <c r="AG445" s="380">
        <v>3</v>
      </c>
      <c r="AH445" s="363"/>
    </row>
    <row r="446" spans="2:34" ht="15" hidden="1" customHeight="1" x14ac:dyDescent="0.3">
      <c r="B446" s="380" t="s">
        <v>2</v>
      </c>
      <c r="C446" s="478" t="s">
        <v>1328</v>
      </c>
      <c r="D446" s="480" t="s">
        <v>841</v>
      </c>
      <c r="E446" s="481">
        <v>470079278</v>
      </c>
      <c r="F446" s="496">
        <v>46055</v>
      </c>
      <c r="G446" s="380" t="s">
        <v>55</v>
      </c>
      <c r="H446" s="380">
        <v>10</v>
      </c>
      <c r="I446" s="388">
        <v>633600</v>
      </c>
      <c r="J446" s="380">
        <v>1</v>
      </c>
      <c r="K446" s="389">
        <f t="shared" si="20"/>
        <v>633600</v>
      </c>
      <c r="L446" s="381">
        <v>46023</v>
      </c>
      <c r="M446" s="381">
        <v>46387</v>
      </c>
      <c r="N446" s="663"/>
      <c r="O446" s="680"/>
      <c r="P446" s="363" t="s">
        <v>520</v>
      </c>
      <c r="Q446" s="380"/>
      <c r="R446" s="380"/>
      <c r="S446" s="363" t="s">
        <v>1594</v>
      </c>
      <c r="T446" s="363"/>
      <c r="U446" s="363"/>
      <c r="V446" s="363"/>
      <c r="W446" s="363"/>
      <c r="X446" s="363"/>
      <c r="Y446" s="363"/>
      <c r="Z446" s="363"/>
      <c r="AA446" s="363"/>
      <c r="AB446" s="363"/>
      <c r="AC446" s="363"/>
      <c r="AD446" s="363"/>
      <c r="AE446" s="363" t="s">
        <v>485</v>
      </c>
      <c r="AF446" s="380" t="s">
        <v>63</v>
      </c>
      <c r="AG446" s="380">
        <v>2</v>
      </c>
      <c r="AH446" s="363" t="s">
        <v>1488</v>
      </c>
    </row>
    <row r="447" spans="2:34" ht="15" hidden="1" customHeight="1" x14ac:dyDescent="0.3">
      <c r="B447" s="380" t="s">
        <v>2</v>
      </c>
      <c r="C447" s="482" t="s">
        <v>1595</v>
      </c>
      <c r="D447" s="483" t="s">
        <v>818</v>
      </c>
      <c r="E447" s="468" t="s">
        <v>1596</v>
      </c>
      <c r="F447" s="488">
        <v>46056</v>
      </c>
      <c r="G447" s="380" t="s">
        <v>55</v>
      </c>
      <c r="H447" s="380"/>
      <c r="I447" s="388">
        <v>949104</v>
      </c>
      <c r="J447" s="380">
        <v>3</v>
      </c>
      <c r="K447" s="389">
        <f t="shared" si="20"/>
        <v>316368</v>
      </c>
      <c r="L447" s="504">
        <v>46082</v>
      </c>
      <c r="M447" s="504">
        <v>46446</v>
      </c>
      <c r="N447" s="667"/>
      <c r="O447" s="684"/>
      <c r="P447" s="363" t="s">
        <v>520</v>
      </c>
      <c r="Q447" s="380"/>
      <c r="R447" s="380"/>
      <c r="S447" s="390" t="s">
        <v>194</v>
      </c>
      <c r="T447" s="363" t="s">
        <v>1736</v>
      </c>
      <c r="U447" s="363" t="s">
        <v>1344</v>
      </c>
      <c r="V447" s="363"/>
      <c r="W447" s="363" t="s">
        <v>1597</v>
      </c>
      <c r="X447" s="363"/>
      <c r="Y447" s="363"/>
      <c r="Z447" s="363"/>
      <c r="AA447" s="363"/>
      <c r="AB447" s="363"/>
      <c r="AC447" s="363"/>
      <c r="AD447" s="363"/>
      <c r="AE447" s="363" t="s">
        <v>281</v>
      </c>
      <c r="AF447" s="380" t="s">
        <v>97</v>
      </c>
      <c r="AG447" s="380">
        <v>3</v>
      </c>
      <c r="AH447" s="363" t="s">
        <v>1345</v>
      </c>
    </row>
    <row r="448" spans="2:34" ht="15" hidden="1" customHeight="1" x14ac:dyDescent="0.3">
      <c r="B448" s="380" t="s">
        <v>2</v>
      </c>
      <c r="C448" s="482" t="s">
        <v>1595</v>
      </c>
      <c r="D448" s="483" t="s">
        <v>818</v>
      </c>
      <c r="E448" s="468" t="s">
        <v>1596</v>
      </c>
      <c r="F448" s="488">
        <v>46056</v>
      </c>
      <c r="G448" s="380" t="s">
        <v>55</v>
      </c>
      <c r="H448" s="380">
        <v>9</v>
      </c>
      <c r="I448" s="388">
        <v>949104</v>
      </c>
      <c r="J448" s="380">
        <v>3</v>
      </c>
      <c r="K448" s="389">
        <f t="shared" si="20"/>
        <v>316368</v>
      </c>
      <c r="L448" s="507">
        <v>46447</v>
      </c>
      <c r="M448" s="507">
        <v>46812</v>
      </c>
      <c r="N448" s="663"/>
      <c r="O448" s="680"/>
      <c r="P448" s="363" t="s">
        <v>520</v>
      </c>
      <c r="Q448" s="380"/>
      <c r="R448" s="380"/>
      <c r="S448" s="363" t="s">
        <v>1598</v>
      </c>
      <c r="T448" s="363"/>
      <c r="U448" s="363" t="s">
        <v>1599</v>
      </c>
      <c r="V448" s="363"/>
      <c r="W448" s="363" t="s">
        <v>1600</v>
      </c>
      <c r="X448" s="363"/>
      <c r="Y448" s="363"/>
      <c r="Z448" s="363"/>
      <c r="AA448" s="363"/>
      <c r="AB448" s="363"/>
      <c r="AC448" s="363"/>
      <c r="AD448" s="363"/>
      <c r="AE448" s="363" t="s">
        <v>281</v>
      </c>
      <c r="AF448" s="380" t="s">
        <v>97</v>
      </c>
      <c r="AG448" s="380">
        <v>3</v>
      </c>
      <c r="AH448" s="363" t="s">
        <v>1345</v>
      </c>
    </row>
    <row r="449" spans="2:34" ht="15" hidden="1" customHeight="1" x14ac:dyDescent="0.3">
      <c r="B449" s="380" t="s">
        <v>2</v>
      </c>
      <c r="C449" s="409" t="s">
        <v>889</v>
      </c>
      <c r="D449" s="489" t="s">
        <v>890</v>
      </c>
      <c r="E449" s="419">
        <v>4500037089</v>
      </c>
      <c r="F449" s="488">
        <v>46077</v>
      </c>
      <c r="G449" s="380" t="s">
        <v>55</v>
      </c>
      <c r="H449" s="380">
        <v>2</v>
      </c>
      <c r="I449" s="388">
        <v>217800</v>
      </c>
      <c r="J449" s="380">
        <v>2</v>
      </c>
      <c r="K449" s="389">
        <f t="shared" si="20"/>
        <v>108900</v>
      </c>
      <c r="L449" s="505">
        <v>46054</v>
      </c>
      <c r="M449" s="508">
        <v>46418</v>
      </c>
      <c r="N449" s="668"/>
      <c r="O449" s="685"/>
      <c r="P449" s="363" t="s">
        <v>520</v>
      </c>
      <c r="Q449" s="380"/>
      <c r="R449" s="380"/>
      <c r="S449" s="390" t="s">
        <v>426</v>
      </c>
      <c r="T449" s="363" t="s">
        <v>1338</v>
      </c>
      <c r="U449" s="363" t="s">
        <v>427</v>
      </c>
      <c r="V449" s="363"/>
      <c r="W449" s="363"/>
      <c r="X449" s="363"/>
      <c r="Y449" s="363"/>
      <c r="Z449" s="363"/>
      <c r="AA449" s="363"/>
      <c r="AB449" s="363"/>
      <c r="AC449" s="363"/>
      <c r="AD449" s="363"/>
      <c r="AE449" s="363" t="s">
        <v>1535</v>
      </c>
      <c r="AF449" s="380" t="s">
        <v>97</v>
      </c>
      <c r="AG449" s="380">
        <v>2</v>
      </c>
      <c r="AH449" s="363" t="s">
        <v>799</v>
      </c>
    </row>
    <row r="450" spans="2:34" ht="15" hidden="1" customHeight="1" x14ac:dyDescent="0.3">
      <c r="B450" s="380" t="s">
        <v>3</v>
      </c>
      <c r="C450" s="409" t="s">
        <v>739</v>
      </c>
      <c r="D450" s="489" t="s">
        <v>1601</v>
      </c>
      <c r="E450" s="509">
        <v>3400016097</v>
      </c>
      <c r="F450" s="488">
        <v>46070</v>
      </c>
      <c r="G450" s="380" t="s">
        <v>55</v>
      </c>
      <c r="H450" s="380">
        <v>10</v>
      </c>
      <c r="I450" s="388">
        <v>700448</v>
      </c>
      <c r="J450" s="380">
        <v>4</v>
      </c>
      <c r="K450" s="389">
        <f t="shared" si="20"/>
        <v>175112</v>
      </c>
      <c r="L450" s="505">
        <v>46054</v>
      </c>
      <c r="M450" s="505">
        <v>46418</v>
      </c>
      <c r="N450" s="668">
        <v>155055</v>
      </c>
      <c r="O450" s="685">
        <v>4696</v>
      </c>
      <c r="P450" s="363" t="s">
        <v>520</v>
      </c>
      <c r="Q450" s="380"/>
      <c r="R450" s="380"/>
      <c r="S450" s="390" t="s">
        <v>442</v>
      </c>
      <c r="T450" s="363" t="s">
        <v>1602</v>
      </c>
      <c r="U450" s="390" t="s">
        <v>444</v>
      </c>
      <c r="V450" s="363" t="s">
        <v>1962</v>
      </c>
      <c r="W450" s="363" t="s">
        <v>445</v>
      </c>
      <c r="X450" s="363"/>
      <c r="Y450" s="363" t="s">
        <v>456</v>
      </c>
      <c r="Z450" s="363"/>
      <c r="AA450" s="363"/>
      <c r="AB450" s="363"/>
      <c r="AC450" s="363"/>
      <c r="AD450" s="363"/>
      <c r="AE450" s="363" t="s">
        <v>96</v>
      </c>
      <c r="AF450" s="380" t="s">
        <v>97</v>
      </c>
      <c r="AG450" s="380" t="s">
        <v>494</v>
      </c>
      <c r="AH450" s="363" t="s">
        <v>835</v>
      </c>
    </row>
    <row r="451" spans="2:34" ht="15" hidden="1" customHeight="1" x14ac:dyDescent="0.3">
      <c r="B451" s="380" t="s">
        <v>3</v>
      </c>
      <c r="C451" s="482" t="s">
        <v>1603</v>
      </c>
      <c r="D451" s="483" t="s">
        <v>590</v>
      </c>
      <c r="E451" s="468">
        <v>2500000150</v>
      </c>
      <c r="F451" s="488">
        <v>46077</v>
      </c>
      <c r="G451" s="380" t="s">
        <v>55</v>
      </c>
      <c r="H451" s="380">
        <v>1</v>
      </c>
      <c r="I451" s="388">
        <v>137749.98000000001</v>
      </c>
      <c r="J451" s="380">
        <v>3</v>
      </c>
      <c r="K451" s="389">
        <f t="shared" si="20"/>
        <v>45916.66</v>
      </c>
      <c r="L451" s="504">
        <v>46082</v>
      </c>
      <c r="M451" s="504">
        <v>46446</v>
      </c>
      <c r="N451" s="667"/>
      <c r="O451" s="684"/>
      <c r="P451" s="363" t="s">
        <v>520</v>
      </c>
      <c r="Q451" s="380"/>
      <c r="R451" s="380"/>
      <c r="S451" s="390" t="s">
        <v>194</v>
      </c>
      <c r="T451" s="363" t="s">
        <v>1737</v>
      </c>
      <c r="U451" s="363" t="s">
        <v>496</v>
      </c>
      <c r="V451" s="363"/>
      <c r="W451" s="363" t="s">
        <v>1597</v>
      </c>
      <c r="X451" s="363"/>
      <c r="Y451" s="363"/>
      <c r="Z451" s="363"/>
      <c r="AA451" s="363"/>
      <c r="AB451" s="363"/>
      <c r="AC451" s="363"/>
      <c r="AD451" s="363"/>
      <c r="AE451" s="363" t="s">
        <v>551</v>
      </c>
      <c r="AF451" s="380" t="s">
        <v>207</v>
      </c>
      <c r="AG451" s="380">
        <v>3</v>
      </c>
      <c r="AH451" s="363" t="s">
        <v>667</v>
      </c>
    </row>
    <row r="452" spans="2:34" ht="15" hidden="1" customHeight="1" x14ac:dyDescent="0.3">
      <c r="B452" s="380" t="s">
        <v>3</v>
      </c>
      <c r="C452" s="409" t="s">
        <v>1326</v>
      </c>
      <c r="D452" s="434" t="s">
        <v>151</v>
      </c>
      <c r="E452" s="380">
        <v>929036351</v>
      </c>
      <c r="F452" s="488">
        <v>46078</v>
      </c>
      <c r="G452" s="380" t="s">
        <v>55</v>
      </c>
      <c r="H452" s="380">
        <v>1</v>
      </c>
      <c r="I452" s="388">
        <v>96000</v>
      </c>
      <c r="J452" s="380">
        <v>3</v>
      </c>
      <c r="K452" s="389">
        <f t="shared" si="20"/>
        <v>32000</v>
      </c>
      <c r="L452" s="505">
        <v>46023</v>
      </c>
      <c r="M452" s="505">
        <v>46387</v>
      </c>
      <c r="N452" s="380">
        <v>155108</v>
      </c>
      <c r="O452" s="380">
        <v>4731</v>
      </c>
      <c r="P452" s="363" t="s">
        <v>520</v>
      </c>
      <c r="S452" s="390" t="s">
        <v>1559</v>
      </c>
      <c r="T452" s="363" t="s">
        <v>1718</v>
      </c>
      <c r="U452" s="390" t="s">
        <v>348</v>
      </c>
      <c r="V452" s="363" t="s">
        <v>1946</v>
      </c>
      <c r="W452" s="363" t="s">
        <v>349</v>
      </c>
      <c r="X452" s="363"/>
      <c r="Y452" s="363"/>
      <c r="Z452" s="363"/>
      <c r="AA452" s="363"/>
      <c r="AB452" s="363"/>
      <c r="AC452" s="363"/>
      <c r="AD452" s="363"/>
      <c r="AE452" s="363" t="s">
        <v>507</v>
      </c>
      <c r="AF452" s="380" t="s">
        <v>63</v>
      </c>
      <c r="AG452" s="380">
        <v>3</v>
      </c>
      <c r="AH452" s="363" t="s">
        <v>1604</v>
      </c>
    </row>
    <row r="453" spans="2:34" ht="15" hidden="1" customHeight="1" x14ac:dyDescent="0.3">
      <c r="B453" s="380" t="s">
        <v>3</v>
      </c>
      <c r="C453" s="412" t="s">
        <v>614</v>
      </c>
      <c r="D453" s="510" t="s">
        <v>447</v>
      </c>
      <c r="E453" s="511" t="s">
        <v>1605</v>
      </c>
      <c r="F453" s="496">
        <v>46064</v>
      </c>
      <c r="G453" s="380" t="s">
        <v>55</v>
      </c>
      <c r="H453" s="380">
        <v>3</v>
      </c>
      <c r="I453" s="388">
        <v>229320</v>
      </c>
      <c r="J453" s="380">
        <v>3</v>
      </c>
      <c r="K453" s="389">
        <f t="shared" si="20"/>
        <v>76440</v>
      </c>
      <c r="L453" s="505">
        <v>46023</v>
      </c>
      <c r="M453" s="505">
        <v>46387</v>
      </c>
      <c r="N453" s="668"/>
      <c r="O453" s="685"/>
      <c r="P453" s="363" t="s">
        <v>520</v>
      </c>
      <c r="Q453" s="363"/>
      <c r="R453" s="363"/>
      <c r="S453" s="390" t="s">
        <v>1559</v>
      </c>
      <c r="T453" s="363" t="s">
        <v>149</v>
      </c>
      <c r="U453" s="363" t="s">
        <v>348</v>
      </c>
      <c r="V453" s="363"/>
      <c r="W453" s="363" t="s">
        <v>349</v>
      </c>
      <c r="X453" s="363"/>
      <c r="Y453" s="363"/>
      <c r="Z453" s="363"/>
      <c r="AA453" s="363"/>
      <c r="AB453" s="363"/>
      <c r="AC453" s="363"/>
      <c r="AD453" s="363"/>
      <c r="AE453" s="363" t="s">
        <v>281</v>
      </c>
      <c r="AF453" s="380" t="s">
        <v>97</v>
      </c>
      <c r="AG453" s="380">
        <v>3</v>
      </c>
      <c r="AH453" s="363" t="s">
        <v>1606</v>
      </c>
    </row>
    <row r="454" spans="2:34" ht="15" hidden="1" customHeight="1" x14ac:dyDescent="0.3">
      <c r="B454" s="380" t="s">
        <v>3</v>
      </c>
      <c r="C454" s="482" t="s">
        <v>1607</v>
      </c>
      <c r="D454" s="483" t="s">
        <v>1608</v>
      </c>
      <c r="E454" s="468">
        <v>4500042093</v>
      </c>
      <c r="F454" s="488">
        <v>46065</v>
      </c>
      <c r="G454" s="380" t="s">
        <v>55</v>
      </c>
      <c r="H454" s="380"/>
      <c r="I454" s="388">
        <v>160000</v>
      </c>
      <c r="J454" s="380">
        <v>4</v>
      </c>
      <c r="K454" s="389">
        <f t="shared" si="20"/>
        <v>40000</v>
      </c>
      <c r="L454" s="505">
        <v>46023</v>
      </c>
      <c r="M454" s="505">
        <v>46387</v>
      </c>
      <c r="N454" s="668"/>
      <c r="O454" s="685"/>
      <c r="P454" s="363" t="s">
        <v>520</v>
      </c>
      <c r="Q454" s="380"/>
      <c r="R454" s="380"/>
      <c r="S454" s="390" t="s">
        <v>396</v>
      </c>
      <c r="T454" s="363" t="s">
        <v>466</v>
      </c>
      <c r="U454" s="390" t="s">
        <v>397</v>
      </c>
      <c r="V454" s="363" t="s">
        <v>1963</v>
      </c>
      <c r="W454" s="363" t="s">
        <v>496</v>
      </c>
      <c r="X454" s="363"/>
      <c r="Y454" s="363" t="s">
        <v>497</v>
      </c>
      <c r="Z454" s="363"/>
      <c r="AA454" s="363"/>
      <c r="AB454" s="363"/>
      <c r="AC454" s="363"/>
      <c r="AD454" s="363"/>
      <c r="AE454" s="363" t="s">
        <v>619</v>
      </c>
      <c r="AF454" s="380" t="s">
        <v>63</v>
      </c>
      <c r="AG454" s="380">
        <v>4</v>
      </c>
      <c r="AH454" s="363" t="s">
        <v>667</v>
      </c>
    </row>
    <row r="455" spans="2:34" ht="15" hidden="1" customHeight="1" x14ac:dyDescent="0.3">
      <c r="B455" s="380" t="s">
        <v>3</v>
      </c>
      <c r="C455" s="482" t="s">
        <v>1607</v>
      </c>
      <c r="D455" s="483" t="s">
        <v>1608</v>
      </c>
      <c r="E455" s="468">
        <v>4500042093</v>
      </c>
      <c r="F455" s="488">
        <v>46065</v>
      </c>
      <c r="G455" s="380" t="s">
        <v>55</v>
      </c>
      <c r="H455" s="380"/>
      <c r="I455" s="388">
        <v>160000</v>
      </c>
      <c r="J455" s="380">
        <v>4</v>
      </c>
      <c r="K455" s="389">
        <f t="shared" si="20"/>
        <v>40000</v>
      </c>
      <c r="L455" s="507">
        <v>46388</v>
      </c>
      <c r="M455" s="507">
        <v>46752</v>
      </c>
      <c r="N455" s="663"/>
      <c r="O455" s="680"/>
      <c r="P455" s="363" t="s">
        <v>520</v>
      </c>
      <c r="Q455" s="380"/>
      <c r="R455" s="380"/>
      <c r="S455" s="363" t="s">
        <v>498</v>
      </c>
      <c r="T455" s="363"/>
      <c r="U455" s="363" t="s">
        <v>499</v>
      </c>
      <c r="V455" s="363"/>
      <c r="W455" s="363" t="s">
        <v>500</v>
      </c>
      <c r="X455" s="363"/>
      <c r="Y455" s="363" t="s">
        <v>501</v>
      </c>
      <c r="Z455" s="363"/>
      <c r="AA455" s="363"/>
      <c r="AB455" s="363"/>
      <c r="AC455" s="363"/>
      <c r="AD455" s="363"/>
      <c r="AE455" s="363" t="s">
        <v>619</v>
      </c>
      <c r="AF455" s="380" t="s">
        <v>63</v>
      </c>
      <c r="AG455" s="380">
        <v>4</v>
      </c>
      <c r="AH455" s="363" t="s">
        <v>667</v>
      </c>
    </row>
    <row r="456" spans="2:34" ht="15" hidden="1" customHeight="1" x14ac:dyDescent="0.3">
      <c r="B456" s="380" t="s">
        <v>3</v>
      </c>
      <c r="C456" s="482" t="s">
        <v>1607</v>
      </c>
      <c r="D456" s="483" t="s">
        <v>1608</v>
      </c>
      <c r="E456" s="468">
        <v>4500042093</v>
      </c>
      <c r="F456" s="488">
        <v>46065</v>
      </c>
      <c r="G456" s="380" t="s">
        <v>55</v>
      </c>
      <c r="H456" s="380">
        <v>2</v>
      </c>
      <c r="I456" s="388">
        <v>160000</v>
      </c>
      <c r="J456" s="380">
        <v>4</v>
      </c>
      <c r="K456" s="389">
        <f t="shared" si="20"/>
        <v>40000</v>
      </c>
      <c r="L456" s="507">
        <v>46753</v>
      </c>
      <c r="M456" s="507">
        <v>47118</v>
      </c>
      <c r="N456" s="663"/>
      <c r="O456" s="680"/>
      <c r="P456" s="363" t="s">
        <v>520</v>
      </c>
      <c r="Q456" s="380"/>
      <c r="R456" s="380"/>
      <c r="S456" s="363" t="s">
        <v>674</v>
      </c>
      <c r="T456" s="363"/>
      <c r="U456" s="363" t="s">
        <v>1279</v>
      </c>
      <c r="V456" s="363"/>
      <c r="W456" s="363" t="s">
        <v>1280</v>
      </c>
      <c r="X456" s="363"/>
      <c r="Y456" s="363" t="s">
        <v>1398</v>
      </c>
      <c r="Z456" s="363"/>
      <c r="AA456" s="363"/>
      <c r="AB456" s="363"/>
      <c r="AC456" s="363"/>
      <c r="AD456" s="363"/>
      <c r="AE456" s="363" t="s">
        <v>619</v>
      </c>
      <c r="AF456" s="380" t="s">
        <v>63</v>
      </c>
      <c r="AG456" s="380">
        <v>4</v>
      </c>
      <c r="AH456" s="363" t="s">
        <v>667</v>
      </c>
    </row>
    <row r="457" spans="2:34" ht="15" hidden="1" customHeight="1" x14ac:dyDescent="0.3">
      <c r="B457" s="380" t="s">
        <v>3</v>
      </c>
      <c r="C457" s="409" t="s">
        <v>1609</v>
      </c>
      <c r="D457" s="423" t="s">
        <v>1610</v>
      </c>
      <c r="E457" s="408" t="s">
        <v>1611</v>
      </c>
      <c r="F457" s="488">
        <v>46091</v>
      </c>
      <c r="G457" s="380" t="s">
        <v>55</v>
      </c>
      <c r="H457" s="380">
        <v>1</v>
      </c>
      <c r="I457" s="388">
        <v>135000</v>
      </c>
      <c r="J457" s="380">
        <v>3</v>
      </c>
      <c r="K457" s="389">
        <f t="shared" si="20"/>
        <v>45000</v>
      </c>
      <c r="L457" s="505">
        <v>46091</v>
      </c>
      <c r="M457" s="505">
        <v>46455</v>
      </c>
      <c r="N457" s="668">
        <v>154975</v>
      </c>
      <c r="O457" s="685">
        <v>4597</v>
      </c>
      <c r="P457" s="363" t="s">
        <v>520</v>
      </c>
      <c r="Q457" s="380"/>
      <c r="R457" s="380"/>
      <c r="S457" s="390" t="s">
        <v>1092</v>
      </c>
      <c r="T457" s="363" t="s">
        <v>1338</v>
      </c>
      <c r="U457" s="390" t="s">
        <v>1612</v>
      </c>
      <c r="V457" s="363" t="s">
        <v>1964</v>
      </c>
      <c r="W457" s="363" t="s">
        <v>1613</v>
      </c>
      <c r="X457" s="363"/>
      <c r="Y457" s="363"/>
      <c r="Z457" s="363"/>
      <c r="AA457" s="363"/>
      <c r="AB457" s="363"/>
      <c r="AC457" s="363"/>
      <c r="AD457" s="363"/>
      <c r="AE457" s="363" t="s">
        <v>551</v>
      </c>
      <c r="AF457" s="380" t="s">
        <v>207</v>
      </c>
      <c r="AG457" s="380">
        <v>3</v>
      </c>
      <c r="AH457" s="363" t="s">
        <v>799</v>
      </c>
    </row>
    <row r="458" spans="2:34" ht="15" hidden="1" customHeight="1" x14ac:dyDescent="0.3">
      <c r="B458" s="380" t="s">
        <v>3</v>
      </c>
      <c r="C458" s="552" t="s">
        <v>975</v>
      </c>
      <c r="D458" s="445" t="s">
        <v>1136</v>
      </c>
      <c r="E458" s="509">
        <v>6100013456</v>
      </c>
      <c r="F458" s="488">
        <v>46069</v>
      </c>
      <c r="G458" s="380" t="s">
        <v>55</v>
      </c>
      <c r="H458" s="380">
        <v>7</v>
      </c>
      <c r="I458" s="388">
        <v>784000</v>
      </c>
      <c r="J458" s="380">
        <v>3</v>
      </c>
      <c r="K458" s="389">
        <f>I458/2</f>
        <v>392000</v>
      </c>
      <c r="L458" s="512">
        <v>46082</v>
      </c>
      <c r="M458" s="512">
        <v>46446</v>
      </c>
      <c r="N458" s="669"/>
      <c r="O458" s="686"/>
      <c r="P458" s="363" t="s">
        <v>520</v>
      </c>
      <c r="Q458" s="380"/>
      <c r="R458" s="380"/>
      <c r="S458" s="390" t="s">
        <v>194</v>
      </c>
      <c r="T458" s="363" t="s">
        <v>1614</v>
      </c>
      <c r="U458" s="363" t="s">
        <v>1344</v>
      </c>
      <c r="V458" s="363" t="s">
        <v>1615</v>
      </c>
      <c r="W458" s="363" t="s">
        <v>1597</v>
      </c>
      <c r="X458" s="363"/>
      <c r="Y458" s="363"/>
      <c r="Z458" s="363"/>
      <c r="AA458" s="363"/>
      <c r="AB458" s="363"/>
      <c r="AC458" s="363"/>
      <c r="AD458" s="363"/>
      <c r="AE458" s="363" t="s">
        <v>551</v>
      </c>
      <c r="AF458" s="380" t="s">
        <v>207</v>
      </c>
      <c r="AG458" s="380">
        <v>3</v>
      </c>
      <c r="AH458" s="538" t="s">
        <v>1616</v>
      </c>
    </row>
    <row r="459" spans="2:34" ht="15" hidden="1" customHeight="1" x14ac:dyDescent="0.3">
      <c r="B459" s="380" t="s">
        <v>3</v>
      </c>
      <c r="C459" s="409" t="s">
        <v>1617</v>
      </c>
      <c r="D459" s="434" t="s">
        <v>1391</v>
      </c>
      <c r="E459" s="380" t="s">
        <v>1618</v>
      </c>
      <c r="F459" s="488">
        <v>46088</v>
      </c>
      <c r="G459" s="380" t="s">
        <v>55</v>
      </c>
      <c r="H459" s="380">
        <v>1</v>
      </c>
      <c r="I459" s="388">
        <v>86000</v>
      </c>
      <c r="J459" s="380">
        <v>2</v>
      </c>
      <c r="K459" s="389">
        <f t="shared" ref="K459:K485" si="21">I459/J459</f>
        <v>43000</v>
      </c>
      <c r="L459" s="505">
        <v>46082</v>
      </c>
      <c r="M459" s="505">
        <v>46446</v>
      </c>
      <c r="N459" s="668"/>
      <c r="O459" s="685"/>
      <c r="P459" s="363" t="s">
        <v>520</v>
      </c>
      <c r="Q459" s="380"/>
      <c r="R459" s="380"/>
      <c r="S459" s="363" t="s">
        <v>1235</v>
      </c>
      <c r="T459" s="363"/>
      <c r="U459" s="363" t="s">
        <v>1534</v>
      </c>
      <c r="V459" s="363"/>
      <c r="W459" s="363"/>
      <c r="X459" s="363"/>
      <c r="Y459" s="363"/>
      <c r="Z459" s="363"/>
      <c r="AA459" s="363"/>
      <c r="AB459" s="363"/>
      <c r="AC459" s="363"/>
      <c r="AD459" s="363"/>
      <c r="AE459" s="363" t="s">
        <v>485</v>
      </c>
      <c r="AF459" s="380" t="s">
        <v>1619</v>
      </c>
      <c r="AG459" s="380">
        <v>2</v>
      </c>
      <c r="AH459" s="363" t="s">
        <v>1620</v>
      </c>
    </row>
    <row r="460" spans="2:34" ht="15" hidden="1" customHeight="1" x14ac:dyDescent="0.3">
      <c r="B460" s="380" t="s">
        <v>3</v>
      </c>
      <c r="C460" s="482" t="s">
        <v>1385</v>
      </c>
      <c r="D460" s="483" t="s">
        <v>151</v>
      </c>
      <c r="E460" s="468">
        <v>4500090498</v>
      </c>
      <c r="F460" s="488">
        <v>46063</v>
      </c>
      <c r="G460" s="380" t="s">
        <v>55</v>
      </c>
      <c r="H460" s="380">
        <v>1</v>
      </c>
      <c r="I460" s="388">
        <v>90000</v>
      </c>
      <c r="J460" s="380">
        <v>1</v>
      </c>
      <c r="K460" s="389">
        <f t="shared" si="21"/>
        <v>90000</v>
      </c>
      <c r="L460" s="504">
        <v>46023</v>
      </c>
      <c r="M460" s="504">
        <v>46387</v>
      </c>
      <c r="N460" s="667"/>
      <c r="O460" s="684"/>
      <c r="P460" s="363" t="s">
        <v>520</v>
      </c>
      <c r="Q460" s="380"/>
      <c r="R460" s="380"/>
      <c r="S460" s="363" t="s">
        <v>1594</v>
      </c>
      <c r="T460" s="363"/>
      <c r="U460" s="363"/>
      <c r="V460" s="363"/>
      <c r="W460" s="363"/>
      <c r="X460" s="363"/>
      <c r="Y460" s="363"/>
      <c r="Z460" s="363"/>
      <c r="AA460" s="363"/>
      <c r="AB460" s="363"/>
      <c r="AC460" s="363"/>
      <c r="AD460" s="363"/>
      <c r="AE460" s="363" t="s">
        <v>478</v>
      </c>
      <c r="AF460" s="380" t="s">
        <v>63</v>
      </c>
      <c r="AG460" s="380">
        <v>1</v>
      </c>
      <c r="AH460" s="363" t="s">
        <v>667</v>
      </c>
    </row>
    <row r="461" spans="2:34" ht="15" hidden="1" customHeight="1" x14ac:dyDescent="0.3">
      <c r="B461" s="380" t="s">
        <v>3</v>
      </c>
      <c r="C461" s="363" t="s">
        <v>1621</v>
      </c>
      <c r="D461" s="418" t="s">
        <v>693</v>
      </c>
      <c r="E461" s="408">
        <v>6000085013</v>
      </c>
      <c r="F461" s="488">
        <v>46078</v>
      </c>
      <c r="G461" s="380" t="s">
        <v>55</v>
      </c>
      <c r="H461" s="380"/>
      <c r="I461" s="388">
        <v>136905</v>
      </c>
      <c r="J461" s="380">
        <v>3</v>
      </c>
      <c r="K461" s="389">
        <f t="shared" si="21"/>
        <v>45635</v>
      </c>
      <c r="L461" s="505">
        <v>46082</v>
      </c>
      <c r="M461" s="505">
        <v>46446</v>
      </c>
      <c r="N461" s="668"/>
      <c r="O461" s="685"/>
      <c r="P461" s="363" t="s">
        <v>520</v>
      </c>
      <c r="Q461" s="380"/>
      <c r="R461" s="380"/>
      <c r="S461" s="390" t="s">
        <v>194</v>
      </c>
      <c r="T461" s="363" t="s">
        <v>331</v>
      </c>
      <c r="U461" s="363" t="s">
        <v>1344</v>
      </c>
      <c r="V461" s="363"/>
      <c r="W461" s="363" t="s">
        <v>1597</v>
      </c>
      <c r="X461" s="363"/>
      <c r="Y461" s="363"/>
      <c r="Z461" s="363"/>
      <c r="AA461" s="363"/>
      <c r="AB461" s="363"/>
      <c r="AC461" s="363"/>
      <c r="AD461" s="363"/>
      <c r="AE461" s="363" t="s">
        <v>128</v>
      </c>
      <c r="AF461" s="380" t="s">
        <v>129</v>
      </c>
      <c r="AG461" s="380">
        <v>2</v>
      </c>
      <c r="AH461" s="363" t="s">
        <v>667</v>
      </c>
    </row>
    <row r="462" spans="2:34" ht="15" hidden="1" customHeight="1" x14ac:dyDescent="0.3">
      <c r="B462" s="380" t="s">
        <v>3</v>
      </c>
      <c r="C462" s="363" t="s">
        <v>1621</v>
      </c>
      <c r="D462" s="418" t="s">
        <v>693</v>
      </c>
      <c r="E462" s="408">
        <v>6000085013</v>
      </c>
      <c r="F462" s="488">
        <v>46078</v>
      </c>
      <c r="G462" s="380" t="s">
        <v>55</v>
      </c>
      <c r="H462" s="380"/>
      <c r="I462" s="388">
        <v>136905</v>
      </c>
      <c r="J462" s="380">
        <v>3</v>
      </c>
      <c r="K462" s="389">
        <f t="shared" si="21"/>
        <v>45635</v>
      </c>
      <c r="L462" s="507">
        <v>46447</v>
      </c>
      <c r="M462" s="507">
        <v>46812</v>
      </c>
      <c r="N462" s="663"/>
      <c r="O462" s="680"/>
      <c r="P462" s="363" t="s">
        <v>520</v>
      </c>
      <c r="Q462" s="380"/>
      <c r="R462" s="380"/>
      <c r="S462" s="363" t="s">
        <v>1598</v>
      </c>
      <c r="T462" s="363"/>
      <c r="U462" s="363" t="s">
        <v>1599</v>
      </c>
      <c r="V462" s="363"/>
      <c r="W462" s="363" t="s">
        <v>1600</v>
      </c>
      <c r="X462" s="363"/>
      <c r="Y462" s="363"/>
      <c r="Z462" s="363"/>
      <c r="AA462" s="363"/>
      <c r="AB462" s="363"/>
      <c r="AC462" s="363"/>
      <c r="AD462" s="363"/>
      <c r="AE462" s="363" t="s">
        <v>128</v>
      </c>
      <c r="AF462" s="380" t="s">
        <v>129</v>
      </c>
      <c r="AG462" s="380">
        <v>2</v>
      </c>
      <c r="AH462" s="363" t="s">
        <v>667</v>
      </c>
    </row>
    <row r="463" spans="2:34" ht="15" hidden="1" customHeight="1" x14ac:dyDescent="0.3">
      <c r="B463" s="380" t="s">
        <v>3</v>
      </c>
      <c r="C463" s="363" t="s">
        <v>1621</v>
      </c>
      <c r="D463" s="418" t="s">
        <v>693</v>
      </c>
      <c r="E463" s="408">
        <v>6000085013</v>
      </c>
      <c r="F463" s="488">
        <v>46078</v>
      </c>
      <c r="G463" s="380" t="s">
        <v>55</v>
      </c>
      <c r="H463" s="380">
        <v>1</v>
      </c>
      <c r="I463" s="388">
        <v>136905</v>
      </c>
      <c r="J463" s="380">
        <v>3</v>
      </c>
      <c r="K463" s="389">
        <f t="shared" si="21"/>
        <v>45635</v>
      </c>
      <c r="L463" s="507">
        <v>46813</v>
      </c>
      <c r="M463" s="507">
        <v>47177</v>
      </c>
      <c r="N463" s="663"/>
      <c r="O463" s="680"/>
      <c r="P463" s="363" t="s">
        <v>520</v>
      </c>
      <c r="Q463" s="380"/>
      <c r="R463" s="380"/>
      <c r="S463" s="363" t="s">
        <v>1622</v>
      </c>
      <c r="T463" s="363"/>
      <c r="U463" s="363" t="s">
        <v>1623</v>
      </c>
      <c r="V463" s="363"/>
      <c r="W463" s="363" t="s">
        <v>1624</v>
      </c>
      <c r="X463" s="363"/>
      <c r="Y463" s="363"/>
      <c r="Z463" s="363"/>
      <c r="AA463" s="363"/>
      <c r="AB463" s="363"/>
      <c r="AC463" s="363"/>
      <c r="AD463" s="363"/>
      <c r="AE463" s="363" t="s">
        <v>128</v>
      </c>
      <c r="AF463" s="380" t="s">
        <v>129</v>
      </c>
      <c r="AG463" s="380">
        <v>2</v>
      </c>
      <c r="AH463" s="363" t="s">
        <v>667</v>
      </c>
    </row>
    <row r="464" spans="2:34" ht="15" hidden="1" customHeight="1" x14ac:dyDescent="0.3">
      <c r="B464" s="380" t="s">
        <v>3</v>
      </c>
      <c r="C464" s="482" t="s">
        <v>1625</v>
      </c>
      <c r="D464" s="483" t="s">
        <v>176</v>
      </c>
      <c r="E464" s="468">
        <v>6100109555</v>
      </c>
      <c r="F464" s="488">
        <v>46050</v>
      </c>
      <c r="G464" s="380" t="s">
        <v>55</v>
      </c>
      <c r="H464" s="380">
        <v>6</v>
      </c>
      <c r="I464" s="388">
        <v>531066</v>
      </c>
      <c r="J464" s="380">
        <v>3</v>
      </c>
      <c r="K464" s="389">
        <f t="shared" si="21"/>
        <v>177022</v>
      </c>
      <c r="L464" s="504">
        <v>46023</v>
      </c>
      <c r="M464" s="504">
        <v>46387</v>
      </c>
      <c r="N464" s="667"/>
      <c r="O464" s="684"/>
      <c r="P464" s="363" t="s">
        <v>520</v>
      </c>
      <c r="Q464" s="380"/>
      <c r="R464" s="380"/>
      <c r="S464" s="390" t="s">
        <v>347</v>
      </c>
      <c r="T464" s="363" t="s">
        <v>980</v>
      </c>
      <c r="U464" s="390" t="s">
        <v>348</v>
      </c>
      <c r="V464" s="363" t="s">
        <v>1856</v>
      </c>
      <c r="W464" s="363" t="s">
        <v>349</v>
      </c>
      <c r="X464" s="363"/>
      <c r="Y464" s="363"/>
      <c r="Z464" s="363"/>
      <c r="AA464" s="363"/>
      <c r="AB464" s="363"/>
      <c r="AC464" s="363"/>
      <c r="AD464" s="363"/>
      <c r="AE464" s="363" t="s">
        <v>183</v>
      </c>
      <c r="AF464" s="380" t="s">
        <v>97</v>
      </c>
      <c r="AG464" s="380"/>
      <c r="AH464" s="363" t="s">
        <v>1626</v>
      </c>
    </row>
    <row r="465" spans="2:34" ht="15" hidden="1" customHeight="1" x14ac:dyDescent="0.3">
      <c r="B465" s="380" t="s">
        <v>3</v>
      </c>
      <c r="C465" s="409" t="s">
        <v>1627</v>
      </c>
      <c r="D465" s="423" t="s">
        <v>151</v>
      </c>
      <c r="E465" s="493">
        <v>8183147</v>
      </c>
      <c r="F465" s="488">
        <v>46058</v>
      </c>
      <c r="G465" s="380" t="s">
        <v>55</v>
      </c>
      <c r="H465" s="380">
        <v>3</v>
      </c>
      <c r="I465" s="388">
        <v>232500</v>
      </c>
      <c r="J465" s="380">
        <v>3</v>
      </c>
      <c r="K465" s="389">
        <f t="shared" si="21"/>
        <v>77500</v>
      </c>
      <c r="L465" s="505">
        <v>46023</v>
      </c>
      <c r="M465" s="505">
        <v>46387</v>
      </c>
      <c r="N465" s="668"/>
      <c r="O465" s="685"/>
      <c r="P465" s="363" t="s">
        <v>520</v>
      </c>
      <c r="Q465" s="380"/>
      <c r="R465" s="380"/>
      <c r="S465" s="390" t="s">
        <v>347</v>
      </c>
      <c r="T465" s="363" t="s">
        <v>1738</v>
      </c>
      <c r="U465" s="363" t="s">
        <v>348</v>
      </c>
      <c r="V465" s="363" t="s">
        <v>1628</v>
      </c>
      <c r="W465" s="363" t="s">
        <v>349</v>
      </c>
      <c r="X465" s="363" t="s">
        <v>1628</v>
      </c>
      <c r="Y465" s="363"/>
      <c r="Z465" s="363"/>
      <c r="AA465" s="363"/>
      <c r="AB465" s="363"/>
      <c r="AC465" s="363"/>
      <c r="AD465" s="363"/>
      <c r="AE465" s="363" t="s">
        <v>478</v>
      </c>
      <c r="AF465" s="380" t="s">
        <v>63</v>
      </c>
      <c r="AG465" s="380">
        <v>3</v>
      </c>
      <c r="AH465" s="363" t="s">
        <v>667</v>
      </c>
    </row>
    <row r="466" spans="2:34" ht="15" hidden="1" customHeight="1" x14ac:dyDescent="0.3">
      <c r="B466" s="380" t="s">
        <v>3</v>
      </c>
      <c r="C466" s="409" t="s">
        <v>1095</v>
      </c>
      <c r="D466" s="434" t="s">
        <v>1629</v>
      </c>
      <c r="E466" s="506">
        <v>9709673270</v>
      </c>
      <c r="F466" s="488">
        <v>46086</v>
      </c>
      <c r="G466" s="380" t="s">
        <v>55</v>
      </c>
      <c r="H466" s="380">
        <v>4</v>
      </c>
      <c r="I466" s="388">
        <v>320000</v>
      </c>
      <c r="J466" s="380">
        <v>4</v>
      </c>
      <c r="K466" s="389">
        <f t="shared" si="21"/>
        <v>80000</v>
      </c>
      <c r="L466" s="505">
        <v>46023</v>
      </c>
      <c r="M466" s="505">
        <v>46387</v>
      </c>
      <c r="N466" s="668"/>
      <c r="O466" s="685"/>
      <c r="P466" s="363" t="s">
        <v>520</v>
      </c>
      <c r="Q466" s="380"/>
      <c r="R466" s="380"/>
      <c r="S466" s="390" t="s">
        <v>396</v>
      </c>
      <c r="T466" s="363" t="s">
        <v>455</v>
      </c>
      <c r="U466" s="390" t="s">
        <v>397</v>
      </c>
      <c r="V466" s="363" t="s">
        <v>1944</v>
      </c>
      <c r="W466" s="363" t="s">
        <v>496</v>
      </c>
      <c r="X466" s="363"/>
      <c r="Y466" s="363" t="s">
        <v>497</v>
      </c>
      <c r="Z466" s="363"/>
      <c r="AA466" s="363"/>
      <c r="AB466" s="363"/>
      <c r="AC466" s="363"/>
      <c r="AD466" s="363"/>
      <c r="AE466" s="363" t="s">
        <v>619</v>
      </c>
      <c r="AF466" s="380" t="s">
        <v>63</v>
      </c>
      <c r="AG466" s="380">
        <v>4</v>
      </c>
      <c r="AH466" s="363" t="s">
        <v>667</v>
      </c>
    </row>
    <row r="467" spans="2:34" ht="15" hidden="1" customHeight="1" x14ac:dyDescent="0.3">
      <c r="B467" s="380" t="s">
        <v>3</v>
      </c>
      <c r="C467" s="482" t="s">
        <v>1630</v>
      </c>
      <c r="D467" s="483" t="s">
        <v>1031</v>
      </c>
      <c r="E467" s="468">
        <v>4513903200</v>
      </c>
      <c r="F467" s="488">
        <v>46100</v>
      </c>
      <c r="G467" s="380" t="s">
        <v>55</v>
      </c>
      <c r="H467" s="380">
        <v>2</v>
      </c>
      <c r="I467" s="388">
        <v>100000</v>
      </c>
      <c r="J467" s="380">
        <v>3</v>
      </c>
      <c r="K467" s="389">
        <f t="shared" si="21"/>
        <v>33333.333333333336</v>
      </c>
      <c r="L467" s="505">
        <v>46023</v>
      </c>
      <c r="M467" s="505">
        <v>46387</v>
      </c>
      <c r="N467" s="668"/>
      <c r="O467" s="685"/>
      <c r="P467" s="363" t="s">
        <v>520</v>
      </c>
      <c r="Q467" s="380"/>
      <c r="R467" s="380"/>
      <c r="S467" s="390" t="s">
        <v>347</v>
      </c>
      <c r="T467" s="363" t="s">
        <v>1719</v>
      </c>
      <c r="U467" s="363" t="s">
        <v>348</v>
      </c>
      <c r="V467" s="363"/>
      <c r="W467" s="363" t="s">
        <v>349</v>
      </c>
      <c r="X467" s="363" t="s">
        <v>1739</v>
      </c>
      <c r="Y467" s="363"/>
      <c r="Z467" s="363"/>
      <c r="AA467" s="363"/>
      <c r="AB467" s="363"/>
      <c r="AC467" s="363"/>
      <c r="AD467" s="363"/>
      <c r="AE467" s="363" t="s">
        <v>478</v>
      </c>
      <c r="AF467" s="380" t="s">
        <v>63</v>
      </c>
      <c r="AG467" s="380">
        <v>5</v>
      </c>
      <c r="AH467" s="363" t="s">
        <v>667</v>
      </c>
    </row>
    <row r="468" spans="2:34" ht="15" hidden="1" customHeight="1" x14ac:dyDescent="0.3">
      <c r="B468" s="380" t="s">
        <v>3</v>
      </c>
      <c r="C468" s="482" t="s">
        <v>1631</v>
      </c>
      <c r="D468" s="483" t="s">
        <v>1031</v>
      </c>
      <c r="E468" s="468">
        <v>4513906043</v>
      </c>
      <c r="F468" s="488">
        <v>46101</v>
      </c>
      <c r="G468" s="380" t="s">
        <v>55</v>
      </c>
      <c r="H468" s="380">
        <v>2</v>
      </c>
      <c r="I468" s="388">
        <v>100000</v>
      </c>
      <c r="J468" s="380">
        <v>3</v>
      </c>
      <c r="K468" s="389">
        <f t="shared" si="21"/>
        <v>33333.333333333336</v>
      </c>
      <c r="L468" s="505">
        <v>46023</v>
      </c>
      <c r="M468" s="505">
        <v>46387</v>
      </c>
      <c r="N468" s="668"/>
      <c r="O468" s="685"/>
      <c r="P468" s="363" t="s">
        <v>520</v>
      </c>
      <c r="Q468" s="380"/>
      <c r="R468" s="380"/>
      <c r="S468" s="390" t="s">
        <v>347</v>
      </c>
      <c r="T468" s="363" t="s">
        <v>1870</v>
      </c>
      <c r="U468" s="363" t="s">
        <v>348</v>
      </c>
      <c r="V468" s="363" t="s">
        <v>1871</v>
      </c>
      <c r="W468" s="363" t="s">
        <v>349</v>
      </c>
      <c r="X468" s="363" t="s">
        <v>1871</v>
      </c>
      <c r="Y468" s="363"/>
      <c r="Z468" s="363"/>
      <c r="AA468" s="363"/>
      <c r="AB468" s="363"/>
      <c r="AC468" s="363"/>
      <c r="AD468" s="363"/>
      <c r="AE468" s="363" t="s">
        <v>478</v>
      </c>
      <c r="AF468" s="380" t="s">
        <v>63</v>
      </c>
      <c r="AG468" s="380">
        <v>5</v>
      </c>
      <c r="AH468" s="363" t="s">
        <v>667</v>
      </c>
    </row>
    <row r="469" spans="2:34" ht="15" hidden="1" customHeight="1" x14ac:dyDescent="0.3">
      <c r="B469" s="380" t="s">
        <v>3</v>
      </c>
      <c r="C469" s="482" t="s">
        <v>1632</v>
      </c>
      <c r="D469" s="483" t="s">
        <v>596</v>
      </c>
      <c r="E469" s="468">
        <v>3110016847</v>
      </c>
      <c r="F469" s="488">
        <v>46071</v>
      </c>
      <c r="G469" s="380" t="s">
        <v>55</v>
      </c>
      <c r="H469" s="380">
        <v>1</v>
      </c>
      <c r="I469" s="388">
        <v>50000</v>
      </c>
      <c r="J469" s="380">
        <v>2</v>
      </c>
      <c r="K469" s="389">
        <f t="shared" si="21"/>
        <v>25000</v>
      </c>
      <c r="L469" s="504">
        <v>46113</v>
      </c>
      <c r="M469" s="504">
        <v>46477</v>
      </c>
      <c r="N469" s="667"/>
      <c r="O469" s="684"/>
      <c r="P469" s="363" t="s">
        <v>520</v>
      </c>
      <c r="Q469" s="380"/>
      <c r="R469" s="380"/>
      <c r="S469" s="363" t="s">
        <v>467</v>
      </c>
      <c r="T469" s="363"/>
      <c r="U469" s="363" t="s">
        <v>1633</v>
      </c>
      <c r="V469" s="363"/>
      <c r="W469" s="363"/>
      <c r="X469" s="363"/>
      <c r="Y469" s="363"/>
      <c r="Z469" s="363"/>
      <c r="AA469" s="363"/>
      <c r="AB469" s="363"/>
      <c r="AC469" s="363"/>
      <c r="AD469" s="363"/>
      <c r="AE469" s="363" t="s">
        <v>507</v>
      </c>
      <c r="AF469" s="380" t="s">
        <v>63</v>
      </c>
      <c r="AG469" s="380">
        <v>2</v>
      </c>
      <c r="AH469" s="363" t="s">
        <v>1634</v>
      </c>
    </row>
    <row r="470" spans="2:34" ht="15" hidden="1" customHeight="1" x14ac:dyDescent="0.3">
      <c r="B470" s="380" t="s">
        <v>3</v>
      </c>
      <c r="C470" s="409" t="s">
        <v>1635</v>
      </c>
      <c r="D470" s="489" t="s">
        <v>1636</v>
      </c>
      <c r="E470" s="411" t="s">
        <v>1637</v>
      </c>
      <c r="F470" s="488">
        <v>46070</v>
      </c>
      <c r="G470" s="380" t="s">
        <v>55</v>
      </c>
      <c r="H470" s="380">
        <v>4</v>
      </c>
      <c r="I470" s="388">
        <v>448864</v>
      </c>
      <c r="J470" s="380">
        <v>1</v>
      </c>
      <c r="K470" s="389">
        <f t="shared" si="21"/>
        <v>448864</v>
      </c>
      <c r="L470" s="505">
        <v>46023</v>
      </c>
      <c r="M470" s="505">
        <v>46387</v>
      </c>
      <c r="N470" s="668"/>
      <c r="O470" s="685"/>
      <c r="P470" s="363" t="s">
        <v>19</v>
      </c>
      <c r="Q470" s="380" t="s">
        <v>1872</v>
      </c>
      <c r="R470" s="380"/>
      <c r="S470" s="390" t="s">
        <v>1594</v>
      </c>
      <c r="T470" s="363" t="s">
        <v>1846</v>
      </c>
      <c r="U470" s="363"/>
      <c r="V470" s="363"/>
      <c r="W470" s="363"/>
      <c r="X470" s="363"/>
      <c r="Y470" s="363"/>
      <c r="Z470" s="363"/>
      <c r="AA470" s="363"/>
      <c r="AB470" s="363"/>
      <c r="AC470" s="363"/>
      <c r="AD470" s="363"/>
      <c r="AE470" s="363" t="s">
        <v>96</v>
      </c>
      <c r="AF470" s="380" t="s">
        <v>97</v>
      </c>
      <c r="AG470" s="380" t="s">
        <v>1367</v>
      </c>
      <c r="AH470" s="363" t="s">
        <v>667</v>
      </c>
    </row>
    <row r="471" spans="2:34" ht="15" hidden="1" customHeight="1" x14ac:dyDescent="0.3">
      <c r="B471" s="380" t="s">
        <v>3</v>
      </c>
      <c r="C471" s="409" t="s">
        <v>668</v>
      </c>
      <c r="D471" s="434" t="s">
        <v>669</v>
      </c>
      <c r="E471" s="419">
        <v>50060329</v>
      </c>
      <c r="F471" s="488">
        <v>46106</v>
      </c>
      <c r="G471" s="380" t="s">
        <v>55</v>
      </c>
      <c r="H471" s="380">
        <v>2</v>
      </c>
      <c r="I471" s="388">
        <v>160000</v>
      </c>
      <c r="J471" s="380">
        <v>2</v>
      </c>
      <c r="K471" s="389">
        <f t="shared" si="21"/>
        <v>80000</v>
      </c>
      <c r="L471" s="505">
        <v>46113</v>
      </c>
      <c r="M471" s="505">
        <v>46477</v>
      </c>
      <c r="N471" s="668"/>
      <c r="O471" s="685"/>
      <c r="P471" s="363" t="s">
        <v>520</v>
      </c>
      <c r="Q471" s="380"/>
      <c r="R471" s="380"/>
      <c r="S471" s="390" t="s">
        <v>467</v>
      </c>
      <c r="T471" s="363" t="s">
        <v>1943</v>
      </c>
      <c r="U471" s="363" t="s">
        <v>1633</v>
      </c>
      <c r="V471" s="363"/>
      <c r="W471" s="363"/>
      <c r="X471" s="363"/>
      <c r="Y471" s="363"/>
      <c r="Z471" s="363"/>
      <c r="AA471" s="363"/>
      <c r="AB471" s="363"/>
      <c r="AC471" s="363"/>
      <c r="AD471" s="363"/>
      <c r="AE471" s="363" t="s">
        <v>478</v>
      </c>
      <c r="AF471" s="380" t="s">
        <v>63</v>
      </c>
      <c r="AG471" s="380">
        <v>2</v>
      </c>
      <c r="AH471" s="363" t="s">
        <v>1638</v>
      </c>
    </row>
    <row r="472" spans="2:34" ht="15" hidden="1" customHeight="1" x14ac:dyDescent="0.3">
      <c r="B472" s="380" t="s">
        <v>3</v>
      </c>
      <c r="C472" s="409" t="s">
        <v>668</v>
      </c>
      <c r="D472" s="434" t="s">
        <v>669</v>
      </c>
      <c r="E472" s="419">
        <v>50060329</v>
      </c>
      <c r="F472" s="488">
        <v>46106</v>
      </c>
      <c r="G472" s="380" t="s">
        <v>55</v>
      </c>
      <c r="H472" s="380">
        <v>13</v>
      </c>
      <c r="I472" s="388">
        <v>585000</v>
      </c>
      <c r="J472" s="380">
        <v>1</v>
      </c>
      <c r="K472" s="389">
        <f t="shared" si="21"/>
        <v>585000</v>
      </c>
      <c r="L472" s="505">
        <v>46113</v>
      </c>
      <c r="M472" s="505">
        <v>46477</v>
      </c>
      <c r="N472" s="668"/>
      <c r="O472" s="685"/>
      <c r="P472" s="363" t="s">
        <v>520</v>
      </c>
      <c r="Q472" s="380"/>
      <c r="R472" s="380"/>
      <c r="S472" s="363" t="s">
        <v>646</v>
      </c>
      <c r="T472" s="363"/>
      <c r="U472" s="363"/>
      <c r="V472" s="363"/>
      <c r="W472" s="363"/>
      <c r="X472" s="363"/>
      <c r="Y472" s="363"/>
      <c r="Z472" s="363"/>
      <c r="AA472" s="363"/>
      <c r="AB472" s="363"/>
      <c r="AC472" s="363"/>
      <c r="AD472" s="363"/>
      <c r="AE472" s="363" t="s">
        <v>478</v>
      </c>
      <c r="AF472" s="380" t="s">
        <v>63</v>
      </c>
      <c r="AG472" s="380">
        <v>1</v>
      </c>
      <c r="AH472" s="363" t="s">
        <v>1638</v>
      </c>
    </row>
    <row r="473" spans="2:34" ht="15" hidden="1" customHeight="1" x14ac:dyDescent="0.3">
      <c r="B473" s="380" t="s">
        <v>3</v>
      </c>
      <c r="C473" s="409" t="s">
        <v>1639</v>
      </c>
      <c r="D473" s="489" t="s">
        <v>1088</v>
      </c>
      <c r="E473" s="397">
        <v>3040058268</v>
      </c>
      <c r="F473" s="488">
        <v>46101</v>
      </c>
      <c r="G473" s="380" t="s">
        <v>55</v>
      </c>
      <c r="H473" s="380">
        <v>1</v>
      </c>
      <c r="I473" s="388">
        <v>93000</v>
      </c>
      <c r="J473" s="380">
        <v>3</v>
      </c>
      <c r="K473" s="389">
        <f t="shared" si="21"/>
        <v>31000</v>
      </c>
      <c r="L473" s="505">
        <v>46023</v>
      </c>
      <c r="M473" s="505">
        <v>46387</v>
      </c>
      <c r="N473" s="668"/>
      <c r="O473" s="685"/>
      <c r="P473" s="363" t="s">
        <v>520</v>
      </c>
      <c r="Q473" s="380"/>
      <c r="R473" s="380"/>
      <c r="S473" s="390" t="s">
        <v>347</v>
      </c>
      <c r="T473" s="363" t="s">
        <v>1640</v>
      </c>
      <c r="U473" s="363" t="s">
        <v>348</v>
      </c>
      <c r="V473" s="363"/>
      <c r="W473" s="363" t="s">
        <v>349</v>
      </c>
      <c r="X473" s="363"/>
      <c r="Y473" s="363"/>
      <c r="Z473" s="363"/>
      <c r="AA473" s="363"/>
      <c r="AB473" s="363"/>
      <c r="AC473" s="363"/>
      <c r="AD473" s="363"/>
      <c r="AE473" s="363" t="s">
        <v>96</v>
      </c>
      <c r="AF473" s="380" t="s">
        <v>97</v>
      </c>
      <c r="AG473" s="380" t="s">
        <v>494</v>
      </c>
      <c r="AH473" s="363" t="s">
        <v>1641</v>
      </c>
    </row>
    <row r="474" spans="2:34" ht="15" hidden="1" customHeight="1" x14ac:dyDescent="0.3">
      <c r="B474" s="380" t="s">
        <v>3</v>
      </c>
      <c r="C474" s="409" t="s">
        <v>783</v>
      </c>
      <c r="D474" s="423" t="s">
        <v>1000</v>
      </c>
      <c r="E474" s="493">
        <v>8000161342</v>
      </c>
      <c r="F474" s="501">
        <v>46107</v>
      </c>
      <c r="G474" s="380" t="s">
        <v>55</v>
      </c>
      <c r="H474" s="380">
        <v>7</v>
      </c>
      <c r="I474" s="388">
        <v>890400</v>
      </c>
      <c r="J474" s="380">
        <v>3</v>
      </c>
      <c r="K474" s="389">
        <f t="shared" si="21"/>
        <v>296800</v>
      </c>
      <c r="L474" s="505">
        <v>46023</v>
      </c>
      <c r="M474" s="505">
        <v>46387</v>
      </c>
      <c r="N474" s="668"/>
      <c r="O474" s="685"/>
      <c r="P474" s="363" t="s">
        <v>520</v>
      </c>
      <c r="Q474" s="380"/>
      <c r="R474" s="386" t="s">
        <v>1</v>
      </c>
      <c r="S474" s="390" t="s">
        <v>347</v>
      </c>
      <c r="T474" s="363" t="s">
        <v>1642</v>
      </c>
      <c r="U474" s="363" t="s">
        <v>348</v>
      </c>
      <c r="V474" s="363"/>
      <c r="W474" s="363" t="s">
        <v>349</v>
      </c>
      <c r="X474" s="363"/>
      <c r="Y474" s="363"/>
      <c r="Z474" s="363"/>
      <c r="AA474" s="363"/>
      <c r="AB474" s="363"/>
      <c r="AC474" s="363"/>
      <c r="AD474" s="363"/>
      <c r="AE474" s="363" t="s">
        <v>507</v>
      </c>
      <c r="AF474" s="380" t="s">
        <v>63</v>
      </c>
      <c r="AG474" s="380">
        <v>3</v>
      </c>
      <c r="AH474" s="363" t="s">
        <v>667</v>
      </c>
    </row>
    <row r="475" spans="2:34" ht="15" hidden="1" customHeight="1" x14ac:dyDescent="0.3">
      <c r="B475" s="380" t="s">
        <v>3</v>
      </c>
      <c r="C475" s="482" t="s">
        <v>1873</v>
      </c>
      <c r="D475" s="483" t="s">
        <v>151</v>
      </c>
      <c r="E475" s="468">
        <v>4601538703</v>
      </c>
      <c r="F475" s="501">
        <v>46110</v>
      </c>
      <c r="G475" s="380" t="s">
        <v>55</v>
      </c>
      <c r="H475" s="380">
        <v>1</v>
      </c>
      <c r="I475" s="388">
        <v>84999</v>
      </c>
      <c r="J475" s="380">
        <v>3</v>
      </c>
      <c r="K475" s="389">
        <f t="shared" si="21"/>
        <v>28333</v>
      </c>
      <c r="L475" s="504">
        <v>46113</v>
      </c>
      <c r="M475" s="504">
        <v>46477</v>
      </c>
      <c r="N475" s="667"/>
      <c r="O475" s="684"/>
      <c r="P475" s="363" t="s">
        <v>520</v>
      </c>
      <c r="Q475" s="380"/>
      <c r="R475" s="380"/>
      <c r="S475" s="390" t="s">
        <v>1080</v>
      </c>
      <c r="T475" s="363" t="s">
        <v>1844</v>
      </c>
      <c r="U475" s="363" t="s">
        <v>1108</v>
      </c>
      <c r="V475" s="363"/>
      <c r="W475" s="363" t="s">
        <v>1109</v>
      </c>
      <c r="X475" s="363"/>
      <c r="Y475" s="363"/>
      <c r="Z475" s="363"/>
      <c r="AA475" s="363"/>
      <c r="AB475" s="363"/>
      <c r="AC475" s="363"/>
      <c r="AD475" s="363"/>
      <c r="AE475" s="363" t="s">
        <v>478</v>
      </c>
      <c r="AF475" s="380" t="s">
        <v>63</v>
      </c>
      <c r="AG475" s="380">
        <v>3</v>
      </c>
      <c r="AH475" s="363" t="s">
        <v>667</v>
      </c>
    </row>
    <row r="476" spans="2:34" ht="15" hidden="1" customHeight="1" x14ac:dyDescent="0.3">
      <c r="B476" s="380" t="s">
        <v>3</v>
      </c>
      <c r="C476" s="482" t="s">
        <v>779</v>
      </c>
      <c r="D476" s="483" t="s">
        <v>53</v>
      </c>
      <c r="E476" s="491">
        <v>2500292830</v>
      </c>
      <c r="F476" s="488">
        <v>46111</v>
      </c>
      <c r="G476" s="380" t="s">
        <v>55</v>
      </c>
      <c r="H476" s="380">
        <v>3</v>
      </c>
      <c r="I476" s="388">
        <v>282816</v>
      </c>
      <c r="J476" s="380">
        <v>3</v>
      </c>
      <c r="K476" s="389">
        <f t="shared" si="21"/>
        <v>94272</v>
      </c>
      <c r="L476" s="504">
        <v>46113</v>
      </c>
      <c r="M476" s="504">
        <v>46477</v>
      </c>
      <c r="N476" s="667"/>
      <c r="O476" s="684"/>
      <c r="P476" s="363" t="s">
        <v>520</v>
      </c>
      <c r="Q476" s="380"/>
      <c r="R476" s="380"/>
      <c r="S476" s="363" t="s">
        <v>1080</v>
      </c>
      <c r="T476" s="363"/>
      <c r="U476" s="363" t="s">
        <v>1108</v>
      </c>
      <c r="V476" s="363"/>
      <c r="W476" s="363" t="s">
        <v>1109</v>
      </c>
      <c r="X476" s="363"/>
      <c r="Y476" s="363"/>
      <c r="Z476" s="363"/>
      <c r="AA476" s="363"/>
      <c r="AB476" s="363"/>
      <c r="AC476" s="363"/>
      <c r="AD476" s="363"/>
      <c r="AE476" s="363" t="s">
        <v>619</v>
      </c>
      <c r="AF476" s="380" t="s">
        <v>63</v>
      </c>
      <c r="AG476" s="380">
        <v>3</v>
      </c>
      <c r="AH476" s="363" t="s">
        <v>667</v>
      </c>
    </row>
    <row r="477" spans="2:34" ht="15" hidden="1" customHeight="1" x14ac:dyDescent="0.3">
      <c r="B477" s="380" t="s">
        <v>3</v>
      </c>
      <c r="C477" s="409" t="s">
        <v>1643</v>
      </c>
      <c r="D477" s="423" t="s">
        <v>151</v>
      </c>
      <c r="E477" s="380">
        <v>8184550</v>
      </c>
      <c r="F477" s="488">
        <v>46108</v>
      </c>
      <c r="G477" s="380" t="s">
        <v>55</v>
      </c>
      <c r="H477" s="380">
        <v>4</v>
      </c>
      <c r="I477" s="388">
        <v>310000</v>
      </c>
      <c r="J477" s="380">
        <v>3</v>
      </c>
      <c r="K477" s="389">
        <f t="shared" si="21"/>
        <v>103333.33333333333</v>
      </c>
      <c r="L477" s="505">
        <v>46023</v>
      </c>
      <c r="M477" s="505">
        <v>46387</v>
      </c>
      <c r="N477" s="668"/>
      <c r="O477" s="685"/>
      <c r="P477" s="363" t="s">
        <v>520</v>
      </c>
      <c r="Q477" s="380"/>
      <c r="R477" s="380"/>
      <c r="S477" s="390" t="s">
        <v>347</v>
      </c>
      <c r="T477" s="363" t="s">
        <v>1740</v>
      </c>
      <c r="U477" s="363" t="s">
        <v>348</v>
      </c>
      <c r="V477" s="363"/>
      <c r="W477" s="363" t="s">
        <v>349</v>
      </c>
      <c r="X477" s="363"/>
      <c r="Y477" s="363"/>
      <c r="Z477" s="363"/>
      <c r="AA477" s="363"/>
      <c r="AB477" s="363"/>
      <c r="AC477" s="363"/>
      <c r="AD477" s="363"/>
      <c r="AE477" s="363" t="s">
        <v>478</v>
      </c>
      <c r="AF477" s="380" t="s">
        <v>63</v>
      </c>
      <c r="AG477" s="380">
        <v>3</v>
      </c>
      <c r="AH477" s="363" t="s">
        <v>667</v>
      </c>
    </row>
    <row r="478" spans="2:34" ht="15" hidden="1" customHeight="1" x14ac:dyDescent="0.3">
      <c r="B478" s="380" t="s">
        <v>3</v>
      </c>
      <c r="C478" s="409" t="s">
        <v>1643</v>
      </c>
      <c r="D478" s="423" t="s">
        <v>151</v>
      </c>
      <c r="E478" s="380">
        <v>8184550</v>
      </c>
      <c r="F478" s="488">
        <v>46108</v>
      </c>
      <c r="G478" s="380" t="s">
        <v>55</v>
      </c>
      <c r="H478" s="380">
        <v>2</v>
      </c>
      <c r="I478" s="388">
        <v>103334</v>
      </c>
      <c r="J478" s="380">
        <v>2</v>
      </c>
      <c r="K478" s="389">
        <f t="shared" si="21"/>
        <v>51667</v>
      </c>
      <c r="L478" s="505">
        <v>46023</v>
      </c>
      <c r="M478" s="505">
        <v>46387</v>
      </c>
      <c r="N478" s="668"/>
      <c r="O478" s="685"/>
      <c r="P478" s="363" t="s">
        <v>520</v>
      </c>
      <c r="Q478" s="380"/>
      <c r="R478" s="380"/>
      <c r="S478" s="363" t="s">
        <v>607</v>
      </c>
      <c r="T478" s="363"/>
      <c r="U478" s="363" t="s">
        <v>608</v>
      </c>
      <c r="V478" s="363"/>
      <c r="W478" s="363"/>
      <c r="X478" s="363"/>
      <c r="Y478" s="363"/>
      <c r="Z478" s="363"/>
      <c r="AA478" s="363"/>
      <c r="AB478" s="363"/>
      <c r="AC478" s="363"/>
      <c r="AD478" s="363"/>
      <c r="AE478" s="363" t="s">
        <v>478</v>
      </c>
      <c r="AF478" s="380" t="s">
        <v>63</v>
      </c>
      <c r="AG478" s="380">
        <v>3</v>
      </c>
      <c r="AH478" s="363" t="s">
        <v>667</v>
      </c>
    </row>
    <row r="479" spans="2:34" ht="15" hidden="1" customHeight="1" x14ac:dyDescent="0.3">
      <c r="B479" s="380" t="s">
        <v>3</v>
      </c>
      <c r="C479" s="429" t="s">
        <v>609</v>
      </c>
      <c r="D479" s="423" t="s">
        <v>86</v>
      </c>
      <c r="E479" s="509">
        <v>3791240798</v>
      </c>
      <c r="F479" s="488">
        <v>46106</v>
      </c>
      <c r="G479" s="380" t="s">
        <v>55</v>
      </c>
      <c r="H479" s="380">
        <v>2</v>
      </c>
      <c r="I479" s="388">
        <v>385536</v>
      </c>
      <c r="J479" s="380">
        <v>3</v>
      </c>
      <c r="K479" s="389">
        <f t="shared" si="21"/>
        <v>128512</v>
      </c>
      <c r="L479" s="505">
        <v>46113</v>
      </c>
      <c r="M479" s="505">
        <v>46477</v>
      </c>
      <c r="N479" s="668"/>
      <c r="O479" s="685"/>
      <c r="P479" s="363" t="s">
        <v>520</v>
      </c>
      <c r="Q479" s="380"/>
      <c r="R479" s="380"/>
      <c r="S479" s="390" t="s">
        <v>1080</v>
      </c>
      <c r="T479" s="363" t="s">
        <v>1874</v>
      </c>
      <c r="U479" s="363" t="s">
        <v>1108</v>
      </c>
      <c r="V479" s="363"/>
      <c r="W479" s="363" t="s">
        <v>1109</v>
      </c>
      <c r="X479" s="363"/>
      <c r="Y479" s="363"/>
      <c r="Z479" s="363"/>
      <c r="AA479" s="363"/>
      <c r="AB479" s="363"/>
      <c r="AC479" s="363"/>
      <c r="AD479" s="363"/>
      <c r="AE479" s="363" t="s">
        <v>281</v>
      </c>
      <c r="AF479" s="380" t="s">
        <v>97</v>
      </c>
      <c r="AG479" s="380">
        <v>3</v>
      </c>
      <c r="AH479" s="363" t="s">
        <v>667</v>
      </c>
    </row>
    <row r="480" spans="2:34" ht="15" hidden="1" customHeight="1" x14ac:dyDescent="0.3">
      <c r="B480" s="380" t="s">
        <v>3</v>
      </c>
      <c r="C480" s="482" t="s">
        <v>905</v>
      </c>
      <c r="D480" s="483" t="s">
        <v>801</v>
      </c>
      <c r="E480" s="468">
        <v>1100036670</v>
      </c>
      <c r="F480" s="501">
        <v>46102</v>
      </c>
      <c r="G480" s="380" t="s">
        <v>55</v>
      </c>
      <c r="H480" s="380">
        <v>1</v>
      </c>
      <c r="I480" s="388">
        <v>78400</v>
      </c>
      <c r="J480" s="380">
        <v>2</v>
      </c>
      <c r="K480" s="389">
        <f t="shared" si="21"/>
        <v>39200</v>
      </c>
      <c r="L480" s="504">
        <v>46143</v>
      </c>
      <c r="M480" s="504">
        <v>46507</v>
      </c>
      <c r="N480" s="667"/>
      <c r="O480" s="684"/>
      <c r="P480" s="363" t="s">
        <v>520</v>
      </c>
      <c r="Q480" s="380"/>
      <c r="R480" s="380"/>
      <c r="S480" s="363" t="s">
        <v>1339</v>
      </c>
      <c r="T480" s="363"/>
      <c r="U480" s="363" t="s">
        <v>1644</v>
      </c>
      <c r="V480" s="363"/>
      <c r="W480" s="363"/>
      <c r="X480" s="363"/>
      <c r="Y480" s="363"/>
      <c r="Z480" s="363"/>
      <c r="AA480" s="363"/>
      <c r="AB480" s="363"/>
      <c r="AC480" s="363"/>
      <c r="AD480" s="363"/>
      <c r="AE480" s="363" t="s">
        <v>485</v>
      </c>
      <c r="AF480" s="380" t="s">
        <v>63</v>
      </c>
      <c r="AG480" s="380">
        <v>3</v>
      </c>
      <c r="AH480" s="363" t="s">
        <v>667</v>
      </c>
    </row>
    <row r="481" spans="2:34" ht="15" hidden="1" customHeight="1" x14ac:dyDescent="0.3">
      <c r="B481" s="380" t="s">
        <v>3</v>
      </c>
      <c r="C481" s="482" t="s">
        <v>628</v>
      </c>
      <c r="D481" s="483" t="s">
        <v>801</v>
      </c>
      <c r="E481" s="468" t="s">
        <v>1645</v>
      </c>
      <c r="F481" s="488">
        <v>46107</v>
      </c>
      <c r="G481" s="380" t="s">
        <v>55</v>
      </c>
      <c r="H481" s="380">
        <v>1</v>
      </c>
      <c r="I481" s="388">
        <v>54500</v>
      </c>
      <c r="J481" s="380">
        <v>1</v>
      </c>
      <c r="K481" s="389">
        <f t="shared" si="21"/>
        <v>54500</v>
      </c>
      <c r="L481" s="504">
        <v>46113</v>
      </c>
      <c r="M481" s="504">
        <v>46477</v>
      </c>
      <c r="N481" s="667"/>
      <c r="O481" s="684"/>
      <c r="P481" s="363" t="s">
        <v>520</v>
      </c>
      <c r="Q481" s="380"/>
      <c r="R481" s="380"/>
      <c r="S481" s="363" t="s">
        <v>646</v>
      </c>
      <c r="T481" s="363"/>
      <c r="U481" s="363"/>
      <c r="V481" s="363"/>
      <c r="W481" s="363"/>
      <c r="X481" s="363"/>
      <c r="Y481" s="363"/>
      <c r="Z481" s="363"/>
      <c r="AA481" s="363"/>
      <c r="AB481" s="363"/>
      <c r="AC481" s="363"/>
      <c r="AD481" s="363"/>
      <c r="AE481" s="363" t="s">
        <v>485</v>
      </c>
      <c r="AF481" s="380" t="s">
        <v>63</v>
      </c>
      <c r="AG481" s="380">
        <v>2</v>
      </c>
      <c r="AH481" s="363" t="s">
        <v>1488</v>
      </c>
    </row>
    <row r="482" spans="2:34" ht="15" hidden="1" customHeight="1" x14ac:dyDescent="0.3">
      <c r="B482" s="380" t="s">
        <v>3</v>
      </c>
      <c r="C482" s="409" t="s">
        <v>805</v>
      </c>
      <c r="D482" s="423" t="s">
        <v>86</v>
      </c>
      <c r="E482" s="408">
        <v>7500135772</v>
      </c>
      <c r="F482" s="501">
        <v>46108</v>
      </c>
      <c r="G482" s="380" t="s">
        <v>55</v>
      </c>
      <c r="H482" s="380">
        <v>1</v>
      </c>
      <c r="I482" s="388">
        <v>86200</v>
      </c>
      <c r="J482" s="380">
        <v>3</v>
      </c>
      <c r="K482" s="389">
        <f t="shared" si="21"/>
        <v>28733.333333333332</v>
      </c>
      <c r="L482" s="505">
        <v>46113</v>
      </c>
      <c r="M482" s="505">
        <v>46477</v>
      </c>
      <c r="N482" s="668"/>
      <c r="O482" s="685"/>
      <c r="P482" s="363" t="s">
        <v>520</v>
      </c>
      <c r="Q482" s="380"/>
      <c r="R482" s="380"/>
      <c r="S482" s="390" t="s">
        <v>1080</v>
      </c>
      <c r="T482" s="363" t="s">
        <v>1945</v>
      </c>
      <c r="U482" s="363" t="s">
        <v>1108</v>
      </c>
      <c r="V482" s="363"/>
      <c r="W482" s="363" t="s">
        <v>1109</v>
      </c>
      <c r="X482" s="363"/>
      <c r="Y482" s="363"/>
      <c r="Z482" s="363"/>
      <c r="AA482" s="363"/>
      <c r="AB482" s="363"/>
      <c r="AC482" s="363"/>
      <c r="AD482" s="363"/>
      <c r="AE482" s="363" t="s">
        <v>96</v>
      </c>
      <c r="AF482" s="380" t="s">
        <v>97</v>
      </c>
      <c r="AG482" s="380" t="s">
        <v>494</v>
      </c>
      <c r="AH482" s="363" t="s">
        <v>667</v>
      </c>
    </row>
    <row r="483" spans="2:34" ht="15" hidden="1" customHeight="1" x14ac:dyDescent="0.3">
      <c r="B483" s="380" t="s">
        <v>5</v>
      </c>
      <c r="C483" s="482" t="s">
        <v>840</v>
      </c>
      <c r="D483" s="483" t="s">
        <v>841</v>
      </c>
      <c r="E483" s="491" t="s">
        <v>1646</v>
      </c>
      <c r="F483" s="488">
        <v>46107</v>
      </c>
      <c r="G483" s="380" t="s">
        <v>55</v>
      </c>
      <c r="H483" s="380">
        <v>3</v>
      </c>
      <c r="I483" s="388">
        <v>211500</v>
      </c>
      <c r="J483" s="380">
        <v>3</v>
      </c>
      <c r="K483" s="389">
        <f t="shared" si="21"/>
        <v>70500</v>
      </c>
      <c r="L483" s="504">
        <v>46113</v>
      </c>
      <c r="M483" s="504">
        <v>46477</v>
      </c>
      <c r="N483" s="667"/>
      <c r="O483" s="684"/>
      <c r="P483" s="363" t="s">
        <v>520</v>
      </c>
      <c r="Q483" s="380"/>
      <c r="R483" s="380"/>
      <c r="S483" s="363" t="s">
        <v>1080</v>
      </c>
      <c r="T483" s="363"/>
      <c r="U483" s="363" t="s">
        <v>1108</v>
      </c>
      <c r="V483" s="363"/>
      <c r="W483" s="363" t="s">
        <v>1109</v>
      </c>
      <c r="X483" s="363"/>
      <c r="Y483" s="363"/>
      <c r="Z483" s="363"/>
      <c r="AA483" s="363"/>
      <c r="AB483" s="363"/>
      <c r="AC483" s="363"/>
      <c r="AD483" s="363"/>
      <c r="AE483" s="363" t="s">
        <v>485</v>
      </c>
      <c r="AF483" s="380" t="s">
        <v>63</v>
      </c>
      <c r="AG483" s="380">
        <v>3</v>
      </c>
      <c r="AH483" s="363" t="s">
        <v>1647</v>
      </c>
    </row>
    <row r="484" spans="2:34" ht="15" hidden="1" customHeight="1" x14ac:dyDescent="0.3">
      <c r="B484" s="380" t="s">
        <v>5</v>
      </c>
      <c r="C484" s="482" t="s">
        <v>809</v>
      </c>
      <c r="D484" s="483" t="s">
        <v>629</v>
      </c>
      <c r="E484" s="491" t="s">
        <v>1648</v>
      </c>
      <c r="F484" s="488">
        <v>46107</v>
      </c>
      <c r="G484" s="380" t="s">
        <v>55</v>
      </c>
      <c r="H484" s="380">
        <v>5</v>
      </c>
      <c r="I484" s="388">
        <v>341250</v>
      </c>
      <c r="J484" s="380">
        <v>2</v>
      </c>
      <c r="K484" s="389">
        <f t="shared" si="21"/>
        <v>170625</v>
      </c>
      <c r="L484" s="504">
        <v>46113</v>
      </c>
      <c r="M484" s="504">
        <v>46477</v>
      </c>
      <c r="N484" s="667"/>
      <c r="O484" s="684"/>
      <c r="P484" s="363" t="s">
        <v>520</v>
      </c>
      <c r="Q484" s="380"/>
      <c r="R484" s="380"/>
      <c r="S484" s="363" t="s">
        <v>467</v>
      </c>
      <c r="T484" s="363"/>
      <c r="U484" s="363" t="s">
        <v>1633</v>
      </c>
      <c r="V484" s="363"/>
      <c r="W484" s="363"/>
      <c r="X484" s="363"/>
      <c r="Y484" s="363"/>
      <c r="Z484" s="363"/>
      <c r="AA484" s="363"/>
      <c r="AB484" s="363"/>
      <c r="AC484" s="363"/>
      <c r="AD484" s="363"/>
      <c r="AE484" s="363" t="s">
        <v>485</v>
      </c>
      <c r="AF484" s="380" t="s">
        <v>63</v>
      </c>
      <c r="AG484" s="380">
        <v>3</v>
      </c>
      <c r="AH484" s="363" t="s">
        <v>1647</v>
      </c>
    </row>
    <row r="485" spans="2:34" ht="15" hidden="1" customHeight="1" x14ac:dyDescent="0.3">
      <c r="B485" s="380" t="s">
        <v>5</v>
      </c>
      <c r="C485" s="412" t="s">
        <v>1649</v>
      </c>
      <c r="D485" s="437" t="s">
        <v>176</v>
      </c>
      <c r="E485" s="426" t="s">
        <v>1650</v>
      </c>
      <c r="F485" s="488">
        <v>46025</v>
      </c>
      <c r="G485" s="380" t="s">
        <v>55</v>
      </c>
      <c r="H485" s="380">
        <v>1</v>
      </c>
      <c r="I485" s="388">
        <v>142080</v>
      </c>
      <c r="J485" s="380">
        <v>2</v>
      </c>
      <c r="K485" s="389">
        <f t="shared" si="21"/>
        <v>71040</v>
      </c>
      <c r="L485" s="505">
        <v>46023</v>
      </c>
      <c r="M485" s="505">
        <v>46387</v>
      </c>
      <c r="N485" s="668"/>
      <c r="O485" s="685"/>
      <c r="P485" s="363" t="s">
        <v>520</v>
      </c>
      <c r="Q485" s="380"/>
      <c r="R485" s="380"/>
      <c r="S485" s="390" t="s">
        <v>1651</v>
      </c>
      <c r="T485" s="363" t="s">
        <v>1965</v>
      </c>
      <c r="U485" s="363" t="s">
        <v>608</v>
      </c>
      <c r="V485" s="363"/>
      <c r="W485" s="363"/>
      <c r="X485" s="363"/>
      <c r="Y485" s="363"/>
      <c r="Z485" s="363"/>
      <c r="AA485" s="363"/>
      <c r="AB485" s="363"/>
      <c r="AC485" s="363"/>
      <c r="AD485" s="363"/>
      <c r="AE485" s="363" t="s">
        <v>183</v>
      </c>
      <c r="AF485" s="380" t="s">
        <v>97</v>
      </c>
      <c r="AG485" s="380">
        <v>2</v>
      </c>
      <c r="AH485" s="363" t="s">
        <v>1652</v>
      </c>
    </row>
    <row r="486" spans="2:34" ht="15" hidden="1" customHeight="1" x14ac:dyDescent="0.3">
      <c r="B486" s="380" t="s">
        <v>5</v>
      </c>
      <c r="C486" s="412" t="s">
        <v>1653</v>
      </c>
      <c r="D486" s="463" t="s">
        <v>151</v>
      </c>
      <c r="E486" s="426" t="s">
        <v>1654</v>
      </c>
      <c r="F486" s="488">
        <v>46114</v>
      </c>
      <c r="G486" s="380" t="s">
        <v>55</v>
      </c>
      <c r="H486" s="380">
        <v>7</v>
      </c>
      <c r="I486" s="388">
        <v>560000</v>
      </c>
      <c r="J486" s="380">
        <v>2</v>
      </c>
      <c r="K486" s="389"/>
      <c r="L486" s="505">
        <v>46023</v>
      </c>
      <c r="M486" s="505">
        <v>46387</v>
      </c>
      <c r="N486" s="668"/>
      <c r="O486" s="685"/>
      <c r="P486" s="363" t="s">
        <v>520</v>
      </c>
      <c r="Q486" s="380"/>
      <c r="R486" s="380"/>
      <c r="S486" s="390" t="s">
        <v>1651</v>
      </c>
      <c r="T486" s="363" t="s">
        <v>1732</v>
      </c>
      <c r="U486" s="363" t="s">
        <v>608</v>
      </c>
      <c r="V486" s="363"/>
      <c r="W486" s="363"/>
      <c r="X486" s="363"/>
      <c r="Y486" s="363"/>
      <c r="Z486" s="363"/>
      <c r="AA486" s="363"/>
      <c r="AB486" s="363"/>
      <c r="AC486" s="363"/>
      <c r="AD486" s="363"/>
      <c r="AE486" s="363" t="s">
        <v>478</v>
      </c>
      <c r="AF486" s="380" t="s">
        <v>63</v>
      </c>
      <c r="AG486" s="380">
        <v>3</v>
      </c>
      <c r="AH486" s="363" t="s">
        <v>1319</v>
      </c>
    </row>
    <row r="487" spans="2:34" ht="15" hidden="1" customHeight="1" x14ac:dyDescent="0.3">
      <c r="B487" s="380" t="s">
        <v>5</v>
      </c>
      <c r="C487" s="409" t="s">
        <v>1655</v>
      </c>
      <c r="D487" s="434" t="s">
        <v>664</v>
      </c>
      <c r="E487" s="380">
        <v>4507986234</v>
      </c>
      <c r="F487" s="488">
        <v>46119</v>
      </c>
      <c r="G487" s="380" t="s">
        <v>55</v>
      </c>
      <c r="H487" s="380">
        <v>1</v>
      </c>
      <c r="I487" s="388">
        <v>79999.98</v>
      </c>
      <c r="J487" s="380">
        <v>3</v>
      </c>
      <c r="K487" s="389">
        <f>I487/J487</f>
        <v>26666.66</v>
      </c>
      <c r="L487" s="505">
        <v>46113</v>
      </c>
      <c r="M487" s="505">
        <v>46477</v>
      </c>
      <c r="N487" s="668"/>
      <c r="O487" s="685"/>
      <c r="P487" s="363" t="s">
        <v>520</v>
      </c>
      <c r="Q487" s="380"/>
      <c r="R487" s="380"/>
      <c r="S487" s="363" t="s">
        <v>1080</v>
      </c>
      <c r="T487" s="363"/>
      <c r="U487" s="363" t="s">
        <v>1108</v>
      </c>
      <c r="V487" s="363"/>
      <c r="W487" s="363" t="s">
        <v>1109</v>
      </c>
      <c r="X487" s="363"/>
      <c r="Y487" s="363"/>
      <c r="Z487" s="363"/>
      <c r="AA487" s="363"/>
      <c r="AB487" s="363"/>
      <c r="AC487" s="363"/>
      <c r="AD487" s="363"/>
      <c r="AE487" s="363" t="s">
        <v>478</v>
      </c>
      <c r="AF487" s="380" t="s">
        <v>63</v>
      </c>
      <c r="AG487" s="380" t="s">
        <v>494</v>
      </c>
      <c r="AH487" s="363" t="s">
        <v>667</v>
      </c>
    </row>
    <row r="488" spans="2:34" ht="15" hidden="1" customHeight="1" x14ac:dyDescent="0.3">
      <c r="B488" s="380" t="s">
        <v>5</v>
      </c>
      <c r="C488" s="409" t="s">
        <v>1656</v>
      </c>
      <c r="D488" s="489" t="s">
        <v>176</v>
      </c>
      <c r="E488" s="411">
        <v>4500127379</v>
      </c>
      <c r="F488" s="488">
        <v>46078</v>
      </c>
      <c r="G488" s="380" t="s">
        <v>55</v>
      </c>
      <c r="H488" s="380">
        <v>1</v>
      </c>
      <c r="I488" s="388">
        <v>89250</v>
      </c>
      <c r="J488" s="380">
        <v>2</v>
      </c>
      <c r="K488" s="389">
        <f>I488/J488</f>
        <v>44625</v>
      </c>
      <c r="L488" s="505">
        <v>46023</v>
      </c>
      <c r="M488" s="505">
        <v>46387</v>
      </c>
      <c r="N488" s="668"/>
      <c r="O488" s="685"/>
      <c r="P488" s="363" t="s">
        <v>520</v>
      </c>
      <c r="Q488" s="380"/>
      <c r="R488" s="380"/>
      <c r="S488" s="390" t="s">
        <v>607</v>
      </c>
      <c r="T488" s="363" t="s">
        <v>1436</v>
      </c>
      <c r="U488" s="363" t="s">
        <v>608</v>
      </c>
      <c r="V488" s="363"/>
      <c r="W488" s="363"/>
      <c r="X488" s="363"/>
      <c r="Y488" s="363"/>
      <c r="Z488" s="363"/>
      <c r="AA488" s="363"/>
      <c r="AB488" s="363"/>
      <c r="AC488" s="363"/>
      <c r="AD488" s="363"/>
      <c r="AE488" s="363" t="s">
        <v>183</v>
      </c>
      <c r="AF488" s="380" t="s">
        <v>97</v>
      </c>
      <c r="AG488" s="380">
        <v>3</v>
      </c>
      <c r="AH488" s="363" t="s">
        <v>667</v>
      </c>
    </row>
    <row r="489" spans="2:34" ht="15" hidden="1" customHeight="1" x14ac:dyDescent="0.3">
      <c r="B489" s="380" t="s">
        <v>5</v>
      </c>
      <c r="C489" s="409" t="s">
        <v>1656</v>
      </c>
      <c r="D489" s="489" t="s">
        <v>176</v>
      </c>
      <c r="E489" s="411">
        <v>4500127261</v>
      </c>
      <c r="F489" s="488">
        <v>46076</v>
      </c>
      <c r="G489" s="380" t="s">
        <v>55</v>
      </c>
      <c r="H489" s="380">
        <v>3</v>
      </c>
      <c r="I489" s="388">
        <v>267750</v>
      </c>
      <c r="J489" s="380">
        <v>2</v>
      </c>
      <c r="K489" s="389">
        <f>I489/J489</f>
        <v>133875</v>
      </c>
      <c r="L489" s="505">
        <v>46023</v>
      </c>
      <c r="M489" s="505">
        <v>46387</v>
      </c>
      <c r="N489" s="668"/>
      <c r="O489" s="685"/>
      <c r="P489" s="363" t="s">
        <v>520</v>
      </c>
      <c r="Q489" s="380"/>
      <c r="R489" s="380"/>
      <c r="S489" s="390" t="s">
        <v>607</v>
      </c>
      <c r="T489" s="363" t="s">
        <v>782</v>
      </c>
      <c r="U489" s="363" t="s">
        <v>608</v>
      </c>
      <c r="V489" s="363"/>
      <c r="W489" s="363"/>
      <c r="X489" s="363"/>
      <c r="Y489" s="363"/>
      <c r="Z489" s="363"/>
      <c r="AA489" s="363"/>
      <c r="AB489" s="363"/>
      <c r="AC489" s="363"/>
      <c r="AD489" s="363"/>
      <c r="AE489" s="363" t="s">
        <v>183</v>
      </c>
      <c r="AF489" s="380" t="s">
        <v>97</v>
      </c>
      <c r="AG489" s="380">
        <v>3</v>
      </c>
      <c r="AH489" s="363" t="s">
        <v>667</v>
      </c>
    </row>
    <row r="490" spans="2:34" ht="15" hidden="1" customHeight="1" x14ac:dyDescent="0.3">
      <c r="B490" s="380" t="s">
        <v>5</v>
      </c>
      <c r="C490" s="553" t="s">
        <v>1073</v>
      </c>
      <c r="D490" s="423" t="s">
        <v>1657</v>
      </c>
      <c r="E490" s="408">
        <v>440000514</v>
      </c>
      <c r="F490" s="501">
        <v>46109</v>
      </c>
      <c r="G490" s="380" t="s">
        <v>55</v>
      </c>
      <c r="H490" s="380"/>
      <c r="I490" s="388">
        <v>172900</v>
      </c>
      <c r="J490" s="380">
        <v>3</v>
      </c>
      <c r="K490" s="389">
        <f>I490/2</f>
        <v>86450</v>
      </c>
      <c r="L490" s="505">
        <v>46023</v>
      </c>
      <c r="M490" s="505">
        <v>46387</v>
      </c>
      <c r="N490" s="668"/>
      <c r="O490" s="685"/>
      <c r="P490" s="363" t="s">
        <v>520</v>
      </c>
      <c r="Q490" s="380"/>
      <c r="R490" s="380"/>
      <c r="S490" s="390" t="s">
        <v>347</v>
      </c>
      <c r="T490" s="363" t="s">
        <v>1658</v>
      </c>
      <c r="U490" s="363" t="s">
        <v>348</v>
      </c>
      <c r="V490" s="363" t="s">
        <v>1659</v>
      </c>
      <c r="W490" s="363" t="s">
        <v>349</v>
      </c>
      <c r="X490" s="363"/>
      <c r="Y490" s="363"/>
      <c r="Z490" s="363"/>
      <c r="AA490" s="363"/>
      <c r="AB490" s="363"/>
      <c r="AC490" s="363"/>
      <c r="AD490" s="363"/>
      <c r="AE490" s="363" t="s">
        <v>551</v>
      </c>
      <c r="AF490" s="380" t="s">
        <v>207</v>
      </c>
      <c r="AG490" s="380">
        <v>3</v>
      </c>
      <c r="AH490" s="363" t="s">
        <v>1660</v>
      </c>
    </row>
    <row r="491" spans="2:34" ht="15" hidden="1" customHeight="1" x14ac:dyDescent="0.3">
      <c r="B491" s="380" t="s">
        <v>5</v>
      </c>
      <c r="C491" s="553" t="s">
        <v>1073</v>
      </c>
      <c r="D491" s="423" t="s">
        <v>1657</v>
      </c>
      <c r="E491" s="408">
        <v>440000514</v>
      </c>
      <c r="F491" s="501">
        <v>46109</v>
      </c>
      <c r="G491" s="380" t="s">
        <v>55</v>
      </c>
      <c r="H491" s="380">
        <v>1</v>
      </c>
      <c r="I491" s="388">
        <v>172900</v>
      </c>
      <c r="J491" s="380">
        <v>3</v>
      </c>
      <c r="K491" s="389">
        <f>I491/2</f>
        <v>86450</v>
      </c>
      <c r="L491" s="505">
        <v>46388</v>
      </c>
      <c r="M491" s="505">
        <v>46752</v>
      </c>
      <c r="N491" s="668"/>
      <c r="O491" s="685"/>
      <c r="P491" s="363" t="s">
        <v>520</v>
      </c>
      <c r="Q491" s="380"/>
      <c r="R491" s="380"/>
      <c r="S491" s="363" t="s">
        <v>738</v>
      </c>
      <c r="T491" s="363" t="s">
        <v>1661</v>
      </c>
      <c r="U491" s="363" t="s">
        <v>1077</v>
      </c>
      <c r="V491" s="363" t="s">
        <v>1659</v>
      </c>
      <c r="W491" s="363" t="s">
        <v>1078</v>
      </c>
      <c r="X491" s="363"/>
      <c r="Y491" s="363"/>
      <c r="Z491" s="363"/>
      <c r="AA491" s="363"/>
      <c r="AB491" s="363"/>
      <c r="AC491" s="363"/>
      <c r="AD491" s="363"/>
      <c r="AE491" s="363" t="s">
        <v>551</v>
      </c>
      <c r="AF491" s="380" t="s">
        <v>207</v>
      </c>
      <c r="AG491" s="380">
        <v>3</v>
      </c>
      <c r="AH491" s="363" t="s">
        <v>1660</v>
      </c>
    </row>
    <row r="492" spans="2:34" ht="15" hidden="1" customHeight="1" x14ac:dyDescent="0.3">
      <c r="B492" s="387" t="s">
        <v>1662</v>
      </c>
      <c r="C492" s="482" t="s">
        <v>508</v>
      </c>
      <c r="D492" s="483" t="s">
        <v>866</v>
      </c>
      <c r="E492" s="468" t="s">
        <v>1663</v>
      </c>
      <c r="F492" s="501">
        <v>46015</v>
      </c>
      <c r="G492" s="380" t="s">
        <v>55</v>
      </c>
      <c r="H492" s="380">
        <v>1</v>
      </c>
      <c r="I492" s="388">
        <v>89000</v>
      </c>
      <c r="J492" s="380">
        <v>3</v>
      </c>
      <c r="K492" s="389">
        <f>I492/J492</f>
        <v>29666.666666666668</v>
      </c>
      <c r="L492" s="504">
        <v>46032</v>
      </c>
      <c r="M492" s="504">
        <v>46396</v>
      </c>
      <c r="N492" s="667"/>
      <c r="O492" s="684"/>
      <c r="P492" s="363" t="s">
        <v>520</v>
      </c>
      <c r="Q492" s="380"/>
      <c r="R492" s="380"/>
      <c r="S492" s="390" t="s">
        <v>1664</v>
      </c>
      <c r="T492" s="363" t="s">
        <v>1239</v>
      </c>
      <c r="U492" s="363" t="s">
        <v>1665</v>
      </c>
      <c r="V492" s="363" t="s">
        <v>1875</v>
      </c>
      <c r="W492" s="363" t="s">
        <v>1273</v>
      </c>
      <c r="X492" s="363"/>
      <c r="Y492" s="363"/>
      <c r="Z492" s="363"/>
      <c r="AA492" s="363"/>
      <c r="AB492" s="363"/>
      <c r="AC492" s="363"/>
      <c r="AD492" s="363"/>
      <c r="AE492" s="363" t="s">
        <v>96</v>
      </c>
      <c r="AF492" s="380" t="s">
        <v>97</v>
      </c>
      <c r="AG492" s="380" t="s">
        <v>494</v>
      </c>
      <c r="AH492" s="363" t="s">
        <v>1666</v>
      </c>
    </row>
    <row r="493" spans="2:34" ht="15" hidden="1" customHeight="1" x14ac:dyDescent="0.3">
      <c r="B493" s="380" t="s">
        <v>5</v>
      </c>
      <c r="C493" s="430" t="s">
        <v>1667</v>
      </c>
      <c r="D493" s="445" t="s">
        <v>1668</v>
      </c>
      <c r="E493" s="419">
        <v>5030129519</v>
      </c>
      <c r="F493" s="488">
        <v>46020</v>
      </c>
      <c r="G493" s="380" t="s">
        <v>55</v>
      </c>
      <c r="H493" s="380">
        <v>1</v>
      </c>
      <c r="I493" s="388">
        <v>67500</v>
      </c>
      <c r="J493" s="380">
        <v>2</v>
      </c>
      <c r="K493" s="389">
        <f>I493/J493</f>
        <v>33750</v>
      </c>
      <c r="L493" s="513">
        <v>46113</v>
      </c>
      <c r="M493" s="513">
        <v>46387</v>
      </c>
      <c r="N493" s="667"/>
      <c r="O493" s="684"/>
      <c r="P493" s="363" t="s">
        <v>520</v>
      </c>
      <c r="Q493" s="380"/>
      <c r="R493" s="380"/>
      <c r="S493" s="390" t="s">
        <v>1669</v>
      </c>
      <c r="T493" s="363" t="s">
        <v>1720</v>
      </c>
      <c r="U493" s="363" t="s">
        <v>1670</v>
      </c>
      <c r="V493" s="363"/>
      <c r="W493" s="363"/>
      <c r="X493" s="363"/>
      <c r="Y493" s="363"/>
      <c r="Z493" s="363"/>
      <c r="AA493" s="363"/>
      <c r="AB493" s="363"/>
      <c r="AC493" s="363"/>
      <c r="AD493" s="363"/>
      <c r="AE493" s="363" t="s">
        <v>507</v>
      </c>
      <c r="AF493" s="380" t="s">
        <v>63</v>
      </c>
      <c r="AG493" s="380">
        <v>3</v>
      </c>
      <c r="AH493" s="363" t="s">
        <v>667</v>
      </c>
    </row>
    <row r="494" spans="2:34" ht="15" hidden="1" customHeight="1" x14ac:dyDescent="0.3">
      <c r="B494" s="380" t="s">
        <v>5</v>
      </c>
      <c r="C494" s="482" t="s">
        <v>1671</v>
      </c>
      <c r="D494" s="483" t="s">
        <v>1031</v>
      </c>
      <c r="E494" s="468">
        <v>4514039171</v>
      </c>
      <c r="F494" s="488">
        <v>46128</v>
      </c>
      <c r="G494" s="380" t="s">
        <v>55</v>
      </c>
      <c r="H494" s="380">
        <v>3</v>
      </c>
      <c r="I494" s="388">
        <v>150000</v>
      </c>
      <c r="J494" s="380">
        <v>3</v>
      </c>
      <c r="K494" s="389">
        <f>I494/J494</f>
        <v>50000</v>
      </c>
      <c r="L494" s="504">
        <v>46023</v>
      </c>
      <c r="M494" s="504">
        <v>46387</v>
      </c>
      <c r="N494" s="667"/>
      <c r="O494" s="684"/>
      <c r="P494" s="363" t="s">
        <v>520</v>
      </c>
      <c r="Q494" s="380"/>
      <c r="R494" s="380"/>
      <c r="S494" s="390" t="s">
        <v>347</v>
      </c>
      <c r="T494" s="363" t="s">
        <v>1723</v>
      </c>
      <c r="U494" s="363" t="s">
        <v>348</v>
      </c>
      <c r="V494" s="363"/>
      <c r="W494" s="363" t="s">
        <v>349</v>
      </c>
      <c r="X494" s="363"/>
      <c r="Y494" s="363"/>
      <c r="Z494" s="363"/>
      <c r="AA494" s="363"/>
      <c r="AB494" s="363"/>
      <c r="AC494" s="363"/>
      <c r="AD494" s="363"/>
      <c r="AE494" s="363" t="s">
        <v>478</v>
      </c>
      <c r="AF494" s="380" t="s">
        <v>63</v>
      </c>
      <c r="AG494" s="380">
        <v>5</v>
      </c>
      <c r="AH494" s="363" t="s">
        <v>667</v>
      </c>
    </row>
    <row r="495" spans="2:34" ht="15" hidden="1" customHeight="1" x14ac:dyDescent="0.3">
      <c r="B495" s="380" t="s">
        <v>5</v>
      </c>
      <c r="C495" s="482" t="s">
        <v>1672</v>
      </c>
      <c r="D495" s="483" t="s">
        <v>1031</v>
      </c>
      <c r="E495" s="468">
        <v>4513957720</v>
      </c>
      <c r="F495" s="501">
        <v>46112</v>
      </c>
      <c r="G495" s="380" t="s">
        <v>55</v>
      </c>
      <c r="H495" s="380">
        <v>1</v>
      </c>
      <c r="I495" s="388">
        <v>50000</v>
      </c>
      <c r="J495" s="380">
        <v>3</v>
      </c>
      <c r="K495" s="389">
        <f>I495/J495</f>
        <v>16666.666666666668</v>
      </c>
      <c r="L495" s="504">
        <v>46023</v>
      </c>
      <c r="M495" s="504">
        <v>46387</v>
      </c>
      <c r="N495" s="667"/>
      <c r="O495" s="684"/>
      <c r="P495" s="363" t="s">
        <v>520</v>
      </c>
      <c r="Q495" s="380"/>
      <c r="R495" s="380"/>
      <c r="S495" s="390" t="s">
        <v>347</v>
      </c>
      <c r="T495" s="363" t="s">
        <v>1719</v>
      </c>
      <c r="U495" s="363" t="s">
        <v>348</v>
      </c>
      <c r="V495" s="363" t="s">
        <v>1741</v>
      </c>
      <c r="W495" s="363" t="s">
        <v>349</v>
      </c>
      <c r="X495" s="363"/>
      <c r="Y495" s="363"/>
      <c r="Z495" s="363"/>
      <c r="AA495" s="363"/>
      <c r="AB495" s="363"/>
      <c r="AC495" s="363"/>
      <c r="AD495" s="363"/>
      <c r="AE495" s="363" t="s">
        <v>478</v>
      </c>
      <c r="AF495" s="380" t="s">
        <v>63</v>
      </c>
      <c r="AG495" s="380">
        <v>5</v>
      </c>
      <c r="AH495" s="363" t="s">
        <v>667</v>
      </c>
    </row>
    <row r="496" spans="2:34" ht="15" hidden="1" customHeight="1" x14ac:dyDescent="0.3">
      <c r="B496" s="380" t="s">
        <v>5</v>
      </c>
      <c r="C496" s="551" t="s">
        <v>775</v>
      </c>
      <c r="D496" s="483" t="s">
        <v>852</v>
      </c>
      <c r="E496" s="468">
        <v>2710001873</v>
      </c>
      <c r="F496" s="488">
        <v>46127</v>
      </c>
      <c r="G496" s="380" t="s">
        <v>55</v>
      </c>
      <c r="H496" s="380">
        <v>2</v>
      </c>
      <c r="I496" s="388">
        <v>170000</v>
      </c>
      <c r="J496" s="380">
        <v>3</v>
      </c>
      <c r="K496" s="389">
        <f>I496/2</f>
        <v>85000</v>
      </c>
      <c r="L496" s="504">
        <v>46113</v>
      </c>
      <c r="M496" s="504">
        <v>46477</v>
      </c>
      <c r="N496" s="667"/>
      <c r="O496" s="684"/>
      <c r="P496" s="363" t="s">
        <v>520</v>
      </c>
      <c r="Q496" s="380"/>
      <c r="R496" s="380"/>
      <c r="S496" s="390" t="s">
        <v>1080</v>
      </c>
      <c r="T496" s="363" t="s">
        <v>1876</v>
      </c>
      <c r="U496" s="363" t="s">
        <v>1108</v>
      </c>
      <c r="V496" s="363" t="s">
        <v>1674</v>
      </c>
      <c r="W496" s="363" t="s">
        <v>1109</v>
      </c>
      <c r="X496" s="363"/>
      <c r="Y496" s="363"/>
      <c r="Z496" s="363"/>
      <c r="AA496" s="363"/>
      <c r="AB496" s="363"/>
      <c r="AC496" s="363"/>
      <c r="AD496" s="363"/>
      <c r="AE496" s="363" t="s">
        <v>551</v>
      </c>
      <c r="AF496" s="380" t="s">
        <v>207</v>
      </c>
      <c r="AG496" s="380">
        <v>3</v>
      </c>
      <c r="AH496" s="363" t="s">
        <v>1675</v>
      </c>
    </row>
    <row r="497" spans="2:34" ht="15" hidden="1" customHeight="1" x14ac:dyDescent="0.3">
      <c r="B497" s="380" t="s">
        <v>5</v>
      </c>
      <c r="C497" s="409" t="s">
        <v>527</v>
      </c>
      <c r="D497" s="423" t="s">
        <v>131</v>
      </c>
      <c r="E497" s="380">
        <v>7001298017</v>
      </c>
      <c r="F497" s="488">
        <v>46122</v>
      </c>
      <c r="G497" s="380" t="s">
        <v>55</v>
      </c>
      <c r="H497" s="380">
        <v>1</v>
      </c>
      <c r="I497" s="388">
        <v>78750</v>
      </c>
      <c r="J497" s="380">
        <v>2</v>
      </c>
      <c r="K497" s="389">
        <f t="shared" ref="K497:K505" si="22">I497/J497</f>
        <v>39375</v>
      </c>
      <c r="L497" s="505">
        <v>46113</v>
      </c>
      <c r="M497" s="505">
        <v>46477</v>
      </c>
      <c r="N497" s="668"/>
      <c r="O497" s="685"/>
      <c r="P497" s="363" t="s">
        <v>520</v>
      </c>
      <c r="Q497" s="380"/>
      <c r="R497" s="380"/>
      <c r="S497" s="363" t="s">
        <v>467</v>
      </c>
      <c r="T497" s="363"/>
      <c r="U497" s="363" t="s">
        <v>1633</v>
      </c>
      <c r="V497" s="363"/>
      <c r="W497" s="363"/>
      <c r="X497" s="363"/>
      <c r="Y497" s="363"/>
      <c r="Z497" s="363"/>
      <c r="AA497" s="363"/>
      <c r="AB497" s="363"/>
      <c r="AC497" s="363"/>
      <c r="AD497" s="363"/>
      <c r="AE497" s="363" t="s">
        <v>485</v>
      </c>
      <c r="AF497" s="380" t="s">
        <v>63</v>
      </c>
      <c r="AG497" s="380">
        <v>2</v>
      </c>
      <c r="AH497" s="363" t="s">
        <v>1676</v>
      </c>
    </row>
    <row r="498" spans="2:34" ht="15" hidden="1" customHeight="1" x14ac:dyDescent="0.3">
      <c r="B498" s="380" t="s">
        <v>5</v>
      </c>
      <c r="C498" s="482" t="s">
        <v>800</v>
      </c>
      <c r="D498" s="483" t="s">
        <v>812</v>
      </c>
      <c r="E498" s="491">
        <v>2102600168</v>
      </c>
      <c r="F498" s="488">
        <v>46119</v>
      </c>
      <c r="G498" s="380" t="s">
        <v>55</v>
      </c>
      <c r="H498" s="380">
        <v>4</v>
      </c>
      <c r="I498" s="388">
        <v>332800</v>
      </c>
      <c r="J498" s="380">
        <v>2</v>
      </c>
      <c r="K498" s="389">
        <f t="shared" si="22"/>
        <v>166400</v>
      </c>
      <c r="L498" s="504">
        <v>46113</v>
      </c>
      <c r="M498" s="504">
        <v>46477</v>
      </c>
      <c r="N498" s="667"/>
      <c r="O498" s="684"/>
      <c r="P498" s="363" t="s">
        <v>520</v>
      </c>
      <c r="Q498" s="380"/>
      <c r="R498" s="380"/>
      <c r="S498" s="363" t="s">
        <v>467</v>
      </c>
      <c r="T498" s="363"/>
      <c r="U498" s="363" t="s">
        <v>1633</v>
      </c>
      <c r="V498" s="363"/>
      <c r="W498" s="363"/>
      <c r="X498" s="363"/>
      <c r="Y498" s="363"/>
      <c r="Z498" s="363"/>
      <c r="AA498" s="363"/>
      <c r="AB498" s="363"/>
      <c r="AC498" s="363"/>
      <c r="AD498" s="363"/>
      <c r="AE498" s="363" t="s">
        <v>485</v>
      </c>
      <c r="AF498" s="380" t="s">
        <v>63</v>
      </c>
      <c r="AG498" s="380">
        <v>2</v>
      </c>
      <c r="AH498" s="363" t="s">
        <v>1677</v>
      </c>
    </row>
    <row r="499" spans="2:34" ht="15" hidden="1" customHeight="1" x14ac:dyDescent="0.3">
      <c r="B499" s="380" t="s">
        <v>5</v>
      </c>
      <c r="C499" s="409" t="s">
        <v>668</v>
      </c>
      <c r="D499" s="489" t="s">
        <v>693</v>
      </c>
      <c r="E499" s="380">
        <v>30082781</v>
      </c>
      <c r="F499" s="488">
        <v>46113</v>
      </c>
      <c r="G499" s="380" t="s">
        <v>55</v>
      </c>
      <c r="H499" s="380">
        <v>7</v>
      </c>
      <c r="I499" s="388">
        <v>220717</v>
      </c>
      <c r="J499" s="380">
        <v>1</v>
      </c>
      <c r="K499" s="389">
        <f t="shared" si="22"/>
        <v>220717</v>
      </c>
      <c r="L499" s="505">
        <v>46113</v>
      </c>
      <c r="M499" s="505">
        <v>46295</v>
      </c>
      <c r="N499" s="668"/>
      <c r="O499" s="685"/>
      <c r="P499" s="363" t="s">
        <v>520</v>
      </c>
      <c r="Q499" s="380"/>
      <c r="R499" s="380"/>
      <c r="S499" s="363" t="s">
        <v>467</v>
      </c>
      <c r="T499" s="363"/>
      <c r="U499" s="363"/>
      <c r="V499" s="363"/>
      <c r="W499" s="363"/>
      <c r="X499" s="363"/>
      <c r="Y499" s="363"/>
      <c r="Z499" s="363"/>
      <c r="AA499" s="363"/>
      <c r="AB499" s="363"/>
      <c r="AC499" s="363"/>
      <c r="AD499" s="363"/>
      <c r="AE499" s="363" t="s">
        <v>128</v>
      </c>
      <c r="AF499" s="380" t="s">
        <v>1678</v>
      </c>
      <c r="AG499" s="380">
        <v>2</v>
      </c>
      <c r="AH499" s="363" t="s">
        <v>1679</v>
      </c>
    </row>
    <row r="500" spans="2:34" ht="15" hidden="1" customHeight="1" x14ac:dyDescent="0.3">
      <c r="B500" s="380" t="s">
        <v>5</v>
      </c>
      <c r="C500" s="482" t="s">
        <v>800</v>
      </c>
      <c r="D500" s="483" t="s">
        <v>801</v>
      </c>
      <c r="E500" s="491">
        <v>3102600034</v>
      </c>
      <c r="F500" s="488">
        <v>46120</v>
      </c>
      <c r="G500" s="380" t="s">
        <v>55</v>
      </c>
      <c r="H500" s="380">
        <v>6</v>
      </c>
      <c r="I500" s="388">
        <v>468000</v>
      </c>
      <c r="J500" s="380">
        <v>2</v>
      </c>
      <c r="K500" s="389">
        <f t="shared" si="22"/>
        <v>234000</v>
      </c>
      <c r="L500" s="504">
        <v>46113</v>
      </c>
      <c r="M500" s="504">
        <v>46477</v>
      </c>
      <c r="N500" s="667"/>
      <c r="O500" s="684"/>
      <c r="P500" s="363" t="s">
        <v>520</v>
      </c>
      <c r="Q500" s="380"/>
      <c r="R500" s="380"/>
      <c r="S500" s="363" t="s">
        <v>467</v>
      </c>
      <c r="T500" s="363"/>
      <c r="U500" s="363" t="s">
        <v>1633</v>
      </c>
      <c r="V500" s="363"/>
      <c r="W500" s="363"/>
      <c r="X500" s="363"/>
      <c r="Y500" s="363"/>
      <c r="Z500" s="363"/>
      <c r="AA500" s="363"/>
      <c r="AB500" s="363"/>
      <c r="AC500" s="363"/>
      <c r="AD500" s="363"/>
      <c r="AE500" s="363" t="s">
        <v>485</v>
      </c>
      <c r="AF500" s="380" t="s">
        <v>63</v>
      </c>
      <c r="AG500" s="380">
        <v>2</v>
      </c>
      <c r="AH500" s="363" t="s">
        <v>1677</v>
      </c>
    </row>
    <row r="501" spans="2:34" ht="15" hidden="1" customHeight="1" x14ac:dyDescent="0.3">
      <c r="B501" s="380" t="s">
        <v>5</v>
      </c>
      <c r="C501" s="482" t="s">
        <v>905</v>
      </c>
      <c r="D501" s="483" t="s">
        <v>906</v>
      </c>
      <c r="E501" s="491">
        <v>1100036794</v>
      </c>
      <c r="F501" s="488">
        <v>46112</v>
      </c>
      <c r="G501" s="380" t="s">
        <v>55</v>
      </c>
      <c r="H501" s="380">
        <v>4</v>
      </c>
      <c r="I501" s="388">
        <v>294000</v>
      </c>
      <c r="J501" s="380">
        <v>2</v>
      </c>
      <c r="K501" s="389">
        <f t="shared" si="22"/>
        <v>147000</v>
      </c>
      <c r="L501" s="504">
        <v>46174</v>
      </c>
      <c r="M501" s="504">
        <v>46538</v>
      </c>
      <c r="N501" s="667"/>
      <c r="O501" s="684"/>
      <c r="P501" s="363" t="s">
        <v>520</v>
      </c>
      <c r="Q501" s="380"/>
      <c r="R501" s="380"/>
      <c r="S501" s="363" t="s">
        <v>1414</v>
      </c>
      <c r="T501" s="363"/>
      <c r="U501" s="363" t="s">
        <v>1680</v>
      </c>
      <c r="V501" s="363"/>
      <c r="W501" s="363"/>
      <c r="X501" s="363"/>
      <c r="Y501" s="363"/>
      <c r="Z501" s="363"/>
      <c r="AA501" s="363"/>
      <c r="AB501" s="363"/>
      <c r="AC501" s="363"/>
      <c r="AD501" s="363"/>
      <c r="AE501" s="363" t="s">
        <v>551</v>
      </c>
      <c r="AF501" s="380" t="s">
        <v>207</v>
      </c>
      <c r="AG501" s="380">
        <v>2</v>
      </c>
      <c r="AH501" s="363" t="s">
        <v>667</v>
      </c>
    </row>
    <row r="502" spans="2:34" ht="15" hidden="1" customHeight="1" x14ac:dyDescent="0.3">
      <c r="B502" s="380" t="s">
        <v>5</v>
      </c>
      <c r="C502" s="482" t="s">
        <v>716</v>
      </c>
      <c r="D502" s="483" t="s">
        <v>447</v>
      </c>
      <c r="E502" s="491" t="s">
        <v>1681</v>
      </c>
      <c r="F502" s="488">
        <v>46125</v>
      </c>
      <c r="G502" s="380" t="s">
        <v>55</v>
      </c>
      <c r="H502" s="380">
        <v>1</v>
      </c>
      <c r="I502" s="388">
        <v>59794.68</v>
      </c>
      <c r="J502" s="380">
        <v>3</v>
      </c>
      <c r="K502" s="389">
        <f t="shared" si="22"/>
        <v>19931.560000000001</v>
      </c>
      <c r="L502" s="504">
        <v>46113</v>
      </c>
      <c r="M502" s="504">
        <v>46477</v>
      </c>
      <c r="N502" s="667"/>
      <c r="O502" s="684"/>
      <c r="P502" s="363" t="s">
        <v>520</v>
      </c>
      <c r="Q502" s="380"/>
      <c r="R502" s="380"/>
      <c r="S502" s="390" t="s">
        <v>1080</v>
      </c>
      <c r="T502" s="363" t="s">
        <v>1949</v>
      </c>
      <c r="U502" s="363" t="s">
        <v>1108</v>
      </c>
      <c r="V502" s="363"/>
      <c r="W502" s="363" t="s">
        <v>1109</v>
      </c>
      <c r="X502" s="363"/>
      <c r="Y502" s="363"/>
      <c r="Z502" s="363"/>
      <c r="AA502" s="363"/>
      <c r="AB502" s="363"/>
      <c r="AC502" s="363"/>
      <c r="AD502" s="363"/>
      <c r="AE502" s="363" t="s">
        <v>281</v>
      </c>
      <c r="AF502" s="380" t="s">
        <v>97</v>
      </c>
      <c r="AG502" s="380" t="s">
        <v>494</v>
      </c>
      <c r="AH502" s="363" t="s">
        <v>667</v>
      </c>
    </row>
    <row r="503" spans="2:34" ht="15" hidden="1" customHeight="1" x14ac:dyDescent="0.3">
      <c r="B503" s="380" t="s">
        <v>5</v>
      </c>
      <c r="C503" s="482" t="s">
        <v>716</v>
      </c>
      <c r="D503" s="483" t="s">
        <v>447</v>
      </c>
      <c r="E503" s="491" t="s">
        <v>1682</v>
      </c>
      <c r="F503" s="488">
        <v>46125</v>
      </c>
      <c r="G503" s="380" t="s">
        <v>55</v>
      </c>
      <c r="H503" s="380">
        <v>3</v>
      </c>
      <c r="I503" s="388">
        <v>273093.78000000003</v>
      </c>
      <c r="J503" s="380">
        <v>3</v>
      </c>
      <c r="K503" s="389">
        <f t="shared" si="22"/>
        <v>91031.260000000009</v>
      </c>
      <c r="L503" s="504">
        <v>46113</v>
      </c>
      <c r="M503" s="504">
        <v>46477</v>
      </c>
      <c r="N503" s="667"/>
      <c r="O503" s="684"/>
      <c r="P503" s="363" t="s">
        <v>520</v>
      </c>
      <c r="Q503" s="380"/>
      <c r="R503" s="380"/>
      <c r="S503" s="390" t="s">
        <v>1080</v>
      </c>
      <c r="T503" s="363" t="s">
        <v>1949</v>
      </c>
      <c r="U503" s="363" t="s">
        <v>1108</v>
      </c>
      <c r="V503" s="363"/>
      <c r="W503" s="363" t="s">
        <v>1109</v>
      </c>
      <c r="X503" s="363"/>
      <c r="Y503" s="363"/>
      <c r="Z503" s="363"/>
      <c r="AA503" s="363"/>
      <c r="AB503" s="363"/>
      <c r="AC503" s="363"/>
      <c r="AD503" s="363"/>
      <c r="AE503" s="363" t="s">
        <v>281</v>
      </c>
      <c r="AF503" s="380" t="s">
        <v>97</v>
      </c>
      <c r="AG503" s="380" t="s">
        <v>494</v>
      </c>
      <c r="AH503" s="363" t="s">
        <v>667</v>
      </c>
    </row>
    <row r="504" spans="2:34" ht="15" hidden="1" customHeight="1" x14ac:dyDescent="0.3">
      <c r="B504" s="380" t="s">
        <v>5</v>
      </c>
      <c r="C504" s="482" t="s">
        <v>716</v>
      </c>
      <c r="D504" s="483" t="s">
        <v>447</v>
      </c>
      <c r="E504" s="491" t="s">
        <v>1683</v>
      </c>
      <c r="F504" s="488">
        <v>46125</v>
      </c>
      <c r="G504" s="380" t="s">
        <v>55</v>
      </c>
      <c r="H504" s="380">
        <v>2</v>
      </c>
      <c r="I504" s="388">
        <v>247338.36</v>
      </c>
      <c r="J504" s="380">
        <v>3</v>
      </c>
      <c r="K504" s="389">
        <f t="shared" si="22"/>
        <v>82446.12</v>
      </c>
      <c r="L504" s="504">
        <v>46113</v>
      </c>
      <c r="M504" s="504">
        <v>46477</v>
      </c>
      <c r="N504" s="667"/>
      <c r="O504" s="684"/>
      <c r="P504" s="363" t="s">
        <v>520</v>
      </c>
      <c r="Q504" s="380"/>
      <c r="R504" s="380"/>
      <c r="S504" s="390" t="s">
        <v>1080</v>
      </c>
      <c r="T504" s="363" t="s">
        <v>1952</v>
      </c>
      <c r="U504" s="363" t="s">
        <v>1108</v>
      </c>
      <c r="V504" s="363">
        <v>41223.06</v>
      </c>
      <c r="W504" s="363" t="s">
        <v>1109</v>
      </c>
      <c r="X504" s="363"/>
      <c r="Y504" s="363"/>
      <c r="Z504" s="363"/>
      <c r="AA504" s="363"/>
      <c r="AB504" s="363"/>
      <c r="AC504" s="363"/>
      <c r="AD504" s="363"/>
      <c r="AE504" s="363" t="s">
        <v>281</v>
      </c>
      <c r="AF504" s="380" t="s">
        <v>97</v>
      </c>
      <c r="AG504" s="380" t="s">
        <v>494</v>
      </c>
      <c r="AH504" s="363" t="s">
        <v>667</v>
      </c>
    </row>
    <row r="505" spans="2:34" ht="15" hidden="1" customHeight="1" x14ac:dyDescent="0.3">
      <c r="B505" s="380" t="s">
        <v>5</v>
      </c>
      <c r="C505" s="409" t="s">
        <v>762</v>
      </c>
      <c r="D505" s="423" t="s">
        <v>763</v>
      </c>
      <c r="E505" s="380" t="s">
        <v>1684</v>
      </c>
      <c r="F505" s="501">
        <v>46128</v>
      </c>
      <c r="G505" s="380" t="s">
        <v>55</v>
      </c>
      <c r="H505" s="380">
        <v>1</v>
      </c>
      <c r="I505" s="388">
        <v>80001</v>
      </c>
      <c r="J505" s="380">
        <v>3</v>
      </c>
      <c r="K505" s="389">
        <f t="shared" si="22"/>
        <v>26667</v>
      </c>
      <c r="L505" s="505">
        <v>46113</v>
      </c>
      <c r="M505" s="505">
        <v>46477</v>
      </c>
      <c r="N505" s="668"/>
      <c r="O505" s="685"/>
      <c r="P505" s="363" t="s">
        <v>520</v>
      </c>
      <c r="Q505" s="380"/>
      <c r="R505" s="380"/>
      <c r="S505" s="363" t="s">
        <v>1080</v>
      </c>
      <c r="T505" s="363"/>
      <c r="U505" s="363" t="s">
        <v>1108</v>
      </c>
      <c r="V505" s="363"/>
      <c r="W505" s="363" t="s">
        <v>1109</v>
      </c>
      <c r="X505" s="363"/>
      <c r="Y505" s="363"/>
      <c r="Z505" s="363"/>
      <c r="AA505" s="363"/>
      <c r="AB505" s="363"/>
      <c r="AC505" s="363"/>
      <c r="AD505" s="363"/>
      <c r="AE505" s="363" t="s">
        <v>507</v>
      </c>
      <c r="AF505" s="380" t="s">
        <v>63</v>
      </c>
      <c r="AG505" s="380">
        <v>3</v>
      </c>
      <c r="AH505" s="363" t="s">
        <v>667</v>
      </c>
    </row>
    <row r="506" spans="2:34" ht="15" hidden="1" customHeight="1" x14ac:dyDescent="0.3">
      <c r="B506" s="380" t="s">
        <v>5</v>
      </c>
      <c r="C506" s="409" t="s">
        <v>1685</v>
      </c>
      <c r="D506" s="423" t="s">
        <v>1686</v>
      </c>
      <c r="E506" s="493" t="s">
        <v>1687</v>
      </c>
      <c r="F506" s="488">
        <v>46130</v>
      </c>
      <c r="G506" s="514" t="s">
        <v>703</v>
      </c>
      <c r="H506" s="380">
        <v>6</v>
      </c>
      <c r="I506" s="388">
        <v>2352488.14</v>
      </c>
      <c r="J506" s="380">
        <v>6</v>
      </c>
      <c r="K506" s="389">
        <f>I506/4</f>
        <v>588122.03500000003</v>
      </c>
      <c r="L506" s="505">
        <v>46136</v>
      </c>
      <c r="M506" s="505">
        <v>46500</v>
      </c>
      <c r="N506" s="668">
        <v>155079</v>
      </c>
      <c r="O506" s="685">
        <v>4216</v>
      </c>
      <c r="P506" s="363" t="s">
        <v>520</v>
      </c>
      <c r="Q506" s="389"/>
      <c r="R506" s="380" t="s">
        <v>1</v>
      </c>
      <c r="S506" s="390" t="s">
        <v>1688</v>
      </c>
      <c r="T506" s="363" t="s">
        <v>1710</v>
      </c>
      <c r="U506" s="390" t="s">
        <v>1689</v>
      </c>
      <c r="V506" s="363" t="s">
        <v>1936</v>
      </c>
      <c r="W506" s="363" t="s">
        <v>1690</v>
      </c>
      <c r="X506" s="363"/>
      <c r="Y506" s="363" t="s">
        <v>1691</v>
      </c>
      <c r="Z506" s="363"/>
      <c r="AA506" s="363" t="s">
        <v>1692</v>
      </c>
      <c r="AB506" s="363"/>
      <c r="AC506" s="363" t="s">
        <v>1693</v>
      </c>
      <c r="AD506" s="363"/>
      <c r="AE506" s="363" t="s">
        <v>551</v>
      </c>
      <c r="AF506" s="380" t="s">
        <v>207</v>
      </c>
      <c r="AG506" s="380" t="s">
        <v>494</v>
      </c>
      <c r="AH506" s="363" t="s">
        <v>667</v>
      </c>
    </row>
    <row r="507" spans="2:34" ht="15" hidden="1" customHeight="1" x14ac:dyDescent="0.3">
      <c r="B507" s="380" t="s">
        <v>5</v>
      </c>
      <c r="C507" s="482" t="s">
        <v>836</v>
      </c>
      <c r="D507" s="483" t="s">
        <v>629</v>
      </c>
      <c r="E507" s="491" t="s">
        <v>1694</v>
      </c>
      <c r="F507" s="488">
        <v>46133</v>
      </c>
      <c r="G507" s="380" t="s">
        <v>55</v>
      </c>
      <c r="H507" s="380">
        <v>2</v>
      </c>
      <c r="I507" s="388">
        <v>176400</v>
      </c>
      <c r="J507" s="380">
        <v>2</v>
      </c>
      <c r="K507" s="389">
        <f t="shared" ref="K507:K513" si="23">I507/J507</f>
        <v>88200</v>
      </c>
      <c r="L507" s="504">
        <v>46113</v>
      </c>
      <c r="M507" s="504">
        <v>46477</v>
      </c>
      <c r="N507" s="667"/>
      <c r="O507" s="684"/>
      <c r="P507" s="363" t="s">
        <v>520</v>
      </c>
      <c r="Q507" s="380"/>
      <c r="R507" s="380"/>
      <c r="S507" s="363" t="s">
        <v>467</v>
      </c>
      <c r="T507" s="363"/>
      <c r="U507" s="363" t="s">
        <v>1633</v>
      </c>
      <c r="V507" s="363"/>
      <c r="W507" s="363"/>
      <c r="X507" s="363"/>
      <c r="Y507" s="363"/>
      <c r="Z507" s="363"/>
      <c r="AA507" s="363"/>
      <c r="AB507" s="363"/>
      <c r="AC507" s="363"/>
      <c r="AD507" s="363"/>
      <c r="AE507" s="363" t="s">
        <v>485</v>
      </c>
      <c r="AF507" s="380" t="s">
        <v>63</v>
      </c>
      <c r="AG507" s="380">
        <v>2</v>
      </c>
      <c r="AH507" s="363" t="s">
        <v>799</v>
      </c>
    </row>
    <row r="508" spans="2:34" ht="15" hidden="1" customHeight="1" x14ac:dyDescent="0.3">
      <c r="B508" s="380" t="s">
        <v>5</v>
      </c>
      <c r="C508" s="482" t="s">
        <v>544</v>
      </c>
      <c r="D508" s="483" t="s">
        <v>1029</v>
      </c>
      <c r="E508" s="419">
        <v>1260004105</v>
      </c>
      <c r="F508" s="488">
        <v>46130</v>
      </c>
      <c r="G508" s="380" t="s">
        <v>55</v>
      </c>
      <c r="H508" s="380">
        <v>1</v>
      </c>
      <c r="I508" s="388">
        <v>145000</v>
      </c>
      <c r="J508" s="380">
        <v>3</v>
      </c>
      <c r="K508" s="389">
        <f t="shared" si="23"/>
        <v>48333.333333333336</v>
      </c>
      <c r="L508" s="513">
        <v>46164</v>
      </c>
      <c r="M508" s="513">
        <v>46528</v>
      </c>
      <c r="N508" s="667"/>
      <c r="O508" s="684"/>
      <c r="P508" s="363" t="s">
        <v>520</v>
      </c>
      <c r="Q508" s="380"/>
      <c r="R508" s="380"/>
      <c r="S508" s="363" t="s">
        <v>1695</v>
      </c>
      <c r="T508" s="363"/>
      <c r="U508" s="363" t="s">
        <v>1696</v>
      </c>
      <c r="V508" s="363"/>
      <c r="W508" s="363" t="s">
        <v>1697</v>
      </c>
      <c r="X508" s="363"/>
      <c r="Y508" s="363"/>
      <c r="Z508" s="363"/>
      <c r="AA508" s="363"/>
      <c r="AB508" s="363"/>
      <c r="AC508" s="363"/>
      <c r="AD508" s="363"/>
      <c r="AE508" s="363" t="s">
        <v>834</v>
      </c>
      <c r="AF508" s="380" t="s">
        <v>207</v>
      </c>
      <c r="AG508" s="380">
        <v>3</v>
      </c>
      <c r="AH508" s="363" t="s">
        <v>667</v>
      </c>
    </row>
    <row r="509" spans="2:34" ht="15" hidden="1" customHeight="1" x14ac:dyDescent="0.3">
      <c r="B509" s="380" t="s">
        <v>5</v>
      </c>
      <c r="C509" s="482" t="s">
        <v>544</v>
      </c>
      <c r="D509" s="483" t="s">
        <v>447</v>
      </c>
      <c r="E509" s="491">
        <v>1260003465</v>
      </c>
      <c r="F509" s="488">
        <v>46127</v>
      </c>
      <c r="G509" s="380" t="s">
        <v>55</v>
      </c>
      <c r="H509" s="380">
        <v>2</v>
      </c>
      <c r="I509" s="388">
        <v>215400</v>
      </c>
      <c r="J509" s="380">
        <v>3</v>
      </c>
      <c r="K509" s="389">
        <f t="shared" si="23"/>
        <v>71800</v>
      </c>
      <c r="L509" s="504">
        <v>46113</v>
      </c>
      <c r="M509" s="504">
        <v>46477</v>
      </c>
      <c r="N509" s="667"/>
      <c r="O509" s="684"/>
      <c r="P509" s="363" t="s">
        <v>520</v>
      </c>
      <c r="Q509" s="380"/>
      <c r="R509" s="380"/>
      <c r="S509" s="390" t="s">
        <v>1080</v>
      </c>
      <c r="T509" s="363" t="s">
        <v>1941</v>
      </c>
      <c r="U509" s="363" t="s">
        <v>1108</v>
      </c>
      <c r="V509" s="363"/>
      <c r="W509" s="363" t="s">
        <v>1109</v>
      </c>
      <c r="X509" s="363"/>
      <c r="Y509" s="363"/>
      <c r="Z509" s="363"/>
      <c r="AA509" s="363"/>
      <c r="AB509" s="363"/>
      <c r="AC509" s="363"/>
      <c r="AD509" s="363"/>
      <c r="AE509" s="363" t="s">
        <v>96</v>
      </c>
      <c r="AF509" s="380" t="s">
        <v>97</v>
      </c>
      <c r="AG509" s="380" t="s">
        <v>494</v>
      </c>
      <c r="AH509" s="363" t="s">
        <v>667</v>
      </c>
    </row>
    <row r="510" spans="2:34" ht="15" hidden="1" customHeight="1" x14ac:dyDescent="0.3">
      <c r="B510" s="380" t="s">
        <v>5</v>
      </c>
      <c r="C510" s="409" t="s">
        <v>751</v>
      </c>
      <c r="D510" s="423" t="s">
        <v>151</v>
      </c>
      <c r="E510" s="408">
        <v>307000844</v>
      </c>
      <c r="F510" s="488">
        <v>46129</v>
      </c>
      <c r="G510" s="380" t="s">
        <v>55</v>
      </c>
      <c r="H510" s="380">
        <v>1</v>
      </c>
      <c r="I510" s="388">
        <v>124440</v>
      </c>
      <c r="J510" s="380">
        <v>4</v>
      </c>
      <c r="K510" s="389">
        <f t="shared" si="23"/>
        <v>31110</v>
      </c>
      <c r="L510" s="505">
        <v>46113</v>
      </c>
      <c r="M510" s="505">
        <v>46477</v>
      </c>
      <c r="N510" s="668"/>
      <c r="O510" s="685"/>
      <c r="P510" s="363" t="s">
        <v>520</v>
      </c>
      <c r="Q510" s="380"/>
      <c r="R510" s="380"/>
      <c r="S510" s="390" t="s">
        <v>397</v>
      </c>
      <c r="T510" s="363" t="s">
        <v>1853</v>
      </c>
      <c r="U510" s="363" t="s">
        <v>496</v>
      </c>
      <c r="V510" s="363"/>
      <c r="W510" s="363" t="s">
        <v>497</v>
      </c>
      <c r="X510" s="363"/>
      <c r="Y510" s="363" t="s">
        <v>498</v>
      </c>
      <c r="Z510" s="363"/>
      <c r="AA510" s="363"/>
      <c r="AB510" s="363"/>
      <c r="AC510" s="363"/>
      <c r="AD510" s="363"/>
      <c r="AE510" s="363" t="s">
        <v>507</v>
      </c>
      <c r="AF510" s="380" t="s">
        <v>63</v>
      </c>
      <c r="AG510" s="380">
        <v>4</v>
      </c>
      <c r="AH510" s="363" t="s">
        <v>1626</v>
      </c>
    </row>
    <row r="511" spans="2:34" ht="15" hidden="1" customHeight="1" x14ac:dyDescent="0.3">
      <c r="B511" s="380" t="s">
        <v>5</v>
      </c>
      <c r="C511" s="409" t="s">
        <v>875</v>
      </c>
      <c r="D511" s="423" t="s">
        <v>876</v>
      </c>
      <c r="E511" s="484" t="s">
        <v>1698</v>
      </c>
      <c r="F511" s="488">
        <v>46133</v>
      </c>
      <c r="G511" s="380" t="s">
        <v>55</v>
      </c>
      <c r="H511" s="380">
        <v>3</v>
      </c>
      <c r="I511" s="388">
        <v>461100</v>
      </c>
      <c r="J511" s="380">
        <v>3</v>
      </c>
      <c r="K511" s="389">
        <f t="shared" si="23"/>
        <v>153700</v>
      </c>
      <c r="L511" s="505">
        <v>46143</v>
      </c>
      <c r="M511" s="505">
        <v>46507</v>
      </c>
      <c r="N511" s="668"/>
      <c r="O511" s="685"/>
      <c r="P511" s="363" t="s">
        <v>520</v>
      </c>
      <c r="Q511" s="380"/>
      <c r="R511" s="380"/>
      <c r="S511" s="363" t="s">
        <v>348</v>
      </c>
      <c r="T511" s="363"/>
      <c r="U511" s="363" t="s">
        <v>349</v>
      </c>
      <c r="V511" s="363"/>
      <c r="W511" s="363" t="s">
        <v>738</v>
      </c>
      <c r="X511" s="363"/>
      <c r="Y511" s="363"/>
      <c r="Z511" s="363"/>
      <c r="AA511" s="363"/>
      <c r="AB511" s="363"/>
      <c r="AC511" s="363"/>
      <c r="AD511" s="363"/>
      <c r="AE511" s="363" t="s">
        <v>281</v>
      </c>
      <c r="AF511" s="380" t="s">
        <v>97</v>
      </c>
      <c r="AG511" s="380">
        <v>3</v>
      </c>
      <c r="AH511" s="363" t="s">
        <v>799</v>
      </c>
    </row>
    <row r="512" spans="2:34" ht="15" hidden="1" customHeight="1" x14ac:dyDescent="0.3">
      <c r="B512" s="380" t="s">
        <v>5</v>
      </c>
      <c r="C512" s="409" t="s">
        <v>1699</v>
      </c>
      <c r="D512" s="423" t="s">
        <v>906</v>
      </c>
      <c r="E512" s="408" t="s">
        <v>1700</v>
      </c>
      <c r="F512" s="488">
        <v>46136</v>
      </c>
      <c r="G512" s="380" t="s">
        <v>55</v>
      </c>
      <c r="H512" s="380">
        <v>2</v>
      </c>
      <c r="I512" s="388">
        <v>180000</v>
      </c>
      <c r="J512" s="380">
        <v>4</v>
      </c>
      <c r="K512" s="389">
        <f t="shared" si="23"/>
        <v>45000</v>
      </c>
      <c r="L512" s="505">
        <v>45953</v>
      </c>
      <c r="M512" s="505">
        <v>46317</v>
      </c>
      <c r="N512" s="668"/>
      <c r="O512" s="685"/>
      <c r="P512" s="363" t="s">
        <v>520</v>
      </c>
      <c r="Q512" s="380"/>
      <c r="R512" s="380"/>
      <c r="S512" s="394" t="str" cm="1">
        <f t="array" ref="S512">TEXT(EDATE($L512,{0}),"dd/mm/yyy") &amp; " to " &amp; TEXT(EDATE($L512,{3})-1,"dd/mm/yyyy")</f>
        <v>23/10/2025 to 22/01/2026</v>
      </c>
      <c r="T512" s="363"/>
      <c r="U512" s="394" t="str" cm="1">
        <f t="array" ref="U512">TEXT(EDATE($L512,{3}),"dd/mm/yyy") &amp; " to " &amp; TEXT(EDATE($L512,{6})-1,"dd/mm/yyyy")</f>
        <v>23/01/2026 to 22/04/2026</v>
      </c>
      <c r="V512" s="363" t="s">
        <v>1877</v>
      </c>
      <c r="W512" s="381" t="str" cm="1">
        <f t="array" ref="W512">TEXT(EDATE($L512,{6}),"dd/mm/yyy") &amp; " to " &amp; TEXT(EDATE($L512,{9})-1,"dd/mm/yyyy")</f>
        <v>23/04/2026 to 22/07/2026</v>
      </c>
      <c r="X512" s="363"/>
      <c r="Y512" s="381" t="str" cm="1">
        <f t="array" ref="Y512">TEXT(EDATE($L512,{9}),"dd/mm/yyy") &amp; " to " &amp; TEXT(EDATE($L512,{12})-1,"dd/mm/yyyy")</f>
        <v>23/07/2026 to 22/10/2026</v>
      </c>
      <c r="Z512" s="363"/>
      <c r="AA512" s="363"/>
      <c r="AB512" s="363"/>
      <c r="AC512" s="363"/>
      <c r="AD512" s="363"/>
      <c r="AE512" s="363" t="s">
        <v>551</v>
      </c>
      <c r="AF512" s="380" t="s">
        <v>207</v>
      </c>
      <c r="AG512" s="380">
        <v>3</v>
      </c>
      <c r="AH512" s="363" t="s">
        <v>1704</v>
      </c>
    </row>
    <row r="513" spans="2:34" ht="15" hidden="1" customHeight="1" x14ac:dyDescent="0.3">
      <c r="B513" s="380" t="s">
        <v>5</v>
      </c>
      <c r="C513" s="478" t="s">
        <v>628</v>
      </c>
      <c r="D513" s="480" t="s">
        <v>910</v>
      </c>
      <c r="E513" s="481" t="s">
        <v>1705</v>
      </c>
      <c r="F513" s="496">
        <v>46128</v>
      </c>
      <c r="G513" s="380" t="s">
        <v>55</v>
      </c>
      <c r="H513" s="380">
        <v>3</v>
      </c>
      <c r="I513" s="388">
        <v>163500</v>
      </c>
      <c r="J513" s="380">
        <v>1</v>
      </c>
      <c r="K513" s="389">
        <f t="shared" si="23"/>
        <v>163500</v>
      </c>
      <c r="L513" s="504">
        <v>46113</v>
      </c>
      <c r="M513" s="504">
        <v>46477</v>
      </c>
      <c r="N513" s="667"/>
      <c r="O513" s="684"/>
      <c r="P513" s="363" t="s">
        <v>520</v>
      </c>
      <c r="Q513" s="380"/>
      <c r="R513" s="380"/>
      <c r="S513" s="363" t="s">
        <v>1706</v>
      </c>
      <c r="T513" s="363"/>
      <c r="U513" s="363"/>
      <c r="V513" s="363"/>
      <c r="W513" s="363"/>
      <c r="X513" s="363"/>
      <c r="Y513" s="363"/>
      <c r="Z513" s="363"/>
      <c r="AA513" s="363"/>
      <c r="AB513" s="363"/>
      <c r="AC513" s="363"/>
      <c r="AD513" s="363"/>
      <c r="AE513" s="363" t="s">
        <v>485</v>
      </c>
      <c r="AF513" s="380" t="s">
        <v>63</v>
      </c>
      <c r="AG513" s="380">
        <v>2</v>
      </c>
      <c r="AH513" s="363" t="s">
        <v>1488</v>
      </c>
    </row>
    <row r="514" spans="2:34" ht="15" hidden="1" customHeight="1" x14ac:dyDescent="0.3">
      <c r="B514" s="380" t="s">
        <v>5</v>
      </c>
      <c r="C514" s="412" t="s">
        <v>1707</v>
      </c>
      <c r="D514" s="510" t="s">
        <v>176</v>
      </c>
      <c r="E514" s="515">
        <v>26000193</v>
      </c>
      <c r="F514" s="499">
        <v>46118</v>
      </c>
      <c r="G514" s="380" t="s">
        <v>55</v>
      </c>
      <c r="H514" s="380">
        <v>1</v>
      </c>
      <c r="I514" s="388">
        <v>94500</v>
      </c>
      <c r="J514" s="380">
        <v>3</v>
      </c>
      <c r="K514" s="389"/>
      <c r="L514" s="516">
        <v>46113</v>
      </c>
      <c r="M514" s="516">
        <v>46477</v>
      </c>
      <c r="N514" s="667"/>
      <c r="O514" s="684"/>
      <c r="P514" s="363" t="s">
        <v>520</v>
      </c>
      <c r="Q514" s="380"/>
      <c r="R514" s="380"/>
      <c r="S514" s="390" t="s">
        <v>1080</v>
      </c>
      <c r="T514" s="363" t="s">
        <v>1859</v>
      </c>
      <c r="U514" s="363" t="s">
        <v>1108</v>
      </c>
      <c r="V514" s="363"/>
      <c r="W514" s="363" t="s">
        <v>1109</v>
      </c>
      <c r="X514" s="363"/>
      <c r="Y514" s="363"/>
      <c r="Z514" s="363"/>
      <c r="AA514" s="363"/>
      <c r="AB514" s="363"/>
      <c r="AC514" s="363"/>
      <c r="AD514" s="363"/>
      <c r="AE514" s="363" t="s">
        <v>485</v>
      </c>
      <c r="AF514" s="380" t="s">
        <v>63</v>
      </c>
      <c r="AG514" s="380">
        <v>2</v>
      </c>
      <c r="AH514" s="363" t="s">
        <v>1708</v>
      </c>
    </row>
    <row r="515" spans="2:34" ht="15" hidden="1" customHeight="1" x14ac:dyDescent="0.3">
      <c r="B515" s="380" t="s">
        <v>6</v>
      </c>
      <c r="C515" s="409" t="s">
        <v>663</v>
      </c>
      <c r="D515" s="434" t="s">
        <v>950</v>
      </c>
      <c r="E515" s="493">
        <v>4508018808</v>
      </c>
      <c r="F515" s="488">
        <v>46140</v>
      </c>
      <c r="G515" s="380" t="s">
        <v>55</v>
      </c>
      <c r="H515" s="380">
        <v>6</v>
      </c>
      <c r="I515" s="388">
        <v>479999.88</v>
      </c>
      <c r="J515" s="380">
        <v>3</v>
      </c>
      <c r="K515" s="389">
        <f>I515/J515</f>
        <v>159999.96</v>
      </c>
      <c r="L515" s="517">
        <v>46113</v>
      </c>
      <c r="M515" s="517">
        <v>46477</v>
      </c>
      <c r="N515" s="668">
        <v>155307</v>
      </c>
      <c r="O515" s="685"/>
      <c r="P515" s="363" t="s">
        <v>520</v>
      </c>
      <c r="Q515" s="380"/>
      <c r="R515" s="380"/>
      <c r="S515" s="363" t="s">
        <v>1080</v>
      </c>
      <c r="T515" s="363"/>
      <c r="U515" s="363" t="s">
        <v>1108</v>
      </c>
      <c r="V515" s="363"/>
      <c r="W515" s="363" t="s">
        <v>1109</v>
      </c>
      <c r="X515" s="363"/>
      <c r="Y515" s="363"/>
      <c r="Z515" s="363"/>
      <c r="AA515" s="363"/>
      <c r="AB515" s="363"/>
      <c r="AC515" s="363"/>
      <c r="AD515" s="363"/>
      <c r="AE515" s="363" t="s">
        <v>478</v>
      </c>
      <c r="AF515" s="380" t="s">
        <v>63</v>
      </c>
      <c r="AG515" s="380">
        <v>3</v>
      </c>
      <c r="AH515" s="363" t="s">
        <v>1272</v>
      </c>
    </row>
    <row r="516" spans="2:34" ht="15" hidden="1" customHeight="1" x14ac:dyDescent="0.3">
      <c r="B516" s="380" t="s">
        <v>6</v>
      </c>
      <c r="C516" s="409" t="s">
        <v>150</v>
      </c>
      <c r="D516" s="423" t="s">
        <v>350</v>
      </c>
      <c r="E516" s="408">
        <v>4200384269</v>
      </c>
      <c r="F516" s="488">
        <v>46100</v>
      </c>
      <c r="G516" s="380" t="s">
        <v>55</v>
      </c>
      <c r="H516" s="380"/>
      <c r="I516" s="388">
        <v>123300</v>
      </c>
      <c r="J516" s="380">
        <v>3</v>
      </c>
      <c r="K516" s="389">
        <f>I516/J516</f>
        <v>41100</v>
      </c>
      <c r="L516" s="505">
        <v>46113</v>
      </c>
      <c r="M516" s="505">
        <v>46477</v>
      </c>
      <c r="N516" s="668"/>
      <c r="O516" s="685"/>
      <c r="P516" s="363" t="s">
        <v>520</v>
      </c>
      <c r="Q516" s="380"/>
      <c r="R516" s="380"/>
      <c r="S516" s="390" t="s">
        <v>1080</v>
      </c>
      <c r="T516" s="363" t="s">
        <v>1878</v>
      </c>
      <c r="U516" s="363" t="s">
        <v>1108</v>
      </c>
      <c r="V516" s="363"/>
      <c r="W516" s="363" t="s">
        <v>1109</v>
      </c>
      <c r="X516" s="363"/>
      <c r="Y516" s="363"/>
      <c r="Z516" s="363"/>
      <c r="AA516" s="363"/>
      <c r="AB516" s="363"/>
      <c r="AC516" s="363"/>
      <c r="AD516" s="363"/>
      <c r="AE516" s="363" t="s">
        <v>834</v>
      </c>
      <c r="AF516" s="380" t="s">
        <v>207</v>
      </c>
      <c r="AG516" s="380">
        <v>2</v>
      </c>
      <c r="AH516" s="363" t="s">
        <v>1272</v>
      </c>
    </row>
    <row r="517" spans="2:34" ht="15" hidden="1" customHeight="1" x14ac:dyDescent="0.3">
      <c r="B517" s="380" t="s">
        <v>6</v>
      </c>
      <c r="C517" s="409" t="s">
        <v>150</v>
      </c>
      <c r="D517" s="423" t="s">
        <v>350</v>
      </c>
      <c r="E517" s="408">
        <v>4200384269</v>
      </c>
      <c r="F517" s="488">
        <v>46100</v>
      </c>
      <c r="G517" s="380" t="s">
        <v>55</v>
      </c>
      <c r="H517" s="380"/>
      <c r="I517" s="388">
        <v>129600</v>
      </c>
      <c r="J517" s="380">
        <v>3</v>
      </c>
      <c r="K517" s="389">
        <f>I517/J517</f>
        <v>43200</v>
      </c>
      <c r="L517" s="507">
        <v>46478</v>
      </c>
      <c r="M517" s="507">
        <v>46843</v>
      </c>
      <c r="N517" s="663"/>
      <c r="O517" s="680"/>
      <c r="P517" s="363" t="s">
        <v>520</v>
      </c>
      <c r="Q517" s="380"/>
      <c r="R517" s="380"/>
      <c r="S517" s="363" t="s">
        <v>1110</v>
      </c>
      <c r="T517" s="363"/>
      <c r="U517" s="363" t="s">
        <v>1742</v>
      </c>
      <c r="V517" s="363"/>
      <c r="W517" s="363" t="s">
        <v>1112</v>
      </c>
      <c r="X517" s="363"/>
      <c r="Y517" s="363"/>
      <c r="Z517" s="363"/>
      <c r="AA517" s="363"/>
      <c r="AB517" s="363"/>
      <c r="AC517" s="363"/>
      <c r="AD517" s="363"/>
      <c r="AE517" s="363" t="s">
        <v>834</v>
      </c>
      <c r="AF517" s="380" t="s">
        <v>207</v>
      </c>
      <c r="AG517" s="380">
        <v>2</v>
      </c>
      <c r="AH517" s="363" t="s">
        <v>1272</v>
      </c>
    </row>
    <row r="518" spans="2:34" ht="15" hidden="1" customHeight="1" x14ac:dyDescent="0.3">
      <c r="B518" s="380" t="s">
        <v>6</v>
      </c>
      <c r="C518" s="409" t="s">
        <v>150</v>
      </c>
      <c r="D518" s="423" t="s">
        <v>350</v>
      </c>
      <c r="E518" s="408">
        <v>4200384269</v>
      </c>
      <c r="F518" s="488">
        <v>46100</v>
      </c>
      <c r="G518" s="380" t="s">
        <v>55</v>
      </c>
      <c r="H518" s="380">
        <v>1</v>
      </c>
      <c r="I518" s="388">
        <v>136200</v>
      </c>
      <c r="J518" s="380">
        <v>3</v>
      </c>
      <c r="K518" s="389">
        <f>I518/J518</f>
        <v>45400</v>
      </c>
      <c r="L518" s="507">
        <v>46844</v>
      </c>
      <c r="M518" s="507">
        <v>47208</v>
      </c>
      <c r="N518" s="663"/>
      <c r="O518" s="680"/>
      <c r="P518" s="363" t="s">
        <v>520</v>
      </c>
      <c r="Q518" s="380"/>
      <c r="R518" s="380"/>
      <c r="S518" s="363" t="s">
        <v>1743</v>
      </c>
      <c r="T518" s="363"/>
      <c r="U518" s="363" t="s">
        <v>1744</v>
      </c>
      <c r="V518" s="363"/>
      <c r="W518" s="363" t="s">
        <v>1745</v>
      </c>
      <c r="X518" s="363"/>
      <c r="Y518" s="363"/>
      <c r="Z518" s="363"/>
      <c r="AA518" s="363"/>
      <c r="AB518" s="363"/>
      <c r="AC518" s="363"/>
      <c r="AD518" s="363"/>
      <c r="AE518" s="363" t="s">
        <v>834</v>
      </c>
      <c r="AF518" s="380" t="s">
        <v>207</v>
      </c>
      <c r="AG518" s="380">
        <v>2</v>
      </c>
      <c r="AH518" s="363" t="s">
        <v>1272</v>
      </c>
    </row>
    <row r="519" spans="2:34" ht="15" hidden="1" customHeight="1" x14ac:dyDescent="0.3">
      <c r="B519" s="380" t="s">
        <v>6</v>
      </c>
      <c r="C519" s="482" t="s">
        <v>1746</v>
      </c>
      <c r="D519" s="483" t="s">
        <v>388</v>
      </c>
      <c r="E519" s="468">
        <v>5000146860</v>
      </c>
      <c r="F519" s="501">
        <v>46136</v>
      </c>
      <c r="G519" s="380" t="s">
        <v>55</v>
      </c>
      <c r="H519" s="380">
        <v>1</v>
      </c>
      <c r="I519" s="388">
        <v>89300</v>
      </c>
      <c r="J519" s="380">
        <v>2</v>
      </c>
      <c r="K519" s="389">
        <f>I519/J519</f>
        <v>44650</v>
      </c>
      <c r="L519" s="504">
        <v>46113</v>
      </c>
      <c r="M519" s="504">
        <v>46477</v>
      </c>
      <c r="N519" s="667"/>
      <c r="O519" s="684"/>
      <c r="P519" s="363" t="s">
        <v>520</v>
      </c>
      <c r="Q519" s="380"/>
      <c r="R519" s="380" t="s">
        <v>1</v>
      </c>
      <c r="S519" s="363" t="s">
        <v>467</v>
      </c>
      <c r="T519" s="363"/>
      <c r="U519" s="363" t="s">
        <v>1633</v>
      </c>
      <c r="V519" s="363"/>
      <c r="W519" s="363"/>
      <c r="X519" s="363"/>
      <c r="Y519" s="363"/>
      <c r="Z519" s="363"/>
      <c r="AA519" s="363"/>
      <c r="AB519" s="363"/>
      <c r="AC519" s="363"/>
      <c r="AD519" s="363"/>
      <c r="AE519" s="363" t="s">
        <v>619</v>
      </c>
      <c r="AF519" s="380" t="s">
        <v>63</v>
      </c>
      <c r="AG519" s="380">
        <v>3</v>
      </c>
      <c r="AH519" s="363" t="s">
        <v>667</v>
      </c>
    </row>
    <row r="520" spans="2:34" ht="15" hidden="1" customHeight="1" x14ac:dyDescent="0.3">
      <c r="B520" s="380" t="s">
        <v>6</v>
      </c>
      <c r="C520" s="482" t="s">
        <v>845</v>
      </c>
      <c r="D520" s="483" t="s">
        <v>846</v>
      </c>
      <c r="E520" s="468">
        <v>901984108</v>
      </c>
      <c r="F520" s="501">
        <v>46136</v>
      </c>
      <c r="G520" s="380" t="s">
        <v>55</v>
      </c>
      <c r="H520" s="380">
        <v>1</v>
      </c>
      <c r="I520" s="388">
        <v>98000</v>
      </c>
      <c r="J520" s="380">
        <v>3</v>
      </c>
      <c r="K520" s="389">
        <f>I520/2</f>
        <v>49000</v>
      </c>
      <c r="L520" s="504">
        <v>46023</v>
      </c>
      <c r="M520" s="504">
        <v>46387</v>
      </c>
      <c r="N520" s="667"/>
      <c r="O520" s="684"/>
      <c r="P520" s="363" t="s">
        <v>520</v>
      </c>
      <c r="Q520" s="380"/>
      <c r="R520" s="380" t="s">
        <v>1</v>
      </c>
      <c r="S520" s="390" t="s">
        <v>347</v>
      </c>
      <c r="T520" s="363" t="s">
        <v>1747</v>
      </c>
      <c r="U520" s="390" t="s">
        <v>348</v>
      </c>
      <c r="V520" s="363" t="s">
        <v>1966</v>
      </c>
      <c r="W520" s="363" t="s">
        <v>349</v>
      </c>
      <c r="X520" s="363"/>
      <c r="Y520" s="363"/>
      <c r="Z520" s="363"/>
      <c r="AA520" s="363"/>
      <c r="AB520" s="363"/>
      <c r="AC520" s="363"/>
      <c r="AD520" s="363"/>
      <c r="AE520" s="363" t="s">
        <v>551</v>
      </c>
      <c r="AF520" s="380" t="s">
        <v>207</v>
      </c>
      <c r="AG520" s="380">
        <v>3</v>
      </c>
      <c r="AH520" s="363" t="s">
        <v>1967</v>
      </c>
    </row>
    <row r="521" spans="2:34" ht="15" hidden="1" customHeight="1" x14ac:dyDescent="0.3">
      <c r="B521" s="380" t="s">
        <v>6</v>
      </c>
      <c r="C521" s="430" t="s">
        <v>1151</v>
      </c>
      <c r="D521" s="445" t="s">
        <v>151</v>
      </c>
      <c r="E521" s="509">
        <v>4514137209</v>
      </c>
      <c r="F521" s="488">
        <v>46147</v>
      </c>
      <c r="G521" s="380" t="s">
        <v>55</v>
      </c>
      <c r="H521" s="380">
        <v>1</v>
      </c>
      <c r="I521" s="388">
        <v>285000</v>
      </c>
      <c r="J521" s="380">
        <v>3</v>
      </c>
      <c r="K521" s="389">
        <f t="shared" ref="K521:K533" si="24">I521/J521</f>
        <v>95000</v>
      </c>
      <c r="L521" s="504">
        <v>46143</v>
      </c>
      <c r="M521" s="504">
        <v>46507</v>
      </c>
      <c r="N521" s="667">
        <v>155308</v>
      </c>
      <c r="O521" s="684"/>
      <c r="P521" s="363" t="s">
        <v>520</v>
      </c>
      <c r="Q521" s="380"/>
      <c r="R521" s="380"/>
      <c r="S521" s="363" t="s">
        <v>348</v>
      </c>
      <c r="T521" s="363"/>
      <c r="U521" s="363" t="s">
        <v>349</v>
      </c>
      <c r="V521" s="363"/>
      <c r="W521" s="363" t="s">
        <v>738</v>
      </c>
      <c r="X521" s="363"/>
      <c r="Y521" s="363"/>
      <c r="Z521" s="363"/>
      <c r="AA521" s="363"/>
      <c r="AB521" s="363"/>
      <c r="AC521" s="363"/>
      <c r="AD521" s="363"/>
      <c r="AE521" s="363" t="s">
        <v>478</v>
      </c>
      <c r="AF521" s="380" t="s">
        <v>63</v>
      </c>
      <c r="AG521" s="380">
        <v>3</v>
      </c>
      <c r="AH521" s="363" t="s">
        <v>667</v>
      </c>
    </row>
    <row r="522" spans="2:34" ht="15" hidden="1" customHeight="1" x14ac:dyDescent="0.3">
      <c r="B522" s="380" t="s">
        <v>6</v>
      </c>
      <c r="C522" s="363" t="s">
        <v>1749</v>
      </c>
      <c r="D522" s="483" t="s">
        <v>841</v>
      </c>
      <c r="E522" s="468" t="s">
        <v>1750</v>
      </c>
      <c r="F522" s="488">
        <v>46144</v>
      </c>
      <c r="G522" s="380" t="s">
        <v>55</v>
      </c>
      <c r="H522" s="380">
        <v>2</v>
      </c>
      <c r="I522" s="388">
        <v>110000</v>
      </c>
      <c r="J522" s="380">
        <v>1</v>
      </c>
      <c r="K522" s="389">
        <f t="shared" si="24"/>
        <v>110000</v>
      </c>
      <c r="L522" s="504">
        <v>46113</v>
      </c>
      <c r="M522" s="504">
        <v>46477</v>
      </c>
      <c r="N522" s="667"/>
      <c r="O522" s="684"/>
      <c r="P522" s="363" t="s">
        <v>520</v>
      </c>
      <c r="Q522" s="380"/>
      <c r="R522" s="380"/>
      <c r="S522" s="363" t="s">
        <v>646</v>
      </c>
      <c r="T522" s="363"/>
      <c r="U522" s="363"/>
      <c r="V522" s="363"/>
      <c r="W522" s="363"/>
      <c r="X522" s="363"/>
      <c r="Y522" s="363"/>
      <c r="Z522" s="363"/>
      <c r="AA522" s="363"/>
      <c r="AB522" s="363"/>
      <c r="AC522" s="363"/>
      <c r="AD522" s="363"/>
      <c r="AE522" s="363" t="s">
        <v>485</v>
      </c>
      <c r="AF522" s="380" t="s">
        <v>63</v>
      </c>
      <c r="AG522" s="380">
        <v>2</v>
      </c>
      <c r="AH522" s="363" t="s">
        <v>1751</v>
      </c>
    </row>
    <row r="523" spans="2:34" ht="15" hidden="1" customHeight="1" x14ac:dyDescent="0.3">
      <c r="B523" s="380" t="s">
        <v>6</v>
      </c>
      <c r="C523" s="482" t="s">
        <v>679</v>
      </c>
      <c r="D523" s="483" t="s">
        <v>680</v>
      </c>
      <c r="E523" s="491">
        <v>7000296927</v>
      </c>
      <c r="F523" s="488">
        <v>46140</v>
      </c>
      <c r="G523" s="380" t="s">
        <v>55</v>
      </c>
      <c r="H523" s="380">
        <v>2</v>
      </c>
      <c r="I523" s="388">
        <v>180000</v>
      </c>
      <c r="J523" s="380">
        <v>2</v>
      </c>
      <c r="K523" s="389">
        <f t="shared" si="24"/>
        <v>90000</v>
      </c>
      <c r="L523" s="504">
        <v>46113</v>
      </c>
      <c r="M523" s="504">
        <v>46477</v>
      </c>
      <c r="N523" s="667"/>
      <c r="O523" s="684"/>
      <c r="P523" s="363" t="s">
        <v>520</v>
      </c>
      <c r="Q523" s="380"/>
      <c r="R523" s="380"/>
      <c r="S523" s="363" t="s">
        <v>467</v>
      </c>
      <c r="T523" s="363"/>
      <c r="U523" s="363" t="s">
        <v>1633</v>
      </c>
      <c r="V523" s="363"/>
      <c r="W523" s="363"/>
      <c r="X523" s="363"/>
      <c r="Y523" s="363"/>
      <c r="Z523" s="363"/>
      <c r="AA523" s="363"/>
      <c r="AB523" s="363"/>
      <c r="AC523" s="363"/>
      <c r="AD523" s="363"/>
      <c r="AE523" s="363" t="s">
        <v>485</v>
      </c>
      <c r="AF523" s="380" t="s">
        <v>63</v>
      </c>
      <c r="AG523" s="380">
        <v>2</v>
      </c>
      <c r="AH523" s="363" t="s">
        <v>1752</v>
      </c>
    </row>
    <row r="524" spans="2:34" ht="15" hidden="1" customHeight="1" x14ac:dyDescent="0.3">
      <c r="B524" s="380" t="s">
        <v>6</v>
      </c>
      <c r="C524" s="482" t="s">
        <v>830</v>
      </c>
      <c r="D524" s="483" t="s">
        <v>831</v>
      </c>
      <c r="E524" s="468">
        <v>3500126806</v>
      </c>
      <c r="F524" s="488">
        <v>46141</v>
      </c>
      <c r="G524" s="380" t="s">
        <v>55</v>
      </c>
      <c r="H524" s="380">
        <v>1</v>
      </c>
      <c r="I524" s="388">
        <v>120000</v>
      </c>
      <c r="J524" s="380">
        <v>3</v>
      </c>
      <c r="K524" s="389">
        <f t="shared" si="24"/>
        <v>40000</v>
      </c>
      <c r="L524" s="504">
        <v>46143</v>
      </c>
      <c r="M524" s="504">
        <v>46507</v>
      </c>
      <c r="N524" s="667"/>
      <c r="O524" s="684"/>
      <c r="P524" s="363" t="s">
        <v>520</v>
      </c>
      <c r="Q524" s="380"/>
      <c r="R524" s="380"/>
      <c r="S524" s="390" t="s">
        <v>348</v>
      </c>
      <c r="T524" s="363" t="s">
        <v>1733</v>
      </c>
      <c r="U524" s="363" t="s">
        <v>349</v>
      </c>
      <c r="V524" s="363"/>
      <c r="W524" s="363" t="s">
        <v>738</v>
      </c>
      <c r="X524" s="363"/>
      <c r="Y524" s="363"/>
      <c r="Z524" s="363"/>
      <c r="AA524" s="363"/>
      <c r="AB524" s="363"/>
      <c r="AC524" s="363"/>
      <c r="AD524" s="363"/>
      <c r="AE524" s="363" t="s">
        <v>834</v>
      </c>
      <c r="AF524" s="380" t="s">
        <v>207</v>
      </c>
      <c r="AG524" s="380">
        <v>3</v>
      </c>
      <c r="AH524" s="363" t="s">
        <v>1753</v>
      </c>
    </row>
    <row r="525" spans="2:34" ht="15" hidden="1" customHeight="1" x14ac:dyDescent="0.3">
      <c r="B525" s="380" t="s">
        <v>6</v>
      </c>
      <c r="C525" s="409" t="s">
        <v>1206</v>
      </c>
      <c r="D525" s="489" t="s">
        <v>323</v>
      </c>
      <c r="E525" s="408">
        <v>401249055</v>
      </c>
      <c r="F525" s="488">
        <v>46101</v>
      </c>
      <c r="G525" s="380" t="s">
        <v>55</v>
      </c>
      <c r="H525" s="380"/>
      <c r="I525" s="388">
        <v>196002</v>
      </c>
      <c r="J525" s="380">
        <v>2</v>
      </c>
      <c r="K525" s="389">
        <f t="shared" si="24"/>
        <v>98001</v>
      </c>
      <c r="L525" s="505">
        <v>46143</v>
      </c>
      <c r="M525" s="505">
        <v>46507</v>
      </c>
      <c r="N525" s="668"/>
      <c r="O525" s="685"/>
      <c r="P525" s="363" t="s">
        <v>520</v>
      </c>
      <c r="Q525" s="380"/>
      <c r="R525" s="380" t="s">
        <v>437</v>
      </c>
      <c r="S525" s="363" t="s">
        <v>1339</v>
      </c>
      <c r="T525" s="363"/>
      <c r="U525" s="363" t="s">
        <v>1644</v>
      </c>
      <c r="V525" s="363"/>
      <c r="W525" s="363"/>
      <c r="X525" s="363"/>
      <c r="Y525" s="363"/>
      <c r="Z525" s="363"/>
      <c r="AA525" s="363"/>
      <c r="AB525" s="363"/>
      <c r="AC525" s="363"/>
      <c r="AD525" s="363"/>
      <c r="AE525" s="363" t="s">
        <v>96</v>
      </c>
      <c r="AF525" s="380" t="s">
        <v>97</v>
      </c>
      <c r="AG525" s="380">
        <v>4</v>
      </c>
      <c r="AH525" s="363" t="s">
        <v>1754</v>
      </c>
    </row>
    <row r="526" spans="2:34" ht="15" hidden="1" customHeight="1" x14ac:dyDescent="0.3">
      <c r="B526" s="380" t="s">
        <v>6</v>
      </c>
      <c r="C526" s="409" t="s">
        <v>1206</v>
      </c>
      <c r="D526" s="489" t="s">
        <v>323</v>
      </c>
      <c r="E526" s="408">
        <v>401249055</v>
      </c>
      <c r="F526" s="488">
        <v>46101</v>
      </c>
      <c r="G526" s="380" t="s">
        <v>55</v>
      </c>
      <c r="H526" s="380">
        <v>2</v>
      </c>
      <c r="I526" s="388">
        <v>196002</v>
      </c>
      <c r="J526" s="380">
        <v>2</v>
      </c>
      <c r="K526" s="389">
        <f t="shared" si="24"/>
        <v>98001</v>
      </c>
      <c r="L526" s="505">
        <v>46508</v>
      </c>
      <c r="M526" s="505">
        <v>46873</v>
      </c>
      <c r="N526" s="668"/>
      <c r="O526" s="685"/>
      <c r="P526" s="363" t="s">
        <v>520</v>
      </c>
      <c r="Q526" s="380"/>
      <c r="R526" s="380" t="s">
        <v>437</v>
      </c>
      <c r="S526" s="363" t="s">
        <v>1755</v>
      </c>
      <c r="T526" s="363"/>
      <c r="U526" s="363" t="s">
        <v>1756</v>
      </c>
      <c r="V526" s="363"/>
      <c r="W526" s="363"/>
      <c r="X526" s="363"/>
      <c r="Y526" s="363"/>
      <c r="Z526" s="363"/>
      <c r="AA526" s="363"/>
      <c r="AB526" s="363"/>
      <c r="AC526" s="363"/>
      <c r="AD526" s="363"/>
      <c r="AE526" s="363" t="s">
        <v>96</v>
      </c>
      <c r="AF526" s="380" t="s">
        <v>97</v>
      </c>
      <c r="AG526" s="380">
        <v>4</v>
      </c>
      <c r="AH526" s="363" t="s">
        <v>1754</v>
      </c>
    </row>
    <row r="527" spans="2:34" ht="15" hidden="1" customHeight="1" x14ac:dyDescent="0.3">
      <c r="B527" s="380" t="s">
        <v>6</v>
      </c>
      <c r="C527" s="409" t="s">
        <v>195</v>
      </c>
      <c r="D527" s="423" t="s">
        <v>858</v>
      </c>
      <c r="E527" s="408" t="s">
        <v>1757</v>
      </c>
      <c r="F527" s="488">
        <v>46104</v>
      </c>
      <c r="G527" s="380" t="s">
        <v>55</v>
      </c>
      <c r="H527" s="380"/>
      <c r="I527" s="388">
        <v>281300</v>
      </c>
      <c r="J527" s="380">
        <v>4</v>
      </c>
      <c r="K527" s="389">
        <f t="shared" si="24"/>
        <v>70325</v>
      </c>
      <c r="L527" s="505">
        <v>46104</v>
      </c>
      <c r="M527" s="505">
        <v>46468</v>
      </c>
      <c r="N527" s="668"/>
      <c r="O527" s="685"/>
      <c r="P527" s="363" t="s">
        <v>520</v>
      </c>
      <c r="Q527" s="380"/>
      <c r="R527" s="380"/>
      <c r="S527" s="390" t="s">
        <v>1758</v>
      </c>
      <c r="T527" s="363" t="s">
        <v>1737</v>
      </c>
      <c r="U527" s="363" t="s">
        <v>1759</v>
      </c>
      <c r="V527" s="363"/>
      <c r="W527" s="363" t="s">
        <v>1760</v>
      </c>
      <c r="X527" s="363"/>
      <c r="Y527" s="363" t="s">
        <v>1761</v>
      </c>
      <c r="Z527" s="363"/>
      <c r="AA527" s="363"/>
      <c r="AB527" s="363"/>
      <c r="AC527" s="363"/>
      <c r="AD527" s="363"/>
      <c r="AE527" s="363" t="s">
        <v>551</v>
      </c>
      <c r="AF527" s="380" t="s">
        <v>207</v>
      </c>
      <c r="AG527" s="380">
        <v>3</v>
      </c>
      <c r="AH527" s="363" t="s">
        <v>1762</v>
      </c>
    </row>
    <row r="528" spans="2:34" ht="15" hidden="1" customHeight="1" x14ac:dyDescent="0.3">
      <c r="B528" s="380" t="s">
        <v>6</v>
      </c>
      <c r="C528" s="409" t="s">
        <v>195</v>
      </c>
      <c r="D528" s="423" t="s">
        <v>858</v>
      </c>
      <c r="E528" s="408" t="s">
        <v>1757</v>
      </c>
      <c r="F528" s="488">
        <v>46104</v>
      </c>
      <c r="G528" s="380" t="s">
        <v>55</v>
      </c>
      <c r="H528" s="380"/>
      <c r="I528" s="388">
        <v>281300</v>
      </c>
      <c r="J528" s="380">
        <v>4</v>
      </c>
      <c r="K528" s="389">
        <f t="shared" si="24"/>
        <v>70325</v>
      </c>
      <c r="L528" s="505">
        <v>46469</v>
      </c>
      <c r="M528" s="505">
        <v>46834</v>
      </c>
      <c r="N528" s="668"/>
      <c r="O528" s="685"/>
      <c r="P528" s="363" t="s">
        <v>520</v>
      </c>
      <c r="Q528" s="380"/>
      <c r="R528" s="380"/>
      <c r="S528" s="363" t="s">
        <v>1763</v>
      </c>
      <c r="T528" s="363"/>
      <c r="U528" s="363" t="s">
        <v>1764</v>
      </c>
      <c r="V528" s="363"/>
      <c r="W528" s="363" t="s">
        <v>1765</v>
      </c>
      <c r="X528" s="363"/>
      <c r="Y528" s="363" t="s">
        <v>1766</v>
      </c>
      <c r="Z528" s="363"/>
      <c r="AA528" s="363"/>
      <c r="AB528" s="363"/>
      <c r="AC528" s="363"/>
      <c r="AD528" s="363"/>
      <c r="AE528" s="363" t="s">
        <v>551</v>
      </c>
      <c r="AF528" s="380" t="s">
        <v>207</v>
      </c>
      <c r="AG528" s="380">
        <v>3</v>
      </c>
      <c r="AH528" s="363" t="s">
        <v>1762</v>
      </c>
    </row>
    <row r="529" spans="2:34" ht="15" hidden="1" customHeight="1" x14ac:dyDescent="0.3">
      <c r="B529" s="380" t="s">
        <v>6</v>
      </c>
      <c r="C529" s="409" t="s">
        <v>195</v>
      </c>
      <c r="D529" s="423" t="s">
        <v>858</v>
      </c>
      <c r="E529" s="408" t="s">
        <v>1757</v>
      </c>
      <c r="F529" s="488">
        <v>46104</v>
      </c>
      <c r="G529" s="380" t="s">
        <v>55</v>
      </c>
      <c r="H529" s="380">
        <v>5</v>
      </c>
      <c r="I529" s="388">
        <v>281300</v>
      </c>
      <c r="J529" s="380">
        <v>4</v>
      </c>
      <c r="K529" s="389">
        <f t="shared" si="24"/>
        <v>70325</v>
      </c>
      <c r="L529" s="505">
        <v>46835</v>
      </c>
      <c r="M529" s="505">
        <v>47199</v>
      </c>
      <c r="N529" s="668"/>
      <c r="O529" s="685"/>
      <c r="P529" s="363" t="s">
        <v>520</v>
      </c>
      <c r="Q529" s="380"/>
      <c r="R529" s="380"/>
      <c r="S529" s="363" t="s">
        <v>1767</v>
      </c>
      <c r="T529" s="363"/>
      <c r="U529" s="363" t="s">
        <v>1768</v>
      </c>
      <c r="V529" s="363"/>
      <c r="W529" s="363" t="s">
        <v>1769</v>
      </c>
      <c r="X529" s="363"/>
      <c r="Y529" s="363" t="s">
        <v>1770</v>
      </c>
      <c r="Z529" s="363"/>
      <c r="AA529" s="363"/>
      <c r="AB529" s="363"/>
      <c r="AC529" s="363"/>
      <c r="AD529" s="363"/>
      <c r="AE529" s="363" t="s">
        <v>551</v>
      </c>
      <c r="AF529" s="380" t="s">
        <v>207</v>
      </c>
      <c r="AG529" s="380">
        <v>3</v>
      </c>
      <c r="AH529" s="363" t="s">
        <v>1762</v>
      </c>
    </row>
    <row r="530" spans="2:34" ht="15" hidden="1" customHeight="1" x14ac:dyDescent="0.3">
      <c r="B530" s="380" t="s">
        <v>6</v>
      </c>
      <c r="C530" s="409" t="s">
        <v>948</v>
      </c>
      <c r="D530" s="423" t="s">
        <v>949</v>
      </c>
      <c r="E530" s="380">
        <v>9000019753</v>
      </c>
      <c r="F530" s="488">
        <v>46149</v>
      </c>
      <c r="G530" s="380" t="s">
        <v>55</v>
      </c>
      <c r="H530" s="380">
        <v>4</v>
      </c>
      <c r="I530" s="388">
        <v>310400</v>
      </c>
      <c r="J530" s="380">
        <v>4</v>
      </c>
      <c r="K530" s="389">
        <f t="shared" si="24"/>
        <v>77600</v>
      </c>
      <c r="L530" s="505">
        <v>46143</v>
      </c>
      <c r="M530" s="505">
        <v>46507</v>
      </c>
      <c r="N530" s="668"/>
      <c r="O530" s="685"/>
      <c r="P530" s="363" t="s">
        <v>520</v>
      </c>
      <c r="Q530" s="380"/>
      <c r="R530" s="380"/>
      <c r="S530" s="390" t="s">
        <v>444</v>
      </c>
      <c r="T530" s="363" t="s">
        <v>1856</v>
      </c>
      <c r="U530" s="363" t="s">
        <v>1443</v>
      </c>
      <c r="V530" s="363"/>
      <c r="W530" s="363" t="s">
        <v>456</v>
      </c>
      <c r="X530" s="363"/>
      <c r="Y530" s="363" t="s">
        <v>457</v>
      </c>
      <c r="Z530" s="363"/>
      <c r="AA530" s="363"/>
      <c r="AB530" s="363"/>
      <c r="AC530" s="363"/>
      <c r="AD530" s="363"/>
      <c r="AE530" s="363" t="s">
        <v>551</v>
      </c>
      <c r="AF530" s="380" t="s">
        <v>207</v>
      </c>
      <c r="AG530" s="380">
        <v>4</v>
      </c>
      <c r="AH530" s="363" t="s">
        <v>1762</v>
      </c>
    </row>
    <row r="531" spans="2:34" ht="15" hidden="1" customHeight="1" x14ac:dyDescent="0.3">
      <c r="B531" s="380" t="s">
        <v>6</v>
      </c>
      <c r="C531" s="482" t="s">
        <v>663</v>
      </c>
      <c r="D531" s="483" t="s">
        <v>1114</v>
      </c>
      <c r="E531" s="468">
        <v>4508000076</v>
      </c>
      <c r="F531" s="488">
        <v>46127</v>
      </c>
      <c r="G531" s="380" t="s">
        <v>55</v>
      </c>
      <c r="H531" s="380">
        <v>4</v>
      </c>
      <c r="I531" s="388">
        <v>320000</v>
      </c>
      <c r="J531" s="380">
        <v>3</v>
      </c>
      <c r="K531" s="389">
        <f t="shared" si="24"/>
        <v>106666.66666666667</v>
      </c>
      <c r="L531" s="504">
        <v>46113</v>
      </c>
      <c r="M531" s="504">
        <v>46477</v>
      </c>
      <c r="N531" s="667"/>
      <c r="O531" s="684"/>
      <c r="P531" s="363" t="s">
        <v>520</v>
      </c>
      <c r="Q531" s="380"/>
      <c r="R531" s="380"/>
      <c r="S531" s="390" t="s">
        <v>1080</v>
      </c>
      <c r="T531" s="363" t="s">
        <v>1722</v>
      </c>
      <c r="U531" s="363" t="s">
        <v>1108</v>
      </c>
      <c r="V531" s="363"/>
      <c r="W531" s="363" t="s">
        <v>1109</v>
      </c>
      <c r="X531" s="363"/>
      <c r="Y531" s="363"/>
      <c r="Z531" s="363"/>
      <c r="AA531" s="363"/>
      <c r="AB531" s="363"/>
      <c r="AC531" s="363"/>
      <c r="AD531" s="363"/>
      <c r="AE531" s="363" t="s">
        <v>183</v>
      </c>
      <c r="AF531" s="380" t="s">
        <v>97</v>
      </c>
      <c r="AG531" s="380">
        <v>3</v>
      </c>
      <c r="AH531" s="363" t="s">
        <v>1771</v>
      </c>
    </row>
    <row r="532" spans="2:34" ht="15" hidden="1" customHeight="1" x14ac:dyDescent="0.3">
      <c r="B532" s="380" t="s">
        <v>6</v>
      </c>
      <c r="C532" s="409" t="s">
        <v>595</v>
      </c>
      <c r="D532" s="418" t="s">
        <v>1000</v>
      </c>
      <c r="E532" s="548">
        <v>3110016879</v>
      </c>
      <c r="F532" s="488">
        <v>46074</v>
      </c>
      <c r="G532" s="380" t="s">
        <v>55</v>
      </c>
      <c r="H532" s="380">
        <v>11</v>
      </c>
      <c r="I532" s="388">
        <v>660000</v>
      </c>
      <c r="J532" s="380">
        <v>3</v>
      </c>
      <c r="K532" s="389">
        <f t="shared" si="24"/>
        <v>220000</v>
      </c>
      <c r="L532" s="505">
        <v>46143</v>
      </c>
      <c r="M532" s="505">
        <v>46507</v>
      </c>
      <c r="N532" s="668"/>
      <c r="O532" s="685"/>
      <c r="P532" s="363" t="s">
        <v>520</v>
      </c>
      <c r="Q532" s="380"/>
      <c r="R532" s="380"/>
      <c r="S532" s="363" t="s">
        <v>348</v>
      </c>
      <c r="T532" s="363"/>
      <c r="U532" s="363" t="s">
        <v>349</v>
      </c>
      <c r="V532" s="363"/>
      <c r="W532" s="363" t="s">
        <v>738</v>
      </c>
      <c r="X532" s="363"/>
      <c r="Y532" s="363"/>
      <c r="Z532" s="363"/>
      <c r="AA532" s="363"/>
      <c r="AB532" s="363"/>
      <c r="AC532" s="363"/>
      <c r="AD532" s="363"/>
      <c r="AE532" s="363" t="s">
        <v>507</v>
      </c>
      <c r="AF532" s="380" t="s">
        <v>63</v>
      </c>
      <c r="AG532" s="380">
        <v>3</v>
      </c>
      <c r="AH532" s="363" t="s">
        <v>1772</v>
      </c>
    </row>
    <row r="533" spans="2:34" ht="15" hidden="1" customHeight="1" x14ac:dyDescent="0.3">
      <c r="B533" s="380" t="s">
        <v>6</v>
      </c>
      <c r="C533" s="409" t="s">
        <v>595</v>
      </c>
      <c r="D533" s="418" t="s">
        <v>1000</v>
      </c>
      <c r="E533" s="462">
        <v>3110016964</v>
      </c>
      <c r="F533" s="488">
        <v>46084</v>
      </c>
      <c r="G533" s="380" t="s">
        <v>55</v>
      </c>
      <c r="H533" s="380">
        <v>1</v>
      </c>
      <c r="I533" s="388">
        <v>75999.990000000005</v>
      </c>
      <c r="J533" s="380">
        <v>3</v>
      </c>
      <c r="K533" s="389">
        <f t="shared" si="24"/>
        <v>25333.33</v>
      </c>
      <c r="L533" s="505">
        <v>46143</v>
      </c>
      <c r="M533" s="505">
        <v>46507</v>
      </c>
      <c r="N533" s="668"/>
      <c r="O533" s="685"/>
      <c r="P533" s="363" t="s">
        <v>520</v>
      </c>
      <c r="Q533" s="380"/>
      <c r="R533" s="380"/>
      <c r="S533" s="363" t="s">
        <v>348</v>
      </c>
      <c r="T533" s="363"/>
      <c r="U533" s="363" t="s">
        <v>349</v>
      </c>
      <c r="V533" s="363"/>
      <c r="W533" s="363" t="s">
        <v>738</v>
      </c>
      <c r="X533" s="363"/>
      <c r="Y533" s="363"/>
      <c r="Z533" s="363"/>
      <c r="AA533" s="363"/>
      <c r="AB533" s="363"/>
      <c r="AC533" s="363"/>
      <c r="AD533" s="363"/>
      <c r="AE533" s="363" t="s">
        <v>507</v>
      </c>
      <c r="AF533" s="380" t="s">
        <v>63</v>
      </c>
      <c r="AG533" s="380">
        <v>3</v>
      </c>
      <c r="AH533" s="363" t="s">
        <v>1772</v>
      </c>
    </row>
    <row r="534" spans="2:34" ht="15" hidden="1" customHeight="1" x14ac:dyDescent="0.3">
      <c r="B534" s="380" t="s">
        <v>6</v>
      </c>
      <c r="C534" s="409" t="s">
        <v>614</v>
      </c>
      <c r="D534" s="418" t="s">
        <v>1016</v>
      </c>
      <c r="E534" s="694" t="s">
        <v>1773</v>
      </c>
      <c r="F534" s="488">
        <v>46150</v>
      </c>
      <c r="G534" s="380" t="s">
        <v>55</v>
      </c>
      <c r="H534" s="380">
        <v>12</v>
      </c>
      <c r="I534" s="388">
        <v>917280</v>
      </c>
      <c r="J534" s="380">
        <v>3</v>
      </c>
      <c r="K534" s="380"/>
      <c r="L534" s="517">
        <v>46174</v>
      </c>
      <c r="M534" s="517">
        <v>46538</v>
      </c>
      <c r="N534" s="668">
        <v>155336</v>
      </c>
      <c r="O534" s="685">
        <v>4189</v>
      </c>
      <c r="P534" s="363" t="s">
        <v>520</v>
      </c>
      <c r="Q534" s="380"/>
      <c r="R534" s="380"/>
      <c r="S534" s="363" t="s">
        <v>406</v>
      </c>
      <c r="T534" s="363"/>
      <c r="U534" s="363" t="s">
        <v>407</v>
      </c>
      <c r="V534" s="363"/>
      <c r="W534" s="363" t="s">
        <v>408</v>
      </c>
      <c r="X534" s="363"/>
      <c r="Y534" s="363"/>
      <c r="Z534" s="363"/>
      <c r="AA534" s="363"/>
      <c r="AB534" s="363"/>
      <c r="AC534" s="363"/>
      <c r="AD534" s="363"/>
      <c r="AE534" s="363" t="s">
        <v>619</v>
      </c>
      <c r="AF534" s="380" t="s">
        <v>63</v>
      </c>
      <c r="AG534" s="380">
        <v>3</v>
      </c>
      <c r="AH534" s="363" t="s">
        <v>1127</v>
      </c>
    </row>
    <row r="535" spans="2:34" ht="15" hidden="1" customHeight="1" x14ac:dyDescent="0.3">
      <c r="B535" s="380" t="s">
        <v>6</v>
      </c>
      <c r="C535" s="429" t="s">
        <v>609</v>
      </c>
      <c r="D535" s="418" t="s">
        <v>1016</v>
      </c>
      <c r="E535" s="419">
        <v>2100062247</v>
      </c>
      <c r="F535" s="488">
        <v>46153</v>
      </c>
      <c r="G535" s="380" t="s">
        <v>55</v>
      </c>
      <c r="H535" s="380">
        <v>1</v>
      </c>
      <c r="I535" s="388">
        <v>66300</v>
      </c>
      <c r="J535" s="380">
        <v>3</v>
      </c>
      <c r="K535" s="389">
        <f>I535/J535</f>
        <v>22100</v>
      </c>
      <c r="L535" s="505">
        <v>46153</v>
      </c>
      <c r="M535" s="505">
        <v>46477</v>
      </c>
      <c r="N535" s="668"/>
      <c r="O535" s="685"/>
      <c r="P535" s="363" t="s">
        <v>520</v>
      </c>
      <c r="Q535" s="380"/>
      <c r="R535" s="380"/>
      <c r="S535" s="363" t="s">
        <v>1774</v>
      </c>
      <c r="T535" s="363"/>
      <c r="U535" s="363" t="s">
        <v>1775</v>
      </c>
      <c r="V535" s="363"/>
      <c r="W535" s="363" t="s">
        <v>1776</v>
      </c>
      <c r="X535" s="363"/>
      <c r="Y535" s="363"/>
      <c r="Z535" s="363"/>
      <c r="AA535" s="363"/>
      <c r="AB535" s="363"/>
      <c r="AC535" s="363"/>
      <c r="AD535" s="363"/>
      <c r="AE535" s="363" t="s">
        <v>619</v>
      </c>
      <c r="AF535" s="380" t="s">
        <v>63</v>
      </c>
      <c r="AG535" s="380">
        <v>3</v>
      </c>
      <c r="AH535" s="363" t="s">
        <v>667</v>
      </c>
    </row>
    <row r="536" spans="2:34" ht="15" hidden="1" customHeight="1" x14ac:dyDescent="0.3">
      <c r="B536" s="380" t="s">
        <v>6</v>
      </c>
      <c r="C536" s="482" t="s">
        <v>800</v>
      </c>
      <c r="D536" s="483" t="s">
        <v>812</v>
      </c>
      <c r="E536" s="468">
        <v>2102601022</v>
      </c>
      <c r="F536" s="488">
        <v>46146</v>
      </c>
      <c r="G536" s="380" t="s">
        <v>55</v>
      </c>
      <c r="H536" s="380">
        <v>4</v>
      </c>
      <c r="I536" s="388">
        <v>270400</v>
      </c>
      <c r="J536" s="380">
        <v>2</v>
      </c>
      <c r="K536" s="389">
        <f>I536/J536</f>
        <v>135200</v>
      </c>
      <c r="L536" s="504">
        <v>46113</v>
      </c>
      <c r="M536" s="504">
        <v>46477</v>
      </c>
      <c r="N536" s="667"/>
      <c r="O536" s="684"/>
      <c r="P536" s="363" t="s">
        <v>520</v>
      </c>
      <c r="Q536" s="380"/>
      <c r="R536" s="380"/>
      <c r="S536" s="363" t="s">
        <v>467</v>
      </c>
      <c r="T536" s="363"/>
      <c r="U536" s="363" t="s">
        <v>1633</v>
      </c>
      <c r="V536" s="363"/>
      <c r="W536" s="363"/>
      <c r="X536" s="363"/>
      <c r="Y536" s="363"/>
      <c r="Z536" s="363"/>
      <c r="AA536" s="363"/>
      <c r="AB536" s="363"/>
      <c r="AC536" s="363"/>
      <c r="AD536" s="363"/>
      <c r="AE536" s="363" t="s">
        <v>485</v>
      </c>
      <c r="AF536" s="380" t="s">
        <v>63</v>
      </c>
      <c r="AG536" s="380">
        <v>2</v>
      </c>
      <c r="AH536" s="363" t="s">
        <v>667</v>
      </c>
    </row>
    <row r="537" spans="2:34" ht="15" hidden="1" customHeight="1" x14ac:dyDescent="0.3">
      <c r="B537" s="380" t="s">
        <v>6</v>
      </c>
      <c r="C537" s="409" t="s">
        <v>857</v>
      </c>
      <c r="D537" s="423" t="s">
        <v>858</v>
      </c>
      <c r="E537" s="419" t="s">
        <v>1777</v>
      </c>
      <c r="F537" s="488">
        <v>46112</v>
      </c>
      <c r="G537" s="380" t="s">
        <v>55</v>
      </c>
      <c r="H537" s="380">
        <v>2</v>
      </c>
      <c r="I537" s="388">
        <v>384000</v>
      </c>
      <c r="J537" s="380">
        <v>3</v>
      </c>
      <c r="K537" s="389">
        <f>I537/3</f>
        <v>128000</v>
      </c>
      <c r="L537" s="505">
        <v>46113</v>
      </c>
      <c r="M537" s="505">
        <v>46477</v>
      </c>
      <c r="N537" s="668"/>
      <c r="O537" s="685"/>
      <c r="P537" s="363" t="s">
        <v>520</v>
      </c>
      <c r="Q537" s="380"/>
      <c r="R537" s="380" t="s">
        <v>1</v>
      </c>
      <c r="S537" s="390" t="s">
        <v>1080</v>
      </c>
      <c r="T537" s="363" t="s">
        <v>1778</v>
      </c>
      <c r="U537" s="363" t="s">
        <v>1108</v>
      </c>
      <c r="V537" s="363"/>
      <c r="W537" s="363" t="s">
        <v>1109</v>
      </c>
      <c r="X537" s="363" t="s">
        <v>1968</v>
      </c>
      <c r="Y537" s="363"/>
      <c r="Z537" s="363"/>
      <c r="AA537" s="363"/>
      <c r="AB537" s="363"/>
      <c r="AC537" s="363"/>
      <c r="AD537" s="363"/>
      <c r="AE537" s="363" t="s">
        <v>356</v>
      </c>
      <c r="AF537" s="380" t="s">
        <v>207</v>
      </c>
      <c r="AG537" s="380">
        <v>3</v>
      </c>
      <c r="AH537" s="363" t="s">
        <v>1779</v>
      </c>
    </row>
    <row r="538" spans="2:34" ht="15" hidden="1" customHeight="1" x14ac:dyDescent="0.3">
      <c r="B538" s="380" t="s">
        <v>6</v>
      </c>
      <c r="C538" s="482" t="s">
        <v>195</v>
      </c>
      <c r="D538" s="483" t="s">
        <v>447</v>
      </c>
      <c r="E538" s="380" t="s">
        <v>1780</v>
      </c>
      <c r="F538" s="387">
        <v>46156</v>
      </c>
      <c r="G538" s="380" t="s">
        <v>55</v>
      </c>
      <c r="H538" s="380"/>
      <c r="I538" s="388">
        <v>65500</v>
      </c>
      <c r="J538" s="380">
        <v>4</v>
      </c>
      <c r="K538" s="389">
        <f t="shared" ref="K538:K546" si="25">I538/J538</f>
        <v>16375</v>
      </c>
      <c r="L538" s="507">
        <v>46161</v>
      </c>
      <c r="M538" s="507">
        <v>46525</v>
      </c>
      <c r="N538" s="663"/>
      <c r="O538" s="680"/>
      <c r="P538" s="363" t="s">
        <v>520</v>
      </c>
      <c r="Q538" s="380"/>
      <c r="R538" s="380"/>
      <c r="S538" s="363" t="s">
        <v>1781</v>
      </c>
      <c r="T538" s="363"/>
      <c r="U538" s="363" t="s">
        <v>1782</v>
      </c>
      <c r="V538" s="363"/>
      <c r="W538" s="363" t="s">
        <v>1783</v>
      </c>
      <c r="X538" s="363"/>
      <c r="Y538" s="363" t="s">
        <v>1784</v>
      </c>
      <c r="Z538" s="363"/>
      <c r="AA538" s="363"/>
      <c r="AB538" s="363"/>
      <c r="AC538" s="363"/>
      <c r="AD538" s="363"/>
      <c r="AE538" s="363" t="s">
        <v>96</v>
      </c>
      <c r="AF538" s="380" t="s">
        <v>97</v>
      </c>
      <c r="AG538" s="380" t="s">
        <v>494</v>
      </c>
      <c r="AH538" s="363" t="s">
        <v>667</v>
      </c>
    </row>
    <row r="539" spans="2:34" ht="15" hidden="1" customHeight="1" x14ac:dyDescent="0.3">
      <c r="B539" s="380" t="s">
        <v>6</v>
      </c>
      <c r="C539" s="482" t="s">
        <v>195</v>
      </c>
      <c r="D539" s="483" t="s">
        <v>447</v>
      </c>
      <c r="E539" s="380" t="s">
        <v>1780</v>
      </c>
      <c r="F539" s="387">
        <v>46156</v>
      </c>
      <c r="G539" s="380" t="s">
        <v>55</v>
      </c>
      <c r="H539" s="380"/>
      <c r="I539" s="388">
        <v>65500</v>
      </c>
      <c r="J539" s="380">
        <v>4</v>
      </c>
      <c r="K539" s="389">
        <f t="shared" si="25"/>
        <v>16375</v>
      </c>
      <c r="L539" s="507">
        <v>46161</v>
      </c>
      <c r="M539" s="507">
        <v>46525</v>
      </c>
      <c r="N539" s="663"/>
      <c r="O539" s="680"/>
      <c r="P539" s="363" t="s">
        <v>520</v>
      </c>
      <c r="Q539" s="380"/>
      <c r="R539" s="380"/>
      <c r="S539" s="363" t="s">
        <v>1785</v>
      </c>
      <c r="T539" s="363"/>
      <c r="U539" s="363" t="s">
        <v>1786</v>
      </c>
      <c r="V539" s="363"/>
      <c r="W539" s="363" t="s">
        <v>1787</v>
      </c>
      <c r="X539" s="363"/>
      <c r="Y539" s="363" t="s">
        <v>1788</v>
      </c>
      <c r="Z539" s="363"/>
      <c r="AA539" s="363"/>
      <c r="AB539" s="363"/>
      <c r="AC539" s="363"/>
      <c r="AD539" s="363"/>
      <c r="AE539" s="363" t="s">
        <v>96</v>
      </c>
      <c r="AF539" s="380" t="s">
        <v>97</v>
      </c>
      <c r="AG539" s="380" t="s">
        <v>494</v>
      </c>
      <c r="AH539" s="363" t="s">
        <v>667</v>
      </c>
    </row>
    <row r="540" spans="2:34" ht="15" hidden="1" customHeight="1" x14ac:dyDescent="0.3">
      <c r="B540" s="380" t="s">
        <v>6</v>
      </c>
      <c r="C540" s="482" t="s">
        <v>1746</v>
      </c>
      <c r="D540" s="483" t="s">
        <v>1789</v>
      </c>
      <c r="E540" s="468">
        <v>5000146844</v>
      </c>
      <c r="F540" s="488">
        <v>46136</v>
      </c>
      <c r="G540" s="380" t="s">
        <v>55</v>
      </c>
      <c r="H540" s="380">
        <v>1</v>
      </c>
      <c r="I540" s="388">
        <v>120000</v>
      </c>
      <c r="J540" s="380">
        <v>3</v>
      </c>
      <c r="K540" s="389">
        <f t="shared" si="25"/>
        <v>40000</v>
      </c>
      <c r="L540" s="507">
        <v>46526</v>
      </c>
      <c r="M540" s="507">
        <v>46891</v>
      </c>
      <c r="N540" s="667"/>
      <c r="O540" s="684"/>
      <c r="P540" s="363" t="s">
        <v>520</v>
      </c>
      <c r="Q540" s="380"/>
      <c r="R540" s="380"/>
      <c r="S540" s="390" t="s">
        <v>1790</v>
      </c>
      <c r="T540" s="363" t="s">
        <v>1791</v>
      </c>
      <c r="U540" s="363" t="s">
        <v>1792</v>
      </c>
      <c r="V540" s="363"/>
      <c r="W540" s="363" t="s">
        <v>1793</v>
      </c>
      <c r="X540" s="363"/>
      <c r="Y540" s="363"/>
      <c r="Z540" s="363"/>
      <c r="AA540" s="363"/>
      <c r="AB540" s="363"/>
      <c r="AC540" s="363"/>
      <c r="AD540" s="363"/>
      <c r="AE540" s="363" t="s">
        <v>834</v>
      </c>
      <c r="AF540" s="380" t="s">
        <v>207</v>
      </c>
      <c r="AG540" s="380">
        <v>3</v>
      </c>
      <c r="AH540" s="363" t="s">
        <v>1794</v>
      </c>
    </row>
    <row r="541" spans="2:34" ht="15" hidden="1" customHeight="1" x14ac:dyDescent="0.3">
      <c r="B541" s="380" t="s">
        <v>6</v>
      </c>
      <c r="C541" s="409" t="s">
        <v>1002</v>
      </c>
      <c r="D541" s="418" t="s">
        <v>151</v>
      </c>
      <c r="E541" s="419">
        <v>4518005269</v>
      </c>
      <c r="F541" s="488">
        <v>46156</v>
      </c>
      <c r="G541" s="380" t="s">
        <v>55</v>
      </c>
      <c r="H541" s="380">
        <v>4</v>
      </c>
      <c r="I541" s="388">
        <v>186000</v>
      </c>
      <c r="J541" s="380">
        <v>1</v>
      </c>
      <c r="K541" s="389">
        <f t="shared" si="25"/>
        <v>186000</v>
      </c>
      <c r="L541" s="505">
        <v>46113</v>
      </c>
      <c r="M541" s="505">
        <v>46477</v>
      </c>
      <c r="N541" s="668"/>
      <c r="O541" s="685"/>
      <c r="P541" s="363" t="s">
        <v>520</v>
      </c>
      <c r="Q541" s="380"/>
      <c r="R541" s="380" t="s">
        <v>1</v>
      </c>
      <c r="S541" s="363" t="s">
        <v>646</v>
      </c>
      <c r="T541" s="363"/>
      <c r="U541" s="363"/>
      <c r="V541" s="363"/>
      <c r="W541" s="363"/>
      <c r="X541" s="363"/>
      <c r="Y541" s="363"/>
      <c r="Z541" s="363"/>
      <c r="AA541" s="363"/>
      <c r="AB541" s="363"/>
      <c r="AC541" s="363"/>
      <c r="AD541" s="363"/>
      <c r="AE541" s="363" t="s">
        <v>507</v>
      </c>
      <c r="AF541" s="380" t="s">
        <v>63</v>
      </c>
      <c r="AG541" s="380">
        <v>1</v>
      </c>
      <c r="AH541" s="363" t="s">
        <v>1795</v>
      </c>
    </row>
    <row r="542" spans="2:34" ht="15" hidden="1" customHeight="1" x14ac:dyDescent="0.3">
      <c r="B542" s="380" t="s">
        <v>6</v>
      </c>
      <c r="C542" s="482" t="s">
        <v>965</v>
      </c>
      <c r="D542" s="483" t="s">
        <v>1088</v>
      </c>
      <c r="E542" s="468">
        <v>5400089448</v>
      </c>
      <c r="F542" s="488">
        <v>46160</v>
      </c>
      <c r="G542" s="380" t="s">
        <v>55</v>
      </c>
      <c r="H542" s="380">
        <v>1</v>
      </c>
      <c r="I542" s="417">
        <v>109270</v>
      </c>
      <c r="J542" s="380">
        <v>4</v>
      </c>
      <c r="K542" s="389">
        <f t="shared" si="25"/>
        <v>27317.5</v>
      </c>
      <c r="L542" s="504">
        <v>46113</v>
      </c>
      <c r="M542" s="504">
        <v>46477</v>
      </c>
      <c r="N542" s="667"/>
      <c r="O542" s="684"/>
      <c r="P542" s="363" t="s">
        <v>520</v>
      </c>
      <c r="Q542" s="380"/>
      <c r="R542" s="380"/>
      <c r="S542" s="390" t="s">
        <v>397</v>
      </c>
      <c r="T542" s="363" t="s">
        <v>1874</v>
      </c>
      <c r="U542" s="363" t="s">
        <v>496</v>
      </c>
      <c r="V542" s="363"/>
      <c r="W542" s="363" t="s">
        <v>497</v>
      </c>
      <c r="X542" s="363"/>
      <c r="Y542" s="363" t="s">
        <v>498</v>
      </c>
      <c r="Z542" s="363"/>
      <c r="AA542" s="363"/>
      <c r="AB542" s="363"/>
      <c r="AC542" s="363"/>
      <c r="AD542" s="363"/>
      <c r="AE542" s="363" t="s">
        <v>96</v>
      </c>
      <c r="AF542" s="380" t="s">
        <v>97</v>
      </c>
      <c r="AG542" s="380" t="s">
        <v>494</v>
      </c>
      <c r="AH542" s="363" t="s">
        <v>667</v>
      </c>
    </row>
    <row r="543" spans="2:34" ht="15" hidden="1" customHeight="1" x14ac:dyDescent="0.3">
      <c r="B543" s="380" t="s">
        <v>6</v>
      </c>
      <c r="C543" s="409" t="s">
        <v>1796</v>
      </c>
      <c r="D543" s="434" t="s">
        <v>757</v>
      </c>
      <c r="E543" s="493">
        <v>2265007686</v>
      </c>
      <c r="F543" s="488">
        <v>46160</v>
      </c>
      <c r="G543" s="380" t="s">
        <v>55</v>
      </c>
      <c r="H543" s="380">
        <v>10</v>
      </c>
      <c r="I543" s="388">
        <v>835000</v>
      </c>
      <c r="J543" s="380">
        <v>3</v>
      </c>
      <c r="K543" s="389">
        <f t="shared" si="25"/>
        <v>278333.33333333331</v>
      </c>
      <c r="L543" s="505">
        <v>46113</v>
      </c>
      <c r="M543" s="505">
        <v>46477</v>
      </c>
      <c r="N543" s="668">
        <v>155335</v>
      </c>
      <c r="O543" s="685"/>
      <c r="P543" s="363" t="s">
        <v>520</v>
      </c>
      <c r="Q543" s="380"/>
      <c r="R543" s="380"/>
      <c r="S543" s="363" t="s">
        <v>1080</v>
      </c>
      <c r="T543" s="363"/>
      <c r="U543" s="363" t="s">
        <v>1108</v>
      </c>
      <c r="V543" s="363"/>
      <c r="W543" s="363" t="s">
        <v>1109</v>
      </c>
      <c r="X543" s="363"/>
      <c r="Y543" s="363"/>
      <c r="Z543" s="363"/>
      <c r="AA543" s="363"/>
      <c r="AB543" s="363"/>
      <c r="AC543" s="363"/>
      <c r="AD543" s="363"/>
      <c r="AE543" s="363" t="s">
        <v>507</v>
      </c>
      <c r="AF543" s="380" t="s">
        <v>63</v>
      </c>
      <c r="AG543" s="380">
        <v>3</v>
      </c>
      <c r="AH543" s="363" t="s">
        <v>667</v>
      </c>
    </row>
    <row r="544" spans="2:34" ht="15" hidden="1" customHeight="1" x14ac:dyDescent="0.3">
      <c r="B544" s="380" t="s">
        <v>6</v>
      </c>
      <c r="C544" s="482" t="s">
        <v>1797</v>
      </c>
      <c r="D544" s="483" t="s">
        <v>1798</v>
      </c>
      <c r="E544" s="468" t="s">
        <v>1799</v>
      </c>
      <c r="F544" s="488">
        <v>46154</v>
      </c>
      <c r="G544" s="380" t="s">
        <v>55</v>
      </c>
      <c r="H544" s="380"/>
      <c r="I544" s="388">
        <v>105000</v>
      </c>
      <c r="J544" s="380">
        <v>2</v>
      </c>
      <c r="K544" s="389">
        <f t="shared" si="25"/>
        <v>52500</v>
      </c>
      <c r="L544" s="504">
        <v>46158</v>
      </c>
      <c r="M544" s="504">
        <v>46522</v>
      </c>
      <c r="N544" s="667"/>
      <c r="O544" s="684"/>
      <c r="P544" s="363" t="s">
        <v>520</v>
      </c>
      <c r="Q544" s="380"/>
      <c r="R544" s="380"/>
      <c r="S544" s="363" t="s">
        <v>1800</v>
      </c>
      <c r="T544" s="363"/>
      <c r="U544" s="363" t="s">
        <v>1801</v>
      </c>
      <c r="V544" s="363"/>
      <c r="W544" s="363"/>
      <c r="X544" s="363"/>
      <c r="Y544" s="363"/>
      <c r="Z544" s="363"/>
      <c r="AA544" s="363"/>
      <c r="AB544" s="363"/>
      <c r="AC544" s="363"/>
      <c r="AD544" s="363"/>
      <c r="AE544" s="363" t="s">
        <v>183</v>
      </c>
      <c r="AF544" s="380" t="s">
        <v>97</v>
      </c>
      <c r="AG544" s="380">
        <v>3</v>
      </c>
      <c r="AH544" s="363" t="s">
        <v>1802</v>
      </c>
    </row>
    <row r="545" spans="2:34" ht="15" hidden="1" customHeight="1" x14ac:dyDescent="0.3">
      <c r="B545" s="380" t="s">
        <v>6</v>
      </c>
      <c r="C545" s="482" t="s">
        <v>1797</v>
      </c>
      <c r="D545" s="483" t="s">
        <v>1798</v>
      </c>
      <c r="E545" s="468" t="s">
        <v>1799</v>
      </c>
      <c r="F545" s="488">
        <v>46154</v>
      </c>
      <c r="G545" s="380" t="s">
        <v>55</v>
      </c>
      <c r="H545" s="380"/>
      <c r="I545" s="388">
        <v>105000</v>
      </c>
      <c r="J545" s="380">
        <v>2</v>
      </c>
      <c r="K545" s="389">
        <f t="shared" si="25"/>
        <v>52500</v>
      </c>
      <c r="L545" s="507">
        <v>46523</v>
      </c>
      <c r="M545" s="507">
        <v>46888</v>
      </c>
      <c r="N545" s="663"/>
      <c r="O545" s="680"/>
      <c r="P545" s="363" t="s">
        <v>520</v>
      </c>
      <c r="Q545" s="380"/>
      <c r="R545" s="380"/>
      <c r="S545" s="363" t="s">
        <v>1803</v>
      </c>
      <c r="T545" s="363"/>
      <c r="U545" s="363" t="s">
        <v>1804</v>
      </c>
      <c r="V545" s="363"/>
      <c r="W545" s="363"/>
      <c r="X545" s="363"/>
      <c r="Y545" s="363"/>
      <c r="Z545" s="363"/>
      <c r="AA545" s="363"/>
      <c r="AB545" s="363"/>
      <c r="AC545" s="363"/>
      <c r="AD545" s="363"/>
      <c r="AE545" s="363" t="s">
        <v>183</v>
      </c>
      <c r="AF545" s="380" t="s">
        <v>97</v>
      </c>
      <c r="AG545" s="380">
        <v>3</v>
      </c>
      <c r="AH545" s="363" t="s">
        <v>1802</v>
      </c>
    </row>
    <row r="546" spans="2:34" ht="15" hidden="1" customHeight="1" x14ac:dyDescent="0.3">
      <c r="B546" s="380" t="s">
        <v>6</v>
      </c>
      <c r="C546" s="482" t="s">
        <v>1797</v>
      </c>
      <c r="D546" s="483" t="s">
        <v>1798</v>
      </c>
      <c r="E546" s="468" t="s">
        <v>1799</v>
      </c>
      <c r="F546" s="488">
        <v>46154</v>
      </c>
      <c r="G546" s="380" t="s">
        <v>55</v>
      </c>
      <c r="H546" s="380">
        <v>1</v>
      </c>
      <c r="I546" s="388">
        <v>105000</v>
      </c>
      <c r="J546" s="380">
        <v>2</v>
      </c>
      <c r="K546" s="389">
        <f t="shared" si="25"/>
        <v>52500</v>
      </c>
      <c r="L546" s="507">
        <v>46889</v>
      </c>
      <c r="M546" s="507">
        <v>47253</v>
      </c>
      <c r="N546" s="663"/>
      <c r="O546" s="680"/>
      <c r="P546" s="363" t="s">
        <v>520</v>
      </c>
      <c r="Q546" s="380"/>
      <c r="R546" s="380"/>
      <c r="S546" s="363" t="s">
        <v>1805</v>
      </c>
      <c r="T546" s="363"/>
      <c r="U546" s="363" t="s">
        <v>1806</v>
      </c>
      <c r="V546" s="363"/>
      <c r="W546" s="363"/>
      <c r="X546" s="363"/>
      <c r="Y546" s="363"/>
      <c r="Z546" s="363"/>
      <c r="AA546" s="363"/>
      <c r="AB546" s="363"/>
      <c r="AC546" s="363"/>
      <c r="AD546" s="363"/>
      <c r="AE546" s="363" t="s">
        <v>183</v>
      </c>
      <c r="AF546" s="380" t="s">
        <v>97</v>
      </c>
      <c r="AG546" s="380">
        <v>3</v>
      </c>
      <c r="AH546" s="363" t="s">
        <v>1802</v>
      </c>
    </row>
    <row r="547" spans="2:34" ht="15" hidden="1" customHeight="1" x14ac:dyDescent="0.3">
      <c r="B547" s="380" t="s">
        <v>6</v>
      </c>
      <c r="C547" s="482" t="s">
        <v>614</v>
      </c>
      <c r="D547" s="483" t="s">
        <v>884</v>
      </c>
      <c r="E547" s="494" t="s">
        <v>1807</v>
      </c>
      <c r="F547" s="488">
        <v>46150</v>
      </c>
      <c r="G547" s="380" t="s">
        <v>55</v>
      </c>
      <c r="H547" s="380">
        <v>1</v>
      </c>
      <c r="I547" s="388">
        <v>76440</v>
      </c>
      <c r="J547" s="380">
        <v>3</v>
      </c>
      <c r="K547" s="389"/>
      <c r="L547" s="516">
        <v>46174</v>
      </c>
      <c r="M547" s="516">
        <v>46538</v>
      </c>
      <c r="N547" s="667"/>
      <c r="O547" s="684"/>
      <c r="P547" s="363" t="s">
        <v>520</v>
      </c>
      <c r="Q547" s="380"/>
      <c r="R547" s="380"/>
      <c r="S547" s="363" t="s">
        <v>406</v>
      </c>
      <c r="T547" s="363"/>
      <c r="U547" s="363" t="s">
        <v>407</v>
      </c>
      <c r="V547" s="363"/>
      <c r="W547" s="363" t="s">
        <v>1808</v>
      </c>
      <c r="X547" s="363"/>
      <c r="Y547" s="363"/>
      <c r="Z547" s="363"/>
      <c r="AA547" s="363"/>
      <c r="AB547" s="363"/>
      <c r="AC547" s="363"/>
      <c r="AD547" s="363"/>
      <c r="AE547" s="363" t="s">
        <v>281</v>
      </c>
      <c r="AF547" s="380" t="s">
        <v>97</v>
      </c>
      <c r="AG547" s="380">
        <v>3</v>
      </c>
      <c r="AH547" s="363" t="s">
        <v>1809</v>
      </c>
    </row>
    <row r="548" spans="2:34" ht="15" hidden="1" customHeight="1" x14ac:dyDescent="0.3">
      <c r="B548" s="380" t="s">
        <v>6</v>
      </c>
      <c r="C548" s="409" t="s">
        <v>771</v>
      </c>
      <c r="D548" s="423" t="s">
        <v>388</v>
      </c>
      <c r="E548" s="408">
        <v>6000065535</v>
      </c>
      <c r="F548" s="501">
        <v>46135</v>
      </c>
      <c r="G548" s="380" t="s">
        <v>55</v>
      </c>
      <c r="H548" s="380">
        <v>1</v>
      </c>
      <c r="I548" s="388">
        <v>70700</v>
      </c>
      <c r="J548" s="380">
        <v>2</v>
      </c>
      <c r="K548" s="389">
        <f t="shared" ref="K548:K556" si="26">I548/J548</f>
        <v>35350</v>
      </c>
      <c r="L548" s="505">
        <v>46113</v>
      </c>
      <c r="M548" s="505">
        <v>46477</v>
      </c>
      <c r="N548" s="668"/>
      <c r="O548" s="685"/>
      <c r="P548" s="363" t="s">
        <v>520</v>
      </c>
      <c r="Q548" s="380"/>
      <c r="R548" s="380"/>
      <c r="S548" s="363" t="s">
        <v>467</v>
      </c>
      <c r="T548" s="363"/>
      <c r="U548" s="363" t="s">
        <v>1633</v>
      </c>
      <c r="V548" s="363"/>
      <c r="W548" s="363"/>
      <c r="X548" s="363"/>
      <c r="Y548" s="363"/>
      <c r="Z548" s="363"/>
      <c r="AA548" s="363"/>
      <c r="AB548" s="363"/>
      <c r="AC548" s="363"/>
      <c r="AD548" s="363"/>
      <c r="AE548" s="363" t="s">
        <v>619</v>
      </c>
      <c r="AF548" s="380" t="s">
        <v>63</v>
      </c>
      <c r="AG548" s="380">
        <v>2</v>
      </c>
      <c r="AH548" s="363" t="s">
        <v>667</v>
      </c>
    </row>
    <row r="549" spans="2:34" ht="15" hidden="1" customHeight="1" x14ac:dyDescent="0.3">
      <c r="B549" s="380" t="s">
        <v>6</v>
      </c>
      <c r="C549" s="482" t="s">
        <v>195</v>
      </c>
      <c r="D549" s="483" t="s">
        <v>447</v>
      </c>
      <c r="E549" s="703" t="s">
        <v>1780</v>
      </c>
      <c r="F549" s="501">
        <v>46156</v>
      </c>
      <c r="G549" s="380" t="s">
        <v>55</v>
      </c>
      <c r="H549" s="380"/>
      <c r="I549" s="388">
        <v>65500</v>
      </c>
      <c r="J549" s="380">
        <v>4</v>
      </c>
      <c r="K549" s="389">
        <f t="shared" si="26"/>
        <v>16375</v>
      </c>
      <c r="L549" s="504">
        <v>46161</v>
      </c>
      <c r="M549" s="504">
        <v>46525</v>
      </c>
      <c r="N549" s="667"/>
      <c r="O549" s="684"/>
      <c r="P549" s="363" t="s">
        <v>520</v>
      </c>
      <c r="Q549" s="380"/>
      <c r="R549" s="380"/>
      <c r="S549" s="363" t="s">
        <v>1781</v>
      </c>
      <c r="T549" s="363"/>
      <c r="U549" s="363" t="s">
        <v>1782</v>
      </c>
      <c r="V549" s="363"/>
      <c r="W549" s="363" t="s">
        <v>1783</v>
      </c>
      <c r="X549" s="363"/>
      <c r="Y549" s="363" t="s">
        <v>1784</v>
      </c>
      <c r="Z549" s="363"/>
      <c r="AA549" s="363"/>
      <c r="AB549" s="363"/>
      <c r="AC549" s="363"/>
      <c r="AD549" s="363"/>
      <c r="AE549" s="363" t="s">
        <v>96</v>
      </c>
      <c r="AF549" s="380" t="s">
        <v>97</v>
      </c>
      <c r="AG549" s="380" t="s">
        <v>494</v>
      </c>
      <c r="AH549" s="363" t="s">
        <v>667</v>
      </c>
    </row>
    <row r="550" spans="2:34" ht="15" hidden="1" customHeight="1" x14ac:dyDescent="0.3">
      <c r="B550" s="380" t="s">
        <v>6</v>
      </c>
      <c r="C550" s="482" t="s">
        <v>195</v>
      </c>
      <c r="D550" s="483" t="s">
        <v>447</v>
      </c>
      <c r="E550" s="468" t="s">
        <v>1780</v>
      </c>
      <c r="F550" s="501">
        <v>46156</v>
      </c>
      <c r="G550" s="380" t="s">
        <v>55</v>
      </c>
      <c r="H550" s="380">
        <v>1</v>
      </c>
      <c r="I550" s="388">
        <v>65500</v>
      </c>
      <c r="J550" s="380">
        <v>4</v>
      </c>
      <c r="K550" s="389">
        <f t="shared" si="26"/>
        <v>16375</v>
      </c>
      <c r="L550" s="507">
        <v>46526</v>
      </c>
      <c r="M550" s="507">
        <v>46891</v>
      </c>
      <c r="N550" s="667"/>
      <c r="O550" s="684"/>
      <c r="P550" s="363" t="s">
        <v>520</v>
      </c>
      <c r="Q550" s="380"/>
      <c r="R550" s="380"/>
      <c r="S550" s="363" t="s">
        <v>1785</v>
      </c>
      <c r="T550" s="363"/>
      <c r="U550" s="363" t="s">
        <v>1786</v>
      </c>
      <c r="V550" s="363"/>
      <c r="W550" s="363" t="s">
        <v>1787</v>
      </c>
      <c r="X550" s="363"/>
      <c r="Y550" s="363" t="s">
        <v>1788</v>
      </c>
      <c r="Z550" s="363"/>
      <c r="AA550" s="363"/>
      <c r="AB550" s="363"/>
      <c r="AC550" s="363"/>
      <c r="AD550" s="363"/>
      <c r="AE550" s="363" t="s">
        <v>96</v>
      </c>
      <c r="AF550" s="380" t="s">
        <v>97</v>
      </c>
      <c r="AG550" s="380" t="s">
        <v>494</v>
      </c>
      <c r="AH550" s="363" t="s">
        <v>667</v>
      </c>
    </row>
    <row r="551" spans="2:34" ht="15" hidden="1" customHeight="1" x14ac:dyDescent="0.3">
      <c r="B551" s="380" t="s">
        <v>6</v>
      </c>
      <c r="C551" s="482" t="s">
        <v>1810</v>
      </c>
      <c r="D551" s="483" t="s">
        <v>151</v>
      </c>
      <c r="E551" s="468">
        <v>6700005665</v>
      </c>
      <c r="F551" s="488">
        <v>46136</v>
      </c>
      <c r="G551" s="380" t="s">
        <v>55</v>
      </c>
      <c r="H551" s="380"/>
      <c r="I551" s="388">
        <v>80000.009999999995</v>
      </c>
      <c r="J551" s="380">
        <v>3</v>
      </c>
      <c r="K551" s="389">
        <f t="shared" si="26"/>
        <v>26666.67</v>
      </c>
      <c r="L551" s="507">
        <v>46526</v>
      </c>
      <c r="M551" s="507">
        <v>46891</v>
      </c>
      <c r="N551" s="667"/>
      <c r="O551" s="684"/>
      <c r="P551" s="363" t="s">
        <v>520</v>
      </c>
      <c r="Q551" s="380"/>
      <c r="R551" s="380"/>
      <c r="S551" s="390" t="s">
        <v>404</v>
      </c>
      <c r="T551" s="363" t="s">
        <v>1712</v>
      </c>
      <c r="U551" s="363" t="s">
        <v>406</v>
      </c>
      <c r="V551" s="363"/>
      <c r="W551" s="363" t="s">
        <v>407</v>
      </c>
      <c r="X551" s="363"/>
      <c r="Y551" s="363"/>
      <c r="Z551" s="363"/>
      <c r="AA551" s="363"/>
      <c r="AB551" s="363"/>
      <c r="AC551" s="363"/>
      <c r="AD551" s="363"/>
      <c r="AE551" s="363" t="s">
        <v>478</v>
      </c>
      <c r="AF551" s="380" t="s">
        <v>63</v>
      </c>
      <c r="AG551" s="380">
        <v>3</v>
      </c>
      <c r="AH551" s="363" t="s">
        <v>667</v>
      </c>
    </row>
    <row r="552" spans="2:34" ht="15" hidden="1" customHeight="1" x14ac:dyDescent="0.3">
      <c r="B552" s="380" t="s">
        <v>6</v>
      </c>
      <c r="C552" s="482" t="s">
        <v>1810</v>
      </c>
      <c r="D552" s="483" t="s">
        <v>151</v>
      </c>
      <c r="E552" s="468">
        <v>6700005665</v>
      </c>
      <c r="F552" s="488">
        <v>46136</v>
      </c>
      <c r="G552" s="380" t="s">
        <v>55</v>
      </c>
      <c r="H552" s="380"/>
      <c r="I552" s="388">
        <v>80000.009999999995</v>
      </c>
      <c r="J552" s="380">
        <v>3</v>
      </c>
      <c r="K552" s="389">
        <f t="shared" si="26"/>
        <v>26666.67</v>
      </c>
      <c r="L552" s="507">
        <v>46419</v>
      </c>
      <c r="M552" s="507">
        <v>46783</v>
      </c>
      <c r="N552" s="663"/>
      <c r="O552" s="680"/>
      <c r="P552" s="363" t="s">
        <v>520</v>
      </c>
      <c r="Q552" s="380"/>
      <c r="R552" s="380"/>
      <c r="S552" s="363" t="s">
        <v>408</v>
      </c>
      <c r="T552" s="363"/>
      <c r="U552" s="363" t="s">
        <v>1811</v>
      </c>
      <c r="V552" s="363"/>
      <c r="W552" s="363" t="s">
        <v>1812</v>
      </c>
      <c r="X552" s="363"/>
      <c r="Y552" s="363"/>
      <c r="Z552" s="363"/>
      <c r="AA552" s="363"/>
      <c r="AB552" s="363"/>
      <c r="AC552" s="363"/>
      <c r="AD552" s="363"/>
      <c r="AE552" s="363" t="s">
        <v>478</v>
      </c>
      <c r="AF552" s="380" t="s">
        <v>63</v>
      </c>
      <c r="AG552" s="380">
        <v>3</v>
      </c>
      <c r="AH552" s="363" t="s">
        <v>667</v>
      </c>
    </row>
    <row r="553" spans="2:34" ht="15" hidden="1" customHeight="1" x14ac:dyDescent="0.3">
      <c r="B553" s="380" t="s">
        <v>6</v>
      </c>
      <c r="C553" s="482" t="s">
        <v>1810</v>
      </c>
      <c r="D553" s="483" t="s">
        <v>151</v>
      </c>
      <c r="E553" s="468">
        <v>6700005665</v>
      </c>
      <c r="F553" s="488">
        <v>46136</v>
      </c>
      <c r="G553" s="380" t="s">
        <v>55</v>
      </c>
      <c r="H553" s="380">
        <v>1</v>
      </c>
      <c r="I553" s="388">
        <v>80000.009999999995</v>
      </c>
      <c r="J553" s="380">
        <v>3</v>
      </c>
      <c r="K553" s="389">
        <f t="shared" si="26"/>
        <v>26666.67</v>
      </c>
      <c r="L553" s="507">
        <v>46784</v>
      </c>
      <c r="M553" s="507">
        <v>47149</v>
      </c>
      <c r="N553" s="663"/>
      <c r="O553" s="680"/>
      <c r="P553" s="363" t="s">
        <v>520</v>
      </c>
      <c r="Q553" s="380"/>
      <c r="R553" s="380"/>
      <c r="S553" s="363" t="s">
        <v>1813</v>
      </c>
      <c r="T553" s="363"/>
      <c r="U553" s="363" t="s">
        <v>1814</v>
      </c>
      <c r="V553" s="363"/>
      <c r="W553" s="363" t="s">
        <v>1815</v>
      </c>
      <c r="X553" s="363"/>
      <c r="Y553" s="363"/>
      <c r="Z553" s="363"/>
      <c r="AA553" s="363"/>
      <c r="AB553" s="363"/>
      <c r="AC553" s="363"/>
      <c r="AD553" s="363"/>
      <c r="AE553" s="363" t="s">
        <v>478</v>
      </c>
      <c r="AF553" s="380" t="s">
        <v>63</v>
      </c>
      <c r="AG553" s="380">
        <v>3</v>
      </c>
      <c r="AH553" s="363" t="s">
        <v>667</v>
      </c>
    </row>
    <row r="554" spans="2:34" ht="15" hidden="1" customHeight="1" x14ac:dyDescent="0.3">
      <c r="B554" s="380" t="s">
        <v>6</v>
      </c>
      <c r="C554" s="409" t="s">
        <v>1816</v>
      </c>
      <c r="D554" s="423" t="s">
        <v>1012</v>
      </c>
      <c r="E554" s="488" t="s">
        <v>1817</v>
      </c>
      <c r="F554" s="488">
        <v>46132</v>
      </c>
      <c r="G554" s="380" t="s">
        <v>55</v>
      </c>
      <c r="H554" s="380"/>
      <c r="I554" s="388">
        <v>316800</v>
      </c>
      <c r="J554" s="380">
        <v>3</v>
      </c>
      <c r="K554" s="389">
        <f t="shared" si="26"/>
        <v>105600</v>
      </c>
      <c r="L554" s="505">
        <v>46023</v>
      </c>
      <c r="M554" s="505">
        <v>46387</v>
      </c>
      <c r="N554" s="668"/>
      <c r="O554" s="685"/>
      <c r="P554" s="363" t="s">
        <v>520</v>
      </c>
      <c r="Q554" s="380"/>
      <c r="R554" s="380"/>
      <c r="S554" s="390" t="s">
        <v>347</v>
      </c>
      <c r="T554" s="363" t="s">
        <v>1720</v>
      </c>
      <c r="U554" s="363" t="s">
        <v>348</v>
      </c>
      <c r="V554" s="363"/>
      <c r="W554" s="363" t="s">
        <v>349</v>
      </c>
      <c r="X554" s="363"/>
      <c r="Y554" s="363"/>
      <c r="Z554" s="363"/>
      <c r="AA554" s="363"/>
      <c r="AB554" s="363"/>
      <c r="AC554" s="363"/>
      <c r="AD554" s="363"/>
      <c r="AE554" s="363" t="s">
        <v>619</v>
      </c>
      <c r="AF554" s="380" t="s">
        <v>63</v>
      </c>
      <c r="AG554" s="380">
        <v>3</v>
      </c>
      <c r="AH554" s="363" t="s">
        <v>667</v>
      </c>
    </row>
    <row r="555" spans="2:34" ht="15" hidden="1" customHeight="1" x14ac:dyDescent="0.3">
      <c r="B555" s="380" t="s">
        <v>6</v>
      </c>
      <c r="C555" s="409" t="s">
        <v>1816</v>
      </c>
      <c r="D555" s="423" t="s">
        <v>1012</v>
      </c>
      <c r="E555" s="488" t="s">
        <v>1817</v>
      </c>
      <c r="F555" s="488">
        <v>46132</v>
      </c>
      <c r="G555" s="380" t="s">
        <v>55</v>
      </c>
      <c r="H555" s="380"/>
      <c r="I555" s="388">
        <v>316800</v>
      </c>
      <c r="J555" s="380">
        <v>3</v>
      </c>
      <c r="K555" s="389">
        <f t="shared" si="26"/>
        <v>105600</v>
      </c>
      <c r="L555" s="507">
        <v>46388</v>
      </c>
      <c r="M555" s="507">
        <v>46752</v>
      </c>
      <c r="N555" s="663"/>
      <c r="O555" s="680"/>
      <c r="P555" s="363" t="s">
        <v>520</v>
      </c>
      <c r="Q555" s="380"/>
      <c r="R555" s="380"/>
      <c r="S555" s="363" t="s">
        <v>738</v>
      </c>
      <c r="T555" s="363"/>
      <c r="U555" s="363" t="s">
        <v>1077</v>
      </c>
      <c r="V555" s="363"/>
      <c r="W555" s="363" t="s">
        <v>1078</v>
      </c>
      <c r="X555" s="363"/>
      <c r="Y555" s="363"/>
      <c r="Z555" s="363"/>
      <c r="AA555" s="363"/>
      <c r="AB555" s="363"/>
      <c r="AC555" s="363"/>
      <c r="AD555" s="363"/>
      <c r="AE555" s="363" t="s">
        <v>619</v>
      </c>
      <c r="AF555" s="380" t="s">
        <v>63</v>
      </c>
      <c r="AG555" s="380">
        <v>3</v>
      </c>
      <c r="AH555" s="363" t="s">
        <v>667</v>
      </c>
    </row>
    <row r="556" spans="2:34" ht="15" hidden="1" customHeight="1" x14ac:dyDescent="0.3">
      <c r="B556" s="380" t="s">
        <v>6</v>
      </c>
      <c r="C556" s="409" t="s">
        <v>1816</v>
      </c>
      <c r="D556" s="423" t="s">
        <v>1012</v>
      </c>
      <c r="E556" s="488" t="s">
        <v>1817</v>
      </c>
      <c r="F556" s="488">
        <v>46132</v>
      </c>
      <c r="G556" s="380" t="s">
        <v>55</v>
      </c>
      <c r="H556" s="380">
        <v>3</v>
      </c>
      <c r="I556" s="388">
        <v>316800</v>
      </c>
      <c r="J556" s="380">
        <v>3</v>
      </c>
      <c r="K556" s="389">
        <f t="shared" si="26"/>
        <v>105600</v>
      </c>
      <c r="L556" s="507">
        <v>46753</v>
      </c>
      <c r="M556" s="507">
        <v>47118</v>
      </c>
      <c r="N556" s="663"/>
      <c r="O556" s="680"/>
      <c r="P556" s="363" t="s">
        <v>520</v>
      </c>
      <c r="Q556" s="380"/>
      <c r="R556" s="380"/>
      <c r="S556" s="363" t="s">
        <v>1818</v>
      </c>
      <c r="T556" s="363"/>
      <c r="U556" s="363" t="s">
        <v>1819</v>
      </c>
      <c r="V556" s="363"/>
      <c r="W556" s="363" t="s">
        <v>1820</v>
      </c>
      <c r="X556" s="363"/>
      <c r="Y556" s="363"/>
      <c r="Z556" s="363"/>
      <c r="AA556" s="363"/>
      <c r="AB556" s="363"/>
      <c r="AC556" s="363"/>
      <c r="AD556" s="363"/>
      <c r="AE556" s="363" t="s">
        <v>619</v>
      </c>
      <c r="AF556" s="380" t="s">
        <v>63</v>
      </c>
      <c r="AG556" s="380">
        <v>3</v>
      </c>
      <c r="AH556" s="363" t="s">
        <v>667</v>
      </c>
    </row>
    <row r="557" spans="2:34" ht="15" hidden="1" customHeight="1" x14ac:dyDescent="0.3">
      <c r="B557" s="380" t="s">
        <v>6</v>
      </c>
      <c r="C557" s="551" t="s">
        <v>1821</v>
      </c>
      <c r="D557" s="483" t="s">
        <v>176</v>
      </c>
      <c r="E557" s="468">
        <v>1365722343</v>
      </c>
      <c r="F557" s="488">
        <v>45909</v>
      </c>
      <c r="G557" s="380" t="s">
        <v>55</v>
      </c>
      <c r="H557" s="468">
        <v>5</v>
      </c>
      <c r="I557" s="388">
        <v>438100</v>
      </c>
      <c r="J557" s="380">
        <v>3</v>
      </c>
      <c r="K557" s="389">
        <f>I557/2</f>
        <v>219050</v>
      </c>
      <c r="L557" s="504">
        <v>45910</v>
      </c>
      <c r="M557" s="504">
        <v>46274</v>
      </c>
      <c r="N557" s="667"/>
      <c r="O557" s="684"/>
      <c r="P557" s="363" t="s">
        <v>520</v>
      </c>
      <c r="Q557" s="380"/>
      <c r="R557" s="380"/>
      <c r="S557" s="390" t="s">
        <v>1822</v>
      </c>
      <c r="T557" s="363" t="s">
        <v>1673</v>
      </c>
      <c r="U557" s="390" t="s">
        <v>1664</v>
      </c>
      <c r="V557" s="363" t="s">
        <v>1673</v>
      </c>
      <c r="W557" s="363" t="s">
        <v>1665</v>
      </c>
      <c r="X557" s="363" t="s">
        <v>1823</v>
      </c>
      <c r="Y557" s="363"/>
      <c r="Z557" s="363"/>
      <c r="AA557" s="363"/>
      <c r="AB557" s="363"/>
      <c r="AC557" s="363"/>
      <c r="AD557" s="363"/>
      <c r="AE557" s="363" t="s">
        <v>183</v>
      </c>
      <c r="AF557" s="380" t="s">
        <v>97</v>
      </c>
      <c r="AG557" s="380">
        <v>2</v>
      </c>
      <c r="AH557" s="363" t="s">
        <v>1824</v>
      </c>
    </row>
    <row r="558" spans="2:34" ht="15" hidden="1" customHeight="1" x14ac:dyDescent="0.3">
      <c r="B558" s="380" t="s">
        <v>6</v>
      </c>
      <c r="C558" s="482" t="s">
        <v>655</v>
      </c>
      <c r="D558" s="483" t="s">
        <v>151</v>
      </c>
      <c r="E558" s="491">
        <v>2016202</v>
      </c>
      <c r="F558" s="488">
        <v>46150</v>
      </c>
      <c r="G558" s="380" t="s">
        <v>55</v>
      </c>
      <c r="H558" s="468">
        <v>4</v>
      </c>
      <c r="I558" s="388">
        <v>279360</v>
      </c>
      <c r="J558" s="380">
        <v>2</v>
      </c>
      <c r="K558" s="389">
        <f>I558/J558</f>
        <v>139680</v>
      </c>
      <c r="L558" s="504">
        <v>46113</v>
      </c>
      <c r="M558" s="504">
        <v>46477</v>
      </c>
      <c r="N558" s="667">
        <v>155337</v>
      </c>
      <c r="O558" s="684"/>
      <c r="P558" s="363" t="s">
        <v>520</v>
      </c>
      <c r="Q558" s="380"/>
      <c r="R558" s="380"/>
      <c r="S558" s="363" t="s">
        <v>467</v>
      </c>
      <c r="T558" s="363"/>
      <c r="U558" s="363" t="s">
        <v>1633</v>
      </c>
      <c r="V558" s="363"/>
      <c r="W558" s="363"/>
      <c r="X558" s="363"/>
      <c r="Y558" s="363"/>
      <c r="Z558" s="363"/>
      <c r="AA558" s="363"/>
      <c r="AB558" s="363"/>
      <c r="AC558" s="363"/>
      <c r="AD558" s="363"/>
      <c r="AE558" s="363" t="s">
        <v>478</v>
      </c>
      <c r="AF558" s="380" t="s">
        <v>63</v>
      </c>
      <c r="AG558" s="380">
        <v>3</v>
      </c>
      <c r="AH558" s="363" t="s">
        <v>667</v>
      </c>
    </row>
    <row r="559" spans="2:34" ht="15" hidden="1" customHeight="1" x14ac:dyDescent="0.3">
      <c r="B559" s="380" t="s">
        <v>6</v>
      </c>
      <c r="C559" s="409" t="s">
        <v>751</v>
      </c>
      <c r="D559" s="423" t="s">
        <v>752</v>
      </c>
      <c r="E559" s="380">
        <v>357000936</v>
      </c>
      <c r="F559" s="488">
        <v>46164</v>
      </c>
      <c r="G559" s="380" t="s">
        <v>55</v>
      </c>
      <c r="H559" s="408">
        <v>1</v>
      </c>
      <c r="I559" s="388">
        <v>89300</v>
      </c>
      <c r="J559" s="380">
        <v>3</v>
      </c>
      <c r="K559" s="389">
        <f>I559/J559</f>
        <v>29766.666666666668</v>
      </c>
      <c r="L559" s="505">
        <v>46174</v>
      </c>
      <c r="M559" s="505">
        <v>46538</v>
      </c>
      <c r="N559" s="668"/>
      <c r="O559" s="685"/>
      <c r="P559" s="363" t="s">
        <v>520</v>
      </c>
      <c r="Q559" s="380"/>
      <c r="R559" s="380"/>
      <c r="S559" s="381" t="s">
        <v>406</v>
      </c>
      <c r="T559" s="363"/>
      <c r="U559" s="363" t="s">
        <v>407</v>
      </c>
      <c r="V559" s="363"/>
      <c r="W559" s="363" t="s">
        <v>408</v>
      </c>
      <c r="X559" s="363"/>
      <c r="Y559" s="363"/>
      <c r="Z559" s="363"/>
      <c r="AA559" s="363"/>
      <c r="AB559" s="363"/>
      <c r="AC559" s="363"/>
      <c r="AD559" s="363"/>
      <c r="AE559" s="363" t="s">
        <v>1825</v>
      </c>
      <c r="AF559" s="380" t="s">
        <v>1826</v>
      </c>
      <c r="AG559" s="380">
        <v>3</v>
      </c>
      <c r="AH559" s="363" t="s">
        <v>1626</v>
      </c>
    </row>
    <row r="560" spans="2:34" ht="15" hidden="1" customHeight="1" x14ac:dyDescent="0.3">
      <c r="B560" s="380" t="s">
        <v>6</v>
      </c>
      <c r="C560" s="482" t="s">
        <v>822</v>
      </c>
      <c r="D560" s="483" t="s">
        <v>823</v>
      </c>
      <c r="E560" s="494" t="s">
        <v>1827</v>
      </c>
      <c r="F560" s="501">
        <v>46157</v>
      </c>
      <c r="G560" s="380" t="s">
        <v>55</v>
      </c>
      <c r="H560" s="380">
        <v>1</v>
      </c>
      <c r="I560" s="388">
        <v>105000</v>
      </c>
      <c r="J560" s="380">
        <v>2</v>
      </c>
      <c r="K560" s="389">
        <f>I560/J560</f>
        <v>52500</v>
      </c>
      <c r="L560" s="504">
        <v>46128</v>
      </c>
      <c r="M560" s="504">
        <v>46492</v>
      </c>
      <c r="N560" s="667"/>
      <c r="O560" s="684"/>
      <c r="P560" s="363" t="s">
        <v>520</v>
      </c>
      <c r="Q560" s="380"/>
      <c r="R560" s="380"/>
      <c r="S560" s="390" t="s">
        <v>1828</v>
      </c>
      <c r="T560" s="363" t="s">
        <v>1730</v>
      </c>
      <c r="U560" s="363" t="s">
        <v>1829</v>
      </c>
      <c r="V560" s="363"/>
      <c r="W560" s="363"/>
      <c r="X560" s="363"/>
      <c r="Y560" s="363"/>
      <c r="Z560" s="363"/>
      <c r="AA560" s="363"/>
      <c r="AB560" s="363"/>
      <c r="AC560" s="363"/>
      <c r="AD560" s="363"/>
      <c r="AE560" s="363" t="s">
        <v>183</v>
      </c>
      <c r="AF560" s="380" t="s">
        <v>1171</v>
      </c>
      <c r="AG560" s="380">
        <v>3</v>
      </c>
      <c r="AH560" s="363" t="s">
        <v>829</v>
      </c>
    </row>
    <row r="561" spans="2:34" ht="15" hidden="1" customHeight="1" x14ac:dyDescent="0.3">
      <c r="B561" s="380" t="s">
        <v>6</v>
      </c>
      <c r="C561" s="430" t="s">
        <v>1830</v>
      </c>
      <c r="D561" s="445" t="s">
        <v>1831</v>
      </c>
      <c r="E561" s="419">
        <v>4501930640</v>
      </c>
      <c r="F561" s="488">
        <v>46167</v>
      </c>
      <c r="G561" s="380" t="s">
        <v>55</v>
      </c>
      <c r="H561" s="380">
        <v>1</v>
      </c>
      <c r="I561" s="388">
        <v>93575</v>
      </c>
      <c r="J561" s="380">
        <v>3</v>
      </c>
      <c r="K561" s="389">
        <f>I561/J561</f>
        <v>31191.666666666668</v>
      </c>
      <c r="L561" s="504">
        <v>46157</v>
      </c>
      <c r="M561" s="504">
        <v>46521</v>
      </c>
      <c r="N561" s="667"/>
      <c r="O561" s="684"/>
      <c r="P561" s="363" t="s">
        <v>520</v>
      </c>
      <c r="Q561" s="380"/>
      <c r="R561" s="380"/>
      <c r="S561" s="363" t="s">
        <v>1832</v>
      </c>
      <c r="T561" s="363"/>
      <c r="U561" s="363" t="s">
        <v>1833</v>
      </c>
      <c r="V561" s="363"/>
      <c r="W561" s="363" t="s">
        <v>1834</v>
      </c>
      <c r="X561" s="363"/>
      <c r="Y561" s="363"/>
      <c r="Z561" s="363"/>
      <c r="AA561" s="363"/>
      <c r="AB561" s="363"/>
      <c r="AC561" s="363"/>
      <c r="AD561" s="363"/>
      <c r="AE561" s="363" t="s">
        <v>619</v>
      </c>
      <c r="AF561" s="380" t="s">
        <v>63</v>
      </c>
      <c r="AG561" s="380">
        <v>3</v>
      </c>
      <c r="AH561" s="363" t="s">
        <v>667</v>
      </c>
    </row>
    <row r="562" spans="2:34" ht="15" hidden="1" customHeight="1" x14ac:dyDescent="0.3">
      <c r="B562" s="380" t="s">
        <v>6</v>
      </c>
      <c r="C562" s="409" t="s">
        <v>1014</v>
      </c>
      <c r="D562" s="418" t="s">
        <v>151</v>
      </c>
      <c r="E562" s="419">
        <v>4500596880</v>
      </c>
      <c r="F562" s="488">
        <v>46162</v>
      </c>
      <c r="G562" s="380" t="s">
        <v>55</v>
      </c>
      <c r="H562" s="380">
        <v>1</v>
      </c>
      <c r="I562" s="388">
        <v>180000</v>
      </c>
      <c r="J562" s="380">
        <v>3</v>
      </c>
      <c r="K562" s="389">
        <f>I562/J562</f>
        <v>60000</v>
      </c>
      <c r="L562" s="505">
        <v>46174</v>
      </c>
      <c r="M562" s="505">
        <v>46538</v>
      </c>
      <c r="N562" s="668"/>
      <c r="O562" s="685"/>
      <c r="P562" s="363" t="s">
        <v>520</v>
      </c>
      <c r="Q562" s="380"/>
      <c r="R562" s="380"/>
      <c r="S562" s="363" t="s">
        <v>406</v>
      </c>
      <c r="T562" s="363"/>
      <c r="U562" s="363" t="s">
        <v>407</v>
      </c>
      <c r="V562" s="363"/>
      <c r="W562" s="363" t="s">
        <v>408</v>
      </c>
      <c r="X562" s="363"/>
      <c r="Y562" s="363"/>
      <c r="Z562" s="363"/>
      <c r="AA562" s="363"/>
      <c r="AB562" s="363"/>
      <c r="AC562" s="363"/>
      <c r="AD562" s="363"/>
      <c r="AE562" s="363" t="s">
        <v>507</v>
      </c>
      <c r="AF562" s="380" t="s">
        <v>63</v>
      </c>
      <c r="AG562" s="380">
        <v>3</v>
      </c>
      <c r="AH562" s="363" t="s">
        <v>667</v>
      </c>
    </row>
    <row r="563" spans="2:34" ht="15" hidden="1" customHeight="1" x14ac:dyDescent="0.3">
      <c r="B563" s="380" t="s">
        <v>6</v>
      </c>
      <c r="C563" s="412" t="s">
        <v>614</v>
      </c>
      <c r="D563" s="510" t="s">
        <v>447</v>
      </c>
      <c r="E563" s="511" t="s">
        <v>1835</v>
      </c>
      <c r="F563" s="488">
        <v>46149</v>
      </c>
      <c r="G563" s="380" t="s">
        <v>55</v>
      </c>
      <c r="H563" s="408">
        <v>2</v>
      </c>
      <c r="I563" s="388">
        <v>152880</v>
      </c>
      <c r="J563" s="380">
        <v>3</v>
      </c>
      <c r="K563" s="389"/>
      <c r="L563" s="505">
        <v>46113</v>
      </c>
      <c r="M563" s="505">
        <v>46477</v>
      </c>
      <c r="N563" s="668"/>
      <c r="O563" s="685"/>
      <c r="P563" s="363" t="s">
        <v>520</v>
      </c>
      <c r="Q563" s="380"/>
      <c r="R563" s="380"/>
      <c r="S563" s="390" t="s">
        <v>1080</v>
      </c>
      <c r="T563" s="363" t="s">
        <v>1940</v>
      </c>
      <c r="U563" s="363" t="s">
        <v>1108</v>
      </c>
      <c r="V563" s="363"/>
      <c r="W563" s="363" t="s">
        <v>1109</v>
      </c>
      <c r="X563" s="363"/>
      <c r="Y563" s="363"/>
      <c r="Z563" s="363"/>
      <c r="AA563" s="363"/>
      <c r="AB563" s="363"/>
      <c r="AC563" s="363"/>
      <c r="AD563" s="363"/>
      <c r="AE563" s="363" t="s">
        <v>281</v>
      </c>
      <c r="AF563" s="380" t="s">
        <v>968</v>
      </c>
      <c r="AG563" s="380">
        <v>3</v>
      </c>
      <c r="AH563" s="363" t="s">
        <v>1836</v>
      </c>
    </row>
    <row r="564" spans="2:34" ht="15" customHeight="1" x14ac:dyDescent="0.3">
      <c r="B564" s="380" t="s">
        <v>6</v>
      </c>
      <c r="C564" s="409" t="s">
        <v>948</v>
      </c>
      <c r="D564" s="409" t="s">
        <v>987</v>
      </c>
      <c r="E564" s="380">
        <v>9000022562</v>
      </c>
      <c r="F564" s="488">
        <v>46167</v>
      </c>
      <c r="G564" s="380" t="s">
        <v>55</v>
      </c>
      <c r="H564" s="408">
        <v>1</v>
      </c>
      <c r="I564" s="388">
        <v>19400</v>
      </c>
      <c r="J564" s="380">
        <v>1</v>
      </c>
      <c r="K564" s="380"/>
      <c r="L564" s="505">
        <v>46113</v>
      </c>
      <c r="M564" s="507">
        <v>46203</v>
      </c>
      <c r="N564" s="663"/>
      <c r="O564" s="680"/>
      <c r="P564" s="363" t="s">
        <v>19</v>
      </c>
      <c r="Q564" s="380" t="s">
        <v>9</v>
      </c>
      <c r="R564" s="380"/>
      <c r="S564" s="390" t="s">
        <v>397</v>
      </c>
      <c r="T564" s="363" t="s">
        <v>1863</v>
      </c>
      <c r="U564" s="363"/>
      <c r="V564" s="363"/>
      <c r="W564" s="363"/>
      <c r="X564" s="363"/>
      <c r="Y564" s="363"/>
      <c r="Z564" s="363"/>
      <c r="AA564" s="363"/>
      <c r="AB564" s="363"/>
      <c r="AC564" s="363"/>
      <c r="AD564" s="363"/>
      <c r="AE564" s="363" t="s">
        <v>356</v>
      </c>
      <c r="AF564" s="380" t="s">
        <v>207</v>
      </c>
      <c r="AG564" s="380"/>
      <c r="AH564" s="363"/>
    </row>
    <row r="565" spans="2:34" ht="15" hidden="1" customHeight="1" x14ac:dyDescent="0.3">
      <c r="B565" s="380" t="s">
        <v>9</v>
      </c>
      <c r="C565" s="409" t="s">
        <v>975</v>
      </c>
      <c r="D565" s="409" t="s">
        <v>976</v>
      </c>
      <c r="E565" s="419">
        <v>6100015292</v>
      </c>
      <c r="F565" s="501">
        <v>46160</v>
      </c>
      <c r="G565" s="380" t="s">
        <v>55</v>
      </c>
      <c r="H565" s="380">
        <v>3</v>
      </c>
      <c r="I565" s="388">
        <v>336000</v>
      </c>
      <c r="J565" s="380">
        <v>3</v>
      </c>
      <c r="K565" s="389">
        <f>I565/J565</f>
        <v>112000</v>
      </c>
      <c r="L565" s="518">
        <v>46074</v>
      </c>
      <c r="M565" s="518">
        <v>46438</v>
      </c>
      <c r="N565" s="670"/>
      <c r="O565" s="687"/>
      <c r="P565" s="363" t="s">
        <v>520</v>
      </c>
      <c r="Q565" s="380"/>
      <c r="R565" s="380"/>
      <c r="S565" s="390" t="s">
        <v>1880</v>
      </c>
      <c r="T565" s="363" t="s">
        <v>1856</v>
      </c>
      <c r="U565" s="363" t="s">
        <v>1881</v>
      </c>
      <c r="V565" s="363"/>
      <c r="W565" s="363" t="s">
        <v>1882</v>
      </c>
      <c r="X565" s="363"/>
      <c r="Y565" s="363"/>
      <c r="Z565" s="363"/>
      <c r="AA565" s="363"/>
      <c r="AB565" s="363"/>
      <c r="AC565" s="363"/>
      <c r="AD565" s="363"/>
      <c r="AE565" s="363" t="s">
        <v>834</v>
      </c>
      <c r="AF565" s="380" t="s">
        <v>207</v>
      </c>
      <c r="AG565" s="380">
        <v>3</v>
      </c>
      <c r="AH565" s="363" t="s">
        <v>1581</v>
      </c>
    </row>
    <row r="566" spans="2:34" ht="15" hidden="1" customHeight="1" x14ac:dyDescent="0.3">
      <c r="B566" s="380" t="s">
        <v>9</v>
      </c>
      <c r="C566" s="553" t="s">
        <v>775</v>
      </c>
      <c r="D566" s="482" t="s">
        <v>1883</v>
      </c>
      <c r="E566" s="408">
        <v>2710002054</v>
      </c>
      <c r="F566" s="488">
        <v>46168</v>
      </c>
      <c r="G566" s="380" t="s">
        <v>55</v>
      </c>
      <c r="H566" s="380">
        <v>2</v>
      </c>
      <c r="I566" s="388">
        <v>188175</v>
      </c>
      <c r="J566" s="380">
        <v>3</v>
      </c>
      <c r="K566" s="389">
        <f>47775+46312.5</f>
        <v>94087.5</v>
      </c>
      <c r="L566" s="505">
        <v>46113</v>
      </c>
      <c r="M566" s="505">
        <v>46477</v>
      </c>
      <c r="N566" s="668"/>
      <c r="O566" s="685"/>
      <c r="P566" s="363" t="s">
        <v>520</v>
      </c>
      <c r="Q566" s="380"/>
      <c r="R566" s="380"/>
      <c r="S566" s="390" t="s">
        <v>1080</v>
      </c>
      <c r="T566" s="363" t="s">
        <v>1847</v>
      </c>
      <c r="U566" s="363" t="s">
        <v>1108</v>
      </c>
      <c r="V566" s="363" t="s">
        <v>1884</v>
      </c>
      <c r="W566" s="363" t="s">
        <v>1885</v>
      </c>
      <c r="X566" s="363"/>
      <c r="Y566" s="363"/>
      <c r="Z566" s="363"/>
      <c r="AA566" s="363"/>
      <c r="AB566" s="363"/>
      <c r="AC566" s="363"/>
      <c r="AD566" s="363"/>
      <c r="AE566" s="363" t="s">
        <v>551</v>
      </c>
      <c r="AF566" s="380" t="s">
        <v>207</v>
      </c>
      <c r="AG566" s="380">
        <v>3</v>
      </c>
      <c r="AH566" s="363" t="s">
        <v>1886</v>
      </c>
    </row>
    <row r="567" spans="2:34" ht="15" hidden="1" customHeight="1" x14ac:dyDescent="0.3">
      <c r="B567" s="380" t="s">
        <v>9</v>
      </c>
      <c r="C567" s="553" t="s">
        <v>775</v>
      </c>
      <c r="D567" s="482" t="s">
        <v>1883</v>
      </c>
      <c r="E567" s="408">
        <v>2710002053</v>
      </c>
      <c r="F567" s="488">
        <v>46168</v>
      </c>
      <c r="G567" s="380" t="s">
        <v>55</v>
      </c>
      <c r="H567" s="380">
        <v>2</v>
      </c>
      <c r="I567" s="388">
        <v>160875</v>
      </c>
      <c r="J567" s="380">
        <v>3</v>
      </c>
      <c r="K567" s="389">
        <f>36562.5+43875</f>
        <v>80437.5</v>
      </c>
      <c r="L567" s="517">
        <v>46113</v>
      </c>
      <c r="M567" s="517">
        <v>46477</v>
      </c>
      <c r="N567" s="668"/>
      <c r="O567" s="685"/>
      <c r="P567" s="363" t="s">
        <v>520</v>
      </c>
      <c r="Q567" s="380"/>
      <c r="R567" s="380"/>
      <c r="S567" s="390" t="s">
        <v>1080</v>
      </c>
      <c r="T567" s="363" t="s">
        <v>1854</v>
      </c>
      <c r="U567" s="363" t="s">
        <v>1108</v>
      </c>
      <c r="V567" s="363" t="s">
        <v>1884</v>
      </c>
      <c r="W567" s="363" t="s">
        <v>1885</v>
      </c>
      <c r="X567" s="363"/>
      <c r="Y567" s="363"/>
      <c r="Z567" s="363"/>
      <c r="AA567" s="363"/>
      <c r="AB567" s="363"/>
      <c r="AC567" s="363"/>
      <c r="AD567" s="363"/>
      <c r="AE567" s="363" t="s">
        <v>551</v>
      </c>
      <c r="AF567" s="380" t="s">
        <v>207</v>
      </c>
      <c r="AG567" s="380">
        <v>3</v>
      </c>
      <c r="AH567" s="363" t="s">
        <v>1886</v>
      </c>
    </row>
    <row r="568" spans="2:34" ht="15" hidden="1" customHeight="1" x14ac:dyDescent="0.3">
      <c r="B568" s="380" t="s">
        <v>9</v>
      </c>
      <c r="C568" s="482" t="s">
        <v>1887</v>
      </c>
      <c r="D568" s="482" t="s">
        <v>1031</v>
      </c>
      <c r="E568" s="468">
        <v>4514271746</v>
      </c>
      <c r="F568" s="488">
        <v>46175</v>
      </c>
      <c r="G568" s="380" t="s">
        <v>55</v>
      </c>
      <c r="H568" s="380">
        <v>1</v>
      </c>
      <c r="I568" s="388">
        <v>285000</v>
      </c>
      <c r="J568" s="380">
        <v>3</v>
      </c>
      <c r="K568" s="389">
        <f t="shared" ref="K568:K576" si="27">I568/J568</f>
        <v>95000</v>
      </c>
      <c r="L568" s="504">
        <v>46113</v>
      </c>
      <c r="M568" s="504">
        <v>46477</v>
      </c>
      <c r="N568" s="667"/>
      <c r="O568" s="684"/>
      <c r="P568" s="363" t="s">
        <v>520</v>
      </c>
      <c r="Q568" s="380"/>
      <c r="R568" s="380"/>
      <c r="S568" s="363" t="s">
        <v>1080</v>
      </c>
      <c r="T568" s="363"/>
      <c r="U568" s="363" t="s">
        <v>1108</v>
      </c>
      <c r="V568" s="363"/>
      <c r="W568" s="363" t="s">
        <v>1885</v>
      </c>
      <c r="X568" s="363"/>
      <c r="Y568" s="363"/>
      <c r="Z568" s="363"/>
      <c r="AA568" s="363"/>
      <c r="AB568" s="363"/>
      <c r="AC568" s="363"/>
      <c r="AD568" s="363"/>
      <c r="AE568" s="363" t="s">
        <v>478</v>
      </c>
      <c r="AF568" s="380" t="s">
        <v>63</v>
      </c>
      <c r="AG568" s="380">
        <v>5</v>
      </c>
      <c r="AH568" s="363" t="s">
        <v>667</v>
      </c>
    </row>
    <row r="569" spans="2:34" ht="15" hidden="1" customHeight="1" x14ac:dyDescent="0.3">
      <c r="B569" s="380" t="s">
        <v>9</v>
      </c>
      <c r="C569" s="482" t="s">
        <v>1888</v>
      </c>
      <c r="D569" s="482" t="s">
        <v>151</v>
      </c>
      <c r="E569" s="468">
        <v>4504965642</v>
      </c>
      <c r="F569" s="488">
        <v>46112</v>
      </c>
      <c r="G569" s="380" t="s">
        <v>55</v>
      </c>
      <c r="H569" s="380">
        <v>4</v>
      </c>
      <c r="I569" s="388">
        <v>260000</v>
      </c>
      <c r="J569" s="380">
        <v>2</v>
      </c>
      <c r="K569" s="389">
        <f t="shared" si="27"/>
        <v>130000</v>
      </c>
      <c r="L569" s="504">
        <v>46023</v>
      </c>
      <c r="M569" s="504">
        <v>46387</v>
      </c>
      <c r="N569" s="667"/>
      <c r="O569" s="684"/>
      <c r="P569" s="363" t="s">
        <v>520</v>
      </c>
      <c r="Q569" s="380"/>
      <c r="R569" s="380"/>
      <c r="S569" s="390" t="s">
        <v>607</v>
      </c>
      <c r="T569" s="363" t="s">
        <v>1854</v>
      </c>
      <c r="U569" s="363" t="s">
        <v>1889</v>
      </c>
      <c r="V569" s="363"/>
      <c r="W569" s="363"/>
      <c r="X569" s="363"/>
      <c r="Y569" s="363"/>
      <c r="Z569" s="363"/>
      <c r="AA569" s="363"/>
      <c r="AB569" s="363"/>
      <c r="AC569" s="363"/>
      <c r="AD569" s="363"/>
      <c r="AE569" s="363" t="s">
        <v>478</v>
      </c>
      <c r="AF569" s="380" t="s">
        <v>63</v>
      </c>
      <c r="AG569" s="380">
        <v>2</v>
      </c>
      <c r="AH569" s="363" t="s">
        <v>667</v>
      </c>
    </row>
    <row r="570" spans="2:34" ht="15" hidden="1" customHeight="1" x14ac:dyDescent="0.3">
      <c r="B570" s="380" t="s">
        <v>9</v>
      </c>
      <c r="C570" s="482" t="s">
        <v>530</v>
      </c>
      <c r="D570" s="482" t="s">
        <v>1016</v>
      </c>
      <c r="E570" s="468" t="s">
        <v>1890</v>
      </c>
      <c r="F570" s="488">
        <v>46174</v>
      </c>
      <c r="G570" s="380" t="s">
        <v>55</v>
      </c>
      <c r="H570" s="380"/>
      <c r="I570" s="388">
        <f>563400/3</f>
        <v>187800</v>
      </c>
      <c r="J570" s="380">
        <v>3</v>
      </c>
      <c r="K570" s="389">
        <f t="shared" si="27"/>
        <v>62600</v>
      </c>
      <c r="L570" s="504">
        <v>46174</v>
      </c>
      <c r="M570" s="504">
        <v>46538</v>
      </c>
      <c r="N570" s="667"/>
      <c r="O570" s="684"/>
      <c r="P570" s="363" t="s">
        <v>520</v>
      </c>
      <c r="Q570" s="380"/>
      <c r="R570" s="380"/>
      <c r="S570" s="381" t="str" cm="1">
        <f t="array" ref="S570">TEXT(EDATE(L570,{0}),"dd/mm/yyy") &amp; " to " &amp; TEXT(EDATE(L570,{4})-1,"dd/mm/yyyy")</f>
        <v>01/06/2026 to 30/09/2026</v>
      </c>
      <c r="T570" s="363"/>
      <c r="U570" s="381" t="str" cm="1">
        <f t="array" ref="U570">TEXT(EDATE(L570,{4}),"dd/mm/yyy") &amp; " to " &amp; TEXT(EDATE(L570,{8})-1,"dd/mm/yyyy")</f>
        <v>01/10/2026 to 31/01/2027</v>
      </c>
      <c r="V570" s="363"/>
      <c r="W570" s="381" t="str" cm="1">
        <f t="array" ref="W570">TEXT(EDATE(L570,{8}),"dd/mm/yyy") &amp; " to " &amp; TEXT(EDATE(L570,{12})-1,"dd/mm/yyyy")</f>
        <v>01/02/2027 to 31/05/2027</v>
      </c>
      <c r="X570" s="363"/>
      <c r="Y570" s="363"/>
      <c r="Z570" s="363"/>
      <c r="AA570" s="363"/>
      <c r="AB570" s="363"/>
      <c r="AC570" s="363"/>
      <c r="AD570" s="363"/>
      <c r="AE570" s="363" t="s">
        <v>619</v>
      </c>
      <c r="AF570" s="380" t="s">
        <v>63</v>
      </c>
      <c r="AG570" s="380">
        <v>3</v>
      </c>
      <c r="AH570" s="363" t="s">
        <v>667</v>
      </c>
    </row>
    <row r="571" spans="2:34" ht="15" hidden="1" customHeight="1" x14ac:dyDescent="0.3">
      <c r="B571" s="380" t="s">
        <v>9</v>
      </c>
      <c r="C571" s="482" t="s">
        <v>530</v>
      </c>
      <c r="D571" s="482" t="s">
        <v>1016</v>
      </c>
      <c r="E571" s="468" t="s">
        <v>1890</v>
      </c>
      <c r="F571" s="488">
        <v>46174</v>
      </c>
      <c r="G571" s="380" t="s">
        <v>55</v>
      </c>
      <c r="H571" s="380"/>
      <c r="I571" s="388">
        <f>563400/3</f>
        <v>187800</v>
      </c>
      <c r="J571" s="380">
        <v>3</v>
      </c>
      <c r="K571" s="389">
        <f t="shared" si="27"/>
        <v>62600</v>
      </c>
      <c r="L571" s="504">
        <v>46539</v>
      </c>
      <c r="M571" s="507">
        <v>46904</v>
      </c>
      <c r="N571" s="663"/>
      <c r="O571" s="680"/>
      <c r="P571" s="363" t="s">
        <v>520</v>
      </c>
      <c r="Q571" s="380"/>
      <c r="R571" s="380"/>
      <c r="S571" s="381" t="str" cm="1">
        <f t="array" ref="S571">TEXT(EDATE(L571,{0}),"dd/mm/yyy") &amp; " to " &amp; TEXT(EDATE(L571,{4})-1,"dd/mm/yyyy")</f>
        <v>01/06/2027 to 30/09/2027</v>
      </c>
      <c r="T571" s="363"/>
      <c r="U571" s="381" t="str" cm="1">
        <f t="array" ref="U571">TEXT(EDATE(L571,{4}),"dd/mm/yyy") &amp; " to " &amp; TEXT(EDATE(L571,{8})-1,"dd/mm/yyyy")</f>
        <v>01/10/2027 to 31/01/2028</v>
      </c>
      <c r="V571" s="363"/>
      <c r="W571" s="381" t="str" cm="1">
        <f t="array" ref="W571">TEXT(EDATE(L571,{8}),"dd/mm/yyy") &amp; " to " &amp; TEXT(EDATE(L571,{12})-1,"dd/mm/yyyy")</f>
        <v>01/02/2028 to 31/05/2028</v>
      </c>
      <c r="X571" s="363"/>
      <c r="Y571" s="363"/>
      <c r="Z571" s="363"/>
      <c r="AA571" s="363"/>
      <c r="AB571" s="363"/>
      <c r="AC571" s="363"/>
      <c r="AD571" s="363"/>
      <c r="AE571" s="363" t="s">
        <v>619</v>
      </c>
      <c r="AF571" s="380" t="s">
        <v>63</v>
      </c>
      <c r="AG571" s="380">
        <v>3</v>
      </c>
      <c r="AH571" s="363" t="s">
        <v>667</v>
      </c>
    </row>
    <row r="572" spans="2:34" ht="15" hidden="1" customHeight="1" x14ac:dyDescent="0.3">
      <c r="B572" s="380" t="s">
        <v>9</v>
      </c>
      <c r="C572" s="482" t="s">
        <v>530</v>
      </c>
      <c r="D572" s="482" t="s">
        <v>1016</v>
      </c>
      <c r="E572" s="468" t="s">
        <v>1890</v>
      </c>
      <c r="F572" s="488">
        <v>46174</v>
      </c>
      <c r="G572" s="380" t="s">
        <v>55</v>
      </c>
      <c r="H572" s="380">
        <v>2</v>
      </c>
      <c r="I572" s="388">
        <f>563400/3</f>
        <v>187800</v>
      </c>
      <c r="J572" s="380">
        <v>3</v>
      </c>
      <c r="K572" s="389">
        <f t="shared" si="27"/>
        <v>62600</v>
      </c>
      <c r="L572" s="504">
        <v>46905</v>
      </c>
      <c r="M572" s="507">
        <v>47269</v>
      </c>
      <c r="N572" s="663"/>
      <c r="O572" s="680"/>
      <c r="P572" s="363" t="s">
        <v>520</v>
      </c>
      <c r="Q572" s="380"/>
      <c r="R572" s="380"/>
      <c r="S572" s="381" t="str" cm="1">
        <f t="array" ref="S572">TEXT(EDATE(L572,{0}),"dd/mm/yyy") &amp; " to " &amp; TEXT(EDATE(L572,{4})-1,"dd/mm/yyyy")</f>
        <v>01/06/2028 to 30/09/2028</v>
      </c>
      <c r="T572" s="363"/>
      <c r="U572" s="381" t="str" cm="1">
        <f t="array" ref="U572">TEXT(EDATE(L572,{4}),"dd/mm/yyy") &amp; " to " &amp; TEXT(EDATE(L572,{8})-1,"dd/mm/yyyy")</f>
        <v>01/10/2028 to 31/01/2029</v>
      </c>
      <c r="V572" s="363"/>
      <c r="W572" s="381" t="str" cm="1">
        <f t="array" ref="W572">TEXT(EDATE($L572,{8}),"dd/mm/yyy") &amp; " to " &amp; TEXT(EDATE($L572,{12})-1,"dd/mm/yyyy")</f>
        <v>01/02/2029 to 31/05/2029</v>
      </c>
      <c r="X572" s="363"/>
      <c r="Y572" s="363"/>
      <c r="Z572" s="363"/>
      <c r="AA572" s="363"/>
      <c r="AB572" s="363"/>
      <c r="AC572" s="363"/>
      <c r="AD572" s="363"/>
      <c r="AE572" s="363" t="s">
        <v>619</v>
      </c>
      <c r="AF572" s="380" t="s">
        <v>63</v>
      </c>
      <c r="AG572" s="380">
        <v>3</v>
      </c>
      <c r="AH572" s="363" t="s">
        <v>667</v>
      </c>
    </row>
    <row r="573" spans="2:34" ht="15" hidden="1" customHeight="1" x14ac:dyDescent="0.3">
      <c r="B573" s="380" t="s">
        <v>9</v>
      </c>
      <c r="C573" s="430" t="s">
        <v>1891</v>
      </c>
      <c r="D573" s="430" t="s">
        <v>1892</v>
      </c>
      <c r="E573" s="419">
        <v>4514063024</v>
      </c>
      <c r="F573" s="519">
        <v>46133</v>
      </c>
      <c r="G573" s="380" t="s">
        <v>55</v>
      </c>
      <c r="H573" s="464">
        <v>1</v>
      </c>
      <c r="I573" s="388">
        <v>50000</v>
      </c>
      <c r="J573" s="380">
        <v>3</v>
      </c>
      <c r="K573" s="389">
        <f t="shared" si="27"/>
        <v>16666.666666666668</v>
      </c>
      <c r="L573" s="512">
        <v>46023</v>
      </c>
      <c r="M573" s="512">
        <v>46387</v>
      </c>
      <c r="N573" s="669"/>
      <c r="O573" s="686"/>
      <c r="P573" s="363" t="s">
        <v>520</v>
      </c>
      <c r="Q573" s="380"/>
      <c r="R573" s="380"/>
      <c r="S573" s="394" t="str" cm="1">
        <f t="array" ref="S573">TEXT(EDATE(L573,{0}),"dd/mm/yyy") &amp; " to " &amp; TEXT(EDATE(L573,{4})-1,"dd/mm/yyyy")</f>
        <v>01/01/2026 to 30/04/2026</v>
      </c>
      <c r="T573" s="363" t="s">
        <v>1852</v>
      </c>
      <c r="U573" s="381" t="str" cm="1">
        <f t="array" ref="U573">TEXT(EDATE(L573,{4}),"dd/mm/yyy") &amp; " to " &amp; TEXT(EDATE(L573,{8})-1,"dd/mm/yyyy")</f>
        <v>01/05/2026 to 31/08/2026</v>
      </c>
      <c r="V573" s="363"/>
      <c r="W573" s="381" t="str" cm="1">
        <f t="array" ref="W573">TEXT(EDATE($L573,{8}),"dd/mm/yyy") &amp; " to " &amp; TEXT(EDATE($L573,{12})-1,"dd/mm/yyyy")</f>
        <v>01/09/2026 to 31/12/2026</v>
      </c>
      <c r="X573" s="363"/>
      <c r="Y573" s="363"/>
      <c r="Z573" s="363"/>
      <c r="AA573" s="363"/>
      <c r="AB573" s="363"/>
      <c r="AC573" s="363"/>
      <c r="AD573" s="363"/>
      <c r="AE573" s="363" t="s">
        <v>478</v>
      </c>
      <c r="AF573" s="380" t="s">
        <v>63</v>
      </c>
      <c r="AG573" s="380">
        <v>5</v>
      </c>
      <c r="AH573" s="363" t="s">
        <v>667</v>
      </c>
    </row>
    <row r="574" spans="2:34" ht="15" hidden="1" customHeight="1" x14ac:dyDescent="0.3">
      <c r="B574" s="380" t="s">
        <v>9</v>
      </c>
      <c r="C574" s="482" t="s">
        <v>130</v>
      </c>
      <c r="D574" s="483" t="s">
        <v>940</v>
      </c>
      <c r="E574" s="468">
        <v>6800051961</v>
      </c>
      <c r="F574" s="488">
        <v>46132</v>
      </c>
      <c r="G574" s="380" t="s">
        <v>55</v>
      </c>
      <c r="H574" s="380">
        <v>1</v>
      </c>
      <c r="I574" s="388">
        <v>89500</v>
      </c>
      <c r="J574" s="380">
        <v>3</v>
      </c>
      <c r="K574" s="389">
        <f t="shared" si="27"/>
        <v>29833.333333333332</v>
      </c>
      <c r="L574" s="505">
        <v>46143</v>
      </c>
      <c r="M574" s="505">
        <v>46507</v>
      </c>
      <c r="N574" s="668"/>
      <c r="O574" s="685"/>
      <c r="P574" s="363" t="s">
        <v>520</v>
      </c>
      <c r="Q574" s="380"/>
      <c r="R574" s="380"/>
      <c r="S574" s="394" t="str" cm="1">
        <f t="array" ref="S574">TEXT(EDATE(L574,{0}),"dd/mm/yyy") &amp; " to " &amp; TEXT(EDATE(L574,{4})-1,"dd/mm/yyyy")</f>
        <v>01/05/2026 to 31/08/2026</v>
      </c>
      <c r="T574" s="363" t="s">
        <v>1712</v>
      </c>
      <c r="U574" s="381" t="str" cm="1">
        <f t="array" ref="U574">TEXT(EDATE(L574,{4}),"dd/mm/yyy") &amp; " to " &amp; TEXT(EDATE(L574,{8})-1,"dd/mm/yyyy")</f>
        <v>01/09/2026 to 31/12/2026</v>
      </c>
      <c r="V574" s="363"/>
      <c r="W574" s="381" t="str" cm="1">
        <f t="array" ref="W574">TEXT(EDATE($L574,{8}),"dd/mm/yyy") &amp; " to " &amp; TEXT(EDATE($L574,{12})-1,"dd/mm/yyyy")</f>
        <v>01/01/2027 to 30/04/2027</v>
      </c>
      <c r="X574" s="363"/>
      <c r="Y574" s="363"/>
      <c r="Z574" s="363"/>
      <c r="AA574" s="363"/>
      <c r="AB574" s="363"/>
      <c r="AC574" s="363"/>
      <c r="AD574" s="363"/>
      <c r="AE574" s="363" t="s">
        <v>1893</v>
      </c>
      <c r="AF574" s="380" t="s">
        <v>97</v>
      </c>
      <c r="AG574" s="380">
        <v>2</v>
      </c>
      <c r="AH574" s="363" t="s">
        <v>1894</v>
      </c>
    </row>
    <row r="575" spans="2:34" ht="15" hidden="1" customHeight="1" x14ac:dyDescent="0.3">
      <c r="B575" s="380" t="s">
        <v>9</v>
      </c>
      <c r="C575" s="482" t="s">
        <v>130</v>
      </c>
      <c r="D575" s="483" t="s">
        <v>940</v>
      </c>
      <c r="E575" s="411">
        <v>6800051960</v>
      </c>
      <c r="F575" s="488">
        <v>46132</v>
      </c>
      <c r="G575" s="380" t="s">
        <v>55</v>
      </c>
      <c r="H575" s="380">
        <v>5</v>
      </c>
      <c r="I575" s="388">
        <f>89500*5</f>
        <v>447500</v>
      </c>
      <c r="J575" s="380">
        <v>3</v>
      </c>
      <c r="K575" s="389">
        <f t="shared" si="27"/>
        <v>149166.66666666666</v>
      </c>
      <c r="L575" s="505">
        <v>46143</v>
      </c>
      <c r="M575" s="505">
        <v>46507</v>
      </c>
      <c r="N575" s="668"/>
      <c r="O575" s="685"/>
      <c r="P575" s="363" t="s">
        <v>520</v>
      </c>
      <c r="Q575" s="380"/>
      <c r="R575" s="380"/>
      <c r="S575" s="394" t="str" cm="1">
        <f t="array" ref="S575">TEXT(EDATE(L575,{0}),"dd/mm/yyy") &amp; " to " &amp; TEXT(EDATE(L575,{4})-1,"dd/mm/yyyy")</f>
        <v>01/05/2026 to 31/08/2026</v>
      </c>
      <c r="T575" s="363" t="s">
        <v>1712</v>
      </c>
      <c r="U575" s="381" t="str" cm="1">
        <f t="array" ref="U575">TEXT(EDATE(L575,{4}),"dd/mm/yyy") &amp; " to " &amp; TEXT(EDATE(L575,{8})-1,"dd/mm/yyyy")</f>
        <v>01/09/2026 to 31/12/2026</v>
      </c>
      <c r="V575" s="363"/>
      <c r="W575" s="381" t="str" cm="1">
        <f t="array" ref="W575">TEXT(EDATE($L575,{8}),"dd/mm/yyy") &amp; " to " &amp; TEXT(EDATE($L575,{12})-1,"dd/mm/yyyy")</f>
        <v>01/01/2027 to 30/04/2027</v>
      </c>
      <c r="X575" s="363"/>
      <c r="Y575" s="363"/>
      <c r="Z575" s="363"/>
      <c r="AA575" s="363"/>
      <c r="AB575" s="363"/>
      <c r="AC575" s="363"/>
      <c r="AD575" s="363"/>
      <c r="AE575" s="363" t="s">
        <v>1893</v>
      </c>
      <c r="AF575" s="380" t="s">
        <v>97</v>
      </c>
      <c r="AG575" s="380">
        <v>2</v>
      </c>
      <c r="AH575" s="363" t="s">
        <v>1894</v>
      </c>
    </row>
    <row r="576" spans="2:34" ht="15" hidden="1" customHeight="1" x14ac:dyDescent="0.3">
      <c r="B576" s="380" t="s">
        <v>9</v>
      </c>
      <c r="C576" s="482" t="s">
        <v>744</v>
      </c>
      <c r="D576" s="483" t="s">
        <v>176</v>
      </c>
      <c r="E576" s="468">
        <v>4500026344</v>
      </c>
      <c r="F576" s="488">
        <v>46092</v>
      </c>
      <c r="G576" s="380" t="s">
        <v>55</v>
      </c>
      <c r="H576" s="380">
        <v>2</v>
      </c>
      <c r="I576" s="388">
        <v>222750</v>
      </c>
      <c r="J576" s="380">
        <v>2</v>
      </c>
      <c r="K576" s="389">
        <f t="shared" si="27"/>
        <v>111375</v>
      </c>
      <c r="L576" s="504">
        <v>46092</v>
      </c>
      <c r="M576" s="504">
        <v>46456</v>
      </c>
      <c r="N576" s="667"/>
      <c r="O576" s="684"/>
      <c r="P576" s="363" t="s">
        <v>520</v>
      </c>
      <c r="Q576" s="380"/>
      <c r="R576" s="380"/>
      <c r="S576" s="381" t="str" cm="1">
        <f t="array" ref="S576">TEXT(EDATE($L576,{0}),"dd/mm/yyy") &amp; " to " &amp; TEXT(EDATE($L576,{6})-1,"dd/mm/yyyy")</f>
        <v>11/03/2026 to 10/09/2026</v>
      </c>
      <c r="T576" s="363"/>
      <c r="U576" s="381" t="str" cm="1">
        <f t="array" ref="U576">TEXT(EDATE($L576,{6}),"dd/mm/yyy") &amp; " to " &amp; TEXT(EDATE($L576,{12})-1,"dd/mm/yyyy")</f>
        <v>11/09/2026 to 10/03/2027</v>
      </c>
      <c r="V576" s="363"/>
      <c r="W576" s="363"/>
      <c r="X576" s="363"/>
      <c r="Y576" s="363"/>
      <c r="Z576" s="363"/>
      <c r="AA576" s="363"/>
      <c r="AB576" s="363"/>
      <c r="AC576" s="363"/>
      <c r="AD576" s="363"/>
      <c r="AE576" s="363" t="s">
        <v>1893</v>
      </c>
      <c r="AF576" s="380" t="s">
        <v>97</v>
      </c>
      <c r="AG576" s="380">
        <v>2</v>
      </c>
      <c r="AH576" s="363" t="s">
        <v>667</v>
      </c>
    </row>
    <row r="577" spans="2:34" ht="15" hidden="1" customHeight="1" x14ac:dyDescent="0.3">
      <c r="B577" s="380" t="s">
        <v>9</v>
      </c>
      <c r="C577" s="412" t="s">
        <v>614</v>
      </c>
      <c r="D577" s="510" t="s">
        <v>447</v>
      </c>
      <c r="E577" s="467" t="s">
        <v>1895</v>
      </c>
      <c r="F577" s="496">
        <v>46171</v>
      </c>
      <c r="G577" s="380" t="s">
        <v>55</v>
      </c>
      <c r="H577" s="380">
        <v>1</v>
      </c>
      <c r="I577" s="388">
        <v>76440</v>
      </c>
      <c r="J577" s="380">
        <v>3</v>
      </c>
      <c r="K577" s="380"/>
      <c r="L577" s="505">
        <v>46174</v>
      </c>
      <c r="M577" s="505">
        <v>46538</v>
      </c>
      <c r="N577" s="668"/>
      <c r="O577" s="685"/>
      <c r="P577" s="363" t="s">
        <v>520</v>
      </c>
      <c r="Q577" s="380"/>
      <c r="R577" s="380"/>
      <c r="S577" s="394" t="str" cm="1">
        <f t="array" ref="S577">TEXT(EDATE(L577,{0}),"dd/mm/yyy") &amp; " to " &amp; TEXT(EDATE(L577,{4})-1,"dd/mm/yyyy")</f>
        <v>01/06/2026 to 30/09/2026</v>
      </c>
      <c r="T577" s="363" t="s">
        <v>1944</v>
      </c>
      <c r="U577" s="381" t="str" cm="1">
        <f t="array" ref="U577">TEXT(EDATE(L577,{4}),"dd/mm/yyy") &amp; " to " &amp; TEXT(EDATE(L577,{8})-1,"dd/mm/yyyy")</f>
        <v>01/10/2026 to 31/01/2027</v>
      </c>
      <c r="V577" s="363"/>
      <c r="W577" s="381" t="str" cm="1">
        <f t="array" ref="W577">TEXT(EDATE($L577,{8}),"dd/mm/yyy") &amp; " to " &amp; TEXT(EDATE($L577,{12})-1,"dd/mm/yyyy")</f>
        <v>01/02/2027 to 31/05/2027</v>
      </c>
      <c r="X577" s="363"/>
      <c r="Y577" s="363"/>
      <c r="Z577" s="363"/>
      <c r="AA577" s="363"/>
      <c r="AB577" s="363"/>
      <c r="AC577" s="363"/>
      <c r="AD577" s="363"/>
      <c r="AE577" s="363" t="s">
        <v>281</v>
      </c>
      <c r="AF577" s="380" t="s">
        <v>97</v>
      </c>
      <c r="AG577" s="380">
        <v>3</v>
      </c>
      <c r="AH577" s="363" t="s">
        <v>1896</v>
      </c>
    </row>
    <row r="578" spans="2:34" ht="15" hidden="1" customHeight="1" x14ac:dyDescent="0.3">
      <c r="B578" s="380" t="s">
        <v>9</v>
      </c>
      <c r="C578" s="478" t="s">
        <v>614</v>
      </c>
      <c r="D578" s="480" t="s">
        <v>447</v>
      </c>
      <c r="E578" s="495" t="s">
        <v>1897</v>
      </c>
      <c r="F578" s="496">
        <v>46091</v>
      </c>
      <c r="G578" s="380" t="s">
        <v>55</v>
      </c>
      <c r="H578" s="380">
        <v>1</v>
      </c>
      <c r="I578" s="388">
        <v>76440</v>
      </c>
      <c r="J578" s="380">
        <v>3</v>
      </c>
      <c r="K578" s="380"/>
      <c r="L578" s="504">
        <v>46143</v>
      </c>
      <c r="M578" s="504">
        <v>46507</v>
      </c>
      <c r="N578" s="667"/>
      <c r="O578" s="684">
        <v>4155</v>
      </c>
      <c r="P578" s="363" t="s">
        <v>520</v>
      </c>
      <c r="Q578" s="380"/>
      <c r="R578" s="380"/>
      <c r="S578" s="394" t="str" cm="1">
        <f t="array" ref="S578">TEXT(EDATE(L578,{0}),"dd/mm/yyy") &amp; " to " &amp; TEXT(EDATE(L578,{4})-1,"dd/mm/yyyy")</f>
        <v>01/05/2026 to 31/08/2026</v>
      </c>
      <c r="T578" s="363" t="s">
        <v>1941</v>
      </c>
      <c r="U578" s="381" t="str" cm="1">
        <f t="array" ref="U578">TEXT(EDATE(L578,{4}),"dd/mm/yyy") &amp; " to " &amp; TEXT(EDATE(L578,{8})-1,"dd/mm/yyyy")</f>
        <v>01/09/2026 to 31/12/2026</v>
      </c>
      <c r="V578" s="363"/>
      <c r="W578" s="381" t="str" cm="1">
        <f t="array" ref="W578">TEXT(EDATE($L578,{8}),"dd/mm/yyy") &amp; " to " &amp; TEXT(EDATE($L578,{12})-1,"dd/mm/yyyy")</f>
        <v>01/01/2027 to 30/04/2027</v>
      </c>
      <c r="X578" s="363"/>
      <c r="Y578" s="363"/>
      <c r="Z578" s="363"/>
      <c r="AA578" s="363"/>
      <c r="AB578" s="363"/>
      <c r="AC578" s="363"/>
      <c r="AD578" s="363"/>
      <c r="AE578" s="363" t="s">
        <v>281</v>
      </c>
      <c r="AF578" s="380" t="s">
        <v>97</v>
      </c>
      <c r="AG578" s="380">
        <v>3</v>
      </c>
      <c r="AH578" s="363" t="s">
        <v>1896</v>
      </c>
    </row>
    <row r="579" spans="2:34" ht="15" hidden="1" customHeight="1" x14ac:dyDescent="0.3">
      <c r="B579" s="380" t="s">
        <v>9</v>
      </c>
      <c r="C579" s="409" t="s">
        <v>614</v>
      </c>
      <c r="D579" s="489" t="s">
        <v>970</v>
      </c>
      <c r="E579" s="380">
        <v>4500050673</v>
      </c>
      <c r="F579" s="488">
        <v>46175</v>
      </c>
      <c r="G579" s="380" t="s">
        <v>55</v>
      </c>
      <c r="H579" s="380">
        <v>2</v>
      </c>
      <c r="I579" s="388">
        <f>I578*2</f>
        <v>152880</v>
      </c>
      <c r="J579" s="380">
        <v>3</v>
      </c>
      <c r="K579" s="380"/>
      <c r="L579" s="505">
        <v>46167</v>
      </c>
      <c r="M579" s="505">
        <v>46531</v>
      </c>
      <c r="N579" s="671"/>
      <c r="O579" s="688"/>
      <c r="P579" s="363" t="s">
        <v>520</v>
      </c>
      <c r="Q579" s="380"/>
      <c r="R579" s="380"/>
      <c r="S579" s="381" t="str" cm="1">
        <f t="array" ref="S579">TEXT(EDATE(L579,{0}),"dd/mm/yyy") &amp; " to " &amp; TEXT(EDATE(L579,{4})-1,"dd/mm/yyyy")</f>
        <v>25/05/2026 to 24/09/2026</v>
      </c>
      <c r="T579" s="363"/>
      <c r="U579" s="381" t="str" cm="1">
        <f t="array" ref="U579">TEXT(EDATE(L579,{4}),"dd/mm/yyy") &amp; " to " &amp; TEXT(EDATE(L579,{8})-1,"dd/mm/yyyy")</f>
        <v>25/09/2026 to 24/01/2027</v>
      </c>
      <c r="V579" s="363"/>
      <c r="W579" s="381" t="str" cm="1">
        <f t="array" ref="W579">TEXT(EDATE($L579,{8}),"dd/mm/yyy") &amp; " to " &amp; TEXT(EDATE($L579,{12})-1,"dd/mm/yyyy")</f>
        <v>25/01/2027 to 24/05/2027</v>
      </c>
      <c r="X579" s="363"/>
      <c r="Y579" s="363"/>
      <c r="Z579" s="363"/>
      <c r="AA579" s="363"/>
      <c r="AB579" s="363"/>
      <c r="AC579" s="363"/>
      <c r="AD579" s="363"/>
      <c r="AE579" s="363" t="s">
        <v>281</v>
      </c>
      <c r="AF579" s="380" t="s">
        <v>97</v>
      </c>
      <c r="AG579" s="380">
        <v>3</v>
      </c>
      <c r="AH579" s="363" t="s">
        <v>1896</v>
      </c>
    </row>
    <row r="580" spans="2:34" ht="15" hidden="1" customHeight="1" x14ac:dyDescent="0.3">
      <c r="B580" s="380" t="s">
        <v>9</v>
      </c>
      <c r="C580" s="409" t="s">
        <v>130</v>
      </c>
      <c r="D580" s="434" t="s">
        <v>131</v>
      </c>
      <c r="E580" s="408">
        <v>6800052761</v>
      </c>
      <c r="F580" s="501">
        <v>46181</v>
      </c>
      <c r="G580" s="380" t="s">
        <v>55</v>
      </c>
      <c r="H580" s="408">
        <v>1</v>
      </c>
      <c r="I580" s="388">
        <v>90000</v>
      </c>
      <c r="J580" s="380">
        <v>3</v>
      </c>
      <c r="K580" s="389">
        <f>I580/J580</f>
        <v>30000</v>
      </c>
      <c r="L580" s="517">
        <v>46174</v>
      </c>
      <c r="M580" s="655">
        <v>46538</v>
      </c>
      <c r="N580" s="668"/>
      <c r="O580" s="685"/>
      <c r="P580" s="657" t="s">
        <v>520</v>
      </c>
      <c r="Q580" s="380"/>
      <c r="R580" s="380"/>
      <c r="S580" s="381" t="str" cm="1">
        <f t="array" ref="S580">TEXT(EDATE(L580,{0}),"dd/mm/yyy") &amp; " to " &amp; TEXT(EDATE(L580,{4})-1,"dd/mm/yyyy")</f>
        <v>01/06/2026 to 30/09/2026</v>
      </c>
      <c r="T580" s="382"/>
      <c r="U580" s="381" t="str" cm="1">
        <f t="array" ref="U580">TEXT(EDATE(L580,{4}),"dd/mm/yyy") &amp; " to " &amp; TEXT(EDATE(L580,{8})-1,"dd/mm/yyyy")</f>
        <v>01/10/2026 to 31/01/2027</v>
      </c>
      <c r="V580" s="363"/>
      <c r="W580" s="381" t="str" cm="1">
        <f t="array" ref="W580">TEXT(EDATE($L580,{8}),"dd/mm/yyy") &amp; " to " &amp; TEXT(EDATE($L580,{12})-1,"dd/mm/yyyy")</f>
        <v>01/02/2027 to 31/05/2027</v>
      </c>
      <c r="X580" s="363"/>
      <c r="Y580" s="363"/>
      <c r="Z580" s="363"/>
      <c r="AA580" s="363"/>
      <c r="AB580" s="363"/>
      <c r="AC580" s="363"/>
      <c r="AD580" s="363"/>
      <c r="AE580" s="363" t="s">
        <v>485</v>
      </c>
      <c r="AF580" s="380" t="s">
        <v>63</v>
      </c>
      <c r="AG580" s="380">
        <v>2</v>
      </c>
      <c r="AH580" s="363" t="s">
        <v>1898</v>
      </c>
    </row>
    <row r="581" spans="2:34" ht="15" hidden="1" customHeight="1" x14ac:dyDescent="0.3">
      <c r="B581" s="380" t="s">
        <v>9</v>
      </c>
      <c r="C581" s="554" t="s">
        <v>508</v>
      </c>
      <c r="D581" s="521" t="s">
        <v>866</v>
      </c>
      <c r="E581" s="468" t="s">
        <v>1899</v>
      </c>
      <c r="F581" s="488">
        <v>46176</v>
      </c>
      <c r="G581" s="380" t="s">
        <v>55</v>
      </c>
      <c r="H581" s="522">
        <v>2</v>
      </c>
      <c r="I581" s="384">
        <v>185000</v>
      </c>
      <c r="J581" s="367">
        <v>3</v>
      </c>
      <c r="K581" s="370">
        <f>I581/2</f>
        <v>92500</v>
      </c>
      <c r="L581" s="523">
        <v>46188</v>
      </c>
      <c r="M581" s="524">
        <v>46552</v>
      </c>
      <c r="N581" s="667"/>
      <c r="O581" s="684"/>
      <c r="P581" s="657" t="s">
        <v>520</v>
      </c>
      <c r="S581" s="381" t="str" cm="1">
        <f t="array" ref="S581">TEXT(EDATE(L581,{0}),"dd/mm/yyy") &amp; " to " &amp; TEXT(EDATE(L581,{4})-1,"dd/mm/yyyy")</f>
        <v>15/06/2026 to 14/10/2026</v>
      </c>
      <c r="T581" s="376" t="s">
        <v>1900</v>
      </c>
      <c r="U581" s="381" t="str" cm="1">
        <f t="array" ref="U581">TEXT(EDATE(L581,{4}),"dd/mm/yyy") &amp; " to " &amp; TEXT(EDATE(L581,{8})-1,"dd/mm/yyyy")</f>
        <v>15/10/2026 to 14/02/2027</v>
      </c>
      <c r="V581" s="376" t="s">
        <v>1901</v>
      </c>
      <c r="W581" s="381" t="str" cm="1">
        <f t="array" ref="W581">TEXT(EDATE($L581,{8}),"dd/mm/yyy") &amp; " to " &amp; TEXT(EDATE($L581,{12})-1,"dd/mm/yyyy")</f>
        <v>15/02/2027 to 14/06/2027</v>
      </c>
      <c r="AE581" s="376" t="s">
        <v>96</v>
      </c>
      <c r="AF581" s="367" t="s">
        <v>97</v>
      </c>
      <c r="AG581" s="367">
        <v>2</v>
      </c>
      <c r="AH581" s="376" t="s">
        <v>1902</v>
      </c>
    </row>
    <row r="582" spans="2:34" ht="15" hidden="1" customHeight="1" x14ac:dyDescent="0.3">
      <c r="B582" s="380" t="s">
        <v>9</v>
      </c>
      <c r="C582" s="364" t="s">
        <v>1903</v>
      </c>
      <c r="D582" s="521" t="s">
        <v>151</v>
      </c>
      <c r="E582" s="419">
        <v>4501011273</v>
      </c>
      <c r="F582" s="488">
        <v>46168</v>
      </c>
      <c r="G582" s="525" t="s">
        <v>55</v>
      </c>
      <c r="H582" s="380">
        <v>1</v>
      </c>
      <c r="I582" s="384">
        <v>90000</v>
      </c>
      <c r="J582" s="367">
        <v>3</v>
      </c>
      <c r="K582" s="370">
        <f>I582/2</f>
        <v>45000</v>
      </c>
      <c r="L582" s="543">
        <v>46113</v>
      </c>
      <c r="M582" s="544">
        <v>46477</v>
      </c>
      <c r="N582" s="667"/>
      <c r="O582" s="684"/>
      <c r="P582" s="657" t="s">
        <v>520</v>
      </c>
      <c r="S582" s="381" t="str" cm="1">
        <f t="array" ref="S582">TEXT(EDATE(L582,{0}),"dd/mm/yyy") &amp; " to " &amp; TEXT(EDATE(L582,{4})-1,"dd/mm/yyyy")</f>
        <v>01/04/2026 to 31/07/2026</v>
      </c>
      <c r="U582" s="381" t="str" cm="1">
        <f t="array" ref="U582">TEXT(EDATE(L582,{4}),"dd/mm/yyy") &amp; " to " &amp; TEXT(EDATE(L582,{8})-1,"dd/mm/yyyy")</f>
        <v>01/08/2026 to 30/11/2026</v>
      </c>
      <c r="W582" s="381" t="str" cm="1">
        <f t="array" ref="W582">TEXT(EDATE($L582,{8}),"dd/mm/yyy") &amp; " to " &amp; TEXT(EDATE($L582,{12})-1,"dd/mm/yyyy")</f>
        <v>01/12/2026 to 31/03/2027</v>
      </c>
      <c r="AE582" s="376" t="s">
        <v>478</v>
      </c>
      <c r="AF582" s="367" t="s">
        <v>63</v>
      </c>
      <c r="AG582" s="367">
        <v>2</v>
      </c>
      <c r="AH582" s="376" t="s">
        <v>667</v>
      </c>
    </row>
    <row r="583" spans="2:34" ht="15" hidden="1" customHeight="1" x14ac:dyDescent="0.3">
      <c r="B583" s="380" t="s">
        <v>9</v>
      </c>
      <c r="C583" s="364" t="s">
        <v>658</v>
      </c>
      <c r="D583" s="521" t="s">
        <v>388</v>
      </c>
      <c r="E583" s="468" t="s">
        <v>1904</v>
      </c>
      <c r="F583" s="488">
        <v>46126</v>
      </c>
      <c r="G583" s="525" t="s">
        <v>55</v>
      </c>
      <c r="H583" s="540">
        <v>1</v>
      </c>
      <c r="I583" s="384">
        <v>73500</v>
      </c>
      <c r="J583" s="367">
        <v>2</v>
      </c>
      <c r="K583" s="370">
        <f>I583/2</f>
        <v>36750</v>
      </c>
      <c r="L583" s="543">
        <v>46082</v>
      </c>
      <c r="M583" s="544">
        <v>46446</v>
      </c>
      <c r="N583" s="667"/>
      <c r="O583" s="684"/>
      <c r="P583" s="657" t="s">
        <v>520</v>
      </c>
      <c r="S583" s="381" t="str" cm="1">
        <f t="array" ref="S583">TEXT(EDATE($L583,{0}),"dd/mm/yyy") &amp; " to " &amp; TEXT(EDATE($L583,{6})-1,"dd/mm/yyyy")</f>
        <v>01/03/2026 to 31/08/2026</v>
      </c>
      <c r="T583" s="382"/>
      <c r="U583" s="381" t="str" cm="1">
        <f t="array" ref="U583">TEXT(EDATE($L583,{6}),"dd/mm/yyy") &amp; " to " &amp; TEXT(EDATE($L583,{12})-1,"dd/mm/yyyy")</f>
        <v>01/09/2026 to 28/02/2027</v>
      </c>
      <c r="AE583" s="376" t="s">
        <v>619</v>
      </c>
      <c r="AF583" s="367" t="s">
        <v>63</v>
      </c>
      <c r="AG583" s="367">
        <v>3</v>
      </c>
      <c r="AH583" s="376" t="s">
        <v>667</v>
      </c>
    </row>
    <row r="584" spans="2:34" ht="15" hidden="1" customHeight="1" x14ac:dyDescent="0.3">
      <c r="B584" s="380" t="s">
        <v>9</v>
      </c>
      <c r="C584" s="526" t="s">
        <v>734</v>
      </c>
      <c r="D584" s="527" t="s">
        <v>323</v>
      </c>
      <c r="E584" s="419">
        <v>101289109</v>
      </c>
      <c r="F584" s="488">
        <v>46185</v>
      </c>
      <c r="G584" s="525" t="s">
        <v>55</v>
      </c>
      <c r="H584" s="380">
        <v>4</v>
      </c>
      <c r="I584" s="384">
        <v>322680</v>
      </c>
      <c r="J584" s="367">
        <v>3</v>
      </c>
      <c r="K584" s="370">
        <f>I584/J584</f>
        <v>107560</v>
      </c>
      <c r="L584" s="545">
        <v>46174</v>
      </c>
      <c r="M584" s="656">
        <v>46507</v>
      </c>
      <c r="N584" s="667"/>
      <c r="O584" s="684"/>
      <c r="P584" s="657" t="s">
        <v>520</v>
      </c>
      <c r="S584" s="381" t="str" cm="1">
        <f t="array" ref="S584">TEXT(EDATE($L584,{0}),"dd/mm/yyy") &amp; " to " &amp; TEXT(EDATE($L584,{4})-1,"dd/mm/yyyy")</f>
        <v>01/06/2026 to 30/09/2026</v>
      </c>
      <c r="T584" s="363"/>
      <c r="U584" s="381" t="str" cm="1">
        <f t="array" ref="U584">TEXT(EDATE($L584,{4}),"dd/mm/yyy") &amp; " to " &amp; TEXT(EDATE($L584,{8})-1,"dd/mm/yyyy")</f>
        <v>01/10/2026 to 31/01/2027</v>
      </c>
      <c r="V584" s="363"/>
      <c r="W584" s="381" t="s">
        <v>457</v>
      </c>
      <c r="AE584" s="376" t="s">
        <v>96</v>
      </c>
      <c r="AF584" s="367" t="s">
        <v>97</v>
      </c>
      <c r="AG584" s="367" t="s">
        <v>494</v>
      </c>
      <c r="AH584" s="376" t="s">
        <v>1905</v>
      </c>
    </row>
    <row r="585" spans="2:34" ht="15" hidden="1" customHeight="1" x14ac:dyDescent="0.3">
      <c r="B585" s="380" t="s">
        <v>9</v>
      </c>
      <c r="C585" s="600" t="s">
        <v>775</v>
      </c>
      <c r="D585" s="601" t="s">
        <v>776</v>
      </c>
      <c r="E585" s="541">
        <v>2710002115</v>
      </c>
      <c r="F585" s="343">
        <v>46185</v>
      </c>
      <c r="G585" s="525" t="s">
        <v>55</v>
      </c>
      <c r="H585" s="380">
        <v>2</v>
      </c>
      <c r="I585" s="384">
        <v>129320</v>
      </c>
      <c r="J585" s="367">
        <v>3</v>
      </c>
      <c r="K585" s="370">
        <f>I585/2</f>
        <v>64660</v>
      </c>
      <c r="L585" s="602">
        <v>46113</v>
      </c>
      <c r="M585" s="603">
        <v>46477</v>
      </c>
      <c r="N585" s="672"/>
      <c r="O585" s="689"/>
      <c r="P585" s="363" t="s">
        <v>520</v>
      </c>
      <c r="S585" s="394" t="str" cm="1">
        <f t="array" ref="S585">TEXT(EDATE($L585,{0}),"dd/mm/yyy") &amp; " to " &amp; TEXT(EDATE($L585,{4})-1,"dd/mm/yyyy")</f>
        <v>01/04/2026 to 31/07/2026</v>
      </c>
      <c r="T585" s="376" t="s">
        <v>1874</v>
      </c>
      <c r="U585" s="381" t="str" cm="1">
        <f t="array" ref="U585">TEXT(EDATE($L585,{4}),"dd/mm/yyy") &amp; " to " &amp; TEXT(EDATE($L585,{8})-1,"dd/mm/yyyy")</f>
        <v>01/08/2026 to 30/11/2026</v>
      </c>
      <c r="V585" s="376" t="s">
        <v>1906</v>
      </c>
      <c r="W585" s="381" t="str" cm="1">
        <f t="array" ref="W585">TEXT(EDATE($L585,{8}),"dd/mm/yyy") &amp; " to " &amp; TEXT(EDATE($L585,{12})-1,"dd/mm/yyyy")</f>
        <v>01/12/2026 to 31/03/2027</v>
      </c>
      <c r="AE585" s="376" t="s">
        <v>551</v>
      </c>
      <c r="AF585" s="367" t="s">
        <v>207</v>
      </c>
      <c r="AG585" s="367">
        <v>3</v>
      </c>
      <c r="AH585" s="376" t="s">
        <v>1907</v>
      </c>
    </row>
    <row r="586" spans="2:34" ht="15" hidden="1" customHeight="1" x14ac:dyDescent="0.3">
      <c r="B586" s="380" t="s">
        <v>9</v>
      </c>
      <c r="C586" s="556" t="s">
        <v>658</v>
      </c>
      <c r="D586" s="557" t="s">
        <v>151</v>
      </c>
      <c r="E586" s="50">
        <v>6500016201</v>
      </c>
      <c r="F586" s="343">
        <v>46188</v>
      </c>
      <c r="G586" s="525" t="s">
        <v>55</v>
      </c>
      <c r="H586" s="540">
        <v>8</v>
      </c>
      <c r="I586" s="384">
        <v>448000</v>
      </c>
      <c r="J586" s="367">
        <v>1</v>
      </c>
      <c r="K586" s="370">
        <f t="shared" ref="K586:K592" si="28">I586/J586</f>
        <v>448000</v>
      </c>
      <c r="L586" s="558">
        <v>46113</v>
      </c>
      <c r="M586" s="559">
        <v>46477</v>
      </c>
      <c r="N586" s="673"/>
      <c r="O586" s="690"/>
      <c r="P586" s="363" t="s">
        <v>520</v>
      </c>
      <c r="S586" s="376" t="s">
        <v>646</v>
      </c>
      <c r="AE586" s="376" t="s">
        <v>507</v>
      </c>
      <c r="AF586" s="367" t="s">
        <v>63</v>
      </c>
      <c r="AG586" s="367">
        <v>2</v>
      </c>
      <c r="AH586" s="376" t="s">
        <v>1908</v>
      </c>
    </row>
    <row r="587" spans="2:34" ht="15" hidden="1" customHeight="1" x14ac:dyDescent="0.3">
      <c r="B587" s="380" t="s">
        <v>9</v>
      </c>
      <c r="C587" s="37" t="s">
        <v>1909</v>
      </c>
      <c r="D587" s="557" t="s">
        <v>151</v>
      </c>
      <c r="E587" s="174">
        <v>4601561729</v>
      </c>
      <c r="F587" s="343">
        <v>46189</v>
      </c>
      <c r="G587" s="525" t="s">
        <v>55</v>
      </c>
      <c r="H587" s="380">
        <v>2</v>
      </c>
      <c r="I587" s="384">
        <f>84999+84999</f>
        <v>169998</v>
      </c>
      <c r="J587" s="367">
        <v>3</v>
      </c>
      <c r="K587" s="370">
        <f t="shared" si="28"/>
        <v>56666</v>
      </c>
      <c r="L587" s="602">
        <v>46113</v>
      </c>
      <c r="M587" s="603">
        <v>46477</v>
      </c>
      <c r="N587" s="672"/>
      <c r="O587" s="689"/>
      <c r="P587" s="363" t="s">
        <v>520</v>
      </c>
      <c r="S587" s="394" t="str" cm="1">
        <f t="array" ref="S587">TEXT(EDATE($L587,{0}),"dd/mm/yyy") &amp; " to " &amp; TEXT(EDATE($L587,{4})-1,"dd/mm/yyyy")</f>
        <v>01/04/2026 to 31/07/2026</v>
      </c>
      <c r="T587" s="363" t="s">
        <v>1844</v>
      </c>
      <c r="U587" s="381" t="str" cm="1">
        <f t="array" ref="U587">TEXT(EDATE($L587,{4}),"dd/mm/yyy") &amp; " to " &amp; TEXT(EDATE($L587,{8})-1,"dd/mm/yyyy")</f>
        <v>01/08/2026 to 30/11/2026</v>
      </c>
      <c r="V587" s="363"/>
      <c r="W587" s="381" t="str" cm="1">
        <f t="array" ref="W587">TEXT(EDATE($L587,{8}),"dd/mm/yyy") &amp; " to " &amp; TEXT(EDATE($L587,{12})-1,"dd/mm/yyyy")</f>
        <v>01/12/2026 to 31/03/2027</v>
      </c>
      <c r="AE587" s="376" t="s">
        <v>478</v>
      </c>
      <c r="AF587" s="367" t="s">
        <v>63</v>
      </c>
      <c r="AG587" s="367">
        <v>3</v>
      </c>
      <c r="AH587" s="376" t="s">
        <v>667</v>
      </c>
    </row>
    <row r="588" spans="2:34" ht="15" hidden="1" customHeight="1" x14ac:dyDescent="0.3">
      <c r="B588" s="380" t="s">
        <v>9</v>
      </c>
      <c r="C588" s="556" t="s">
        <v>1069</v>
      </c>
      <c r="D588" s="557" t="s">
        <v>1137</v>
      </c>
      <c r="E588" s="50">
        <v>4400023545</v>
      </c>
      <c r="F588" s="343">
        <v>46191</v>
      </c>
      <c r="G588" s="525" t="s">
        <v>55</v>
      </c>
      <c r="H588" s="380">
        <v>1</v>
      </c>
      <c r="I588" s="384">
        <v>50000.01</v>
      </c>
      <c r="J588" s="367">
        <v>3</v>
      </c>
      <c r="K588" s="370">
        <f t="shared" si="28"/>
        <v>16666.670000000002</v>
      </c>
      <c r="L588" s="558">
        <v>46204</v>
      </c>
      <c r="M588" s="559">
        <v>46568</v>
      </c>
      <c r="N588" s="673"/>
      <c r="O588" s="690"/>
      <c r="P588" s="363" t="s">
        <v>520</v>
      </c>
      <c r="S588" s="381" t="str" cm="1">
        <f t="array" ref="S588">TEXT(EDATE($L588,{0}),"dd/mm/yyy") &amp; " to " &amp; TEXT(EDATE($L588,{4})-1,"dd/mm/yyyy")</f>
        <v>01/07/2026 to 31/10/2026</v>
      </c>
      <c r="T588" s="363"/>
      <c r="U588" s="381" t="str" cm="1">
        <f t="array" ref="U588">TEXT(EDATE($L588,{4}),"dd/mm/yyy") &amp; " to " &amp; TEXT(EDATE($L588,{8})-1,"dd/mm/yyyy")</f>
        <v>01/11/2026 to 28/02/2027</v>
      </c>
      <c r="V588" s="363"/>
      <c r="W588" s="381" t="str" cm="1">
        <f t="array" ref="W588">TEXT(EDATE($L588,{8}),"dd/mm/yyy") &amp; " to " &amp; TEXT(EDATE($L588,{12})-1,"dd/mm/yyyy")</f>
        <v>01/03/2027 to 30/06/2027</v>
      </c>
      <c r="AE588" s="376" t="s">
        <v>478</v>
      </c>
      <c r="AF588" s="367" t="s">
        <v>63</v>
      </c>
      <c r="AG588" s="367">
        <v>5</v>
      </c>
      <c r="AH588" s="376" t="s">
        <v>667</v>
      </c>
    </row>
    <row r="589" spans="2:34" ht="15" hidden="1" customHeight="1" x14ac:dyDescent="0.3">
      <c r="B589" s="380" t="s">
        <v>9</v>
      </c>
      <c r="C589" s="37" t="s">
        <v>1203</v>
      </c>
      <c r="D589" s="560" t="s">
        <v>997</v>
      </c>
      <c r="E589" s="50" t="s">
        <v>1910</v>
      </c>
      <c r="F589" s="343">
        <v>46191</v>
      </c>
      <c r="G589" s="525" t="s">
        <v>55</v>
      </c>
      <c r="H589" s="540">
        <v>1</v>
      </c>
      <c r="I589" s="384">
        <v>85000.05</v>
      </c>
      <c r="J589" s="367">
        <v>3</v>
      </c>
      <c r="K589" s="370">
        <f t="shared" si="28"/>
        <v>28333.350000000002</v>
      </c>
      <c r="L589" s="604">
        <v>46204</v>
      </c>
      <c r="M589" s="605">
        <v>46568</v>
      </c>
      <c r="N589" s="672"/>
      <c r="O589" s="689"/>
      <c r="P589" s="363" t="s">
        <v>520</v>
      </c>
      <c r="S589" s="381" t="str" cm="1">
        <f t="array" ref="S589">TEXT(EDATE($L589,{0}),"dd/mm/yyy") &amp; " to " &amp; TEXT(EDATE($L589,{4})-1,"dd/mm/yyyy")</f>
        <v>01/07/2026 to 31/10/2026</v>
      </c>
      <c r="U589" s="381" t="str" cm="1">
        <f t="array" ref="U589">TEXT(EDATE($L589,{4}),"dd/mm/yyy") &amp; " to " &amp; TEXT(EDATE($L589,{8})-1,"dd/mm/yyyy")</f>
        <v>01/11/2026 to 28/02/2027</v>
      </c>
      <c r="W589" s="381" t="str" cm="1">
        <f t="array" ref="W589">TEXT(EDATE($L589,{8}),"dd/mm/yyy") &amp; " to " &amp; TEXT(EDATE($L589,{12})-1,"dd/mm/yyyy")</f>
        <v>01/03/2027 to 30/06/2027</v>
      </c>
      <c r="AE589" s="376" t="s">
        <v>96</v>
      </c>
      <c r="AF589" s="367" t="s">
        <v>97</v>
      </c>
      <c r="AG589" s="367" t="s">
        <v>494</v>
      </c>
      <c r="AH589" s="376" t="s">
        <v>667</v>
      </c>
    </row>
    <row r="590" spans="2:34" ht="15" hidden="1" customHeight="1" x14ac:dyDescent="0.3">
      <c r="B590" s="380" t="s">
        <v>9</v>
      </c>
      <c r="C590" s="37" t="s">
        <v>1911</v>
      </c>
      <c r="D590" s="37" t="s">
        <v>1282</v>
      </c>
      <c r="E590" s="125">
        <v>9200017243</v>
      </c>
      <c r="F590" s="606">
        <v>46165</v>
      </c>
      <c r="G590" s="525" t="s">
        <v>55</v>
      </c>
      <c r="H590" s="380">
        <v>1</v>
      </c>
      <c r="I590" s="384">
        <v>91998</v>
      </c>
      <c r="J590" s="367">
        <v>3</v>
      </c>
      <c r="K590" s="370">
        <f t="shared" si="28"/>
        <v>30666</v>
      </c>
      <c r="L590" s="604">
        <v>46196</v>
      </c>
      <c r="M590" s="605">
        <v>46560</v>
      </c>
      <c r="N590" s="672"/>
      <c r="O590" s="689"/>
      <c r="P590" s="363" t="s">
        <v>520</v>
      </c>
      <c r="S590" s="394" t="str" cm="1">
        <f t="array" ref="S590">TEXT(EDATE($L590,{0}),"dd/mm/yyy") &amp; " to " &amp; TEXT(EDATE($L590,{4})-1,"dd/mm/yyyy")</f>
        <v>23/06/2026 to 22/10/2026</v>
      </c>
      <c r="T590" s="376" t="s">
        <v>1940</v>
      </c>
      <c r="U590" s="381" t="str" cm="1">
        <f t="array" ref="U590">TEXT(EDATE($L590,{4}),"dd/mm/yyy") &amp; " to " &amp; TEXT(EDATE($L590,{8})-1,"dd/mm/yyyy")</f>
        <v>23/10/2026 to 22/02/2027</v>
      </c>
      <c r="W590" s="381" t="str" cm="1">
        <f t="array" ref="W590">TEXT(EDATE($L590,{8}),"dd/mm/yyy") &amp; " to " &amp; TEXT(EDATE($L590,{12})-1,"dd/mm/yyyy")</f>
        <v>23/02/2027 to 22/06/2027</v>
      </c>
      <c r="AE590" s="376" t="s">
        <v>1912</v>
      </c>
      <c r="AF590" s="367" t="s">
        <v>97</v>
      </c>
      <c r="AG590" s="380">
        <v>3</v>
      </c>
      <c r="AH590" s="366" t="s">
        <v>1345</v>
      </c>
    </row>
    <row r="591" spans="2:34" ht="15" hidden="1" customHeight="1" x14ac:dyDescent="0.3">
      <c r="B591" s="380" t="s">
        <v>9</v>
      </c>
      <c r="C591" s="561" t="s">
        <v>604</v>
      </c>
      <c r="D591" s="561" t="s">
        <v>1913</v>
      </c>
      <c r="E591" s="50">
        <v>5700221111</v>
      </c>
      <c r="F591" s="343">
        <v>46182</v>
      </c>
      <c r="G591" s="525" t="s">
        <v>55</v>
      </c>
      <c r="H591" s="540">
        <v>1</v>
      </c>
      <c r="I591" s="384">
        <v>118335</v>
      </c>
      <c r="J591" s="367">
        <v>2</v>
      </c>
      <c r="K591" s="370">
        <f t="shared" si="28"/>
        <v>59167.5</v>
      </c>
      <c r="L591" s="605">
        <v>46170</v>
      </c>
      <c r="M591" s="605">
        <v>46534</v>
      </c>
      <c r="N591" s="672"/>
      <c r="O591" s="689"/>
      <c r="P591" s="363" t="s">
        <v>520</v>
      </c>
      <c r="S591" s="381" t="str" cm="1">
        <f t="array" ref="S591">TEXT(EDATE($L591,{0}),"dd/mm/yyy") &amp; " to " &amp; TEXT(EDATE($L591,{6})-1,"dd/mm/yyyy")</f>
        <v>28/05/2026 to 27/11/2026</v>
      </c>
      <c r="T591" s="382"/>
      <c r="U591" s="381" t="str" cm="1">
        <f t="array" ref="U591">TEXT(EDATE($L591,{6}),"dd/mm/yyy") &amp; " to " &amp; TEXT(EDATE($L591,{12})-1,"dd/mm/yyyy")</f>
        <v>28/11/2026 to 27/05/2027</v>
      </c>
      <c r="AE591" s="376" t="s">
        <v>1912</v>
      </c>
      <c r="AF591" s="367" t="s">
        <v>97</v>
      </c>
      <c r="AG591" s="367">
        <v>2</v>
      </c>
      <c r="AH591" s="366" t="s">
        <v>799</v>
      </c>
    </row>
    <row r="592" spans="2:34" ht="15" hidden="1" customHeight="1" x14ac:dyDescent="0.3">
      <c r="B592" s="380" t="s">
        <v>9</v>
      </c>
      <c r="C592" s="39" t="s">
        <v>130</v>
      </c>
      <c r="D592" s="562" t="s">
        <v>1572</v>
      </c>
      <c r="E592" s="330">
        <v>6800051942</v>
      </c>
      <c r="F592" s="343">
        <v>46129</v>
      </c>
      <c r="G592" s="525" t="s">
        <v>55</v>
      </c>
      <c r="H592" s="380">
        <v>1</v>
      </c>
      <c r="I592" s="384">
        <v>88000</v>
      </c>
      <c r="J592" s="367">
        <v>2</v>
      </c>
      <c r="K592" s="370">
        <f t="shared" si="28"/>
        <v>44000</v>
      </c>
      <c r="L592" s="348">
        <v>46126</v>
      </c>
      <c r="M592" s="348">
        <v>46490</v>
      </c>
      <c r="N592" s="674"/>
      <c r="O592" s="691"/>
      <c r="P592" s="363" t="s">
        <v>520</v>
      </c>
      <c r="S592" s="381" t="str" cm="1">
        <f t="array" ref="S592">TEXT(EDATE($L592,{0}),"dd/mm/yyy") &amp; " to " &amp; TEXT(EDATE($L592,{6})-1,"dd/mm/yyyy")</f>
        <v>14/04/2026 to 13/10/2026</v>
      </c>
      <c r="U592" s="381" t="str" cm="1">
        <f t="array" ref="U592">TEXT(EDATE($L592,{6}),"dd/mm/yyy") &amp; " to " &amp; TEXT(EDATE($L592,{12})-1,"dd/mm/yyyy")</f>
        <v>14/10/2026 to 13/04/2027</v>
      </c>
      <c r="AE592" s="376" t="s">
        <v>1893</v>
      </c>
      <c r="AF592" s="367" t="s">
        <v>97</v>
      </c>
      <c r="AG592" s="367">
        <v>2</v>
      </c>
      <c r="AH592" s="376" t="s">
        <v>1914</v>
      </c>
    </row>
    <row r="593" spans="2:34" ht="15" hidden="1" customHeight="1" x14ac:dyDescent="0.3">
      <c r="B593" s="380" t="s">
        <v>9</v>
      </c>
      <c r="C593" s="563" t="s">
        <v>1915</v>
      </c>
      <c r="D593" s="564" t="s">
        <v>1916</v>
      </c>
      <c r="E593" s="50">
        <v>6200828878</v>
      </c>
      <c r="F593" s="343">
        <v>46185</v>
      </c>
      <c r="G593" s="525" t="s">
        <v>55</v>
      </c>
      <c r="H593" s="540">
        <v>1</v>
      </c>
      <c r="I593" s="384">
        <v>75000</v>
      </c>
      <c r="L593" s="374">
        <v>46174</v>
      </c>
      <c r="M593" s="374">
        <v>46538</v>
      </c>
      <c r="P593" s="363" t="s">
        <v>998</v>
      </c>
      <c r="S593" s="381" t="str" cm="1">
        <f t="array" ref="S593">TEXT(EDATE($L593,{0}),"dd/mm/yyy") &amp; " to " &amp; TEXT(EDATE($L593,{4})-1,"dd/mm/yyyy")</f>
        <v>01/06/2026 to 30/09/2026</v>
      </c>
      <c r="U593" s="381" t="str" cm="1">
        <f t="array" ref="U593">TEXT(EDATE($L593,{4}),"dd/mm/yyy") &amp; " to " &amp; TEXT(EDATE($L593,{8})-1,"dd/mm/yyyy")</f>
        <v>01/10/2026 to 31/01/2027</v>
      </c>
      <c r="W593" s="381" t="str" cm="1">
        <f t="array" ref="W593">TEXT(EDATE($L593,{8}),"dd/mm/yyy") &amp; " to " &amp; TEXT(EDATE($L593,{12})-1,"dd/mm/yyyy")</f>
        <v>01/02/2027 to 31/05/2027</v>
      </c>
      <c r="AE593" s="376" t="s">
        <v>478</v>
      </c>
      <c r="AF593" s="367" t="s">
        <v>63</v>
      </c>
    </row>
    <row r="594" spans="2:34" ht="15" hidden="1" customHeight="1" x14ac:dyDescent="0.3">
      <c r="B594" s="380" t="s">
        <v>9</v>
      </c>
      <c r="C594" s="39" t="s">
        <v>614</v>
      </c>
      <c r="D594" s="562" t="s">
        <v>447</v>
      </c>
      <c r="E594" s="695" t="s">
        <v>1917</v>
      </c>
      <c r="F594" s="343">
        <v>46190</v>
      </c>
      <c r="G594" s="525" t="s">
        <v>55</v>
      </c>
      <c r="H594" s="380">
        <v>15</v>
      </c>
      <c r="I594" s="384">
        <v>1146599</v>
      </c>
      <c r="J594" s="367">
        <v>3</v>
      </c>
      <c r="K594" s="370"/>
      <c r="L594" s="348">
        <v>46204</v>
      </c>
      <c r="M594" s="348">
        <v>46538</v>
      </c>
      <c r="N594" s="674">
        <v>155338</v>
      </c>
      <c r="O594" s="691"/>
      <c r="P594" s="363" t="s">
        <v>520</v>
      </c>
      <c r="S594" s="381" t="str" cm="1">
        <f t="array" ref="S594">TEXT(EDATE($L594,{0}),"dd/mm/yyy") &amp; " to " &amp; TEXT(EDATE($L594,{4})-1,"dd/mm/yyyy")</f>
        <v>01/07/2026 to 31/10/2026</v>
      </c>
      <c r="T594" s="363"/>
      <c r="U594" s="381" t="str" cm="1">
        <f t="array" ref="U594">TEXT(EDATE($L594,{4}),"dd/mm/yyy") &amp; " to " &amp; TEXT(EDATE($L594,{8})-1,"dd/mm/yyyy")</f>
        <v>01/11/2026 to 28/02/2027</v>
      </c>
      <c r="V594" s="363"/>
      <c r="W594" s="381" t="s">
        <v>1247</v>
      </c>
      <c r="AE594" s="376" t="s">
        <v>281</v>
      </c>
      <c r="AF594" s="367" t="s">
        <v>97</v>
      </c>
      <c r="AG594" s="367">
        <v>3</v>
      </c>
    </row>
    <row r="595" spans="2:34" ht="15" hidden="1" customHeight="1" x14ac:dyDescent="0.3">
      <c r="B595" s="380" t="s">
        <v>9</v>
      </c>
      <c r="C595" s="565" t="s">
        <v>1918</v>
      </c>
      <c r="D595" s="566" t="s">
        <v>388</v>
      </c>
      <c r="E595" s="269" t="s">
        <v>1919</v>
      </c>
      <c r="F595" s="343">
        <v>46195</v>
      </c>
      <c r="G595" s="525" t="s">
        <v>55</v>
      </c>
      <c r="H595" s="540">
        <v>3</v>
      </c>
      <c r="I595" s="384">
        <v>220500</v>
      </c>
      <c r="J595" s="367">
        <v>2</v>
      </c>
      <c r="K595" s="370">
        <f>I595/J595</f>
        <v>110250</v>
      </c>
      <c r="L595" s="567">
        <v>46174</v>
      </c>
      <c r="M595" s="567">
        <v>46538</v>
      </c>
      <c r="N595" s="675"/>
      <c r="O595" s="692"/>
      <c r="P595" s="363" t="s">
        <v>520</v>
      </c>
      <c r="S595" s="381" t="str" cm="1">
        <f t="array" ref="S595">TEXT(EDATE($L595,{0}),"dd/mm/yyy") &amp; " to " &amp; TEXT(EDATE($L595,{6})-1,"dd/mm/yyyy")</f>
        <v>01/06/2026 to 30/11/2026</v>
      </c>
      <c r="T595" s="382"/>
      <c r="U595" s="381" t="str" cm="1">
        <f t="array" ref="U595">TEXT(EDATE($L595,{6}),"dd/mm/yyy") &amp; " to " &amp; TEXT(EDATE($L595,{12})-1,"dd/mm/yyyy")</f>
        <v>01/12/2026 to 31/05/2027</v>
      </c>
      <c r="AE595" s="376" t="s">
        <v>478</v>
      </c>
      <c r="AF595" s="367" t="s">
        <v>63</v>
      </c>
      <c r="AG595" s="367">
        <v>5</v>
      </c>
      <c r="AH595" s="376" t="s">
        <v>667</v>
      </c>
    </row>
    <row r="596" spans="2:34" ht="15" hidden="1" customHeight="1" x14ac:dyDescent="0.3">
      <c r="B596" s="380" t="s">
        <v>9</v>
      </c>
      <c r="C596" s="565" t="s">
        <v>1346</v>
      </c>
      <c r="D596" s="566" t="s">
        <v>1920</v>
      </c>
      <c r="E596" s="269" t="s">
        <v>1921</v>
      </c>
      <c r="F596" s="343">
        <v>46133</v>
      </c>
      <c r="G596" s="525" t="s">
        <v>55</v>
      </c>
      <c r="H596" s="540">
        <v>1</v>
      </c>
      <c r="I596" s="384">
        <v>90000</v>
      </c>
      <c r="J596" s="367">
        <v>2</v>
      </c>
      <c r="K596" s="370">
        <f>I596/J596</f>
        <v>45000</v>
      </c>
      <c r="L596" s="567">
        <v>46113</v>
      </c>
      <c r="M596" s="567">
        <v>46477</v>
      </c>
      <c r="N596" s="675"/>
      <c r="O596" s="692"/>
      <c r="P596" s="363" t="s">
        <v>520</v>
      </c>
      <c r="S596" s="381" t="str" cm="1">
        <f t="array" ref="S596">TEXT(EDATE($L596,{0}),"dd/mm/yyy") &amp; " to " &amp; TEXT(EDATE($L596,{6})-1,"dd/mm/yyyy")</f>
        <v>01/04/2026 to 30/09/2026</v>
      </c>
      <c r="U596" s="381" t="str" cm="1">
        <f t="array" ref="U596">TEXT(EDATE($L596,{6}),"dd/mm/yyy") &amp; " to " &amp; TEXT(EDATE($L596,{12})-1,"dd/mm/yyyy")</f>
        <v>01/10/2026 to 31/03/2027</v>
      </c>
      <c r="AE596" s="376" t="s">
        <v>96</v>
      </c>
      <c r="AF596" s="367" t="s">
        <v>97</v>
      </c>
      <c r="AG596" s="367">
        <v>3</v>
      </c>
      <c r="AH596" s="376" t="s">
        <v>667</v>
      </c>
    </row>
    <row r="597" spans="2:34" ht="15" hidden="1" customHeight="1" x14ac:dyDescent="0.3">
      <c r="B597" s="380" t="s">
        <v>9</v>
      </c>
      <c r="C597" s="568" t="s">
        <v>508</v>
      </c>
      <c r="D597" s="566" t="s">
        <v>866</v>
      </c>
      <c r="E597" s="269" t="s">
        <v>1922</v>
      </c>
      <c r="F597" s="343">
        <v>46193</v>
      </c>
      <c r="G597" s="525" t="s">
        <v>55</v>
      </c>
      <c r="H597" s="540">
        <v>8</v>
      </c>
      <c r="I597" s="384">
        <v>740000</v>
      </c>
      <c r="J597" s="367">
        <v>3</v>
      </c>
      <c r="K597" s="370">
        <f>I597/2</f>
        <v>370000</v>
      </c>
      <c r="L597" s="567">
        <v>46204</v>
      </c>
      <c r="M597" s="567">
        <v>46568</v>
      </c>
      <c r="N597" s="675">
        <v>155351</v>
      </c>
      <c r="O597" s="692" t="s">
        <v>1969</v>
      </c>
      <c r="P597" s="363" t="s">
        <v>520</v>
      </c>
      <c r="S597" s="381" t="str" cm="1">
        <f t="array" ref="S597">TEXT(EDATE($L597,{0}),"dd/mm/yyy") &amp; " to " &amp; TEXT(EDATE($L597,{4})-1,"dd/mm/yyyy")</f>
        <v>01/07/2026 to 31/10/2026</v>
      </c>
      <c r="T597" s="363" t="s">
        <v>1900</v>
      </c>
      <c r="U597" s="381" t="str" cm="1">
        <f t="array" ref="U597">TEXT(EDATE($L597,{4}),"dd/mm/yyy") &amp; " to " &amp; TEXT(EDATE($L597,{8})-1,"dd/mm/yyyy")</f>
        <v>01/11/2026 to 28/02/2027</v>
      </c>
      <c r="V597" s="363" t="s">
        <v>1970</v>
      </c>
      <c r="W597" s="381" t="str" cm="1">
        <f t="array" ref="W597">TEXT(EDATE($L597,{8}),"dd/mm/yyy") &amp; " to " &amp; TEXT(EDATE($L597,{12})-1,"dd/mm/yyyy")</f>
        <v>01/03/2027 to 30/06/2027</v>
      </c>
      <c r="AE597" s="376" t="s">
        <v>96</v>
      </c>
      <c r="AF597" s="367" t="s">
        <v>97</v>
      </c>
      <c r="AG597" s="367" t="s">
        <v>494</v>
      </c>
      <c r="AH597" s="376" t="s">
        <v>1902</v>
      </c>
    </row>
    <row r="598" spans="2:34" ht="15" hidden="1" customHeight="1" x14ac:dyDescent="0.3">
      <c r="B598" s="380" t="s">
        <v>9</v>
      </c>
      <c r="C598" s="565" t="s">
        <v>1923</v>
      </c>
      <c r="D598" s="566" t="s">
        <v>757</v>
      </c>
      <c r="E598" s="50">
        <v>2265007719</v>
      </c>
      <c r="F598" s="343">
        <v>46165</v>
      </c>
      <c r="G598" s="525" t="s">
        <v>55</v>
      </c>
      <c r="H598" s="540">
        <v>1</v>
      </c>
      <c r="I598" s="384">
        <v>83499.899999999994</v>
      </c>
      <c r="J598" s="367">
        <v>3</v>
      </c>
      <c r="K598" s="370">
        <f>I598/J598</f>
        <v>27833.3</v>
      </c>
      <c r="L598" s="567">
        <v>46113</v>
      </c>
      <c r="M598" s="567">
        <v>46477</v>
      </c>
      <c r="N598" s="675"/>
      <c r="O598" s="692"/>
      <c r="P598" s="363" t="s">
        <v>520</v>
      </c>
      <c r="S598" s="381" t="str" cm="1">
        <f t="array" ref="S598">TEXT(EDATE($L598,{0}),"dd/mm/yyy") &amp; " to " &amp; TEXT(EDATE($L598,{4})-1,"dd/mm/yyyy")</f>
        <v>01/04/2026 to 31/07/2026</v>
      </c>
      <c r="U598" s="381" t="str" cm="1">
        <f t="array" ref="U598">TEXT(EDATE($L598,{4}),"dd/mm/yyy") &amp; " to " &amp; TEXT(EDATE($L598,{8})-1,"dd/mm/yyyy")</f>
        <v>01/08/2026 to 30/11/2026</v>
      </c>
      <c r="W598" s="381" t="str" cm="1">
        <f t="array" ref="W598">TEXT(EDATE($L598,{8}),"dd/mm/yyy") &amp; " to " &amp; TEXT(EDATE($L598,{12})-1,"dd/mm/yyyy")</f>
        <v>01/12/2026 to 31/03/2027</v>
      </c>
      <c r="AE598" s="376" t="s">
        <v>507</v>
      </c>
      <c r="AF598" s="367" t="s">
        <v>63</v>
      </c>
      <c r="AG598" s="367">
        <v>3</v>
      </c>
      <c r="AH598" s="376" t="s">
        <v>799</v>
      </c>
    </row>
    <row r="599" spans="2:34" ht="15" hidden="1" customHeight="1" x14ac:dyDescent="0.3">
      <c r="B599" s="380" t="s">
        <v>9</v>
      </c>
      <c r="C599" s="39" t="s">
        <v>926</v>
      </c>
      <c r="D599" s="232" t="s">
        <v>932</v>
      </c>
      <c r="E599" s="50" t="s">
        <v>1924</v>
      </c>
      <c r="F599" s="343">
        <v>46199</v>
      </c>
      <c r="G599" s="525" t="s">
        <v>55</v>
      </c>
      <c r="H599" s="380">
        <v>1</v>
      </c>
      <c r="I599" s="384">
        <v>78000</v>
      </c>
      <c r="J599" s="367">
        <v>3</v>
      </c>
      <c r="K599" s="370">
        <f>I599/J599</f>
        <v>26000</v>
      </c>
      <c r="L599" s="569">
        <v>46113</v>
      </c>
      <c r="M599" s="569">
        <v>46477</v>
      </c>
      <c r="N599" s="675">
        <v>155304</v>
      </c>
      <c r="O599" s="692">
        <v>4896</v>
      </c>
      <c r="P599" s="363" t="s">
        <v>520</v>
      </c>
      <c r="S599" s="394" t="str" cm="1">
        <f t="array" ref="S599">TEXT(EDATE($L599,{0}),"dd/mm/yyy") &amp; " to " &amp; TEXT(EDATE($L599,{4})-1,"dd/mm/yyyy")</f>
        <v>01/04/2026 to 31/07/2026</v>
      </c>
      <c r="T599" s="376" t="s">
        <v>1953</v>
      </c>
      <c r="U599" s="381" t="str" cm="1">
        <f t="array" ref="U599">TEXT(EDATE($L599,{4}),"dd/mm/yyy") &amp; " to " &amp; TEXT(EDATE($L599,{8})-1,"dd/mm/yyyy")</f>
        <v>01/08/2026 to 30/11/2026</v>
      </c>
      <c r="W599" s="381" t="str" cm="1">
        <f t="array" ref="W599">TEXT(EDATE($L599,{8}),"dd/mm/yyy") &amp; " to " &amp; TEXT(EDATE($L599,{12})-1,"dd/mm/yyyy")</f>
        <v>01/12/2026 to 31/03/2027</v>
      </c>
      <c r="AE599" s="376" t="s">
        <v>507</v>
      </c>
      <c r="AF599" s="367" t="s">
        <v>63</v>
      </c>
      <c r="AG599" s="367">
        <v>3</v>
      </c>
      <c r="AH599" s="376" t="s">
        <v>1345</v>
      </c>
    </row>
    <row r="600" spans="2:34" ht="15" hidden="1" customHeight="1" x14ac:dyDescent="0.3">
      <c r="B600" s="380" t="s">
        <v>9</v>
      </c>
      <c r="C600" s="565" t="s">
        <v>789</v>
      </c>
      <c r="D600" s="566" t="s">
        <v>1925</v>
      </c>
      <c r="E600" s="269">
        <v>8480253149</v>
      </c>
      <c r="F600" s="343">
        <v>46189</v>
      </c>
      <c r="G600" s="525" t="s">
        <v>55</v>
      </c>
      <c r="H600" s="380">
        <v>1</v>
      </c>
      <c r="I600" s="384">
        <v>82500</v>
      </c>
      <c r="J600" s="367">
        <v>3</v>
      </c>
      <c r="K600" s="370">
        <f>I600/J600</f>
        <v>27500</v>
      </c>
      <c r="L600" s="567">
        <v>46174</v>
      </c>
      <c r="M600" s="567">
        <v>46538</v>
      </c>
      <c r="N600" s="675">
        <v>155306</v>
      </c>
      <c r="O600" s="692">
        <v>3919</v>
      </c>
      <c r="P600" s="363" t="s">
        <v>520</v>
      </c>
      <c r="S600" s="394" t="str" cm="1">
        <f t="array" ref="S600">TEXT(EDATE($L600,{0}),"dd/mm/yyy") &amp; " to " &amp; TEXT(EDATE($L600,{4})-1,"dd/mm/yyyy")</f>
        <v>01/06/2026 to 30/09/2026</v>
      </c>
      <c r="T600" s="376" t="s">
        <v>1955</v>
      </c>
      <c r="U600" s="381" t="str" cm="1">
        <f t="array" ref="U600">TEXT(EDATE($L600,{4}),"dd/mm/yyy") &amp; " to " &amp; TEXT(EDATE($L600,{8})-1,"dd/mm/yyyy")</f>
        <v>01/10/2026 to 31/01/2027</v>
      </c>
      <c r="W600" s="381" t="str" cm="1">
        <f t="array" ref="W600">TEXT(EDATE($L600,{8}),"dd/mm/yyy") &amp; " to " &amp; TEXT(EDATE($L600,{12})-1,"dd/mm/yyyy")</f>
        <v>01/02/2027 to 31/05/2027</v>
      </c>
      <c r="AE600" s="376" t="s">
        <v>1912</v>
      </c>
      <c r="AF600" s="367" t="s">
        <v>97</v>
      </c>
      <c r="AG600" s="367">
        <v>3</v>
      </c>
      <c r="AH600" s="376" t="s">
        <v>1345</v>
      </c>
    </row>
    <row r="601" spans="2:34" ht="15" hidden="1" customHeight="1" x14ac:dyDescent="0.3">
      <c r="B601" s="380" t="s">
        <v>9</v>
      </c>
      <c r="C601" s="39" t="s">
        <v>727</v>
      </c>
      <c r="D601" s="232" t="s">
        <v>984</v>
      </c>
      <c r="E601" s="125">
        <v>4100041000</v>
      </c>
      <c r="F601" s="343">
        <v>46181</v>
      </c>
      <c r="G601" s="525" t="s">
        <v>55</v>
      </c>
      <c r="H601" s="540">
        <v>4</v>
      </c>
      <c r="I601" s="384">
        <v>644828</v>
      </c>
      <c r="J601" s="367">
        <v>3</v>
      </c>
      <c r="L601" s="348">
        <v>46174</v>
      </c>
      <c r="M601" s="348">
        <v>46538</v>
      </c>
      <c r="N601" s="674"/>
      <c r="O601" s="691"/>
      <c r="P601" s="363" t="s">
        <v>520</v>
      </c>
      <c r="S601" s="381" t="str" cm="1">
        <f t="array" ref="S601">TEXT(EDATE($L601,{0}),"dd/mm/yyy") &amp; " to " &amp; TEXT(EDATE($L601,{4})-1,"dd/mm/yyyy")</f>
        <v>01/06/2026 to 30/09/2026</v>
      </c>
      <c r="U601" s="381" t="str" cm="1">
        <f t="array" ref="U601">TEXT(EDATE($L601,{4}),"dd/mm/yyy") &amp; " to " &amp; TEXT(EDATE($L601,{8})-1,"dd/mm/yyyy")</f>
        <v>01/10/2026 to 31/01/2027</v>
      </c>
      <c r="W601" s="381" t="str" cm="1">
        <f t="array" ref="W601">TEXT(EDATE($L601,{8}),"dd/mm/yyy") &amp; " to " &amp; TEXT(EDATE($L601,{12})-1,"dd/mm/yyyy")</f>
        <v>01/02/2027 to 31/05/2027</v>
      </c>
      <c r="AE601" s="376" t="s">
        <v>1912</v>
      </c>
      <c r="AF601" s="367" t="s">
        <v>97</v>
      </c>
      <c r="AG601" s="367">
        <v>3</v>
      </c>
      <c r="AH601" s="376" t="s">
        <v>1926</v>
      </c>
    </row>
    <row r="602" spans="2:34" ht="15" hidden="1" customHeight="1" x14ac:dyDescent="0.3">
      <c r="B602" s="380" t="s">
        <v>9</v>
      </c>
      <c r="C602" s="565" t="s">
        <v>1128</v>
      </c>
      <c r="D602" s="566" t="s">
        <v>1129</v>
      </c>
      <c r="E602" s="175">
        <v>4503070714</v>
      </c>
      <c r="F602" s="343">
        <v>46198</v>
      </c>
      <c r="G602" s="525" t="s">
        <v>55</v>
      </c>
      <c r="H602" s="380">
        <v>4</v>
      </c>
      <c r="I602" s="384">
        <v>281872</v>
      </c>
      <c r="J602" s="367">
        <v>4</v>
      </c>
      <c r="K602" s="370">
        <f>I602/J602</f>
        <v>70468</v>
      </c>
      <c r="L602" s="567">
        <v>46174</v>
      </c>
      <c r="M602" s="567">
        <v>46538</v>
      </c>
      <c r="N602" s="675"/>
      <c r="O602" s="692"/>
      <c r="P602" s="363" t="s">
        <v>520</v>
      </c>
      <c r="S602" s="381" t="str" cm="1">
        <f t="array" ref="S602">TEXT(EDATE($L602,{0}),"dd/mm/yyy") &amp; " to " &amp; TEXT(EDATE($L602,{3})-1,"dd/mm/yyyy")</f>
        <v>01/06/2026 to 31/08/2026</v>
      </c>
      <c r="T602" s="363"/>
      <c r="U602" s="381" t="str" cm="1">
        <f t="array" ref="U602">TEXT(EDATE($L602,{3}),"dd/mm/yyy") &amp; " to " &amp; TEXT(EDATE($L602,{6})-1,"dd/mm/yyyy")</f>
        <v>01/09/2026 to 30/11/2026</v>
      </c>
      <c r="V602" s="363"/>
      <c r="W602" s="381" t="str" cm="1">
        <f t="array" ref="W602">TEXT(EDATE($L602,{6}),"dd/mm/yyy") &amp; " to " &amp; TEXT(EDATE($L602,{9})-1,"dd/mm/yyyy")</f>
        <v>01/12/2026 to 28/02/2027</v>
      </c>
      <c r="X602" s="363"/>
      <c r="Y602" s="381" t="str" cm="1">
        <f t="array" ref="Y602">TEXT(EDATE($L602,{9}),"dd/mm/yyy") &amp; " to " &amp; TEXT(EDATE($L602,{12})-1,"dd/mm/yyyy")</f>
        <v>01/03/2027 to 31/05/2027</v>
      </c>
      <c r="AE602" s="376" t="s">
        <v>1912</v>
      </c>
      <c r="AF602" s="367" t="s">
        <v>97</v>
      </c>
      <c r="AG602" s="367">
        <v>4</v>
      </c>
      <c r="AH602" s="376" t="s">
        <v>1345</v>
      </c>
    </row>
    <row r="603" spans="2:34" ht="15" hidden="1" customHeight="1" x14ac:dyDescent="0.3">
      <c r="B603" s="367" t="s">
        <v>9</v>
      </c>
      <c r="C603" s="376" t="s">
        <v>926</v>
      </c>
      <c r="D603" s="366" t="s">
        <v>151</v>
      </c>
      <c r="E603" s="380" t="s">
        <v>1927</v>
      </c>
      <c r="F603" s="644">
        <v>46197</v>
      </c>
      <c r="G603" s="367" t="s">
        <v>55</v>
      </c>
      <c r="H603" s="367">
        <v>1</v>
      </c>
      <c r="I603" s="384">
        <v>78000</v>
      </c>
      <c r="J603" s="367">
        <v>3</v>
      </c>
      <c r="K603" s="370">
        <f>I603/J603</f>
        <v>26000</v>
      </c>
      <c r="L603" s="639">
        <v>46174</v>
      </c>
      <c r="M603" s="639">
        <v>46538</v>
      </c>
      <c r="P603" s="376" t="s">
        <v>520</v>
      </c>
      <c r="S603" s="652" t="s">
        <v>406</v>
      </c>
      <c r="T603" s="376" t="s">
        <v>1949</v>
      </c>
      <c r="U603" s="376" t="s">
        <v>407</v>
      </c>
      <c r="W603" s="376" t="s">
        <v>408</v>
      </c>
      <c r="AE603" s="376" t="s">
        <v>507</v>
      </c>
      <c r="AF603" s="367" t="s">
        <v>63</v>
      </c>
      <c r="AG603" s="367">
        <v>3</v>
      </c>
      <c r="AH603" s="376" t="s">
        <v>1345</v>
      </c>
    </row>
    <row r="604" spans="2:34" ht="15" hidden="1" customHeight="1" x14ac:dyDescent="0.3">
      <c r="B604" s="367" t="s">
        <v>11</v>
      </c>
      <c r="C604" s="642" t="s">
        <v>817</v>
      </c>
      <c r="D604" s="630" t="s">
        <v>818</v>
      </c>
      <c r="E604" s="714">
        <v>242607532</v>
      </c>
      <c r="F604" s="640">
        <v>46197</v>
      </c>
      <c r="G604" s="367" t="s">
        <v>55</v>
      </c>
      <c r="H604" s="540">
        <v>3</v>
      </c>
      <c r="I604" s="389">
        <v>368112</v>
      </c>
      <c r="J604" s="367">
        <v>2</v>
      </c>
      <c r="K604" s="370">
        <f>I604/J604</f>
        <v>184056</v>
      </c>
      <c r="L604" s="631">
        <v>46174</v>
      </c>
      <c r="M604" s="631">
        <v>46538</v>
      </c>
      <c r="N604" s="676"/>
      <c r="O604" s="693"/>
      <c r="P604" s="376" t="s">
        <v>520</v>
      </c>
      <c r="S604" s="381" t="str" cm="1">
        <f t="array" ref="S604">TEXT(EDATE($L604,{0}),"dd/mm/yyy") &amp; " to " &amp; TEXT(EDATE($L604,{6})-1,"dd/mm/yyyy")</f>
        <v>01/06/2026 to 30/11/2026</v>
      </c>
      <c r="T604" s="382" t="s">
        <v>1971</v>
      </c>
      <c r="U604" s="381" t="str" cm="1">
        <f t="array" ref="U604">TEXT(EDATE($L604,{6}),"dd/mm/yyy") &amp; " to " &amp; TEXT(EDATE($L604,{12})-1,"dd/mm/yyyy")</f>
        <v>01/12/2026 to 31/05/2027</v>
      </c>
      <c r="AE604" s="376" t="s">
        <v>281</v>
      </c>
      <c r="AF604" s="367" t="s">
        <v>968</v>
      </c>
      <c r="AG604" s="367">
        <v>2</v>
      </c>
      <c r="AH604" s="376" t="s">
        <v>1972</v>
      </c>
    </row>
    <row r="605" spans="2:34" ht="15" hidden="1" customHeight="1" x14ac:dyDescent="0.3">
      <c r="B605" s="367" t="s">
        <v>11</v>
      </c>
      <c r="C605" s="630" t="s">
        <v>614</v>
      </c>
      <c r="D605" s="643" t="s">
        <v>1016</v>
      </c>
      <c r="E605" s="353" t="s">
        <v>1973</v>
      </c>
      <c r="F605" s="641">
        <v>46188</v>
      </c>
      <c r="G605" s="367" t="s">
        <v>55</v>
      </c>
      <c r="H605" s="380">
        <v>1</v>
      </c>
      <c r="I605" s="645">
        <v>76440</v>
      </c>
      <c r="J605" s="367">
        <v>3</v>
      </c>
      <c r="K605" s="370"/>
      <c r="L605" s="631">
        <v>46174</v>
      </c>
      <c r="M605" s="631">
        <v>46538</v>
      </c>
      <c r="N605" s="676"/>
      <c r="O605" s="693"/>
      <c r="P605" s="376" t="s">
        <v>520</v>
      </c>
      <c r="S605" s="381" t="str" cm="1">
        <f t="array" ref="S605">TEXT(EDATE($L605,{0}),"dd/mm/yyy") &amp; " to " &amp; TEXT(EDATE($L605,{4})-1,"dd/mm/yyyy")</f>
        <v>01/06/2026 to 30/09/2026</v>
      </c>
      <c r="T605" s="363"/>
      <c r="U605" s="381" t="str" cm="1">
        <f t="array" ref="U605">TEXT(EDATE($L605,{4}),"dd/mm/yyy") &amp; " to " &amp; TEXT(EDATE($L605,{8})-1,"dd/mm/yyyy")</f>
        <v>01/10/2026 to 31/01/2027</v>
      </c>
      <c r="V605" s="363"/>
      <c r="W605" s="381" t="str" cm="1">
        <f t="array" ref="W605">TEXT(EDATE($L605,{8}),"dd/mm/yyy") &amp; " to " &amp; TEXT(EDATE($L605,{12})-1,"dd/mm/yyyy")</f>
        <v>01/02/2027 to 31/05/2027</v>
      </c>
      <c r="AE605" s="376" t="s">
        <v>619</v>
      </c>
      <c r="AF605" s="367" t="s">
        <v>63</v>
      </c>
      <c r="AG605" s="367">
        <v>3</v>
      </c>
      <c r="AH605" s="376" t="s">
        <v>1974</v>
      </c>
    </row>
    <row r="606" spans="2:34" ht="15" hidden="1" customHeight="1" x14ac:dyDescent="0.3">
      <c r="B606" s="367" t="s">
        <v>11</v>
      </c>
      <c r="C606" s="806" t="s">
        <v>1172</v>
      </c>
      <c r="D606" s="806" t="s">
        <v>1016</v>
      </c>
      <c r="E606" s="50">
        <v>7100181028</v>
      </c>
      <c r="F606" s="641">
        <v>46197</v>
      </c>
      <c r="G606" s="367" t="s">
        <v>55</v>
      </c>
      <c r="H606" s="380">
        <v>1</v>
      </c>
      <c r="I606" s="384">
        <v>81000</v>
      </c>
      <c r="J606" s="367">
        <v>3</v>
      </c>
      <c r="K606" s="370">
        <f>I606/J606</f>
        <v>27000</v>
      </c>
      <c r="L606" s="807">
        <v>46266</v>
      </c>
      <c r="M606" s="807">
        <v>46630</v>
      </c>
      <c r="N606" s="808"/>
      <c r="O606" s="809"/>
      <c r="P606" s="376" t="s">
        <v>520</v>
      </c>
      <c r="S606" s="381" t="str" cm="1">
        <f t="array" ref="S606">TEXT(EDATE($L606,{0}),"dd/mm/yyy") &amp; " to " &amp; TEXT(EDATE($L606,{4})-1,"dd/mm/yyyy")</f>
        <v>01/09/2026 to 31/12/2026</v>
      </c>
      <c r="T606" s="363"/>
      <c r="U606" s="381" t="str" cm="1">
        <f t="array" ref="U606">TEXT(EDATE($L606,{4}),"dd/mm/yyy") &amp; " to " &amp; TEXT(EDATE($L606,{8})-1,"dd/mm/yyyy")</f>
        <v>01/01/2027 to 30/04/2027</v>
      </c>
      <c r="W606" s="381" t="str" cm="1">
        <f t="array" ref="W606">TEXT(EDATE($L606,{8}),"dd/mm/yyy") &amp; " to " &amp; TEXT(EDATE($L606,{12})-1,"dd/mm/yyyy")</f>
        <v>01/05/2027 to 31/08/2027</v>
      </c>
      <c r="AE606" s="376" t="s">
        <v>619</v>
      </c>
      <c r="AF606" s="367" t="s">
        <v>63</v>
      </c>
      <c r="AG606" s="367">
        <v>3</v>
      </c>
      <c r="AH606" s="376" t="s">
        <v>667</v>
      </c>
    </row>
    <row r="607" spans="2:34" ht="15" hidden="1" customHeight="1" x14ac:dyDescent="0.3">
      <c r="B607" s="367" t="s">
        <v>11</v>
      </c>
      <c r="C607" s="806" t="s">
        <v>1172</v>
      </c>
      <c r="D607" s="806" t="s">
        <v>1016</v>
      </c>
      <c r="E607" s="50">
        <v>7100181028</v>
      </c>
      <c r="F607" s="641">
        <v>46197</v>
      </c>
      <c r="G607" s="367" t="s">
        <v>55</v>
      </c>
      <c r="H607" s="540">
        <v>1</v>
      </c>
      <c r="I607" s="384">
        <v>81000</v>
      </c>
      <c r="J607" s="367">
        <v>3</v>
      </c>
      <c r="K607" s="370">
        <f>I607/J607</f>
        <v>27000</v>
      </c>
      <c r="L607" s="807">
        <v>46174</v>
      </c>
      <c r="M607" s="807">
        <v>46538</v>
      </c>
      <c r="N607" s="808"/>
      <c r="O607" s="809"/>
      <c r="P607" s="376" t="s">
        <v>520</v>
      </c>
      <c r="S607" s="381" t="str" cm="1">
        <f t="array" ref="S607">TEXT(EDATE($L607,{0}),"dd/mm/yyy") &amp; " to " &amp; TEXT(EDATE($L607,{4})-1,"dd/mm/yyyy")</f>
        <v>01/06/2026 to 30/09/2026</v>
      </c>
      <c r="U607" s="381" t="str" cm="1">
        <f t="array" ref="U607">TEXT(EDATE($L607,{4}),"dd/mm/yyy") &amp; " to " &amp; TEXT(EDATE($L607,{8})-1,"dd/mm/yyyy")</f>
        <v>01/10/2026 to 31/01/2027</v>
      </c>
      <c r="W607" s="381" t="str" cm="1">
        <f t="array" ref="W607">TEXT(EDATE($L607,{8}),"dd/mm/yyy") &amp; " to " &amp; TEXT(EDATE($L607,{12})-1,"dd/mm/yyyy")</f>
        <v>01/02/2027 to 31/05/2027</v>
      </c>
      <c r="AE607" s="376" t="s">
        <v>619</v>
      </c>
      <c r="AF607" s="367" t="s">
        <v>63</v>
      </c>
      <c r="AG607" s="367">
        <v>3</v>
      </c>
      <c r="AH607" s="376" t="s">
        <v>667</v>
      </c>
    </row>
    <row r="608" spans="2:34" ht="15" hidden="1" customHeight="1" x14ac:dyDescent="0.3">
      <c r="B608" s="367" t="s">
        <v>11</v>
      </c>
      <c r="C608" s="630" t="s">
        <v>1032</v>
      </c>
      <c r="D608" s="630" t="s">
        <v>1036</v>
      </c>
      <c r="E608" s="805">
        <v>4430018620</v>
      </c>
      <c r="F608" s="641">
        <v>46193</v>
      </c>
      <c r="G608" s="367" t="s">
        <v>55</v>
      </c>
      <c r="H608" s="540">
        <v>3</v>
      </c>
      <c r="I608" s="384">
        <v>381000</v>
      </c>
      <c r="J608" s="367">
        <v>2</v>
      </c>
      <c r="K608" s="370">
        <f>I608/J608</f>
        <v>190500</v>
      </c>
      <c r="L608" s="631">
        <v>46204</v>
      </c>
      <c r="M608" s="631">
        <v>46568</v>
      </c>
      <c r="N608" s="676"/>
      <c r="O608" s="693"/>
      <c r="P608" s="376" t="s">
        <v>520</v>
      </c>
      <c r="S608" s="381" t="str" cm="1">
        <f t="array" ref="S608">TEXT(EDATE($L608,{0}),"dd/mm/yyy") &amp; " to " &amp; TEXT(EDATE($L608,{6})-1,"dd/mm/yyyy")</f>
        <v>01/07/2026 to 31/12/2026</v>
      </c>
      <c r="T608" s="533"/>
      <c r="U608" s="381" t="str" cm="1">
        <f t="array" ref="U608">TEXT(EDATE($L608,{6}),"dd/mm/yyy") &amp; " to " &amp; TEXT(EDATE($L608,{12})-1,"dd/mm/yyyy")</f>
        <v>01/01/2027 to 30/06/2027</v>
      </c>
      <c r="W608" s="381"/>
      <c r="AE608" s="376" t="s">
        <v>1975</v>
      </c>
      <c r="AF608" s="367" t="s">
        <v>207</v>
      </c>
      <c r="AG608" s="367">
        <v>3</v>
      </c>
      <c r="AH608" s="376" t="s">
        <v>1898</v>
      </c>
    </row>
    <row r="609" spans="1:34" ht="15" hidden="1" customHeight="1" x14ac:dyDescent="0.3">
      <c r="B609" s="367" t="s">
        <v>11</v>
      </c>
      <c r="C609" s="810" t="s">
        <v>959</v>
      </c>
      <c r="D609" s="810" t="s">
        <v>1976</v>
      </c>
      <c r="E609" s="50">
        <v>4521075304</v>
      </c>
      <c r="F609" s="641">
        <v>46209</v>
      </c>
      <c r="G609" s="367" t="s">
        <v>55</v>
      </c>
      <c r="H609" s="380">
        <v>3</v>
      </c>
      <c r="I609" s="384">
        <v>70000</v>
      </c>
      <c r="J609" s="367">
        <v>3</v>
      </c>
      <c r="K609" s="370">
        <f>I609/J609</f>
        <v>23333.333333333332</v>
      </c>
      <c r="L609" s="811">
        <v>46174</v>
      </c>
      <c r="M609" s="811">
        <v>46538</v>
      </c>
      <c r="N609" s="808"/>
      <c r="O609" s="809"/>
      <c r="P609" s="376" t="s">
        <v>520</v>
      </c>
      <c r="S609" s="381" t="str" cm="1">
        <f t="array" ref="S609">TEXT(EDATE($L609,{0}),"dd/mm/yyy") &amp; " to " &amp; TEXT(EDATE($L609,{4})-1,"dd/mm/yyyy")</f>
        <v>01/06/2026 to 30/09/2026</v>
      </c>
      <c r="T609" s="363"/>
      <c r="U609" s="381" t="str" cm="1">
        <f t="array" ref="U609">TEXT(EDATE($L609,{4}),"dd/mm/yyy") &amp; " to " &amp; TEXT(EDATE($L609,{8})-1,"dd/mm/yyyy")</f>
        <v>01/10/2026 to 31/01/2027</v>
      </c>
      <c r="V609" s="363"/>
      <c r="W609" s="381" t="str" cm="1">
        <f t="array" ref="W609">TEXT(EDATE($L609,{8}),"dd/mm/yyy") &amp; " to " &amp; TEXT(EDATE($L609,{12})-1,"dd/mm/yyyy")</f>
        <v>01/02/2027 to 31/05/2027</v>
      </c>
      <c r="AE609" s="376" t="s">
        <v>507</v>
      </c>
      <c r="AF609" s="367" t="s">
        <v>63</v>
      </c>
      <c r="AG609" s="367">
        <v>3</v>
      </c>
      <c r="AH609" s="376" t="s">
        <v>667</v>
      </c>
    </row>
    <row r="610" spans="1:34" ht="15" hidden="1" customHeight="1" x14ac:dyDescent="0.3">
      <c r="B610" s="367" t="s">
        <v>11</v>
      </c>
      <c r="C610" s="630" t="s">
        <v>863</v>
      </c>
      <c r="D610" s="630" t="s">
        <v>864</v>
      </c>
      <c r="E610" s="125">
        <v>4504690834</v>
      </c>
      <c r="F610" s="640">
        <v>46204</v>
      </c>
      <c r="G610" s="367" t="s">
        <v>55</v>
      </c>
      <c r="H610" s="380">
        <v>1</v>
      </c>
      <c r="I610" s="384">
        <v>67000</v>
      </c>
      <c r="J610" s="367">
        <v>2</v>
      </c>
      <c r="K610" s="370">
        <f>I610/J610</f>
        <v>33500</v>
      </c>
      <c r="L610" s="631">
        <v>46204</v>
      </c>
      <c r="M610" s="631">
        <v>46568</v>
      </c>
      <c r="N610" s="676"/>
      <c r="O610" s="693"/>
      <c r="P610" s="376" t="s">
        <v>520</v>
      </c>
      <c r="S610" s="381" t="str" cm="1">
        <f t="array" ref="S610">TEXT(EDATE($L610,{0}),"dd/mm/yyy") &amp; " to " &amp; TEXT(EDATE($L610,{6})-1,"dd/mm/yyyy")</f>
        <v>01/07/2026 to 31/12/2026</v>
      </c>
      <c r="T610" s="533"/>
      <c r="U610" s="381" t="str" cm="1">
        <f t="array" ref="U610">TEXT(EDATE($L610,{6}),"dd/mm/yyy") &amp; " to " &amp; TEXT(EDATE($L610,{12})-1,"dd/mm/yyyy")</f>
        <v>01/01/2027 to 30/06/2027</v>
      </c>
      <c r="AE610" s="376" t="s">
        <v>507</v>
      </c>
      <c r="AF610" s="367" t="s">
        <v>63</v>
      </c>
      <c r="AG610" s="367">
        <v>2</v>
      </c>
      <c r="AH610" s="376" t="s">
        <v>667</v>
      </c>
    </row>
    <row r="611" spans="1:34" ht="15" hidden="1" customHeight="1" x14ac:dyDescent="0.3">
      <c r="A611" s="376" t="s">
        <v>1977</v>
      </c>
      <c r="B611" s="367" t="s">
        <v>11</v>
      </c>
      <c r="C611" s="812" t="s">
        <v>1978</v>
      </c>
      <c r="D611" s="806" t="s">
        <v>151</v>
      </c>
      <c r="E611" s="269" t="s">
        <v>1979</v>
      </c>
      <c r="F611" s="641">
        <v>46171</v>
      </c>
      <c r="G611" s="367" t="s">
        <v>55</v>
      </c>
      <c r="H611" s="367">
        <v>4</v>
      </c>
      <c r="I611" s="384">
        <v>360000</v>
      </c>
      <c r="J611" s="367">
        <v>3</v>
      </c>
      <c r="K611" s="370">
        <f>I611/2</f>
        <v>180000</v>
      </c>
      <c r="L611" s="807">
        <v>46023</v>
      </c>
      <c r="M611" s="807">
        <v>46387</v>
      </c>
      <c r="N611" s="808">
        <v>155309</v>
      </c>
      <c r="O611" s="809">
        <v>3044</v>
      </c>
      <c r="P611" s="376" t="s">
        <v>520</v>
      </c>
      <c r="S611" s="394" t="str" cm="1">
        <f t="array" ref="S611">TEXT(EDATE($L611,{0}),"dd/mm/yyy") &amp; " to " &amp; TEXT(EDATE($L611,{4})-1,"dd/mm/yyyy")</f>
        <v>01/01/2026 to 30/04/2026</v>
      </c>
      <c r="T611" s="363" t="s">
        <v>1955</v>
      </c>
      <c r="U611" s="381" t="str" cm="1">
        <f t="array" ref="U611">TEXT(EDATE($L611,{4}),"dd/mm/yyy") &amp; " to " &amp; TEXT(EDATE($L611,{8})-1,"dd/mm/yyyy")</f>
        <v>01/05/2026 to 31/08/2026</v>
      </c>
      <c r="V611" s="363"/>
      <c r="W611" s="381" t="str" cm="1">
        <f t="array" ref="W611">TEXT(EDATE($L611,{8}),"dd/mm/yyy") &amp; " to " &amp; TEXT(EDATE($L611,{12})-1,"dd/mm/yyyy")</f>
        <v>01/09/2026 to 31/12/2026</v>
      </c>
      <c r="AE611" s="376" t="s">
        <v>478</v>
      </c>
      <c r="AF611" s="367" t="s">
        <v>63</v>
      </c>
      <c r="AG611" s="367">
        <v>3</v>
      </c>
      <c r="AH611" s="376" t="s">
        <v>667</v>
      </c>
    </row>
    <row r="612" spans="1:34" ht="15" hidden="1" customHeight="1" x14ac:dyDescent="0.3">
      <c r="B612" s="367" t="s">
        <v>11</v>
      </c>
      <c r="C612" s="630" t="s">
        <v>195</v>
      </c>
      <c r="D612" s="806" t="s">
        <v>447</v>
      </c>
      <c r="E612" s="183" t="s">
        <v>1980</v>
      </c>
      <c r="F612" s="641">
        <v>46211</v>
      </c>
      <c r="G612" s="367" t="s">
        <v>55</v>
      </c>
      <c r="H612" s="651">
        <v>8</v>
      </c>
      <c r="I612" s="384">
        <v>513520</v>
      </c>
      <c r="J612" s="367">
        <v>4</v>
      </c>
      <c r="K612" s="370">
        <f>I612/J612</f>
        <v>128380</v>
      </c>
      <c r="L612" s="639">
        <v>46237</v>
      </c>
      <c r="M612" s="639">
        <v>46601</v>
      </c>
      <c r="P612" s="376" t="s">
        <v>520</v>
      </c>
      <c r="S612" s="381" t="str" cm="1">
        <f t="array" ref="S612">TEXT(EDATE($L612,{0}),"dd/mm/yyy") &amp; " to " &amp; TEXT(EDATE($L612,{3})-1,"dd/mm/yyyy")</f>
        <v>03/08/2026 to 02/11/2026</v>
      </c>
      <c r="T612" s="363"/>
      <c r="U612" s="381" t="str" cm="1">
        <f t="array" ref="U612">TEXT(EDATE($L612,{3}),"dd/mm/yyy") &amp; " to " &amp; TEXT(EDATE($L612,{6})-1,"dd/mm/yyyy")</f>
        <v>03/11/2026 to 02/02/2027</v>
      </c>
      <c r="V612" s="363"/>
      <c r="W612" s="381" t="str" cm="1">
        <f t="array" ref="W612">TEXT(EDATE($L612,{6}),"dd/mm/yyy") &amp; " to " &amp; TEXT(EDATE($L612,{9})-1,"dd/mm/yyyy")</f>
        <v>03/02/2027 to 02/05/2027</v>
      </c>
      <c r="X612" s="363"/>
      <c r="Y612" s="381" t="str" cm="1">
        <f t="array" ref="Y612">TEXT(EDATE($L612,{9}),"dd/mm/yyy") &amp; " to " &amp; TEXT(EDATE($L612,{12})-1,"dd/mm/yyyy")</f>
        <v>03/05/2027 to 02/08/2027</v>
      </c>
      <c r="AE612" s="376" t="s">
        <v>96</v>
      </c>
      <c r="AF612" s="367" t="s">
        <v>968</v>
      </c>
      <c r="AG612" s="367" t="s">
        <v>494</v>
      </c>
      <c r="AH612" s="376" t="s">
        <v>667</v>
      </c>
    </row>
    <row r="613" spans="1:34" ht="15" hidden="1" customHeight="1" x14ac:dyDescent="0.3">
      <c r="A613" s="376" t="s">
        <v>1977</v>
      </c>
      <c r="B613" s="367" t="s">
        <v>11</v>
      </c>
      <c r="C613" s="812" t="s">
        <v>845</v>
      </c>
      <c r="D613" s="806" t="s">
        <v>846</v>
      </c>
      <c r="E613" s="50">
        <v>901987168</v>
      </c>
      <c r="F613" s="641">
        <v>46204</v>
      </c>
      <c r="G613" s="367" t="s">
        <v>55</v>
      </c>
      <c r="H613" s="813">
        <v>2</v>
      </c>
      <c r="I613" s="384">
        <v>196000</v>
      </c>
      <c r="J613" s="367">
        <v>3</v>
      </c>
      <c r="K613" s="370">
        <f>I613/2</f>
        <v>98000</v>
      </c>
      <c r="L613" s="639">
        <v>46212</v>
      </c>
      <c r="M613" s="639">
        <v>46576</v>
      </c>
      <c r="N613" s="660">
        <v>155326</v>
      </c>
      <c r="O613" s="677">
        <v>4645</v>
      </c>
      <c r="P613" s="376" t="s">
        <v>520</v>
      </c>
      <c r="S613" s="394" t="str" cm="1">
        <f t="array" ref="S613">TEXT(EDATE($L613,{0}),"dd/mm/yyy") &amp; " to " &amp; TEXT(EDATE($L613,{4})-1,"dd/mm/yyyy")</f>
        <v>09/07/2026 to 08/11/2026</v>
      </c>
      <c r="T613" s="363" t="s">
        <v>1964</v>
      </c>
      <c r="U613" s="381" t="str" cm="1">
        <f t="array" ref="U613">TEXT(EDATE($L613,{4}),"dd/mm/yyy") &amp; " to " &amp; TEXT(EDATE($L613,{8})-1,"dd/mm/yyyy")</f>
        <v>09/11/2026 to 08/03/2027</v>
      </c>
      <c r="V613" s="363"/>
      <c r="W613" s="381" t="str" cm="1">
        <f t="array" ref="W613">TEXT(EDATE($L613,{8}),"dd/mm/yyy") &amp; " to " &amp; TEXT(EDATE($L613,{12})-1,"dd/mm/yyyy")</f>
        <v>09/03/2027 to 08/07/2027</v>
      </c>
      <c r="AE613" s="376" t="s">
        <v>834</v>
      </c>
      <c r="AF613" s="367" t="s">
        <v>207</v>
      </c>
      <c r="AG613" s="367">
        <v>3</v>
      </c>
      <c r="AH613" s="376" t="s">
        <v>1981</v>
      </c>
    </row>
    <row r="614" spans="1:34" ht="15" hidden="1" customHeight="1" x14ac:dyDescent="0.3">
      <c r="A614" s="376" t="s">
        <v>1977</v>
      </c>
      <c r="B614" s="367" t="s">
        <v>11</v>
      </c>
      <c r="C614" s="812" t="s">
        <v>845</v>
      </c>
      <c r="D614" s="806" t="s">
        <v>846</v>
      </c>
      <c r="E614" s="50">
        <v>901985480</v>
      </c>
      <c r="F614" s="641">
        <v>46167</v>
      </c>
      <c r="G614" s="367" t="s">
        <v>55</v>
      </c>
      <c r="H614" s="814">
        <v>1</v>
      </c>
      <c r="I614" s="384">
        <v>98000</v>
      </c>
      <c r="J614" s="367">
        <v>3</v>
      </c>
      <c r="K614" s="370">
        <f>I614/2</f>
        <v>49000</v>
      </c>
      <c r="L614" s="807">
        <v>46213</v>
      </c>
      <c r="M614" s="807">
        <v>46577</v>
      </c>
      <c r="N614" s="808">
        <v>155330</v>
      </c>
      <c r="O614" s="809">
        <v>4577</v>
      </c>
      <c r="P614" s="376" t="s">
        <v>520</v>
      </c>
      <c r="S614" s="394" t="str" cm="1">
        <f t="array" ref="S614">TEXT(EDATE($L614,{0}),"dd/mm/yyy") &amp; " to " &amp; TEXT(EDATE($L614,{4})-1,"dd/mm/yyyy")</f>
        <v>10/07/2026 to 09/11/2026</v>
      </c>
      <c r="T614" s="363" t="s">
        <v>1982</v>
      </c>
      <c r="U614" s="381" t="str" cm="1">
        <f t="array" ref="U614">TEXT(EDATE($L614,{4}),"dd/mm/yyy") &amp; " to " &amp; TEXT(EDATE($L614,{8})-1,"dd/mm/yyyy")</f>
        <v>10/11/2026 to 09/03/2027</v>
      </c>
      <c r="V614" s="363" t="s">
        <v>1983</v>
      </c>
      <c r="W614" s="381" t="str" cm="1">
        <f t="array" ref="W614">TEXT(EDATE($L614,{8}),"dd/mm/yyy") &amp; " to " &amp; TEXT(EDATE($L614,{12})-1,"dd/mm/yyyy")</f>
        <v>10/03/2027 to 09/07/2027</v>
      </c>
      <c r="X614" s="363" t="s">
        <v>1983</v>
      </c>
      <c r="AE614" s="376" t="s">
        <v>834</v>
      </c>
      <c r="AF614" s="367" t="s">
        <v>207</v>
      </c>
      <c r="AG614" s="367">
        <v>3</v>
      </c>
      <c r="AH614" s="376" t="s">
        <v>1981</v>
      </c>
    </row>
    <row r="615" spans="1:34" ht="15" hidden="1" customHeight="1" x14ac:dyDescent="0.3">
      <c r="A615" s="376" t="s">
        <v>1977</v>
      </c>
      <c r="B615" s="367" t="s">
        <v>11</v>
      </c>
      <c r="C615" s="630" t="s">
        <v>1041</v>
      </c>
      <c r="D615" s="632" t="s">
        <v>1016</v>
      </c>
      <c r="E615" s="50">
        <v>4220021773</v>
      </c>
      <c r="F615" s="641">
        <v>46176</v>
      </c>
      <c r="G615" s="367" t="s">
        <v>55</v>
      </c>
      <c r="H615" s="380">
        <v>3</v>
      </c>
      <c r="I615" s="384">
        <v>218592</v>
      </c>
      <c r="J615" s="367">
        <v>3</v>
      </c>
      <c r="K615" s="370">
        <f t="shared" ref="K615:K620" si="29">I615/J615</f>
        <v>72864</v>
      </c>
      <c r="L615" s="654">
        <v>46113</v>
      </c>
      <c r="M615" s="654">
        <v>46477</v>
      </c>
      <c r="N615" s="676"/>
      <c r="O615" s="693"/>
      <c r="P615" s="376" t="s">
        <v>520</v>
      </c>
      <c r="S615" s="394" t="str" cm="1">
        <f t="array" ref="S615">TEXT(EDATE($L615,{0}),"dd/mm/yyy") &amp; " to " &amp; TEXT(EDATE($L615,{4})-1,"dd/mm/yyyy")</f>
        <v>01/04/2026 to 31/07/2026</v>
      </c>
      <c r="T615" s="376" t="s">
        <v>1949</v>
      </c>
      <c r="U615" s="381" t="str" cm="1">
        <f t="array" ref="U615">TEXT(EDATE($L615,{4}),"dd/mm/yyy") &amp; " to " &amp; TEXT(EDATE($L615,{8})-1,"dd/mm/yyyy")</f>
        <v>01/08/2026 to 30/11/2026</v>
      </c>
      <c r="W615" s="381" t="str" cm="1">
        <f t="array" ref="W615">TEXT(EDATE($L615,{8}),"dd/mm/yyy") &amp; " to " &amp; TEXT(EDATE($L615,{12})-1,"dd/mm/yyyy")</f>
        <v>01/12/2026 to 31/03/2027</v>
      </c>
      <c r="AE615" s="376" t="s">
        <v>619</v>
      </c>
      <c r="AF615" s="367" t="s">
        <v>63</v>
      </c>
      <c r="AG615" s="367">
        <v>3</v>
      </c>
      <c r="AH615" s="376" t="s">
        <v>1984</v>
      </c>
    </row>
    <row r="616" spans="1:34" ht="15" hidden="1" customHeight="1" x14ac:dyDescent="0.3">
      <c r="B616" s="367" t="s">
        <v>11</v>
      </c>
      <c r="C616" s="630" t="s">
        <v>565</v>
      </c>
      <c r="D616" s="630" t="s">
        <v>566</v>
      </c>
      <c r="E616" s="125">
        <v>1011707698</v>
      </c>
      <c r="F616" s="641">
        <v>46196</v>
      </c>
      <c r="G616" s="367" t="s">
        <v>55</v>
      </c>
      <c r="H616" s="540">
        <v>1</v>
      </c>
      <c r="I616" s="384">
        <v>80000</v>
      </c>
      <c r="J616" s="367">
        <v>2</v>
      </c>
      <c r="K616" s="370">
        <f t="shared" si="29"/>
        <v>40000</v>
      </c>
      <c r="L616" s="654">
        <v>46200</v>
      </c>
      <c r="M616" s="654">
        <v>46564</v>
      </c>
      <c r="N616" s="676"/>
      <c r="O616" s="693"/>
      <c r="P616" s="376" t="s">
        <v>520</v>
      </c>
      <c r="S616" s="381" t="str" cm="1">
        <f t="array" ref="S616">TEXT(EDATE($L616,{0}),"dd/mm/yyy") &amp; " to " &amp; TEXT(EDATE($L616,{6})-1,"dd/mm/yyyy")</f>
        <v>27/06/2026 to 26/12/2026</v>
      </c>
      <c r="T616" s="533"/>
      <c r="U616" s="381" t="str" cm="1">
        <f t="array" ref="U616">TEXT(EDATE($L616,{6}),"dd/mm/yyy") &amp; " to " &amp; TEXT(EDATE($L616,{12})-1,"dd/mm/yyyy")</f>
        <v>27/12/2026 to 26/06/2027</v>
      </c>
      <c r="AE616" s="376" t="s">
        <v>551</v>
      </c>
      <c r="AF616" s="367" t="s">
        <v>207</v>
      </c>
      <c r="AG616" s="367">
        <v>1</v>
      </c>
      <c r="AH616" s="376" t="s">
        <v>667</v>
      </c>
    </row>
    <row r="617" spans="1:34" ht="15" hidden="1" customHeight="1" x14ac:dyDescent="0.3">
      <c r="A617" s="376" t="s">
        <v>1977</v>
      </c>
      <c r="B617" s="367" t="s">
        <v>11</v>
      </c>
      <c r="C617" s="806" t="s">
        <v>1985</v>
      </c>
      <c r="D617" s="806" t="s">
        <v>447</v>
      </c>
      <c r="E617" s="269">
        <v>1300011747</v>
      </c>
      <c r="F617" s="641">
        <v>46156</v>
      </c>
      <c r="G617" s="367" t="s">
        <v>55</v>
      </c>
      <c r="H617" s="380">
        <v>1</v>
      </c>
      <c r="I617" s="384">
        <v>115851</v>
      </c>
      <c r="J617" s="367">
        <v>4</v>
      </c>
      <c r="K617" s="370">
        <f t="shared" si="29"/>
        <v>28962.75</v>
      </c>
      <c r="L617" s="807">
        <v>46143</v>
      </c>
      <c r="M617" s="807">
        <v>46507</v>
      </c>
      <c r="N617" s="660">
        <v>155334</v>
      </c>
      <c r="O617" s="677">
        <v>4662</v>
      </c>
      <c r="P617" s="376" t="s">
        <v>520</v>
      </c>
      <c r="S617" s="394" t="str" cm="1">
        <f t="array" ref="S617">TEXT(EDATE($L617,{0}),"dd/mm/yyy") &amp; " to " &amp; TEXT(EDATE($L617,{3})-1,"dd/mm/yyyy")</f>
        <v>01/05/2026 to 31/07/2026</v>
      </c>
      <c r="T617" s="363" t="s">
        <v>1964</v>
      </c>
      <c r="U617" s="381" t="str" cm="1">
        <f t="array" ref="U617">TEXT(EDATE($L617,{3}),"dd/mm/yyy") &amp; " to " &amp; TEXT(EDATE($L617,{6})-1,"dd/mm/yyyy")</f>
        <v>01/08/2026 to 31/10/2026</v>
      </c>
      <c r="V617" s="363"/>
      <c r="W617" s="381" t="str" cm="1">
        <f t="array" ref="W617">TEXT(EDATE($L617,{6}),"dd/mm/yyy") &amp; " to " &amp; TEXT(EDATE($L617,{9})-1,"dd/mm/yyyy")</f>
        <v>01/11/2026 to 31/01/2027</v>
      </c>
      <c r="X617" s="363"/>
      <c r="Y617" s="381" t="str" cm="1">
        <f t="array" ref="Y617">TEXT(EDATE($L617,{9}),"dd/mm/yyy") &amp; " to " &amp; TEXT(EDATE($L617,{12})-1,"dd/mm/yyyy")</f>
        <v>01/02/2027 to 30/04/2027</v>
      </c>
      <c r="AE617" s="376" t="s">
        <v>1912</v>
      </c>
      <c r="AF617" s="367" t="s">
        <v>97</v>
      </c>
      <c r="AG617" s="367" t="s">
        <v>494</v>
      </c>
      <c r="AH617" s="376" t="s">
        <v>835</v>
      </c>
    </row>
    <row r="618" spans="1:34" ht="15" hidden="1" customHeight="1" x14ac:dyDescent="0.3">
      <c r="B618" s="367" t="s">
        <v>11</v>
      </c>
      <c r="C618" s="630" t="s">
        <v>1986</v>
      </c>
      <c r="D618" s="630" t="s">
        <v>1987</v>
      </c>
      <c r="E618" s="50">
        <v>4601565464</v>
      </c>
      <c r="F618" s="641">
        <v>46203</v>
      </c>
      <c r="G618" s="367" t="s">
        <v>55</v>
      </c>
      <c r="H618" s="380">
        <v>1</v>
      </c>
      <c r="I618" s="384">
        <v>85000</v>
      </c>
      <c r="J618" s="367">
        <v>1</v>
      </c>
      <c r="K618" s="370">
        <f t="shared" si="29"/>
        <v>85000</v>
      </c>
      <c r="L618" s="631">
        <v>46204</v>
      </c>
      <c r="M618" s="631">
        <v>46568</v>
      </c>
      <c r="P618" s="376" t="s">
        <v>520</v>
      </c>
      <c r="S618" s="376" t="s">
        <v>1988</v>
      </c>
      <c r="AE618" s="376" t="s">
        <v>478</v>
      </c>
      <c r="AF618" s="367" t="s">
        <v>63</v>
      </c>
      <c r="AG618" s="367">
        <v>3</v>
      </c>
      <c r="AH618" s="376" t="s">
        <v>667</v>
      </c>
    </row>
    <row r="619" spans="1:34" ht="15" hidden="1" customHeight="1" x14ac:dyDescent="0.3">
      <c r="B619" s="367" t="s">
        <v>11</v>
      </c>
      <c r="C619" s="630" t="s">
        <v>1989</v>
      </c>
      <c r="D619" s="630" t="s">
        <v>1987</v>
      </c>
      <c r="E619" s="50">
        <v>4601565693</v>
      </c>
      <c r="F619" s="641">
        <v>46203</v>
      </c>
      <c r="G619" s="367" t="s">
        <v>55</v>
      </c>
      <c r="H619" s="380">
        <v>1</v>
      </c>
      <c r="I619" s="384">
        <v>85000</v>
      </c>
      <c r="J619" s="367">
        <v>1</v>
      </c>
      <c r="K619" s="370">
        <f t="shared" si="29"/>
        <v>85000</v>
      </c>
      <c r="L619" s="631">
        <v>46204</v>
      </c>
      <c r="M619" s="631">
        <v>46568</v>
      </c>
      <c r="P619" s="376" t="s">
        <v>520</v>
      </c>
      <c r="S619" s="376" t="s">
        <v>1988</v>
      </c>
      <c r="AE619" s="376" t="s">
        <v>478</v>
      </c>
      <c r="AF619" s="367" t="s">
        <v>63</v>
      </c>
      <c r="AG619" s="367">
        <v>3</v>
      </c>
      <c r="AH619" s="376" t="s">
        <v>667</v>
      </c>
    </row>
    <row r="620" spans="1:34" ht="15" hidden="1" customHeight="1" x14ac:dyDescent="0.3">
      <c r="B620" s="367" t="s">
        <v>11</v>
      </c>
      <c r="C620" s="630" t="s">
        <v>1990</v>
      </c>
      <c r="D620" s="630" t="s">
        <v>1987</v>
      </c>
      <c r="E620" s="50">
        <v>4601565681</v>
      </c>
      <c r="F620" s="641">
        <v>46203</v>
      </c>
      <c r="G620" s="367" t="s">
        <v>55</v>
      </c>
      <c r="H620" s="540">
        <v>1</v>
      </c>
      <c r="I620" s="384">
        <v>85000</v>
      </c>
      <c r="J620" s="367">
        <v>1</v>
      </c>
      <c r="K620" s="370">
        <f t="shared" si="29"/>
        <v>85000</v>
      </c>
      <c r="L620" s="631">
        <v>46204</v>
      </c>
      <c r="M620" s="631">
        <v>46568</v>
      </c>
      <c r="P620" s="376" t="s">
        <v>520</v>
      </c>
      <c r="S620" s="376" t="s">
        <v>1988</v>
      </c>
      <c r="AE620" s="376" t="s">
        <v>478</v>
      </c>
      <c r="AF620" s="367" t="s">
        <v>63</v>
      </c>
      <c r="AG620" s="367">
        <v>3</v>
      </c>
      <c r="AH620" s="376" t="s">
        <v>667</v>
      </c>
    </row>
    <row r="621" spans="1:34" ht="15" hidden="1" customHeight="1" x14ac:dyDescent="0.3">
      <c r="B621" s="367" t="s">
        <v>11</v>
      </c>
      <c r="C621" s="630" t="s">
        <v>935</v>
      </c>
      <c r="D621" s="630" t="s">
        <v>176</v>
      </c>
      <c r="E621" s="125" t="s">
        <v>1991</v>
      </c>
      <c r="F621" s="640">
        <v>46219</v>
      </c>
      <c r="G621" s="367" t="s">
        <v>55</v>
      </c>
      <c r="H621" s="380">
        <v>1</v>
      </c>
      <c r="I621" s="384">
        <v>98500</v>
      </c>
      <c r="J621" s="367">
        <v>2</v>
      </c>
      <c r="K621" s="370"/>
      <c r="L621" s="631">
        <v>46113</v>
      </c>
      <c r="M621" s="631">
        <v>46477</v>
      </c>
      <c r="P621" s="376" t="s">
        <v>520</v>
      </c>
      <c r="S621" s="381" t="str" cm="1">
        <f t="array" ref="S621">TEXT(EDATE($L621,{0}),"dd/mm/yyy") &amp; " to " &amp; TEXT(EDATE($L621,{6})-1,"dd/mm/yyyy")</f>
        <v>01/04/2026 to 30/09/2026</v>
      </c>
      <c r="T621" s="533"/>
      <c r="U621" s="381" t="str" cm="1">
        <f t="array" ref="U621">TEXT(EDATE($L621,{6}),"dd/mm/yyy") &amp; " to " &amp; TEXT(EDATE($L621,{12})-1,"dd/mm/yyyy")</f>
        <v>01/10/2026 to 31/03/2027</v>
      </c>
      <c r="AE621" s="376" t="s">
        <v>1893</v>
      </c>
      <c r="AF621" s="367" t="s">
        <v>968</v>
      </c>
      <c r="AG621" s="367">
        <v>2</v>
      </c>
      <c r="AH621" s="376" t="s">
        <v>1573</v>
      </c>
    </row>
    <row r="622" spans="1:34" ht="15" hidden="1" customHeight="1" x14ac:dyDescent="0.3">
      <c r="B622" s="367" t="s">
        <v>11</v>
      </c>
      <c r="C622" s="812" t="s">
        <v>1113</v>
      </c>
      <c r="D622" s="806" t="s">
        <v>1114</v>
      </c>
      <c r="E622" s="269">
        <v>700006603</v>
      </c>
      <c r="F622" s="641">
        <v>46229</v>
      </c>
      <c r="G622" s="367" t="s">
        <v>55</v>
      </c>
      <c r="H622" s="540">
        <v>2</v>
      </c>
      <c r="I622" s="384">
        <v>190048</v>
      </c>
      <c r="J622" s="367">
        <v>3</v>
      </c>
      <c r="K622" s="370">
        <f>I622/2</f>
        <v>95024</v>
      </c>
      <c r="L622" s="807">
        <v>46113</v>
      </c>
      <c r="M622" s="807">
        <v>46477</v>
      </c>
      <c r="P622" s="376" t="s">
        <v>520</v>
      </c>
      <c r="S622" s="381" t="str" cm="1">
        <f t="array" ref="S622">TEXT(EDATE($L622,{0}),"dd/mm/yyy") &amp; " to " &amp; TEXT(EDATE($L622,{4})-1,"dd/mm/yyyy")</f>
        <v>01/04/2026 to 31/07/2026</v>
      </c>
      <c r="T622" s="363"/>
      <c r="U622" s="381" t="str" cm="1">
        <f t="array" ref="U622">TEXT(EDATE($L622,{4}),"dd/mm/yyy") &amp; " to " &amp; TEXT(EDATE($L622,{8})-1,"dd/mm/yyyy")</f>
        <v>01/08/2026 to 30/11/2026</v>
      </c>
      <c r="V622" s="363"/>
      <c r="W622" s="381" t="str" cm="1">
        <f t="array" ref="W622">TEXT(EDATE($L622,{8}),"dd/mm/yyy") &amp; " to " &amp; TEXT(EDATE($L622,{12})-1,"dd/mm/yyyy")</f>
        <v>01/12/2026 to 31/03/2027</v>
      </c>
      <c r="AE622" s="376" t="s">
        <v>1893</v>
      </c>
      <c r="AF622" s="367" t="s">
        <v>97</v>
      </c>
      <c r="AG622" s="367">
        <v>3</v>
      </c>
      <c r="AH622" s="376" t="s">
        <v>1992</v>
      </c>
    </row>
    <row r="623" spans="1:34" ht="15" hidden="1" customHeight="1" x14ac:dyDescent="0.3">
      <c r="B623" s="367" t="s">
        <v>11</v>
      </c>
      <c r="C623" s="630" t="s">
        <v>614</v>
      </c>
      <c r="D623" s="643" t="s">
        <v>1016</v>
      </c>
      <c r="E623" s="658" t="s">
        <v>1993</v>
      </c>
      <c r="F623" s="641">
        <v>46189</v>
      </c>
      <c r="G623" s="367" t="s">
        <v>55</v>
      </c>
      <c r="H623" s="380">
        <v>7</v>
      </c>
      <c r="I623" s="384">
        <v>535080</v>
      </c>
      <c r="J623" s="367">
        <v>3</v>
      </c>
      <c r="L623" s="631">
        <v>46174</v>
      </c>
      <c r="M623" s="631">
        <v>46538</v>
      </c>
      <c r="P623" s="376" t="s">
        <v>520</v>
      </c>
      <c r="S623" s="381" t="str" cm="1">
        <f t="array" ref="S623">TEXT(EDATE($L623,{0}),"dd/mm/yyy") &amp; " to " &amp; TEXT(EDATE($L623,{4})-1,"dd/mm/yyyy")</f>
        <v>01/06/2026 to 30/09/2026</v>
      </c>
      <c r="U623" s="381" t="str" cm="1">
        <f t="array" ref="U623">TEXT(EDATE($L623,{4}),"dd/mm/yyy") &amp; " to " &amp; TEXT(EDATE($L623,{8})-1,"dd/mm/yyyy")</f>
        <v>01/10/2026 to 31/01/2027</v>
      </c>
      <c r="W623" s="381" t="str" cm="1">
        <f t="array" ref="W623">TEXT(EDATE($L623,{8}),"dd/mm/yyy") &amp; " to " &amp; TEXT(EDATE($L623,{12})-1,"dd/mm/yyyy")</f>
        <v>01/02/2027 to 31/05/2027</v>
      </c>
      <c r="AE623" s="376" t="s">
        <v>619</v>
      </c>
      <c r="AF623" s="367" t="s">
        <v>63</v>
      </c>
      <c r="AG623" s="367">
        <v>3</v>
      </c>
      <c r="AH623" s="659">
        <v>1</v>
      </c>
    </row>
    <row r="624" spans="1:34" ht="15" hidden="1" customHeight="1" x14ac:dyDescent="0.3">
      <c r="B624" s="367" t="s">
        <v>11</v>
      </c>
      <c r="C624" s="806" t="s">
        <v>789</v>
      </c>
      <c r="D624" s="806" t="s">
        <v>629</v>
      </c>
      <c r="E624" s="815">
        <v>8480253150</v>
      </c>
      <c r="F624" s="641">
        <v>46219</v>
      </c>
      <c r="G624" s="367" t="s">
        <v>55</v>
      </c>
      <c r="H624" s="367">
        <v>10</v>
      </c>
      <c r="I624" s="384">
        <v>764400</v>
      </c>
      <c r="J624" s="367">
        <v>3</v>
      </c>
      <c r="L624" s="807">
        <v>46174</v>
      </c>
      <c r="M624" s="807">
        <v>46538</v>
      </c>
      <c r="N624" s="660">
        <v>155339</v>
      </c>
      <c r="P624" s="376" t="s">
        <v>520</v>
      </c>
      <c r="S624" s="381" t="str" cm="1">
        <f t="array" ref="S624">TEXT(EDATE($L624,{0}),"dd/mm/yyy") &amp; " to " &amp; TEXT(EDATE($L624,{4})-1,"dd/mm/yyyy")</f>
        <v>01/06/2026 to 30/09/2026</v>
      </c>
      <c r="U624" s="381" t="str" cm="1">
        <f t="array" ref="U624">TEXT(EDATE($L624,{4}),"dd/mm/yyy") &amp; " to " &amp; TEXT(EDATE($L624,{8})-1,"dd/mm/yyyy")</f>
        <v>01/10/2026 to 31/01/2027</v>
      </c>
      <c r="W624" s="381" t="str" cm="1">
        <f t="array" ref="W624">TEXT(EDATE($L624,{8}),"dd/mm/yyy") &amp; " to " &amp; TEXT(EDATE($L624,{12})-1,"dd/mm/yyyy")</f>
        <v>01/02/2027 to 31/05/2027</v>
      </c>
      <c r="AE624" s="376" t="s">
        <v>485</v>
      </c>
      <c r="AF624" s="367" t="s">
        <v>63</v>
      </c>
      <c r="AG624" s="367">
        <v>3</v>
      </c>
      <c r="AH624" s="659">
        <v>1</v>
      </c>
    </row>
    <row r="625" spans="1:34" ht="15" hidden="1" customHeight="1" x14ac:dyDescent="0.3">
      <c r="B625" s="367" t="s">
        <v>11</v>
      </c>
      <c r="C625" s="630" t="s">
        <v>982</v>
      </c>
      <c r="D625" s="630" t="s">
        <v>801</v>
      </c>
      <c r="E625" s="125" t="s">
        <v>1994</v>
      </c>
      <c r="F625" s="641">
        <v>46186</v>
      </c>
      <c r="G625" s="367" t="s">
        <v>55</v>
      </c>
      <c r="H625" s="380">
        <v>1</v>
      </c>
      <c r="I625" s="384">
        <v>90000</v>
      </c>
      <c r="J625" s="367">
        <v>2</v>
      </c>
      <c r="L625" s="631">
        <v>46174</v>
      </c>
      <c r="M625" s="631">
        <v>46538</v>
      </c>
      <c r="P625" s="376" t="s">
        <v>520</v>
      </c>
      <c r="R625" s="367" t="s">
        <v>1</v>
      </c>
      <c r="S625" s="381" t="str" cm="1">
        <f t="array" ref="S625">TEXT(EDATE($L625,{0}),"dd/mm/yyy") &amp; " to " &amp; TEXT(EDATE($L625,{6})-1,"dd/mm/yyyy")</f>
        <v>01/06/2026 to 30/11/2026</v>
      </c>
      <c r="T625" s="533"/>
      <c r="U625" s="381" t="str" cm="1">
        <f t="array" ref="U625">TEXT(EDATE($L625,{6}),"dd/mm/yyy") &amp; " to " &amp; TEXT(EDATE($L625,{12})-1,"dd/mm/yyyy")</f>
        <v>01/12/2026 to 31/05/2027</v>
      </c>
      <c r="AE625" s="376" t="s">
        <v>485</v>
      </c>
      <c r="AF625" s="367" t="s">
        <v>63</v>
      </c>
      <c r="AG625" s="367">
        <v>2</v>
      </c>
      <c r="AH625" s="659">
        <v>1</v>
      </c>
    </row>
    <row r="626" spans="1:34" ht="15" hidden="1" customHeight="1" x14ac:dyDescent="0.3">
      <c r="B626" s="367" t="s">
        <v>11</v>
      </c>
      <c r="C626" s="806" t="s">
        <v>1061</v>
      </c>
      <c r="D626" s="806" t="s">
        <v>841</v>
      </c>
      <c r="E626" s="50">
        <v>327050092</v>
      </c>
      <c r="F626" s="641">
        <v>46203</v>
      </c>
      <c r="G626" s="367" t="s">
        <v>55</v>
      </c>
      <c r="H626" s="380">
        <v>1</v>
      </c>
      <c r="I626" s="384">
        <v>94500</v>
      </c>
      <c r="J626" s="367">
        <v>3</v>
      </c>
      <c r="K626" s="370">
        <f>I626/J626</f>
        <v>31500</v>
      </c>
      <c r="L626" s="807">
        <v>46174</v>
      </c>
      <c r="M626" s="807">
        <v>46538</v>
      </c>
      <c r="P626" s="376" t="s">
        <v>520</v>
      </c>
      <c r="R626" s="367" t="s">
        <v>1</v>
      </c>
      <c r="S626" s="381" t="str" cm="1">
        <f t="array" ref="S626">TEXT(EDATE($L626,{0}),"dd/mm/yyy") &amp; " to " &amp; TEXT(EDATE($L626,{4})-1,"dd/mm/yyyy")</f>
        <v>01/06/2026 to 30/09/2026</v>
      </c>
      <c r="U626" s="381" t="str" cm="1">
        <f t="array" ref="U626">TEXT(EDATE($L626,{4}),"dd/mm/yyy") &amp; " to " &amp; TEXT(EDATE($L626,{8})-1,"dd/mm/yyyy")</f>
        <v>01/10/2026 to 31/01/2027</v>
      </c>
      <c r="W626" s="381" t="str" cm="1">
        <f t="array" ref="W626">TEXT(EDATE($L626,{8}),"dd/mm/yyy") &amp; " to " &amp; TEXT(EDATE($L626,{12})-1,"dd/mm/yyyy")</f>
        <v>01/02/2027 to 31/05/2027</v>
      </c>
      <c r="AE626" s="376" t="s">
        <v>485</v>
      </c>
      <c r="AF626" s="367" t="s">
        <v>63</v>
      </c>
      <c r="AG626" s="367">
        <v>2</v>
      </c>
      <c r="AH626" s="376" t="s">
        <v>1995</v>
      </c>
    </row>
    <row r="627" spans="1:34" ht="15" hidden="1" customHeight="1" x14ac:dyDescent="0.3">
      <c r="B627" s="367" t="s">
        <v>11</v>
      </c>
      <c r="C627" s="630" t="s">
        <v>195</v>
      </c>
      <c r="D627" s="643" t="s">
        <v>151</v>
      </c>
      <c r="E627" s="275" t="s">
        <v>1996</v>
      </c>
      <c r="F627" s="641">
        <v>46220</v>
      </c>
      <c r="G627" s="367" t="s">
        <v>55</v>
      </c>
      <c r="H627" s="380"/>
      <c r="I627" s="384">
        <v>558000</v>
      </c>
      <c r="J627" s="367">
        <v>4</v>
      </c>
      <c r="K627" s="370">
        <f>I627/J627</f>
        <v>139500</v>
      </c>
      <c r="L627" s="631">
        <v>46220</v>
      </c>
      <c r="M627" s="631">
        <v>46584</v>
      </c>
      <c r="P627" s="376" t="s">
        <v>520</v>
      </c>
      <c r="S627" s="381" t="str" cm="1">
        <f t="array" ref="S627">TEXT(EDATE($L627,{0}),"dd/mm/yyy") &amp; " to " &amp; TEXT(EDATE($L627,{3})-1,"dd/mm/yyyy")</f>
        <v>17/07/2026 to 16/10/2026</v>
      </c>
      <c r="T627" s="363"/>
      <c r="U627" s="381" t="str" cm="1">
        <f t="array" ref="U627">TEXT(EDATE($L627,{3}),"dd/mm/yyy") &amp; " to " &amp; TEXT(EDATE($L627,{6})-1,"dd/mm/yyyy")</f>
        <v>17/10/2026 to 16/01/2027</v>
      </c>
      <c r="V627" s="363"/>
      <c r="W627" s="381" t="str" cm="1">
        <f t="array" ref="W627">TEXT(EDATE($L627,{6}),"dd/mm/yyy") &amp; " to " &amp; TEXT(EDATE($L627,{9})-1,"dd/mm/yyyy")</f>
        <v>17/01/2027 to 16/04/2027</v>
      </c>
      <c r="X627" s="363"/>
      <c r="Y627" s="381" t="str" cm="1">
        <f t="array" ref="Y627">TEXT(EDATE($L627,{9}),"dd/mm/yyy") &amp; " to " &amp; TEXT(EDATE($L627,{12})-1,"dd/mm/yyyy")</f>
        <v>17/04/2027 to 16/07/2027</v>
      </c>
      <c r="AE627" s="376" t="s">
        <v>478</v>
      </c>
      <c r="AF627" s="367" t="s">
        <v>63</v>
      </c>
      <c r="AG627" s="367">
        <v>4</v>
      </c>
      <c r="AH627" s="376" t="s">
        <v>1997</v>
      </c>
    </row>
    <row r="628" spans="1:34" ht="15" hidden="1" customHeight="1" x14ac:dyDescent="0.3">
      <c r="B628" s="367" t="s">
        <v>11</v>
      </c>
      <c r="C628" s="630" t="s">
        <v>195</v>
      </c>
      <c r="D628" s="643" t="s">
        <v>151</v>
      </c>
      <c r="E628" s="275" t="s">
        <v>1996</v>
      </c>
      <c r="F628" s="641">
        <v>46220</v>
      </c>
      <c r="G628" s="367" t="s">
        <v>55</v>
      </c>
      <c r="H628" s="540">
        <v>9</v>
      </c>
      <c r="I628" s="384">
        <v>558000</v>
      </c>
      <c r="J628" s="367">
        <v>4</v>
      </c>
      <c r="K628" s="370">
        <f>I628/J628</f>
        <v>139500</v>
      </c>
      <c r="L628" s="631">
        <v>46585</v>
      </c>
      <c r="M628" s="631">
        <v>46950</v>
      </c>
      <c r="P628" s="376" t="s">
        <v>520</v>
      </c>
      <c r="S628" s="381" t="str" cm="1">
        <f t="array" ref="S628">TEXT(EDATE($L628,{0}),"dd/mm/yyy") &amp; " to " &amp; TEXT(EDATE($L628,{3})-1,"dd/mm/yyyy")</f>
        <v>17/07/2027 to 16/10/2027</v>
      </c>
      <c r="T628" s="363"/>
      <c r="U628" s="381" t="str" cm="1">
        <f t="array" ref="U628">TEXT(EDATE($L628,{3}),"dd/mm/yyy") &amp; " to " &amp; TEXT(EDATE($L628,{6})-1,"dd/mm/yyyy")</f>
        <v>17/10/2027 to 16/01/2028</v>
      </c>
      <c r="V628" s="363"/>
      <c r="W628" s="381" t="str" cm="1">
        <f t="array" ref="W628">TEXT(EDATE($L628,{6}),"dd/mm/yyy") &amp; " to " &amp; TEXT(EDATE($L628,{9})-1,"dd/mm/yyyy")</f>
        <v>17/01/2028 to 16/04/2028</v>
      </c>
      <c r="X628" s="363"/>
      <c r="Y628" s="381" t="str" cm="1">
        <f t="array" ref="Y628">TEXT(EDATE($L628,{9}),"dd/mm/yyy") &amp; " to " &amp; TEXT(EDATE($L628,{12})-1,"dd/mm/yyyy")</f>
        <v>17/04/2028 to 16/07/2028</v>
      </c>
      <c r="AE628" s="376" t="s">
        <v>478</v>
      </c>
      <c r="AF628" s="367" t="s">
        <v>63</v>
      </c>
      <c r="AG628" s="367">
        <v>4</v>
      </c>
      <c r="AH628" s="376" t="s">
        <v>1997</v>
      </c>
    </row>
    <row r="629" spans="1:34" ht="15" hidden="1" customHeight="1" x14ac:dyDescent="0.3">
      <c r="B629" s="367" t="s">
        <v>11</v>
      </c>
      <c r="C629" s="630" t="s">
        <v>663</v>
      </c>
      <c r="D629" s="806" t="s">
        <v>1227</v>
      </c>
      <c r="E629" s="805">
        <v>4508124633</v>
      </c>
      <c r="F629" s="641">
        <v>46212</v>
      </c>
      <c r="G629" s="367" t="s">
        <v>55</v>
      </c>
      <c r="H629" s="540">
        <v>9</v>
      </c>
      <c r="I629" s="384">
        <v>720000</v>
      </c>
      <c r="J629" s="367">
        <v>3</v>
      </c>
      <c r="K629" s="370">
        <f>I629/J629</f>
        <v>240000</v>
      </c>
      <c r="L629" s="807">
        <v>46204</v>
      </c>
      <c r="M629" s="807">
        <v>46568</v>
      </c>
      <c r="P629" s="376" t="s">
        <v>520</v>
      </c>
      <c r="S629" s="381" t="str" cm="1">
        <f t="array" ref="S629">TEXT(EDATE($L629,{0}),"dd/mm/yyy") &amp; " to " &amp; TEXT(EDATE($L629,{4})-1,"dd/mm/yyyy")</f>
        <v>01/07/2026 to 31/10/2026</v>
      </c>
      <c r="U629" s="381" t="str" cm="1">
        <f t="array" ref="U629">TEXT(EDATE($L629,{4}),"dd/mm/yyy") &amp; " to " &amp; TEXT(EDATE($L629,{8})-1,"dd/mm/yyyy")</f>
        <v>01/11/2026 to 28/02/2027</v>
      </c>
      <c r="W629" s="381" t="str" cm="1">
        <f t="array" ref="W629">TEXT(EDATE($L629,{8}),"dd/mm/yyy") &amp; " to " &amp; TEXT(EDATE($L629,{12})-1,"dd/mm/yyyy")</f>
        <v>01/03/2027 to 30/06/2027</v>
      </c>
      <c r="AE629" s="376" t="s">
        <v>478</v>
      </c>
      <c r="AF629" s="367" t="s">
        <v>63</v>
      </c>
      <c r="AG629" s="367">
        <v>3</v>
      </c>
      <c r="AH629" s="376" t="s">
        <v>667</v>
      </c>
    </row>
    <row r="630" spans="1:34" ht="15" hidden="1" customHeight="1" x14ac:dyDescent="0.3">
      <c r="B630" s="367" t="s">
        <v>11</v>
      </c>
      <c r="C630" s="816" t="s">
        <v>990</v>
      </c>
      <c r="D630" s="816" t="s">
        <v>991</v>
      </c>
      <c r="E630" s="122">
        <v>115571838</v>
      </c>
      <c r="F630" s="641">
        <v>46227</v>
      </c>
      <c r="G630" s="367" t="s">
        <v>55</v>
      </c>
      <c r="H630" s="380">
        <v>3</v>
      </c>
      <c r="I630" s="384">
        <v>244800</v>
      </c>
      <c r="J630" s="367">
        <v>2</v>
      </c>
      <c r="K630" s="370"/>
      <c r="L630" s="817">
        <v>46174</v>
      </c>
      <c r="M630" s="817">
        <v>46538</v>
      </c>
      <c r="P630" s="376" t="s">
        <v>520</v>
      </c>
      <c r="S630" s="381" t="str" cm="1">
        <f t="array" ref="S630">TEXT(EDATE($L630,{0}),"dd/mm/yyy") &amp; " to " &amp; TEXT(EDATE($L630,{6})-1,"dd/mm/yyyy")</f>
        <v>01/06/2026 to 30/11/2026</v>
      </c>
      <c r="T630" s="704" t="s">
        <v>1998</v>
      </c>
      <c r="U630" s="381" t="str" cm="1">
        <f t="array" ref="U630">TEXT(EDATE($L630,{6}),"dd/mm/yyy") &amp; " to " &amp; TEXT(EDATE($L630,{12})-1,"dd/mm/yyyy")</f>
        <v>01/12/2026 to 31/05/2027</v>
      </c>
      <c r="AE630" s="376" t="s">
        <v>485</v>
      </c>
      <c r="AF630" s="367" t="s">
        <v>63</v>
      </c>
      <c r="AG630" s="367">
        <v>2</v>
      </c>
      <c r="AH630" s="376" t="s">
        <v>1999</v>
      </c>
    </row>
    <row r="631" spans="1:34" ht="15" hidden="1" customHeight="1" x14ac:dyDescent="0.3">
      <c r="B631" s="367" t="s">
        <v>11</v>
      </c>
      <c r="C631" s="630" t="s">
        <v>195</v>
      </c>
      <c r="D631" s="818" t="s">
        <v>1051</v>
      </c>
      <c r="E631" s="220" t="s">
        <v>2000</v>
      </c>
      <c r="F631" s="641">
        <v>46219</v>
      </c>
      <c r="G631" s="367" t="s">
        <v>55</v>
      </c>
      <c r="H631" s="380"/>
      <c r="I631" s="384">
        <v>497859.68</v>
      </c>
      <c r="J631" s="367">
        <v>3</v>
      </c>
      <c r="K631" s="370">
        <f>I631/J631</f>
        <v>165953.22666666665</v>
      </c>
      <c r="L631" s="631">
        <v>46219</v>
      </c>
      <c r="M631" s="631">
        <v>46583</v>
      </c>
      <c r="P631" s="376" t="s">
        <v>520</v>
      </c>
      <c r="S631" s="381" t="str" cm="1">
        <f t="array" ref="S631">TEXT(EDATE($L631,{0}),"dd/mm/yyy") &amp; " to " &amp; TEXT(EDATE($L631,{4})-1,"dd/mm/yyyy")</f>
        <v>16/07/2026 to 15/11/2026</v>
      </c>
      <c r="U631" s="381" t="str" cm="1">
        <f t="array" ref="U631">TEXT(EDATE($L631,{4}),"dd/mm/yyy") &amp; " to " &amp; TEXT(EDATE($L631,{8})-1,"dd/mm/yyyy")</f>
        <v>16/11/2026 to 15/03/2027</v>
      </c>
      <c r="W631" s="381" t="str" cm="1">
        <f t="array" ref="W631">TEXT(EDATE($L631,{8}),"dd/mm/yyy") &amp; " to " &amp; TEXT(EDATE($L631,{12})-1,"dd/mm/yyyy")</f>
        <v>16/03/2027 to 15/07/2027</v>
      </c>
      <c r="AE631" s="376" t="s">
        <v>281</v>
      </c>
      <c r="AF631" s="367" t="s">
        <v>97</v>
      </c>
      <c r="AG631" s="367">
        <v>3</v>
      </c>
      <c r="AH631" s="376" t="s">
        <v>667</v>
      </c>
    </row>
    <row r="632" spans="1:34" ht="15" hidden="1" customHeight="1" x14ac:dyDescent="0.3">
      <c r="B632" s="367" t="s">
        <v>11</v>
      </c>
      <c r="C632" s="630" t="s">
        <v>195</v>
      </c>
      <c r="D632" s="819" t="s">
        <v>1051</v>
      </c>
      <c r="E632" s="222" t="s">
        <v>2000</v>
      </c>
      <c r="F632" s="697">
        <v>46219</v>
      </c>
      <c r="G632" s="367" t="s">
        <v>55</v>
      </c>
      <c r="H632" s="540">
        <v>6</v>
      </c>
      <c r="I632" s="384">
        <v>497859.68</v>
      </c>
      <c r="J632" s="367">
        <v>3</v>
      </c>
      <c r="K632" s="370">
        <f>I632/J632</f>
        <v>165953.22666666665</v>
      </c>
      <c r="L632" s="631">
        <v>46584</v>
      </c>
      <c r="M632" s="631">
        <v>46949</v>
      </c>
      <c r="P632" s="376" t="s">
        <v>520</v>
      </c>
      <c r="S632" s="381" t="str" cm="1">
        <f t="array" ref="S632">TEXT(EDATE($L632,{0}),"dd/mm/yyy") &amp; " to " &amp; TEXT(EDATE($L632,{4})-1,"dd/mm/yyyy")</f>
        <v>16/07/2027 to 15/11/2027</v>
      </c>
      <c r="U632" s="381" t="str" cm="1">
        <f t="array" ref="U632">TEXT(EDATE($L632,{4}),"dd/mm/yyy") &amp; " to " &amp; TEXT(EDATE($L632,{8})-1,"dd/mm/yyyy")</f>
        <v>16/11/2027 to 15/03/2028</v>
      </c>
      <c r="W632" s="381" t="str" cm="1">
        <f t="array" ref="W632">TEXT(EDATE($L632,{8}),"dd/mm/yyy") &amp; " to " &amp; TEXT(EDATE($L632,{12})-1,"dd/mm/yyyy")</f>
        <v>16/03/2028 to 15/07/2028</v>
      </c>
      <c r="AE632" s="376" t="s">
        <v>281</v>
      </c>
      <c r="AF632" s="367" t="s">
        <v>97</v>
      </c>
      <c r="AG632" s="367">
        <v>3</v>
      </c>
      <c r="AH632" s="376" t="s">
        <v>667</v>
      </c>
    </row>
    <row r="633" spans="1:34" ht="15" hidden="1" customHeight="1" x14ac:dyDescent="0.3">
      <c r="B633" s="367" t="s">
        <v>11</v>
      </c>
      <c r="C633" s="820" t="s">
        <v>614</v>
      </c>
      <c r="D633" s="821" t="s">
        <v>970</v>
      </c>
      <c r="E633" s="267">
        <v>4500050863</v>
      </c>
      <c r="F633" s="641">
        <v>46225</v>
      </c>
      <c r="G633" s="380" t="s">
        <v>55</v>
      </c>
      <c r="H633" s="380">
        <v>2</v>
      </c>
      <c r="I633" s="384">
        <v>152880</v>
      </c>
      <c r="J633" s="367">
        <v>3</v>
      </c>
      <c r="L633" s="807">
        <v>46113</v>
      </c>
      <c r="M633" s="807">
        <v>46477</v>
      </c>
      <c r="O633" s="677">
        <v>4158</v>
      </c>
      <c r="P633" s="376" t="s">
        <v>520</v>
      </c>
      <c r="S633" s="394" t="str" cm="1">
        <f t="array" ref="S633">TEXT(EDATE($L633,{0}),"dd/mm/yyy") &amp; " to " &amp; TEXT(EDATE($L633,{4})-1,"dd/mm/yyyy")</f>
        <v>01/04/2026 to 31/07/2026</v>
      </c>
      <c r="T633" s="376" t="s">
        <v>2001</v>
      </c>
      <c r="U633" s="381" t="str" cm="1">
        <f t="array" ref="U633">TEXT(EDATE($L633,{4}),"dd/mm/yyy") &amp; " to " &amp; TEXT(EDATE($L633,{8})-1,"dd/mm/yyyy")</f>
        <v>01/08/2026 to 30/11/2026</v>
      </c>
      <c r="W633" s="381" t="str" cm="1">
        <f t="array" ref="W633">TEXT(EDATE($L633,{8}),"dd/mm/yyy") &amp; " to " &amp; TEXT(EDATE($L633,{12})-1,"dd/mm/yyyy")</f>
        <v>01/12/2026 to 31/03/2027</v>
      </c>
      <c r="AE633" s="376" t="s">
        <v>281</v>
      </c>
      <c r="AF633" s="367" t="s">
        <v>97</v>
      </c>
      <c r="AG633" s="367">
        <v>3</v>
      </c>
      <c r="AH633" s="376" t="s">
        <v>1999</v>
      </c>
    </row>
    <row r="634" spans="1:34" ht="15" hidden="1" customHeight="1" x14ac:dyDescent="0.3">
      <c r="B634" s="367" t="s">
        <v>11</v>
      </c>
      <c r="C634" s="822" t="s">
        <v>1032</v>
      </c>
      <c r="D634" s="823" t="s">
        <v>2002</v>
      </c>
      <c r="E634" s="269">
        <v>2880002596</v>
      </c>
      <c r="F634" s="641">
        <v>46218</v>
      </c>
      <c r="G634" s="380" t="s">
        <v>55</v>
      </c>
      <c r="H634" s="380">
        <v>1</v>
      </c>
      <c r="I634" s="384">
        <v>100000</v>
      </c>
      <c r="J634" s="367">
        <v>2</v>
      </c>
      <c r="K634" s="370">
        <f>I634/J634</f>
        <v>50000</v>
      </c>
      <c r="L634" s="807">
        <v>46204</v>
      </c>
      <c r="M634" s="807">
        <v>46568</v>
      </c>
      <c r="P634" s="376" t="s">
        <v>520</v>
      </c>
      <c r="S634" s="381" t="str" cm="1">
        <f t="array" ref="S634">TEXT(EDATE($L634,{0}),"dd/mm/yyy") &amp; " to " &amp; TEXT(EDATE($L634,{6})-1,"dd/mm/yyyy")</f>
        <v>01/07/2026 to 31/12/2026</v>
      </c>
      <c r="T634" s="533"/>
      <c r="U634" s="381" t="str" cm="1">
        <f t="array" ref="U634">TEXT(EDATE($L634,{6}),"dd/mm/yyy") &amp; " to " &amp; TEXT(EDATE($L634,{12})-1,"dd/mm/yyyy")</f>
        <v>01/01/2027 to 30/06/2027</v>
      </c>
      <c r="W634" s="381"/>
      <c r="AE634" s="376" t="s">
        <v>96</v>
      </c>
      <c r="AF634" s="367" t="s">
        <v>97</v>
      </c>
      <c r="AG634" s="367">
        <v>3</v>
      </c>
      <c r="AH634" s="376" t="s">
        <v>1898</v>
      </c>
    </row>
    <row r="635" spans="1:34" ht="15" hidden="1" customHeight="1" x14ac:dyDescent="0.3">
      <c r="A635" s="376" t="s">
        <v>1977</v>
      </c>
      <c r="B635" s="367" t="s">
        <v>11</v>
      </c>
      <c r="C635" s="696" t="s">
        <v>1589</v>
      </c>
      <c r="D635" s="643" t="s">
        <v>1317</v>
      </c>
      <c r="E635" s="183" t="s">
        <v>2003</v>
      </c>
      <c r="F635" s="641">
        <v>46036</v>
      </c>
      <c r="G635" s="380" t="s">
        <v>55</v>
      </c>
      <c r="H635" s="380">
        <v>2</v>
      </c>
      <c r="I635" s="384">
        <v>160000</v>
      </c>
      <c r="J635" s="367">
        <v>2</v>
      </c>
      <c r="K635" s="370">
        <f>I635/J635</f>
        <v>80000</v>
      </c>
      <c r="L635" s="631">
        <v>46023</v>
      </c>
      <c r="M635" s="631">
        <v>46387</v>
      </c>
      <c r="N635" s="660">
        <v>155365</v>
      </c>
      <c r="O635" s="677">
        <v>4901</v>
      </c>
      <c r="P635" s="376" t="s">
        <v>520</v>
      </c>
      <c r="S635" s="394" t="str" cm="1">
        <f t="array" ref="S635">TEXT(EDATE($L635,{0}),"dd/mm/yyy") &amp; " to " &amp; TEXT(EDATE($L635,{6})-1,"dd/mm/yyyy")</f>
        <v>01/01/2026 to 30/06/2026</v>
      </c>
      <c r="T635" s="376" t="s">
        <v>1964</v>
      </c>
      <c r="U635" s="381" t="str" cm="1">
        <f t="array" ref="U635">TEXT(EDATE($L635,{6}),"dd/mm/yyy") &amp; " to " &amp; TEXT(EDATE($L635,{12})-1,"dd/mm/yyyy")</f>
        <v>01/07/2026 to 31/12/2026</v>
      </c>
      <c r="AE635" s="376" t="s">
        <v>478</v>
      </c>
      <c r="AF635" s="367" t="s">
        <v>63</v>
      </c>
      <c r="AG635" s="367">
        <v>3</v>
      </c>
      <c r="AH635" s="376" t="s">
        <v>667</v>
      </c>
    </row>
    <row r="636" spans="1:34" ht="15" hidden="1" customHeight="1" x14ac:dyDescent="0.3">
      <c r="B636" s="367" t="s">
        <v>11</v>
      </c>
      <c r="C636" s="642" t="s">
        <v>975</v>
      </c>
      <c r="D636" s="630" t="s">
        <v>1136</v>
      </c>
      <c r="E636" s="50">
        <v>6100016245</v>
      </c>
      <c r="F636" s="641">
        <v>46212</v>
      </c>
      <c r="G636" s="380" t="s">
        <v>55</v>
      </c>
      <c r="H636" s="698">
        <v>2</v>
      </c>
      <c r="I636" s="384">
        <v>224000</v>
      </c>
      <c r="J636" s="367">
        <v>3</v>
      </c>
      <c r="K636" s="370">
        <f>I636/2</f>
        <v>112000</v>
      </c>
      <c r="L636" s="639">
        <v>46235</v>
      </c>
      <c r="M636" s="639">
        <v>46599</v>
      </c>
      <c r="P636" s="376" t="s">
        <v>520</v>
      </c>
      <c r="S636" s="381" t="str" cm="1">
        <f t="array" ref="S636">TEXT(EDATE($L636,{0}),"dd/mm/yyy") &amp; " to " &amp; TEXT(EDATE($L636,{4})-1,"dd/mm/yyyy")</f>
        <v>01/08/2026 to 30/11/2026</v>
      </c>
      <c r="U636" s="381" t="str" cm="1">
        <f t="array" ref="U636">TEXT(EDATE($L636,{4}),"dd/mm/yyy") &amp; " to " &amp; TEXT(EDATE($L636,{8})-1,"dd/mm/yyyy")</f>
        <v>01/12/2026 to 31/03/2027</v>
      </c>
      <c r="W636" s="381" t="str" cm="1">
        <f t="array" ref="W636">TEXT(EDATE($L636,{8}),"dd/mm/yyy") &amp; " to " &amp; TEXT(EDATE($L636,{12})-1,"dd/mm/yyyy")</f>
        <v>01/04/2027 to 31/07/2027</v>
      </c>
      <c r="AE636" s="376" t="s">
        <v>1975</v>
      </c>
      <c r="AF636" s="367" t="s">
        <v>207</v>
      </c>
      <c r="AG636" s="367">
        <v>3</v>
      </c>
      <c r="AH636" s="376" t="s">
        <v>2004</v>
      </c>
    </row>
    <row r="637" spans="1:34" ht="15" hidden="1" customHeight="1" x14ac:dyDescent="0.3">
      <c r="B637" s="367" t="s">
        <v>11</v>
      </c>
      <c r="C637" s="806" t="s">
        <v>685</v>
      </c>
      <c r="D637" s="806" t="s">
        <v>1031</v>
      </c>
      <c r="E637" s="805">
        <v>4514486733</v>
      </c>
      <c r="F637" s="641">
        <v>46224</v>
      </c>
      <c r="G637" s="525" t="s">
        <v>55</v>
      </c>
      <c r="H637" s="380">
        <v>2</v>
      </c>
      <c r="I637" s="384">
        <v>100000</v>
      </c>
      <c r="J637" s="367">
        <v>3</v>
      </c>
      <c r="K637" s="370">
        <f>I637/J637</f>
        <v>33333.333333333336</v>
      </c>
      <c r="L637" s="807">
        <v>46174</v>
      </c>
      <c r="M637" s="807">
        <v>46538</v>
      </c>
      <c r="P637" s="376" t="s">
        <v>520</v>
      </c>
      <c r="S637" s="381" t="str" cm="1">
        <f t="array" ref="S637">TEXT(EDATE($L637,{0}),"dd/mm/yyy") &amp; " to " &amp; TEXT(EDATE($L637,{4})-1,"dd/mm/yyyy")</f>
        <v>01/06/2026 to 30/09/2026</v>
      </c>
      <c r="U637" s="381" t="str" cm="1">
        <f t="array" ref="U637">TEXT(EDATE($L637,{4}),"dd/mm/yyy") &amp; " to " &amp; TEXT(EDATE($L637,{8})-1,"dd/mm/yyyy")</f>
        <v>01/10/2026 to 31/01/2027</v>
      </c>
      <c r="W637" s="381" t="str" cm="1">
        <f t="array" ref="W637">TEXT(EDATE($L637,{8}),"dd/mm/yyy") &amp; " to " &amp; TEXT(EDATE($L637,{12})-1,"dd/mm/yyyy")</f>
        <v>01/02/2027 to 31/05/2027</v>
      </c>
      <c r="AE637" s="376" t="s">
        <v>478</v>
      </c>
      <c r="AF637" s="367" t="s">
        <v>63</v>
      </c>
      <c r="AG637" s="367">
        <v>3</v>
      </c>
      <c r="AH637" s="376" t="s">
        <v>667</v>
      </c>
    </row>
    <row r="638" spans="1:34" ht="15" hidden="1" customHeight="1" x14ac:dyDescent="0.3">
      <c r="B638" s="367" t="s">
        <v>11</v>
      </c>
      <c r="C638" s="806" t="s">
        <v>1216</v>
      </c>
      <c r="D638" s="806" t="s">
        <v>176</v>
      </c>
      <c r="E638" s="824">
        <v>1500003998</v>
      </c>
      <c r="F638" s="641">
        <v>46224</v>
      </c>
      <c r="G638" s="525" t="s">
        <v>55</v>
      </c>
      <c r="H638" s="540">
        <v>1</v>
      </c>
      <c r="I638" s="384">
        <v>101000</v>
      </c>
      <c r="J638" s="367">
        <v>3</v>
      </c>
      <c r="K638" s="370"/>
      <c r="L638" s="825">
        <v>46224</v>
      </c>
      <c r="M638" s="825">
        <v>46588</v>
      </c>
      <c r="O638" s="677">
        <v>4281</v>
      </c>
      <c r="P638" s="376" t="s">
        <v>520</v>
      </c>
      <c r="S638" s="381" t="str" cm="1">
        <f t="array" ref="S638">TEXT(EDATE($L638,{0}),"dd/mm/yyy") &amp; " to " &amp; TEXT(EDATE($L638,{4})-1,"dd/mm/yyyy")</f>
        <v>21/07/2026 to 20/11/2026</v>
      </c>
      <c r="U638" s="381" t="str" cm="1">
        <f t="array" ref="U638">TEXT(EDATE($L638,{4}),"dd/mm/yyy") &amp; " to " &amp; TEXT(EDATE($L638,{8})-1,"dd/mm/yyyy")</f>
        <v>21/11/2026 to 20/03/2027</v>
      </c>
      <c r="W638" s="381" t="str" cm="1">
        <f t="array" ref="W638">TEXT(EDATE($L638,{8}),"dd/mm/yyy") &amp; " to " &amp; TEXT(EDATE($L638,{12})-1,"dd/mm/yyyy")</f>
        <v>21/03/2027 to 20/07/2027</v>
      </c>
      <c r="AE638" s="376" t="s">
        <v>1893</v>
      </c>
      <c r="AF638" s="367" t="s">
        <v>97</v>
      </c>
      <c r="AG638" s="367">
        <v>3</v>
      </c>
      <c r="AH638" s="376" t="s">
        <v>2005</v>
      </c>
    </row>
    <row r="639" spans="1:34" ht="15" hidden="1" customHeight="1" x14ac:dyDescent="0.3">
      <c r="B639" s="367" t="s">
        <v>11</v>
      </c>
      <c r="C639" s="826" t="s">
        <v>1032</v>
      </c>
      <c r="D639" s="806" t="s">
        <v>693</v>
      </c>
      <c r="E639" s="805">
        <v>3430064019</v>
      </c>
      <c r="F639" s="641">
        <v>46225</v>
      </c>
      <c r="G639" s="525" t="s">
        <v>55</v>
      </c>
      <c r="H639" s="380">
        <v>10</v>
      </c>
      <c r="I639" s="384">
        <v>617040</v>
      </c>
      <c r="J639" s="367">
        <v>3</v>
      </c>
      <c r="K639" s="370">
        <f t="shared" ref="K639:K644" si="30">I639/J639</f>
        <v>205680</v>
      </c>
      <c r="L639" s="825">
        <v>46113</v>
      </c>
      <c r="M639" s="825">
        <v>46477</v>
      </c>
      <c r="P639" s="376" t="s">
        <v>520</v>
      </c>
      <c r="S639" s="381" t="str" cm="1">
        <f t="array" ref="S639">TEXT(EDATE($L639,{0}),"dd/mm/yyy") &amp; " to " &amp; TEXT(EDATE($L639,{4})-1,"dd/mm/yyyy")</f>
        <v>01/04/2026 to 31/07/2026</v>
      </c>
      <c r="U639" s="381" t="str" cm="1">
        <f t="array" ref="U639">TEXT(EDATE($L639,{4}),"dd/mm/yyy") &amp; " to " &amp; TEXT(EDATE($L639,{8})-1,"dd/mm/yyyy")</f>
        <v>01/08/2026 to 30/11/2026</v>
      </c>
      <c r="W639" s="381" t="str" cm="1">
        <f t="array" ref="W639">TEXT(EDATE($L639,{8}),"dd/mm/yyy") &amp; " to " &amp; TEXT(EDATE($L639,{12})-1,"dd/mm/yyyy")</f>
        <v>01/12/2026 to 31/03/2027</v>
      </c>
      <c r="AE639" s="376" t="s">
        <v>128</v>
      </c>
      <c r="AF639" s="367" t="s">
        <v>129</v>
      </c>
      <c r="AG639" s="367">
        <v>2</v>
      </c>
      <c r="AH639" s="376" t="s">
        <v>1898</v>
      </c>
    </row>
    <row r="640" spans="1:34" ht="15" hidden="1" customHeight="1" x14ac:dyDescent="0.3">
      <c r="B640" s="367" t="s">
        <v>11</v>
      </c>
      <c r="C640" s="827" t="s">
        <v>2006</v>
      </c>
      <c r="D640" s="828" t="s">
        <v>2007</v>
      </c>
      <c r="E640" s="805">
        <v>262720297</v>
      </c>
      <c r="F640" s="641">
        <v>46216</v>
      </c>
      <c r="G640" s="525" t="s">
        <v>55</v>
      </c>
      <c r="H640" s="540">
        <v>3</v>
      </c>
      <c r="I640" s="384">
        <v>495000</v>
      </c>
      <c r="J640" s="367">
        <v>3</v>
      </c>
      <c r="K640" s="370">
        <f t="shared" si="30"/>
        <v>165000</v>
      </c>
      <c r="L640" s="817">
        <v>46204</v>
      </c>
      <c r="M640" s="817">
        <v>46477</v>
      </c>
      <c r="P640" s="376" t="s">
        <v>520</v>
      </c>
      <c r="R640" s="367" t="s">
        <v>1</v>
      </c>
      <c r="S640" s="381" t="s">
        <v>496</v>
      </c>
      <c r="T640" s="363"/>
      <c r="U640" s="381" t="s">
        <v>497</v>
      </c>
      <c r="V640" s="363"/>
      <c r="W640" s="381" t="s">
        <v>498</v>
      </c>
      <c r="AE640" s="376" t="s">
        <v>128</v>
      </c>
      <c r="AF640" s="367" t="s">
        <v>129</v>
      </c>
      <c r="AG640" s="367">
        <v>2</v>
      </c>
      <c r="AH640" s="376" t="s">
        <v>1898</v>
      </c>
    </row>
    <row r="641" spans="1:34" ht="15" hidden="1" customHeight="1" x14ac:dyDescent="0.3">
      <c r="B641" s="367" t="s">
        <v>11</v>
      </c>
      <c r="C641" s="699" t="s">
        <v>1062</v>
      </c>
      <c r="D641" s="700" t="s">
        <v>388</v>
      </c>
      <c r="E641" s="805">
        <v>4700033648</v>
      </c>
      <c r="F641" s="641">
        <v>46226</v>
      </c>
      <c r="G641" s="525" t="s">
        <v>55</v>
      </c>
      <c r="H641" s="380">
        <v>1</v>
      </c>
      <c r="I641" s="384">
        <v>94500</v>
      </c>
      <c r="J641" s="367">
        <v>2</v>
      </c>
      <c r="K641" s="370">
        <f t="shared" si="30"/>
        <v>47250</v>
      </c>
      <c r="L641" s="654">
        <v>46204</v>
      </c>
      <c r="M641" s="654">
        <v>46568</v>
      </c>
      <c r="P641" s="376" t="s">
        <v>520</v>
      </c>
      <c r="S641" s="381" t="str" cm="1">
        <f t="array" ref="S641">TEXT(EDATE($L641,{0}),"dd/mm/yyy") &amp; " to " &amp; TEXT(EDATE($L641,{6})-1,"dd/mm/yyyy")</f>
        <v>01/07/2026 to 31/12/2026</v>
      </c>
      <c r="U641" s="381" t="str" cm="1">
        <f t="array" ref="U641">TEXT(EDATE($L641,{6}),"dd/mm/yyy") &amp; " to " &amp; TEXT(EDATE($L641,{12})-1,"dd/mm/yyyy")</f>
        <v>01/01/2027 to 30/06/2027</v>
      </c>
      <c r="AE641" s="376" t="s">
        <v>619</v>
      </c>
      <c r="AF641" s="367" t="s">
        <v>63</v>
      </c>
      <c r="AG641" s="367">
        <v>2</v>
      </c>
      <c r="AH641" s="376" t="s">
        <v>1898</v>
      </c>
    </row>
    <row r="642" spans="1:34" ht="15" hidden="1" customHeight="1" x14ac:dyDescent="0.3">
      <c r="B642" s="367" t="s">
        <v>11</v>
      </c>
      <c r="C642" s="826" t="s">
        <v>1095</v>
      </c>
      <c r="D642" s="823" t="s">
        <v>1016</v>
      </c>
      <c r="E642" s="805">
        <v>9709884514</v>
      </c>
      <c r="F642" s="641">
        <v>46211</v>
      </c>
      <c r="G642" s="525" t="s">
        <v>55</v>
      </c>
      <c r="H642" s="540">
        <v>10</v>
      </c>
      <c r="I642" s="384">
        <v>1040000</v>
      </c>
      <c r="J642" s="367">
        <v>4</v>
      </c>
      <c r="K642" s="370">
        <f t="shared" si="30"/>
        <v>260000</v>
      </c>
      <c r="L642" s="825">
        <v>46204</v>
      </c>
      <c r="M642" s="825">
        <v>46568</v>
      </c>
      <c r="P642" s="376" t="s">
        <v>520</v>
      </c>
      <c r="S642" s="381" t="str" cm="1">
        <f t="array" ref="S642">TEXT(EDATE($L642,{0}),"dd/mm/yyy") &amp; " to " &amp; TEXT(EDATE($L642,{3})-1,"dd/mm/yyyy")</f>
        <v>01/07/2026 to 30/09/2026</v>
      </c>
      <c r="T642" s="363"/>
      <c r="U642" s="381" t="str" cm="1">
        <f t="array" ref="U642">TEXT(EDATE($L642,{3}),"dd/mm/yyy") &amp; " to " &amp; TEXT(EDATE($L642,{6})-1,"dd/mm/yyyy")</f>
        <v>01/10/2026 to 31/12/2026</v>
      </c>
      <c r="V642" s="363"/>
      <c r="W642" s="381" t="str" cm="1">
        <f t="array" ref="W642">TEXT(EDATE($L642,{6}),"dd/mm/yyy") &amp; " to " &amp; TEXT(EDATE($L642,{9})-1,"dd/mm/yyyy")</f>
        <v>01/01/2027 to 31/03/2027</v>
      </c>
      <c r="X642" s="363"/>
      <c r="Y642" s="381" t="str" cm="1">
        <f t="array" ref="Y642">TEXT(EDATE($L642,{9}),"dd/mm/yyy") &amp; " to " &amp; TEXT(EDATE($L642,{12})-1,"dd/mm/yyyy")</f>
        <v>01/04/2027 to 30/06/2027</v>
      </c>
      <c r="AE642" s="376" t="s">
        <v>619</v>
      </c>
      <c r="AF642" s="367" t="s">
        <v>63</v>
      </c>
      <c r="AG642" s="367">
        <v>4</v>
      </c>
      <c r="AH642" s="376" t="s">
        <v>667</v>
      </c>
    </row>
    <row r="643" spans="1:34" ht="15" hidden="1" customHeight="1" x14ac:dyDescent="0.3">
      <c r="B643" s="367" t="s">
        <v>11</v>
      </c>
      <c r="C643" s="699" t="s">
        <v>2008</v>
      </c>
      <c r="D643" s="818" t="s">
        <v>1114</v>
      </c>
      <c r="E643" s="701">
        <v>8000195793</v>
      </c>
      <c r="F643" s="640">
        <v>46231</v>
      </c>
      <c r="G643" s="525" t="s">
        <v>55</v>
      </c>
      <c r="H643" s="540">
        <v>1</v>
      </c>
      <c r="I643" s="549">
        <v>98325</v>
      </c>
      <c r="J643" s="540">
        <v>3</v>
      </c>
      <c r="K643" s="370">
        <f t="shared" si="30"/>
        <v>32775</v>
      </c>
      <c r="L643" s="705">
        <v>46204</v>
      </c>
      <c r="M643" s="705">
        <v>46568</v>
      </c>
      <c r="P643" s="376" t="s">
        <v>520</v>
      </c>
      <c r="S643" s="706" t="str" cm="1">
        <f t="array" ref="S643">TEXT(EDATE($L643,{0}),"dd/mm/yyy") &amp; " to " &amp; TEXT(EDATE($L643,{4})-1,"dd/mm/yyyy")</f>
        <v>01/07/2026 to 31/10/2026</v>
      </c>
      <c r="U643" s="706" t="str" cm="1">
        <f t="array" ref="U643">TEXT(EDATE($L643,{4}),"dd/mm/yyy") &amp; " to " &amp; TEXT(EDATE($L643,{8})-1,"dd/mm/yyyy")</f>
        <v>01/11/2026 to 28/02/2027</v>
      </c>
      <c r="W643" s="706" t="str" cm="1">
        <f t="array" ref="W643">TEXT(EDATE($L643,{8}),"dd/mm/yyy") &amp; " to " &amp; TEXT(EDATE($L643,{12})-1,"dd/mm/yyyy")</f>
        <v>01/03/2027 to 30/06/2027</v>
      </c>
      <c r="AE643" s="376" t="s">
        <v>1893</v>
      </c>
      <c r="AF643" s="367" t="s">
        <v>97</v>
      </c>
      <c r="AG643" s="367">
        <v>2</v>
      </c>
      <c r="AH643" s="376" t="s">
        <v>667</v>
      </c>
    </row>
    <row r="644" spans="1:34" ht="15" hidden="1" customHeight="1" x14ac:dyDescent="0.3">
      <c r="B644" s="367" t="s">
        <v>11</v>
      </c>
      <c r="C644" s="699" t="s">
        <v>2009</v>
      </c>
      <c r="D644" s="806" t="s">
        <v>151</v>
      </c>
      <c r="E644" s="805">
        <v>4514522681</v>
      </c>
      <c r="F644" s="641">
        <v>46232</v>
      </c>
      <c r="G644" s="525" t="s">
        <v>55</v>
      </c>
      <c r="H644" s="380">
        <v>10</v>
      </c>
      <c r="I644" s="388">
        <v>500000</v>
      </c>
      <c r="J644" s="380">
        <v>3</v>
      </c>
      <c r="K644" s="389">
        <f t="shared" si="30"/>
        <v>166666.66666666666</v>
      </c>
      <c r="L644" s="807">
        <v>46174</v>
      </c>
      <c r="M644" s="807">
        <v>46538</v>
      </c>
      <c r="N644" s="663"/>
      <c r="O644" s="680"/>
      <c r="P644" s="363" t="s">
        <v>520</v>
      </c>
      <c r="Q644" s="380"/>
      <c r="R644" s="380"/>
      <c r="S644" s="381" t="str" cm="1">
        <f t="array" ref="S644">TEXT(EDATE($L644,{0}),"dd/mm/yyy") &amp; " to " &amp; TEXT(EDATE($L644,{4})-1,"dd/mm/yyyy")</f>
        <v>01/06/2026 to 30/09/2026</v>
      </c>
      <c r="T644" s="363"/>
      <c r="U644" s="381" t="str" cm="1">
        <f t="array" ref="U644">TEXT(EDATE($L644,{4}),"dd/mm/yyy") &amp; " to " &amp; TEXT(EDATE($L644,{8})-1,"dd/mm/yyyy")</f>
        <v>01/10/2026 to 31/01/2027</v>
      </c>
      <c r="V644" s="363"/>
      <c r="W644" s="381" t="str" cm="1">
        <f t="array" ref="W644">TEXT(EDATE($L644,{8}),"dd/mm/yyy") &amp; " to " &amp; TEXT(EDATE($L644,{12})-1,"dd/mm/yyyy")</f>
        <v>01/02/2027 to 31/05/2027</v>
      </c>
      <c r="X644" s="363"/>
      <c r="Y644" s="363"/>
      <c r="Z644" s="363"/>
      <c r="AA644" s="363"/>
      <c r="AB644" s="363"/>
      <c r="AC644" s="363"/>
      <c r="AD644" s="363"/>
      <c r="AE644" s="363" t="s">
        <v>478</v>
      </c>
      <c r="AF644" s="380" t="s">
        <v>63</v>
      </c>
      <c r="AG644" s="380">
        <v>5</v>
      </c>
      <c r="AH644" s="363" t="s">
        <v>667</v>
      </c>
    </row>
    <row r="645" spans="1:34" ht="15" hidden="1" customHeight="1" x14ac:dyDescent="0.3">
      <c r="B645" s="367" t="s">
        <v>11</v>
      </c>
      <c r="C645" s="826" t="s">
        <v>2010</v>
      </c>
      <c r="D645" s="806" t="s">
        <v>1022</v>
      </c>
      <c r="E645" s="824">
        <v>1421087162</v>
      </c>
      <c r="F645" s="641">
        <v>46224</v>
      </c>
      <c r="G645" s="525" t="s">
        <v>55</v>
      </c>
      <c r="H645" s="380">
        <v>1</v>
      </c>
      <c r="I645" s="388">
        <v>88700</v>
      </c>
      <c r="J645" s="380">
        <v>2</v>
      </c>
      <c r="K645" s="389"/>
      <c r="L645" s="807">
        <v>46204</v>
      </c>
      <c r="M645" s="807">
        <v>46568</v>
      </c>
      <c r="N645" s="663"/>
      <c r="O645" s="680"/>
      <c r="P645" s="363" t="s">
        <v>520</v>
      </c>
      <c r="Q645" s="380"/>
      <c r="R645" s="380"/>
      <c r="S645" s="381" t="str" cm="1">
        <f t="array" ref="S645">TEXT(EDATE($L645,{0}),"dd/mm/yyy") &amp; " to " &amp; TEXT(EDATE($L645,{6})-1,"dd/mm/yyyy")</f>
        <v>01/07/2026 to 31/12/2026</v>
      </c>
      <c r="T645" s="363" t="s">
        <v>1998</v>
      </c>
      <c r="U645" s="381" t="str" cm="1">
        <f t="array" ref="U645">TEXT(EDATE($L645,{6}),"dd/mm/yyy") &amp; " to " &amp; TEXT(EDATE($L645,{12})-1,"dd/mm/yyyy")</f>
        <v>01/01/2027 to 30/06/2027</v>
      </c>
      <c r="V645" s="363"/>
      <c r="W645" s="363"/>
      <c r="X645" s="363"/>
      <c r="Y645" s="363"/>
      <c r="Z645" s="363"/>
      <c r="AA645" s="363"/>
      <c r="AB645" s="363"/>
      <c r="AC645" s="363"/>
      <c r="AD645" s="363"/>
      <c r="AE645" s="363" t="s">
        <v>485</v>
      </c>
      <c r="AF645" s="380" t="s">
        <v>63</v>
      </c>
      <c r="AG645" s="380">
        <v>2</v>
      </c>
      <c r="AH645" s="363" t="s">
        <v>1060</v>
      </c>
    </row>
    <row r="650" spans="1:34" ht="15" hidden="1" customHeight="1" x14ac:dyDescent="0.3"/>
    <row r="651" spans="1:34" ht="15" hidden="1" customHeight="1" x14ac:dyDescent="0.3">
      <c r="B651" s="367" t="s">
        <v>2011</v>
      </c>
    </row>
    <row r="652" spans="1:34" ht="15" hidden="1" customHeight="1" x14ac:dyDescent="0.3">
      <c r="A652" s="367"/>
      <c r="B652" s="380" t="s">
        <v>27</v>
      </c>
      <c r="C652" s="386" t="s">
        <v>28</v>
      </c>
      <c r="D652" s="386" t="s">
        <v>29</v>
      </c>
      <c r="E652" s="380" t="s">
        <v>30</v>
      </c>
      <c r="F652" s="380" t="s">
        <v>31</v>
      </c>
      <c r="G652" s="380" t="s">
        <v>32</v>
      </c>
      <c r="H652" s="380" t="s">
        <v>33</v>
      </c>
      <c r="I652" s="533" t="s">
        <v>34</v>
      </c>
      <c r="J652" s="380" t="s">
        <v>35</v>
      </c>
      <c r="K652" s="539" t="s">
        <v>36</v>
      </c>
      <c r="L652" s="534" t="s">
        <v>37</v>
      </c>
      <c r="M652" s="534" t="s">
        <v>38</v>
      </c>
      <c r="N652" s="662" t="s">
        <v>1932</v>
      </c>
      <c r="O652" s="679" t="s">
        <v>1933</v>
      </c>
      <c r="P652" s="380" t="s">
        <v>39</v>
      </c>
      <c r="Q652" s="380" t="s">
        <v>40</v>
      </c>
      <c r="R652" s="380" t="s">
        <v>41</v>
      </c>
      <c r="S652" s="380" t="s">
        <v>42</v>
      </c>
      <c r="T652" s="380"/>
      <c r="U652" s="380" t="s">
        <v>43</v>
      </c>
      <c r="V652" s="380"/>
      <c r="W652" s="380" t="s">
        <v>44</v>
      </c>
      <c r="X652" s="380"/>
      <c r="Y652" s="380" t="s">
        <v>45</v>
      </c>
      <c r="Z652" s="380"/>
      <c r="AA652" s="380" t="s">
        <v>46</v>
      </c>
      <c r="AB652" s="380"/>
      <c r="AC652" s="380" t="s">
        <v>47</v>
      </c>
      <c r="AD652" s="380"/>
      <c r="AE652" s="380" t="s">
        <v>48</v>
      </c>
      <c r="AF652" s="380" t="s">
        <v>49</v>
      </c>
      <c r="AG652" s="380" t="s">
        <v>50</v>
      </c>
      <c r="AH652" s="380" t="s">
        <v>51</v>
      </c>
    </row>
    <row r="653" spans="1:34" ht="15" hidden="1" customHeight="1" x14ac:dyDescent="0.3">
      <c r="B653" s="380" t="s">
        <v>14</v>
      </c>
      <c r="C653" s="409" t="s">
        <v>468</v>
      </c>
      <c r="D653" s="386" t="s">
        <v>388</v>
      </c>
      <c r="E653" s="380">
        <v>4510640616</v>
      </c>
      <c r="F653" s="387">
        <v>45660</v>
      </c>
      <c r="G653" s="380" t="s">
        <v>55</v>
      </c>
      <c r="H653" s="380">
        <v>3</v>
      </c>
      <c r="I653" s="388">
        <v>755305</v>
      </c>
      <c r="J653" s="380">
        <v>4</v>
      </c>
      <c r="K653" s="389">
        <f t="shared" ref="K653:K658" si="31">I653/J653</f>
        <v>188826.25</v>
      </c>
      <c r="L653" s="381">
        <v>45642</v>
      </c>
      <c r="M653" s="381">
        <v>46006</v>
      </c>
      <c r="N653" s="663"/>
      <c r="O653" s="680"/>
      <c r="P653" s="363" t="s">
        <v>19</v>
      </c>
      <c r="Q653" s="380">
        <v>2025</v>
      </c>
      <c r="R653" s="380"/>
      <c r="S653" s="390" t="s">
        <v>470</v>
      </c>
      <c r="T653" s="363" t="s">
        <v>471</v>
      </c>
      <c r="U653" s="390" t="s">
        <v>472</v>
      </c>
      <c r="V653" s="363" t="s">
        <v>473</v>
      </c>
      <c r="W653" s="390" t="s">
        <v>474</v>
      </c>
      <c r="X653" s="363" t="s">
        <v>475</v>
      </c>
      <c r="Y653" s="390" t="s">
        <v>476</v>
      </c>
      <c r="Z653" s="363" t="s">
        <v>477</v>
      </c>
      <c r="AA653" s="363"/>
      <c r="AB653" s="363"/>
      <c r="AC653" s="363"/>
      <c r="AD653" s="363"/>
      <c r="AE653" s="363" t="s">
        <v>478</v>
      </c>
      <c r="AF653" s="380" t="s">
        <v>63</v>
      </c>
      <c r="AG653" s="380">
        <v>3</v>
      </c>
      <c r="AH653" s="363" t="s">
        <v>479</v>
      </c>
    </row>
    <row r="654" spans="1:34" ht="15" hidden="1" customHeight="1" x14ac:dyDescent="0.3">
      <c r="B654" s="380" t="s">
        <v>14</v>
      </c>
      <c r="C654" s="412" t="s">
        <v>502</v>
      </c>
      <c r="D654" s="413" t="s">
        <v>151</v>
      </c>
      <c r="E654" s="414" t="s">
        <v>503</v>
      </c>
      <c r="F654" s="415">
        <v>45658</v>
      </c>
      <c r="G654" s="380" t="s">
        <v>55</v>
      </c>
      <c r="H654" s="380">
        <v>1</v>
      </c>
      <c r="I654" s="388">
        <v>73500</v>
      </c>
      <c r="J654" s="380">
        <v>3</v>
      </c>
      <c r="K654" s="389">
        <f t="shared" si="31"/>
        <v>24500</v>
      </c>
      <c r="L654" s="381">
        <v>45658</v>
      </c>
      <c r="M654" s="381">
        <v>46022</v>
      </c>
      <c r="N654" s="663"/>
      <c r="O654" s="680"/>
      <c r="P654" s="363" t="s">
        <v>19</v>
      </c>
      <c r="Q654" s="380">
        <v>2025</v>
      </c>
      <c r="R654" s="380"/>
      <c r="S654" s="390" t="s">
        <v>341</v>
      </c>
      <c r="T654" s="363" t="s">
        <v>504</v>
      </c>
      <c r="U654" s="390" t="s">
        <v>343</v>
      </c>
      <c r="V654" s="363" t="s">
        <v>505</v>
      </c>
      <c r="W654" s="390" t="s">
        <v>345</v>
      </c>
      <c r="X654" s="363" t="s">
        <v>506</v>
      </c>
      <c r="Y654" s="363"/>
      <c r="Z654" s="363"/>
      <c r="AA654" s="363"/>
      <c r="AB654" s="363"/>
      <c r="AC654" s="363"/>
      <c r="AD654" s="363"/>
      <c r="AE654" s="363" t="s">
        <v>507</v>
      </c>
      <c r="AF654" s="380" t="s">
        <v>63</v>
      </c>
      <c r="AG654" s="380">
        <v>3</v>
      </c>
      <c r="AH654" s="363"/>
    </row>
    <row r="655" spans="1:34" ht="15" hidden="1" customHeight="1" x14ac:dyDescent="0.3">
      <c r="B655" s="380" t="s">
        <v>14</v>
      </c>
      <c r="C655" s="412" t="s">
        <v>614</v>
      </c>
      <c r="D655" s="413" t="s">
        <v>53</v>
      </c>
      <c r="E655" s="414" t="s">
        <v>615</v>
      </c>
      <c r="F655" s="415">
        <v>45714</v>
      </c>
      <c r="G655" s="380" t="s">
        <v>616</v>
      </c>
      <c r="H655" s="380">
        <v>2</v>
      </c>
      <c r="I655" s="388">
        <v>147000</v>
      </c>
      <c r="J655" s="380">
        <v>3</v>
      </c>
      <c r="K655" s="389">
        <f t="shared" si="31"/>
        <v>49000</v>
      </c>
      <c r="L655" s="381">
        <v>45658</v>
      </c>
      <c r="M655" s="381">
        <v>46022</v>
      </c>
      <c r="N655" s="663"/>
      <c r="O655" s="680"/>
      <c r="P655" s="363" t="s">
        <v>19</v>
      </c>
      <c r="Q655" s="380">
        <v>2025</v>
      </c>
      <c r="R655" s="380"/>
      <c r="S655" s="390" t="s">
        <v>341</v>
      </c>
      <c r="T655" s="363" t="s">
        <v>617</v>
      </c>
      <c r="U655" s="390" t="s">
        <v>343</v>
      </c>
      <c r="V655" s="363" t="s">
        <v>601</v>
      </c>
      <c r="W655" s="390" t="s">
        <v>345</v>
      </c>
      <c r="X655" s="363" t="s">
        <v>618</v>
      </c>
      <c r="Y655" s="363"/>
      <c r="Z655" s="363"/>
      <c r="AA655" s="363"/>
      <c r="AB655" s="363"/>
      <c r="AC655" s="363"/>
      <c r="AD655" s="363"/>
      <c r="AE655" s="363" t="s">
        <v>619</v>
      </c>
      <c r="AF655" s="380" t="s">
        <v>63</v>
      </c>
      <c r="AG655" s="380">
        <v>3</v>
      </c>
      <c r="AH655" s="363"/>
    </row>
    <row r="656" spans="1:34" ht="15" hidden="1" customHeight="1" x14ac:dyDescent="0.3">
      <c r="B656" s="380" t="s">
        <v>14</v>
      </c>
      <c r="C656" s="409" t="s">
        <v>604</v>
      </c>
      <c r="D656" s="386" t="s">
        <v>620</v>
      </c>
      <c r="E656" s="419">
        <v>5700166357</v>
      </c>
      <c r="F656" s="387">
        <v>45679</v>
      </c>
      <c r="G656" s="380" t="s">
        <v>616</v>
      </c>
      <c r="H656" s="380">
        <v>8</v>
      </c>
      <c r="I656" s="388">
        <v>946680</v>
      </c>
      <c r="J656" s="380">
        <v>2</v>
      </c>
      <c r="K656" s="389">
        <f t="shared" si="31"/>
        <v>473340</v>
      </c>
      <c r="L656" s="381">
        <v>45658</v>
      </c>
      <c r="M656" s="381">
        <v>46022</v>
      </c>
      <c r="N656" s="663"/>
      <c r="O656" s="680"/>
      <c r="P656" s="363" t="s">
        <v>19</v>
      </c>
      <c r="Q656" s="380">
        <v>2025</v>
      </c>
      <c r="R656" s="380" t="s">
        <v>1</v>
      </c>
      <c r="S656" s="390" t="s">
        <v>621</v>
      </c>
      <c r="T656" s="363" t="s">
        <v>622</v>
      </c>
      <c r="U656" s="390" t="s">
        <v>483</v>
      </c>
      <c r="V656" s="363" t="s">
        <v>623</v>
      </c>
      <c r="W656" s="363"/>
      <c r="X656" s="363"/>
      <c r="Y656" s="363"/>
      <c r="Z656" s="363"/>
      <c r="AA656" s="363"/>
      <c r="AB656" s="363"/>
      <c r="AC656" s="363"/>
      <c r="AD656" s="363"/>
      <c r="AE656" s="363" t="s">
        <v>619</v>
      </c>
      <c r="AF656" s="380" t="s">
        <v>63</v>
      </c>
      <c r="AG656" s="380">
        <v>3</v>
      </c>
      <c r="AH656" s="363"/>
    </row>
    <row r="657" spans="2:34" ht="15" hidden="1" customHeight="1" x14ac:dyDescent="0.3">
      <c r="B657" s="380" t="s">
        <v>14</v>
      </c>
      <c r="C657" s="409" t="s">
        <v>783</v>
      </c>
      <c r="D657" s="386" t="s">
        <v>151</v>
      </c>
      <c r="E657" s="419">
        <v>8000155292</v>
      </c>
      <c r="F657" s="387">
        <v>45768</v>
      </c>
      <c r="G657" s="439" t="s">
        <v>643</v>
      </c>
      <c r="H657" s="439">
        <v>5</v>
      </c>
      <c r="I657" s="440">
        <v>636000</v>
      </c>
      <c r="J657" s="439">
        <v>3</v>
      </c>
      <c r="K657" s="389">
        <f t="shared" si="31"/>
        <v>212000</v>
      </c>
      <c r="L657" s="441">
        <v>45658</v>
      </c>
      <c r="M657" s="441">
        <v>46022</v>
      </c>
      <c r="N657" s="664"/>
      <c r="O657" s="681"/>
      <c r="P657" s="442" t="s">
        <v>19</v>
      </c>
      <c r="Q657" s="380">
        <v>2025</v>
      </c>
      <c r="R657" s="380"/>
      <c r="S657" s="390" t="s">
        <v>554</v>
      </c>
      <c r="T657" s="363" t="s">
        <v>784</v>
      </c>
      <c r="U657" s="390" t="s">
        <v>785</v>
      </c>
      <c r="V657" s="363" t="s">
        <v>786</v>
      </c>
      <c r="W657" s="390" t="s">
        <v>345</v>
      </c>
      <c r="X657" s="363" t="s">
        <v>787</v>
      </c>
      <c r="Y657" s="363"/>
      <c r="Z657" s="363"/>
      <c r="AA657" s="363"/>
      <c r="AB657" s="363"/>
      <c r="AC657" s="363"/>
      <c r="AD657" s="363"/>
      <c r="AE657" s="363" t="s">
        <v>788</v>
      </c>
      <c r="AF657" s="380" t="s">
        <v>63</v>
      </c>
      <c r="AG657" s="380">
        <v>3</v>
      </c>
      <c r="AH657" s="363" t="s">
        <v>667</v>
      </c>
    </row>
    <row r="658" spans="2:34" ht="15" hidden="1" customHeight="1" x14ac:dyDescent="0.3">
      <c r="B658" s="380" t="s">
        <v>14</v>
      </c>
      <c r="C658" s="430" t="s">
        <v>845</v>
      </c>
      <c r="D658" s="445" t="s">
        <v>846</v>
      </c>
      <c r="E658" s="408">
        <v>901965547</v>
      </c>
      <c r="F658" s="387">
        <v>45729</v>
      </c>
      <c r="G658" s="380" t="s">
        <v>55</v>
      </c>
      <c r="H658" s="380">
        <v>1</v>
      </c>
      <c r="I658" s="388">
        <v>139000</v>
      </c>
      <c r="J658" s="380">
        <v>3</v>
      </c>
      <c r="K658" s="389">
        <f t="shared" si="31"/>
        <v>46333.333333333336</v>
      </c>
      <c r="L658" s="381">
        <v>45658</v>
      </c>
      <c r="M658" s="381">
        <v>46022</v>
      </c>
      <c r="N658" s="663"/>
      <c r="O658" s="680"/>
      <c r="P658" s="363" t="s">
        <v>19</v>
      </c>
      <c r="Q658" s="380">
        <v>2025</v>
      </c>
      <c r="R658" s="380"/>
      <c r="S658" s="390" t="s">
        <v>554</v>
      </c>
      <c r="T658" s="363" t="s">
        <v>106</v>
      </c>
      <c r="U658" s="390" t="s">
        <v>847</v>
      </c>
      <c r="V658" s="363" t="s">
        <v>213</v>
      </c>
      <c r="W658" s="390" t="s">
        <v>345</v>
      </c>
      <c r="X658" s="363" t="s">
        <v>848</v>
      </c>
      <c r="Y658" s="363"/>
      <c r="Z658" s="363"/>
      <c r="AA658" s="363"/>
      <c r="AB658" s="363"/>
      <c r="AC658" s="363"/>
      <c r="AD658" s="363"/>
      <c r="AE658" s="363" t="s">
        <v>834</v>
      </c>
      <c r="AF658" s="380" t="s">
        <v>207</v>
      </c>
      <c r="AG658" s="380">
        <v>3</v>
      </c>
      <c r="AH658" s="446" t="s">
        <v>849</v>
      </c>
    </row>
  </sheetData>
  <autoFilter ref="A6:AH645" xr:uid="{3115C625-77A2-4CEB-B17C-3DD416505E35}">
    <filterColumn colId="15">
      <filters>
        <filter val="Expired"/>
      </filters>
    </filterColumn>
    <filterColumn colId="16">
      <filters>
        <filter val="April"/>
        <filter val="Feb"/>
        <filter val="Jan"/>
        <filter val="July"/>
        <filter val="June"/>
        <filter val="March"/>
        <filter val="May"/>
      </filters>
    </filterColumn>
  </autoFilter>
  <mergeCells count="2">
    <mergeCell ref="A1:B1"/>
    <mergeCell ref="L5:M5"/>
  </mergeCells>
  <conditionalFormatting sqref="B1048566:D1048576 F1048566:AH1048576">
    <cfRule type="expression" dxfId="31" priority="13507">
      <formula>$B1048566:$AH1048567&lt;&gt;""</formula>
    </cfRule>
  </conditionalFormatting>
  <conditionalFormatting sqref="E1:E263 E659:E1048576 E265:E651">
    <cfRule type="duplicateValues" dxfId="30" priority="5"/>
  </conditionalFormatting>
  <conditionalFormatting sqref="E264">
    <cfRule type="duplicateValues" dxfId="29" priority="1"/>
  </conditionalFormatting>
  <conditionalFormatting sqref="E652:E658">
    <cfRule type="duplicateValues" dxfId="28" priority="2"/>
  </conditionalFormatting>
  <conditionalFormatting sqref="T581:T582 V581:V582 X581:AH582 I581:K584 Q581:R585 V583:AH583 X584:AH585 D585 T585 V585 F585:F602 I585:O602 Q586:AH586 C586:D596 X587:AH589 Q587:R602 T589:T590 V589:V590 X590:AF590 AH590 V591:AH592 T592:T593 V593 X593:AH594 V595:AH596 T596 D597 X597:AH601 T598 V598:V601 C598:D602 T600:T601 Z602:AH602 B603:D603 F603:R603 U603:AH603 B604 D604 J604:R604 V604:AH604 F604:G611 X605:AH609 B605:D610 I605:R611 V606:V608 T607 V610:AH610 B611 D611 X611:AH611 B612:D612 Z612:AH612 F612:R614 X613:AH613 B613:B614 D613:D614 Y614:AH614 T615 V615 X615:AH615 I615:R617 B615:D621 F615:G628 V616:AH616 Z617:AH617 I618:AH620 V621:AH621 I621:R631 D622 X622:AH624 B622:B636 T623:T624 V623:V624 C623:D635 V625:AH625 T626 V626 X626:AH626 Z627:AH628 T629 V629 X629:AH629 G629:G631 V630:AH630 T631:T633 V631:V634 X631:AH634 G632:R632 G633:G635 I633:R635 V635:AH635 T635:T639 D636 F636:R636 V636:V639 X636:AH640 G637:G645 I637:R645 B637:D651 T641 V641:AH641 Z642:AH642 X643:AH644 V645:AH645 F646:AH651 B659:D1048565 F659:AH1048565">
    <cfRule type="expression" dxfId="27" priority="6">
      <formula>$B581:$AH581&lt;&gt;""</formula>
    </cfRule>
  </conditionalFormatting>
  <conditionalFormatting sqref="T603">
    <cfRule type="expression" dxfId="26" priority="7">
      <formula>$B599:$AH599&lt;&gt;""</formula>
    </cfRule>
  </conditionalFormatting>
  <conditionalFormatting sqref="V643:V644 T643:T645">
    <cfRule type="expression" dxfId="25" priority="4">
      <formula>$B643:$AH643&lt;&gt;""</formula>
    </cfRule>
  </conditionalFormatting>
  <pageMargins left="0.7" right="0.7" top="0.75" bottom="0.75" header="0.3" footer="0.3"/>
  <pageSetup scale="1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DAD9-2578-4620-9277-B416F198880E}">
  <sheetPr filterMode="1">
    <pageSetUpPr fitToPage="1"/>
  </sheetPr>
  <dimension ref="A1:AH698"/>
  <sheetViews>
    <sheetView tabSelected="1" workbookViewId="0">
      <pane ySplit="6" topLeftCell="A29" activePane="bottomLeft" state="frozen"/>
      <selection pane="bottomLeft" activeCell="G29" sqref="G29"/>
    </sheetView>
  </sheetViews>
  <sheetFormatPr defaultColWidth="9.109375" defaultRowHeight="15" customHeight="1" x14ac:dyDescent="0.3"/>
  <cols>
    <col min="1" max="1" width="7.88671875" style="376" customWidth="1"/>
    <col min="2" max="2" width="25.5546875" style="367" customWidth="1"/>
    <col min="3" max="3" width="41.88671875" style="376" customWidth="1"/>
    <col min="4" max="4" width="19.88671875" style="366" customWidth="1"/>
    <col min="5" max="5" width="37.88671875" style="367" customWidth="1"/>
    <col min="6" max="6" width="12.33203125" style="366" customWidth="1"/>
    <col min="7" max="7" width="16.44140625" style="367" customWidth="1"/>
    <col min="8" max="8" width="18.33203125" style="367" customWidth="1"/>
    <col min="9" max="9" width="16.5546875" style="384" customWidth="1"/>
    <col min="10" max="11" width="14.88671875" style="367" customWidth="1"/>
    <col min="12" max="12" width="13.5546875" style="367" customWidth="1"/>
    <col min="13" max="13" width="13" style="367" customWidth="1"/>
    <col min="14" max="14" width="14" style="677" customWidth="1"/>
    <col min="15" max="15" width="16.44140625" style="677" customWidth="1"/>
    <col min="16" max="16" width="20.88671875" style="376" customWidth="1"/>
    <col min="17" max="17" width="16.5546875" style="367" customWidth="1"/>
    <col min="18" max="18" width="22.33203125" style="367" customWidth="1"/>
    <col min="19" max="19" width="25.44140625" style="376" customWidth="1"/>
    <col min="20" max="20" width="24.109375" style="376" customWidth="1"/>
    <col min="21" max="21" width="25.5546875" style="376" customWidth="1"/>
    <col min="22" max="22" width="19.6640625" style="376" customWidth="1"/>
    <col min="23" max="23" width="26" style="376" customWidth="1"/>
    <col min="24" max="24" width="18.6640625" style="376" customWidth="1"/>
    <col min="25" max="25" width="26.109375" style="376" customWidth="1"/>
    <col min="26" max="26" width="26.6640625" style="376" customWidth="1"/>
    <col min="27" max="27" width="25.88671875" style="376" customWidth="1"/>
    <col min="28" max="28" width="10.6640625" style="376" customWidth="1"/>
    <col min="29" max="30" width="24.5546875" style="376" customWidth="1"/>
    <col min="31" max="31" width="15.44140625" style="376" customWidth="1"/>
    <col min="32" max="32" width="9.5546875" style="367" customWidth="1"/>
    <col min="33" max="33" width="9.44140625" style="367" customWidth="1"/>
    <col min="34" max="34" width="63.88671875" style="376" customWidth="1"/>
    <col min="35" max="35" width="11.5546875" style="376" bestFit="1" customWidth="1"/>
    <col min="36" max="38" width="9.109375" style="376"/>
    <col min="39" max="39" width="11.6640625" style="376" bestFit="1" customWidth="1"/>
    <col min="40" max="16384" width="9.109375" style="376"/>
  </cols>
  <sheetData>
    <row r="1" spans="1:34" ht="14.4" customHeight="1" x14ac:dyDescent="0.3">
      <c r="A1" s="837" t="s">
        <v>15</v>
      </c>
      <c r="B1" s="837"/>
      <c r="C1" s="365"/>
      <c r="D1" s="366" t="s">
        <v>16</v>
      </c>
      <c r="E1" s="702"/>
      <c r="F1" s="366" t="s">
        <v>1928</v>
      </c>
      <c r="G1" s="368" t="s">
        <v>436</v>
      </c>
      <c r="H1" s="367">
        <f>SUM(H7:H2999)</f>
        <v>1675</v>
      </c>
      <c r="I1" s="389">
        <f>482660.64/3</f>
        <v>160886.88</v>
      </c>
      <c r="J1" s="371">
        <f>I1*18%</f>
        <v>28959.6384</v>
      </c>
      <c r="K1" s="372">
        <f>J1+I1</f>
        <v>189846.5184</v>
      </c>
      <c r="L1" s="793">
        <f>I1*2%</f>
        <v>3217.7376000000004</v>
      </c>
      <c r="M1" s="796">
        <f>I1+L1</f>
        <v>164104.6176</v>
      </c>
      <c r="N1" s="677">
        <f>K1-L1</f>
        <v>186628.78080000001</v>
      </c>
      <c r="O1" s="677">
        <f>I1-L1</f>
        <v>157669.14240000001</v>
      </c>
      <c r="R1" s="550" t="s">
        <v>1838</v>
      </c>
      <c r="S1" s="374"/>
      <c r="T1" s="375"/>
      <c r="U1" s="374"/>
      <c r="W1" s="377"/>
    </row>
    <row r="2" spans="1:34" ht="15" customHeight="1" x14ac:dyDescent="0.3">
      <c r="A2" s="804" t="s">
        <v>1930</v>
      </c>
      <c r="B2" s="376"/>
      <c r="C2" s="652"/>
      <c r="D2" s="366" t="s">
        <v>18</v>
      </c>
      <c r="G2" s="740"/>
      <c r="H2" s="367">
        <f>SUBTOTAL(9,H7:H2999)</f>
        <v>1055</v>
      </c>
      <c r="I2" s="389"/>
      <c r="J2" s="635" t="s">
        <v>20</v>
      </c>
      <c r="K2" s="636" t="s">
        <v>21</v>
      </c>
      <c r="L2" s="792" t="s">
        <v>22</v>
      </c>
      <c r="M2" s="638" t="s">
        <v>23</v>
      </c>
      <c r="N2" s="678" t="s">
        <v>24</v>
      </c>
      <c r="O2" s="678" t="s">
        <v>25</v>
      </c>
      <c r="R2" s="380">
        <v>2</v>
      </c>
      <c r="S2" s="381" t="e" cm="1">
        <f t="array" ref="S2">TEXT(EDATE($L2,{0}),"dd/mm/yyy") &amp; " to " &amp; TEXT(EDATE($L2,{6})-1,"dd/mm/yyyy")</f>
        <v>#VALUE!</v>
      </c>
      <c r="T2" s="533"/>
      <c r="U2" s="381" t="e" cm="1">
        <f t="array" ref="U2">TEXT(EDATE($L2,{6}),"dd/mm/yyy") &amp; " to " &amp; TEXT(EDATE($L2,{12})-1,"dd/mm/yyyy")</f>
        <v>#VALUE!</v>
      </c>
      <c r="V2" s="363"/>
      <c r="W2" s="363"/>
      <c r="X2" s="363"/>
      <c r="Y2" s="363"/>
    </row>
    <row r="3" spans="1:34" ht="14.4" x14ac:dyDescent="0.3">
      <c r="A3" s="376" t="s">
        <v>1840</v>
      </c>
      <c r="C3" s="555"/>
      <c r="D3" s="366" t="s">
        <v>1661</v>
      </c>
      <c r="E3" s="26"/>
      <c r="G3" s="741"/>
      <c r="H3" s="717">
        <f>H1-H2</f>
        <v>620</v>
      </c>
      <c r="I3" s="389"/>
      <c r="J3" s="370"/>
      <c r="K3" s="370"/>
      <c r="L3" s="370"/>
      <c r="M3" s="371"/>
      <c r="R3" s="380">
        <v>3</v>
      </c>
      <c r="S3" s="381" t="str" cm="1">
        <f t="array" ref="S3">TEXT(EDATE($L3,{0}),"dd/mm/yyy") &amp; " to " &amp; TEXT(EDATE($L3,{4})-1,"dd/mm/yyyy")</f>
        <v>00/01/1900 to 29/04/1900</v>
      </c>
      <c r="T3" s="363"/>
      <c r="U3" s="381" t="str" cm="1">
        <f t="array" ref="U3">TEXT(EDATE($L3,{4}),"dd/mm/yyy") &amp; " to " &amp; TEXT(EDATE($L3,{8})-1,"dd/mm/yyyy")</f>
        <v>30/04/1900 to 30/08/1900</v>
      </c>
      <c r="V3" s="363"/>
      <c r="W3" s="381" t="str" cm="1">
        <f t="array" ref="W3">TEXT(EDATE($L3,{8}),"dd/mm/yyy") &amp; " to " &amp; TEXT(EDATE($L3,{12})-1,"dd/mm/yyyy")</f>
        <v>31/08/1900 to 30/12/1900</v>
      </c>
      <c r="X3" s="363"/>
      <c r="Y3" s="363"/>
    </row>
    <row r="4" spans="1:34" ht="14.4" x14ac:dyDescent="0.3">
      <c r="A4" s="376" t="s">
        <v>1931</v>
      </c>
      <c r="C4" s="464"/>
      <c r="D4" s="183"/>
      <c r="E4" s="393"/>
      <c r="G4" s="741"/>
      <c r="J4" s="370"/>
      <c r="K4" s="370">
        <v>183333.33</v>
      </c>
      <c r="L4" s="370">
        <f>K4*2</f>
        <v>366666.66</v>
      </c>
      <c r="M4" s="371"/>
      <c r="R4" s="380">
        <v>4</v>
      </c>
      <c r="S4" s="381" t="str" cm="1">
        <f t="array" ref="S4">TEXT(EDATE($L4,{0}),"dd/mm/yyy") &amp; " to " &amp; TEXT(EDATE($L4,{3})-1,"dd/mm/yyyy")</f>
        <v>23/11/2903 to 22/02/2904</v>
      </c>
      <c r="T4" s="363"/>
      <c r="U4" s="381" t="str" cm="1">
        <f t="array" ref="U4">TEXT(EDATE($L4,{3}),"dd/mm/yyy") &amp; " to " &amp; TEXT(EDATE($L4,{6})-1,"dd/mm/yyyy")</f>
        <v>23/02/2904 to 22/05/2904</v>
      </c>
      <c r="V4" s="363"/>
      <c r="W4" s="381" t="str" cm="1">
        <f t="array" ref="W4">TEXT(EDATE($L4,{6}),"dd/mm/yyy") &amp; " to " &amp; TEXT(EDATE($L4,{9})-1,"dd/mm/yyyy")</f>
        <v>23/05/2904 to 22/08/2904</v>
      </c>
      <c r="X4" s="363"/>
      <c r="Y4" s="381" t="str" cm="1">
        <f t="array" ref="Y4">TEXT(EDATE($L4,{9}),"dd/mm/yyy") &amp; " to " &amp; TEXT(EDATE($L4,{12})-1,"dd/mm/yyyy")</f>
        <v>23/08/2904 to 22/11/2904</v>
      </c>
    </row>
    <row r="5" spans="1:34" ht="14.4" x14ac:dyDescent="0.3">
      <c r="J5" s="371"/>
      <c r="K5" s="371"/>
      <c r="L5" s="836"/>
      <c r="M5" s="836"/>
      <c r="P5" s="385"/>
    </row>
    <row r="6" spans="1:34" s="367" customFormat="1" ht="15.6" x14ac:dyDescent="0.3">
      <c r="B6" s="380" t="s">
        <v>27</v>
      </c>
      <c r="C6" s="386" t="s">
        <v>28</v>
      </c>
      <c r="D6" s="386" t="s">
        <v>29</v>
      </c>
      <c r="E6" s="380" t="s">
        <v>30</v>
      </c>
      <c r="F6" s="380" t="s">
        <v>31</v>
      </c>
      <c r="G6" s="380" t="s">
        <v>32</v>
      </c>
      <c r="H6" s="380" t="s">
        <v>33</v>
      </c>
      <c r="I6" s="533" t="s">
        <v>34</v>
      </c>
      <c r="J6" s="380" t="s">
        <v>35</v>
      </c>
      <c r="K6" s="539" t="s">
        <v>36</v>
      </c>
      <c r="L6" s="380" t="s">
        <v>37</v>
      </c>
      <c r="M6" s="380" t="s">
        <v>38</v>
      </c>
      <c r="N6" s="679" t="s">
        <v>1932</v>
      </c>
      <c r="O6" s="679" t="s">
        <v>1933</v>
      </c>
      <c r="P6" s="380" t="s">
        <v>39</v>
      </c>
      <c r="Q6" s="380" t="s">
        <v>40</v>
      </c>
      <c r="R6" s="380" t="s">
        <v>41</v>
      </c>
      <c r="S6" s="380" t="s">
        <v>42</v>
      </c>
      <c r="T6" s="380"/>
      <c r="U6" s="380" t="s">
        <v>43</v>
      </c>
      <c r="V6" s="380"/>
      <c r="W6" s="380" t="s">
        <v>44</v>
      </c>
      <c r="X6" s="380"/>
      <c r="Y6" s="380" t="s">
        <v>45</v>
      </c>
      <c r="Z6" s="380"/>
      <c r="AA6" s="380" t="s">
        <v>46</v>
      </c>
      <c r="AB6" s="380"/>
      <c r="AC6" s="380" t="s">
        <v>47</v>
      </c>
      <c r="AD6" s="380"/>
      <c r="AE6" s="380" t="s">
        <v>48</v>
      </c>
      <c r="AF6" s="380" t="s">
        <v>49</v>
      </c>
      <c r="AG6" s="380" t="s">
        <v>50</v>
      </c>
      <c r="AH6" s="380" t="s">
        <v>51</v>
      </c>
    </row>
    <row r="7" spans="1:34" ht="14.4" hidden="1" x14ac:dyDescent="0.3">
      <c r="B7" s="380" t="s">
        <v>14</v>
      </c>
      <c r="C7" s="363" t="s">
        <v>52</v>
      </c>
      <c r="D7" s="386" t="s">
        <v>53</v>
      </c>
      <c r="E7" s="380" t="s">
        <v>54</v>
      </c>
      <c r="F7" s="753">
        <v>44996</v>
      </c>
      <c r="G7" s="380" t="s">
        <v>55</v>
      </c>
      <c r="H7" s="380"/>
      <c r="I7" s="388">
        <v>91500</v>
      </c>
      <c r="J7" s="380">
        <v>3</v>
      </c>
      <c r="K7" s="389">
        <f t="shared" ref="K7:K38" si="0">I7/J7</f>
        <v>30500</v>
      </c>
      <c r="L7" s="387">
        <v>44998</v>
      </c>
      <c r="M7" s="387">
        <v>45363</v>
      </c>
      <c r="N7" s="680"/>
      <c r="O7" s="680"/>
      <c r="P7" s="381"/>
      <c r="Q7" s="387"/>
      <c r="R7" s="381"/>
      <c r="S7" s="390" t="s">
        <v>56</v>
      </c>
      <c r="T7" s="363" t="s">
        <v>57</v>
      </c>
      <c r="U7" s="390" t="s">
        <v>58</v>
      </c>
      <c r="V7" s="363" t="s">
        <v>59</v>
      </c>
      <c r="W7" s="390" t="s">
        <v>60</v>
      </c>
      <c r="X7" s="363" t="s">
        <v>61</v>
      </c>
      <c r="Y7" s="363"/>
      <c r="Z7" s="363"/>
      <c r="AA7" s="363"/>
      <c r="AB7" s="363"/>
      <c r="AC7" s="363"/>
      <c r="AD7" s="363"/>
      <c r="AE7" s="363" t="s">
        <v>62</v>
      </c>
      <c r="AF7" s="380" t="s">
        <v>63</v>
      </c>
      <c r="AG7" s="380">
        <v>4</v>
      </c>
      <c r="AH7" s="363"/>
    </row>
    <row r="8" spans="1:34" ht="14.4" hidden="1" x14ac:dyDescent="0.3">
      <c r="B8" s="380" t="s">
        <v>14</v>
      </c>
      <c r="C8" s="363" t="s">
        <v>52</v>
      </c>
      <c r="D8" s="386" t="s">
        <v>53</v>
      </c>
      <c r="E8" s="380" t="s">
        <v>54</v>
      </c>
      <c r="F8" s="753">
        <v>44996</v>
      </c>
      <c r="G8" s="380" t="s">
        <v>55</v>
      </c>
      <c r="H8" s="380"/>
      <c r="I8" s="388">
        <v>91500</v>
      </c>
      <c r="J8" s="380">
        <v>3</v>
      </c>
      <c r="K8" s="389">
        <f t="shared" si="0"/>
        <v>30500</v>
      </c>
      <c r="L8" s="387">
        <v>45364</v>
      </c>
      <c r="M8" s="387">
        <v>45728</v>
      </c>
      <c r="N8" s="680"/>
      <c r="O8" s="680"/>
      <c r="P8" s="363"/>
      <c r="Q8" s="380"/>
      <c r="R8" s="363"/>
      <c r="S8" s="390" t="s">
        <v>64</v>
      </c>
      <c r="T8" s="363" t="s">
        <v>65</v>
      </c>
      <c r="U8" s="390" t="s">
        <v>66</v>
      </c>
      <c r="V8" s="363" t="s">
        <v>67</v>
      </c>
      <c r="W8" s="390" t="s">
        <v>68</v>
      </c>
      <c r="X8" s="363" t="s">
        <v>69</v>
      </c>
      <c r="Y8" s="363"/>
      <c r="Z8" s="363"/>
      <c r="AA8" s="363"/>
      <c r="AB8" s="363"/>
      <c r="AC8" s="363"/>
      <c r="AD8" s="363"/>
      <c r="AE8" s="363" t="s">
        <v>62</v>
      </c>
      <c r="AF8" s="380" t="s">
        <v>63</v>
      </c>
      <c r="AG8" s="380">
        <v>4</v>
      </c>
      <c r="AH8" s="363"/>
    </row>
    <row r="9" spans="1:34" ht="14.4" hidden="1" x14ac:dyDescent="0.3">
      <c r="B9" s="380" t="s">
        <v>14</v>
      </c>
      <c r="C9" s="547" t="s">
        <v>52</v>
      </c>
      <c r="D9" s="386" t="s">
        <v>53</v>
      </c>
      <c r="E9" s="380" t="s">
        <v>54</v>
      </c>
      <c r="F9" s="753">
        <v>44996</v>
      </c>
      <c r="G9" s="380" t="s">
        <v>55</v>
      </c>
      <c r="H9" s="380">
        <v>1</v>
      </c>
      <c r="I9" s="388">
        <v>99000</v>
      </c>
      <c r="J9" s="380">
        <v>3</v>
      </c>
      <c r="K9" s="389">
        <f t="shared" si="0"/>
        <v>33000</v>
      </c>
      <c r="L9" s="387">
        <v>45729</v>
      </c>
      <c r="M9" s="387">
        <v>46093</v>
      </c>
      <c r="N9" s="680"/>
      <c r="O9" s="680"/>
      <c r="P9" s="363" t="s">
        <v>19</v>
      </c>
      <c r="Q9" s="380" t="s">
        <v>3</v>
      </c>
      <c r="R9" s="363"/>
      <c r="S9" s="390" t="s">
        <v>70</v>
      </c>
      <c r="T9" s="363" t="s">
        <v>71</v>
      </c>
      <c r="U9" s="390" t="s">
        <v>72</v>
      </c>
      <c r="V9" s="363" t="s">
        <v>73</v>
      </c>
      <c r="W9" s="390" t="s">
        <v>74</v>
      </c>
      <c r="X9" s="363" t="s">
        <v>75</v>
      </c>
      <c r="Y9" s="363"/>
      <c r="Z9" s="363"/>
      <c r="AA9" s="363"/>
      <c r="AB9" s="363"/>
      <c r="AC9" s="363"/>
      <c r="AD9" s="363"/>
      <c r="AE9" s="363" t="s">
        <v>62</v>
      </c>
      <c r="AF9" s="380" t="s">
        <v>63</v>
      </c>
      <c r="AG9" s="380">
        <v>4</v>
      </c>
      <c r="AH9" s="363"/>
    </row>
    <row r="10" spans="1:34" ht="14.4" hidden="1" x14ac:dyDescent="0.3">
      <c r="B10" s="380" t="s">
        <v>14</v>
      </c>
      <c r="C10" s="363" t="s">
        <v>76</v>
      </c>
      <c r="D10" s="386" t="s">
        <v>77</v>
      </c>
      <c r="E10" s="380">
        <v>6700004761</v>
      </c>
      <c r="F10" s="753">
        <v>45678</v>
      </c>
      <c r="G10" s="380" t="s">
        <v>55</v>
      </c>
      <c r="H10" s="380">
        <v>1</v>
      </c>
      <c r="I10" s="388">
        <v>77001</v>
      </c>
      <c r="J10" s="380">
        <v>3</v>
      </c>
      <c r="K10" s="389">
        <f t="shared" si="0"/>
        <v>25667</v>
      </c>
      <c r="L10" s="387">
        <v>45689</v>
      </c>
      <c r="M10" s="387">
        <v>46053</v>
      </c>
      <c r="N10" s="680"/>
      <c r="O10" s="680"/>
      <c r="P10" s="363" t="s">
        <v>19</v>
      </c>
      <c r="Q10" s="380" t="s">
        <v>0</v>
      </c>
      <c r="R10" s="363"/>
      <c r="S10" s="390" t="s">
        <v>79</v>
      </c>
      <c r="T10" s="363" t="s">
        <v>80</v>
      </c>
      <c r="U10" s="390" t="s">
        <v>81</v>
      </c>
      <c r="V10" s="363" t="s">
        <v>82</v>
      </c>
      <c r="W10" s="390" t="s">
        <v>83</v>
      </c>
      <c r="X10" s="363" t="s">
        <v>84</v>
      </c>
      <c r="Y10" s="363"/>
      <c r="Z10" s="363"/>
      <c r="AA10" s="363"/>
      <c r="AB10" s="363"/>
      <c r="AC10" s="363"/>
      <c r="AD10" s="363"/>
      <c r="AE10" s="363" t="s">
        <v>62</v>
      </c>
      <c r="AF10" s="380" t="s">
        <v>63</v>
      </c>
      <c r="AG10" s="380">
        <v>3</v>
      </c>
      <c r="AH10" s="363"/>
    </row>
    <row r="11" spans="1:34" ht="14.4" hidden="1" x14ac:dyDescent="0.3">
      <c r="B11" s="380" t="s">
        <v>14</v>
      </c>
      <c r="C11" s="363" t="s">
        <v>85</v>
      </c>
      <c r="D11" s="386" t="s">
        <v>86</v>
      </c>
      <c r="E11" s="380" t="s">
        <v>87</v>
      </c>
      <c r="F11" s="753">
        <v>45045</v>
      </c>
      <c r="G11" s="380" t="s">
        <v>55</v>
      </c>
      <c r="H11" s="380"/>
      <c r="I11" s="388">
        <v>58000</v>
      </c>
      <c r="J11" s="380">
        <v>4</v>
      </c>
      <c r="K11" s="389">
        <f t="shared" si="0"/>
        <v>14500</v>
      </c>
      <c r="L11" s="387">
        <v>45065</v>
      </c>
      <c r="M11" s="387">
        <v>45430</v>
      </c>
      <c r="N11" s="680"/>
      <c r="O11" s="680"/>
      <c r="P11" s="363"/>
      <c r="Q11" s="380"/>
      <c r="R11" s="363"/>
      <c r="S11" s="390" t="s">
        <v>88</v>
      </c>
      <c r="T11" s="363" t="s">
        <v>89</v>
      </c>
      <c r="U11" s="390" t="s">
        <v>90</v>
      </c>
      <c r="V11" s="363" t="s">
        <v>91</v>
      </c>
      <c r="W11" s="390" t="s">
        <v>92</v>
      </c>
      <c r="X11" s="363" t="s">
        <v>93</v>
      </c>
      <c r="Y11" s="390" t="s">
        <v>94</v>
      </c>
      <c r="Z11" s="363" t="s">
        <v>95</v>
      </c>
      <c r="AA11" s="363"/>
      <c r="AB11" s="363"/>
      <c r="AC11" s="363"/>
      <c r="AD11" s="363"/>
      <c r="AE11" s="363" t="s">
        <v>96</v>
      </c>
      <c r="AF11" s="380" t="s">
        <v>97</v>
      </c>
      <c r="AG11" s="380" t="s">
        <v>98</v>
      </c>
      <c r="AH11" s="363"/>
    </row>
    <row r="12" spans="1:34" ht="14.4" hidden="1" x14ac:dyDescent="0.3">
      <c r="B12" s="380" t="s">
        <v>14</v>
      </c>
      <c r="C12" s="363" t="s">
        <v>85</v>
      </c>
      <c r="D12" s="386" t="s">
        <v>86</v>
      </c>
      <c r="E12" s="380" t="s">
        <v>87</v>
      </c>
      <c r="F12" s="753">
        <v>45045</v>
      </c>
      <c r="G12" s="380" t="s">
        <v>55</v>
      </c>
      <c r="H12" s="380"/>
      <c r="I12" s="388">
        <v>58000</v>
      </c>
      <c r="J12" s="380">
        <v>4</v>
      </c>
      <c r="K12" s="389">
        <f t="shared" si="0"/>
        <v>14500</v>
      </c>
      <c r="L12" s="387">
        <v>45431</v>
      </c>
      <c r="M12" s="387">
        <v>45795</v>
      </c>
      <c r="N12" s="680"/>
      <c r="O12" s="680"/>
      <c r="P12" s="363"/>
      <c r="Q12" s="380"/>
      <c r="R12" s="363"/>
      <c r="S12" s="390" t="s">
        <v>99</v>
      </c>
      <c r="T12" s="363" t="s">
        <v>100</v>
      </c>
      <c r="U12" s="390" t="s">
        <v>101</v>
      </c>
      <c r="V12" s="363" t="s">
        <v>102</v>
      </c>
      <c r="W12" s="390" t="s">
        <v>103</v>
      </c>
      <c r="X12" s="363" t="s">
        <v>104</v>
      </c>
      <c r="Y12" s="390" t="s">
        <v>105</v>
      </c>
      <c r="Z12" s="363" t="s">
        <v>106</v>
      </c>
      <c r="AA12" s="363"/>
      <c r="AB12" s="363"/>
      <c r="AC12" s="363"/>
      <c r="AD12" s="363"/>
      <c r="AE12" s="363" t="s">
        <v>96</v>
      </c>
      <c r="AF12" s="380" t="s">
        <v>97</v>
      </c>
      <c r="AG12" s="380" t="s">
        <v>98</v>
      </c>
      <c r="AH12" s="363"/>
    </row>
    <row r="13" spans="1:34" ht="14.4" hidden="1" x14ac:dyDescent="0.3">
      <c r="B13" s="380" t="s">
        <v>14</v>
      </c>
      <c r="C13" s="363" t="s">
        <v>85</v>
      </c>
      <c r="D13" s="386" t="s">
        <v>86</v>
      </c>
      <c r="E13" s="380" t="s">
        <v>87</v>
      </c>
      <c r="F13" s="753">
        <v>45045</v>
      </c>
      <c r="G13" s="380" t="s">
        <v>55</v>
      </c>
      <c r="H13" s="380">
        <v>1</v>
      </c>
      <c r="I13" s="388">
        <v>58000</v>
      </c>
      <c r="J13" s="380">
        <v>4</v>
      </c>
      <c r="K13" s="391">
        <f t="shared" si="0"/>
        <v>14500</v>
      </c>
      <c r="L13" s="387">
        <v>45796</v>
      </c>
      <c r="M13" s="387">
        <v>46160</v>
      </c>
      <c r="N13" s="680"/>
      <c r="O13" s="680"/>
      <c r="P13" s="363" t="s">
        <v>19</v>
      </c>
      <c r="Q13" s="380" t="s">
        <v>6</v>
      </c>
      <c r="R13" s="363"/>
      <c r="S13" s="390" t="s">
        <v>107</v>
      </c>
      <c r="T13" s="363" t="s">
        <v>108</v>
      </c>
      <c r="U13" s="390" t="s">
        <v>109</v>
      </c>
      <c r="V13" s="363" t="s">
        <v>110</v>
      </c>
      <c r="W13" s="390" t="s">
        <v>111</v>
      </c>
      <c r="X13" s="363" t="s">
        <v>112</v>
      </c>
      <c r="Y13" s="390" t="s">
        <v>113</v>
      </c>
      <c r="Z13" s="363" t="s">
        <v>114</v>
      </c>
      <c r="AA13" s="363"/>
      <c r="AB13" s="363"/>
      <c r="AC13" s="363"/>
      <c r="AD13" s="363"/>
      <c r="AE13" s="363" t="s">
        <v>96</v>
      </c>
      <c r="AF13" s="380" t="s">
        <v>97</v>
      </c>
      <c r="AG13" s="380" t="s">
        <v>98</v>
      </c>
      <c r="AH13" s="363"/>
    </row>
    <row r="14" spans="1:34" ht="14.4" hidden="1" x14ac:dyDescent="0.3">
      <c r="B14" s="380" t="s">
        <v>14</v>
      </c>
      <c r="C14" s="363" t="s">
        <v>52</v>
      </c>
      <c r="D14" s="386" t="s">
        <v>115</v>
      </c>
      <c r="E14" s="380" t="s">
        <v>116</v>
      </c>
      <c r="F14" s="753">
        <v>45006</v>
      </c>
      <c r="G14" s="380" t="s">
        <v>55</v>
      </c>
      <c r="H14" s="380">
        <v>3</v>
      </c>
      <c r="I14" s="388">
        <v>1313415</v>
      </c>
      <c r="J14" s="380">
        <v>6</v>
      </c>
      <c r="K14" s="391">
        <f t="shared" si="0"/>
        <v>218902.5</v>
      </c>
      <c r="L14" s="387">
        <v>45078</v>
      </c>
      <c r="M14" s="387">
        <v>46173</v>
      </c>
      <c r="N14" s="680"/>
      <c r="O14" s="680"/>
      <c r="P14" s="363" t="s">
        <v>19</v>
      </c>
      <c r="Q14" s="380" t="s">
        <v>6</v>
      </c>
      <c r="R14" s="363"/>
      <c r="S14" s="390" t="s">
        <v>117</v>
      </c>
      <c r="T14" s="363" t="s">
        <v>118</v>
      </c>
      <c r="U14" s="390" t="s">
        <v>119</v>
      </c>
      <c r="V14" s="363" t="s">
        <v>120</v>
      </c>
      <c r="W14" s="390" t="s">
        <v>121</v>
      </c>
      <c r="X14" s="363" t="s">
        <v>122</v>
      </c>
      <c r="Y14" s="390" t="s">
        <v>123</v>
      </c>
      <c r="Z14" s="363" t="s">
        <v>124</v>
      </c>
      <c r="AA14" s="390" t="s">
        <v>125</v>
      </c>
      <c r="AB14" s="363" t="s">
        <v>126</v>
      </c>
      <c r="AC14" s="390" t="s">
        <v>127</v>
      </c>
      <c r="AD14" s="363" t="s">
        <v>1710</v>
      </c>
      <c r="AE14" s="363" t="s">
        <v>128</v>
      </c>
      <c r="AF14" s="380" t="s">
        <v>129</v>
      </c>
      <c r="AG14" s="380" t="s">
        <v>98</v>
      </c>
      <c r="AH14" s="363"/>
    </row>
    <row r="15" spans="1:34" ht="14.4" hidden="1" x14ac:dyDescent="0.3">
      <c r="B15" s="380" t="s">
        <v>14</v>
      </c>
      <c r="C15" s="363" t="s">
        <v>130</v>
      </c>
      <c r="D15" s="386" t="s">
        <v>131</v>
      </c>
      <c r="E15" s="380">
        <v>6800037118</v>
      </c>
      <c r="F15" s="753">
        <v>45096</v>
      </c>
      <c r="G15" s="380" t="s">
        <v>55</v>
      </c>
      <c r="H15" s="380"/>
      <c r="I15" s="388">
        <f>258000/3</f>
        <v>86000</v>
      </c>
      <c r="J15" s="380">
        <v>3</v>
      </c>
      <c r="K15" s="389">
        <f t="shared" si="0"/>
        <v>28666.666666666668</v>
      </c>
      <c r="L15" s="387">
        <v>45096</v>
      </c>
      <c r="M15" s="387">
        <v>45461</v>
      </c>
      <c r="N15" s="680"/>
      <c r="O15" s="680"/>
      <c r="P15" s="363"/>
      <c r="Q15" s="380"/>
      <c r="R15" s="363"/>
      <c r="S15" s="390" t="s">
        <v>132</v>
      </c>
      <c r="T15" s="363" t="s">
        <v>133</v>
      </c>
      <c r="U15" s="390" t="s">
        <v>134</v>
      </c>
      <c r="V15" s="363" t="s">
        <v>135</v>
      </c>
      <c r="W15" s="390" t="s">
        <v>136</v>
      </c>
      <c r="X15" s="363" t="s">
        <v>61</v>
      </c>
      <c r="Y15" s="363"/>
      <c r="Z15" s="363"/>
      <c r="AA15" s="363"/>
      <c r="AB15" s="363"/>
      <c r="AC15" s="363"/>
      <c r="AD15" s="363"/>
      <c r="AE15" s="363" t="s">
        <v>137</v>
      </c>
      <c r="AF15" s="380" t="s">
        <v>63</v>
      </c>
      <c r="AG15" s="380">
        <v>2</v>
      </c>
      <c r="AH15" s="363"/>
    </row>
    <row r="16" spans="1:34" ht="14.4" hidden="1" x14ac:dyDescent="0.3">
      <c r="B16" s="380" t="s">
        <v>14</v>
      </c>
      <c r="C16" s="363" t="s">
        <v>130</v>
      </c>
      <c r="D16" s="386" t="s">
        <v>131</v>
      </c>
      <c r="E16" s="380">
        <v>6800037118</v>
      </c>
      <c r="F16" s="753">
        <v>45096</v>
      </c>
      <c r="G16" s="380" t="s">
        <v>55</v>
      </c>
      <c r="H16" s="380"/>
      <c r="I16" s="388">
        <f>258000/3</f>
        <v>86000</v>
      </c>
      <c r="J16" s="380">
        <v>3</v>
      </c>
      <c r="K16" s="389">
        <f t="shared" si="0"/>
        <v>28666.666666666668</v>
      </c>
      <c r="L16" s="387">
        <v>45462</v>
      </c>
      <c r="M16" s="387">
        <v>45826</v>
      </c>
      <c r="N16" s="680"/>
      <c r="O16" s="680"/>
      <c r="P16" s="363"/>
      <c r="Q16" s="380"/>
      <c r="R16" s="363"/>
      <c r="S16" s="390" t="s">
        <v>138</v>
      </c>
      <c r="T16" s="363" t="s">
        <v>139</v>
      </c>
      <c r="U16" s="390" t="s">
        <v>140</v>
      </c>
      <c r="V16" s="363" t="s">
        <v>141</v>
      </c>
      <c r="W16" s="390" t="s">
        <v>142</v>
      </c>
      <c r="X16" s="363" t="s">
        <v>143</v>
      </c>
      <c r="Y16" s="363"/>
      <c r="Z16" s="363"/>
      <c r="AA16" s="363"/>
      <c r="AB16" s="363"/>
      <c r="AC16" s="363"/>
      <c r="AD16" s="363"/>
      <c r="AE16" s="363" t="s">
        <v>137</v>
      </c>
      <c r="AF16" s="380" t="s">
        <v>63</v>
      </c>
      <c r="AG16" s="380">
        <v>2</v>
      </c>
      <c r="AH16" s="363"/>
    </row>
    <row r="17" spans="2:34" ht="14.4" hidden="1" x14ac:dyDescent="0.3">
      <c r="B17" s="380" t="s">
        <v>14</v>
      </c>
      <c r="C17" s="363" t="s">
        <v>130</v>
      </c>
      <c r="D17" s="386" t="s">
        <v>131</v>
      </c>
      <c r="E17" s="380">
        <v>6800037118</v>
      </c>
      <c r="F17" s="753">
        <v>45096</v>
      </c>
      <c r="G17" s="380" t="s">
        <v>55</v>
      </c>
      <c r="H17" s="380">
        <v>1</v>
      </c>
      <c r="I17" s="388">
        <f>258000/3</f>
        <v>86000</v>
      </c>
      <c r="J17" s="380">
        <v>3</v>
      </c>
      <c r="K17" s="389">
        <f t="shared" si="0"/>
        <v>28666.666666666668</v>
      </c>
      <c r="L17" s="387">
        <v>45827</v>
      </c>
      <c r="M17" s="387">
        <v>46191</v>
      </c>
      <c r="N17" s="680"/>
      <c r="O17" s="680"/>
      <c r="P17" s="363" t="s">
        <v>19</v>
      </c>
      <c r="Q17" s="380" t="s">
        <v>9</v>
      </c>
      <c r="R17" s="363"/>
      <c r="S17" s="390" t="s">
        <v>144</v>
      </c>
      <c r="T17" s="363" t="s">
        <v>145</v>
      </c>
      <c r="U17" s="390" t="s">
        <v>146</v>
      </c>
      <c r="V17" s="363" t="s">
        <v>147</v>
      </c>
      <c r="W17" s="390" t="s">
        <v>148</v>
      </c>
      <c r="X17" s="363" t="s">
        <v>149</v>
      </c>
      <c r="Y17" s="363"/>
      <c r="Z17" s="363"/>
      <c r="AA17" s="363"/>
      <c r="AB17" s="363"/>
      <c r="AC17" s="363"/>
      <c r="AD17" s="363"/>
      <c r="AE17" s="363" t="s">
        <v>137</v>
      </c>
      <c r="AF17" s="380" t="s">
        <v>63</v>
      </c>
      <c r="AG17" s="380">
        <v>2</v>
      </c>
      <c r="AH17" s="363"/>
    </row>
    <row r="18" spans="2:34" ht="14.4" hidden="1" x14ac:dyDescent="0.3">
      <c r="B18" s="380" t="s">
        <v>14</v>
      </c>
      <c r="C18" s="392" t="s">
        <v>150</v>
      </c>
      <c r="D18" s="386" t="s">
        <v>151</v>
      </c>
      <c r="E18" s="380">
        <v>4200258422</v>
      </c>
      <c r="F18" s="753">
        <v>45126</v>
      </c>
      <c r="G18" s="380" t="s">
        <v>55</v>
      </c>
      <c r="H18" s="380"/>
      <c r="I18" s="388">
        <v>91728</v>
      </c>
      <c r="J18" s="380">
        <v>4</v>
      </c>
      <c r="K18" s="389">
        <f t="shared" si="0"/>
        <v>22932</v>
      </c>
      <c r="L18" s="387">
        <v>45108</v>
      </c>
      <c r="M18" s="387">
        <v>45473</v>
      </c>
      <c r="N18" s="680"/>
      <c r="O18" s="680"/>
      <c r="P18" s="363"/>
      <c r="Q18" s="380"/>
      <c r="R18" s="363"/>
      <c r="S18" s="390" t="s">
        <v>152</v>
      </c>
      <c r="T18" s="363" t="s">
        <v>153</v>
      </c>
      <c r="U18" s="390" t="s">
        <v>154</v>
      </c>
      <c r="V18" s="363" t="s">
        <v>155</v>
      </c>
      <c r="W18" s="390" t="s">
        <v>156</v>
      </c>
      <c r="X18" s="363" t="s">
        <v>157</v>
      </c>
      <c r="Y18" s="390" t="s">
        <v>158</v>
      </c>
      <c r="Z18" s="363" t="s">
        <v>159</v>
      </c>
      <c r="AA18" s="363"/>
      <c r="AB18" s="363"/>
      <c r="AC18" s="363"/>
      <c r="AD18" s="363"/>
      <c r="AE18" s="363" t="s">
        <v>62</v>
      </c>
      <c r="AF18" s="380" t="s">
        <v>63</v>
      </c>
      <c r="AG18" s="380">
        <v>4</v>
      </c>
      <c r="AH18" s="363"/>
    </row>
    <row r="19" spans="2:34" ht="14.4" hidden="1" x14ac:dyDescent="0.3">
      <c r="B19" s="380" t="s">
        <v>14</v>
      </c>
      <c r="C19" s="392" t="s">
        <v>150</v>
      </c>
      <c r="D19" s="386" t="s">
        <v>151</v>
      </c>
      <c r="E19" s="380">
        <v>4200258422</v>
      </c>
      <c r="F19" s="753">
        <v>45126</v>
      </c>
      <c r="G19" s="380" t="s">
        <v>55</v>
      </c>
      <c r="H19" s="380"/>
      <c r="I19" s="388">
        <v>96313</v>
      </c>
      <c r="J19" s="380">
        <v>4</v>
      </c>
      <c r="K19" s="389">
        <f t="shared" si="0"/>
        <v>24078.25</v>
      </c>
      <c r="L19" s="387">
        <v>45474</v>
      </c>
      <c r="M19" s="387">
        <v>45838</v>
      </c>
      <c r="N19" s="680"/>
      <c r="O19" s="680"/>
      <c r="P19" s="363"/>
      <c r="Q19" s="380"/>
      <c r="R19" s="363"/>
      <c r="S19" s="390" t="s">
        <v>160</v>
      </c>
      <c r="T19" s="363" t="s">
        <v>161</v>
      </c>
      <c r="U19" s="390" t="s">
        <v>162</v>
      </c>
      <c r="V19" s="363" t="s">
        <v>163</v>
      </c>
      <c r="W19" s="390" t="s">
        <v>164</v>
      </c>
      <c r="X19" s="363" t="s">
        <v>165</v>
      </c>
      <c r="Y19" s="390" t="s">
        <v>166</v>
      </c>
      <c r="Z19" s="363" t="s">
        <v>167</v>
      </c>
      <c r="AA19" s="363"/>
      <c r="AB19" s="363"/>
      <c r="AC19" s="363"/>
      <c r="AD19" s="363"/>
      <c r="AE19" s="363" t="s">
        <v>62</v>
      </c>
      <c r="AF19" s="380" t="s">
        <v>63</v>
      </c>
      <c r="AG19" s="380">
        <v>4</v>
      </c>
      <c r="AH19" s="363"/>
    </row>
    <row r="20" spans="2:34" ht="14.4" hidden="1" x14ac:dyDescent="0.3">
      <c r="B20" s="380" t="s">
        <v>14</v>
      </c>
      <c r="C20" s="392" t="s">
        <v>150</v>
      </c>
      <c r="D20" s="386" t="s">
        <v>151</v>
      </c>
      <c r="E20" s="380">
        <v>4200258422</v>
      </c>
      <c r="F20" s="753">
        <v>45126</v>
      </c>
      <c r="G20" s="380" t="s">
        <v>55</v>
      </c>
      <c r="H20" s="380">
        <v>1</v>
      </c>
      <c r="I20" s="388">
        <v>96313</v>
      </c>
      <c r="J20" s="380">
        <v>4</v>
      </c>
      <c r="K20" s="389">
        <f t="shared" si="0"/>
        <v>24078.25</v>
      </c>
      <c r="L20" s="387">
        <v>45839</v>
      </c>
      <c r="M20" s="387">
        <v>46203</v>
      </c>
      <c r="N20" s="680"/>
      <c r="O20" s="680"/>
      <c r="P20" s="363" t="s">
        <v>19</v>
      </c>
      <c r="Q20" s="380" t="s">
        <v>9</v>
      </c>
      <c r="R20" s="363"/>
      <c r="S20" s="390" t="s">
        <v>168</v>
      </c>
      <c r="T20" s="363" t="s">
        <v>169</v>
      </c>
      <c r="U20" s="390" t="s">
        <v>170</v>
      </c>
      <c r="V20" s="363" t="s">
        <v>171</v>
      </c>
      <c r="W20" s="390" t="s">
        <v>172</v>
      </c>
      <c r="X20" s="363" t="s">
        <v>173</v>
      </c>
      <c r="Y20" s="390" t="s">
        <v>174</v>
      </c>
      <c r="Z20" s="363" t="s">
        <v>1843</v>
      </c>
      <c r="AA20" s="363"/>
      <c r="AB20" s="363"/>
      <c r="AC20" s="363"/>
      <c r="AD20" s="363"/>
      <c r="AE20" s="363" t="s">
        <v>62</v>
      </c>
      <c r="AF20" s="380" t="s">
        <v>63</v>
      </c>
      <c r="AG20" s="380">
        <v>4</v>
      </c>
      <c r="AH20" s="363"/>
    </row>
    <row r="21" spans="2:34" ht="14.4" hidden="1" x14ac:dyDescent="0.3">
      <c r="B21" s="380" t="s">
        <v>14</v>
      </c>
      <c r="C21" s="363" t="s">
        <v>175</v>
      </c>
      <c r="D21" s="386" t="s">
        <v>176</v>
      </c>
      <c r="E21" s="393" t="s">
        <v>177</v>
      </c>
      <c r="F21" s="753">
        <v>45184</v>
      </c>
      <c r="G21" s="380" t="s">
        <v>55</v>
      </c>
      <c r="H21" s="380"/>
      <c r="I21" s="388">
        <v>88500</v>
      </c>
      <c r="J21" s="380">
        <v>3</v>
      </c>
      <c r="K21" s="389">
        <f t="shared" si="0"/>
        <v>29500</v>
      </c>
      <c r="L21" s="387">
        <v>45108</v>
      </c>
      <c r="M21" s="387">
        <v>45473</v>
      </c>
      <c r="N21" s="680"/>
      <c r="O21" s="680"/>
      <c r="P21" s="363"/>
      <c r="Q21" s="380"/>
      <c r="R21" s="363"/>
      <c r="S21" s="390" t="s">
        <v>178</v>
      </c>
      <c r="T21" s="363"/>
      <c r="U21" s="390" t="s">
        <v>179</v>
      </c>
      <c r="V21" s="363" t="s">
        <v>180</v>
      </c>
      <c r="W21" s="390" t="s">
        <v>181</v>
      </c>
      <c r="X21" s="363" t="s">
        <v>182</v>
      </c>
      <c r="Y21" s="363"/>
      <c r="Z21" s="363"/>
      <c r="AA21" s="363"/>
      <c r="AB21" s="363"/>
      <c r="AC21" s="363"/>
      <c r="AD21" s="363"/>
      <c r="AE21" s="363" t="s">
        <v>183</v>
      </c>
      <c r="AF21" s="380" t="s">
        <v>97</v>
      </c>
      <c r="AG21" s="380"/>
      <c r="AH21" s="363"/>
    </row>
    <row r="22" spans="2:34" ht="14.4" hidden="1" x14ac:dyDescent="0.3">
      <c r="B22" s="380" t="s">
        <v>14</v>
      </c>
      <c r="C22" s="363" t="s">
        <v>175</v>
      </c>
      <c r="D22" s="386" t="s">
        <v>176</v>
      </c>
      <c r="E22" s="393" t="s">
        <v>177</v>
      </c>
      <c r="F22" s="753">
        <v>45184</v>
      </c>
      <c r="G22" s="380" t="s">
        <v>55</v>
      </c>
      <c r="H22" s="380"/>
      <c r="I22" s="388">
        <v>88500</v>
      </c>
      <c r="J22" s="380">
        <v>3</v>
      </c>
      <c r="K22" s="389">
        <f t="shared" si="0"/>
        <v>29500</v>
      </c>
      <c r="L22" s="387">
        <v>45474</v>
      </c>
      <c r="M22" s="387">
        <v>45838</v>
      </c>
      <c r="N22" s="680"/>
      <c r="O22" s="680"/>
      <c r="P22" s="363"/>
      <c r="Q22" s="380"/>
      <c r="R22" s="363"/>
      <c r="S22" s="390" t="s">
        <v>184</v>
      </c>
      <c r="T22" s="363" t="s">
        <v>185</v>
      </c>
      <c r="U22" s="390" t="s">
        <v>186</v>
      </c>
      <c r="V22" s="363" t="s">
        <v>187</v>
      </c>
      <c r="W22" s="390" t="s">
        <v>188</v>
      </c>
      <c r="X22" s="363" t="s">
        <v>189</v>
      </c>
      <c r="Y22" s="363"/>
      <c r="Z22" s="363"/>
      <c r="AA22" s="363"/>
      <c r="AB22" s="363"/>
      <c r="AC22" s="363"/>
      <c r="AD22" s="363"/>
      <c r="AE22" s="363" t="s">
        <v>183</v>
      </c>
      <c r="AF22" s="380" t="s">
        <v>97</v>
      </c>
      <c r="AG22" s="380"/>
      <c r="AH22" s="363"/>
    </row>
    <row r="23" spans="2:34" ht="14.4" hidden="1" x14ac:dyDescent="0.3">
      <c r="B23" s="380" t="s">
        <v>14</v>
      </c>
      <c r="C23" s="363" t="s">
        <v>175</v>
      </c>
      <c r="D23" s="386" t="s">
        <v>176</v>
      </c>
      <c r="E23" s="393" t="s">
        <v>177</v>
      </c>
      <c r="F23" s="753">
        <v>45184</v>
      </c>
      <c r="G23" s="380" t="s">
        <v>55</v>
      </c>
      <c r="H23" s="380">
        <v>1</v>
      </c>
      <c r="I23" s="388">
        <v>88500</v>
      </c>
      <c r="J23" s="380">
        <v>3</v>
      </c>
      <c r="K23" s="389">
        <f t="shared" si="0"/>
        <v>29500</v>
      </c>
      <c r="L23" s="387">
        <v>45839</v>
      </c>
      <c r="M23" s="387">
        <v>46203</v>
      </c>
      <c r="N23" s="680"/>
      <c r="O23" s="680"/>
      <c r="P23" s="363" t="s">
        <v>19</v>
      </c>
      <c r="Q23" s="380" t="s">
        <v>9</v>
      </c>
      <c r="R23" s="363"/>
      <c r="S23" s="390" t="s">
        <v>190</v>
      </c>
      <c r="T23" s="363" t="s">
        <v>191</v>
      </c>
      <c r="U23" s="390" t="s">
        <v>192</v>
      </c>
      <c r="V23" s="363" t="s">
        <v>193</v>
      </c>
      <c r="W23" s="390" t="s">
        <v>194</v>
      </c>
      <c r="X23" s="363" t="s">
        <v>1844</v>
      </c>
      <c r="Y23" s="363"/>
      <c r="Z23" s="363"/>
      <c r="AA23" s="363"/>
      <c r="AB23" s="363"/>
      <c r="AC23" s="363"/>
      <c r="AD23" s="363"/>
      <c r="AE23" s="363" t="s">
        <v>183</v>
      </c>
      <c r="AF23" s="380" t="s">
        <v>97</v>
      </c>
      <c r="AG23" s="380"/>
      <c r="AH23" s="363"/>
    </row>
    <row r="24" spans="2:34" ht="14.4" hidden="1" x14ac:dyDescent="0.3">
      <c r="B24" s="380" t="s">
        <v>14</v>
      </c>
      <c r="C24" s="363" t="s">
        <v>195</v>
      </c>
      <c r="D24" s="386" t="s">
        <v>196</v>
      </c>
      <c r="E24" s="393" t="s">
        <v>197</v>
      </c>
      <c r="F24" s="753">
        <v>45210</v>
      </c>
      <c r="G24" s="380" t="s">
        <v>55</v>
      </c>
      <c r="H24" s="380"/>
      <c r="I24" s="388">
        <v>741000</v>
      </c>
      <c r="J24" s="380">
        <v>4</v>
      </c>
      <c r="K24" s="389">
        <f t="shared" si="0"/>
        <v>185250</v>
      </c>
      <c r="L24" s="387">
        <v>45203</v>
      </c>
      <c r="M24" s="387">
        <v>45568</v>
      </c>
      <c r="N24" s="680"/>
      <c r="O24" s="680"/>
      <c r="P24" s="363"/>
      <c r="Q24" s="380"/>
      <c r="R24" s="363"/>
      <c r="S24" s="390" t="s">
        <v>198</v>
      </c>
      <c r="T24" s="363" t="s">
        <v>199</v>
      </c>
      <c r="U24" s="394" t="s">
        <v>200</v>
      </c>
      <c r="V24" s="363" t="s">
        <v>201</v>
      </c>
      <c r="W24" s="390" t="s">
        <v>202</v>
      </c>
      <c r="X24" s="363" t="s">
        <v>203</v>
      </c>
      <c r="Y24" s="390" t="s">
        <v>204</v>
      </c>
      <c r="Z24" s="363" t="s">
        <v>205</v>
      </c>
      <c r="AA24" s="363"/>
      <c r="AB24" s="363"/>
      <c r="AC24" s="363"/>
      <c r="AD24" s="363"/>
      <c r="AE24" s="363" t="s">
        <v>206</v>
      </c>
      <c r="AF24" s="380" t="s">
        <v>207</v>
      </c>
      <c r="AG24" s="380">
        <v>39</v>
      </c>
      <c r="AH24" s="363"/>
    </row>
    <row r="25" spans="2:34" ht="14.4" hidden="1" x14ac:dyDescent="0.3">
      <c r="B25" s="380" t="s">
        <v>14</v>
      </c>
      <c r="C25" s="363" t="s">
        <v>195</v>
      </c>
      <c r="D25" s="386" t="s">
        <v>196</v>
      </c>
      <c r="E25" s="393" t="s">
        <v>197</v>
      </c>
      <c r="F25" s="753">
        <v>45210</v>
      </c>
      <c r="G25" s="380" t="s">
        <v>55</v>
      </c>
      <c r="H25" s="380"/>
      <c r="I25" s="388">
        <v>741000</v>
      </c>
      <c r="J25" s="380">
        <v>4</v>
      </c>
      <c r="K25" s="389">
        <f t="shared" si="0"/>
        <v>185250</v>
      </c>
      <c r="L25" s="387">
        <v>45569</v>
      </c>
      <c r="M25" s="387">
        <v>45933</v>
      </c>
      <c r="N25" s="680"/>
      <c r="O25" s="680"/>
      <c r="P25" s="363"/>
      <c r="Q25" s="380"/>
      <c r="R25" s="363"/>
      <c r="S25" s="390" t="s">
        <v>208</v>
      </c>
      <c r="T25" s="363" t="s">
        <v>209</v>
      </c>
      <c r="U25" s="394" t="s">
        <v>210</v>
      </c>
      <c r="V25" s="363" t="s">
        <v>211</v>
      </c>
      <c r="W25" s="390" t="s">
        <v>212</v>
      </c>
      <c r="X25" s="363" t="s">
        <v>213</v>
      </c>
      <c r="Y25" s="390" t="s">
        <v>214</v>
      </c>
      <c r="Z25" s="363" t="s">
        <v>169</v>
      </c>
      <c r="AA25" s="363"/>
      <c r="AB25" s="363"/>
      <c r="AC25" s="363"/>
      <c r="AD25" s="363"/>
      <c r="AE25" s="363" t="s">
        <v>206</v>
      </c>
      <c r="AF25" s="380" t="s">
        <v>207</v>
      </c>
      <c r="AG25" s="380">
        <v>39</v>
      </c>
      <c r="AH25" s="363"/>
    </row>
    <row r="26" spans="2:34" ht="14.4" hidden="1" x14ac:dyDescent="0.3">
      <c r="B26" s="380" t="s">
        <v>14</v>
      </c>
      <c r="C26" s="363" t="s">
        <v>85</v>
      </c>
      <c r="D26" s="386" t="s">
        <v>86</v>
      </c>
      <c r="E26" s="393" t="s">
        <v>215</v>
      </c>
      <c r="F26" s="753">
        <v>45204</v>
      </c>
      <c r="G26" s="380" t="s">
        <v>55</v>
      </c>
      <c r="H26" s="380"/>
      <c r="I26" s="388">
        <f>696000/3</f>
        <v>232000</v>
      </c>
      <c r="J26" s="380">
        <v>4</v>
      </c>
      <c r="K26" s="389">
        <f t="shared" si="0"/>
        <v>58000</v>
      </c>
      <c r="L26" s="387">
        <v>45200</v>
      </c>
      <c r="M26" s="387">
        <v>45565</v>
      </c>
      <c r="N26" s="680"/>
      <c r="O26" s="680"/>
      <c r="P26" s="363"/>
      <c r="Q26" s="380"/>
      <c r="R26" s="363"/>
      <c r="S26" s="390" t="s">
        <v>216</v>
      </c>
      <c r="T26" s="363" t="s">
        <v>217</v>
      </c>
      <c r="U26" s="390" t="s">
        <v>156</v>
      </c>
      <c r="V26" s="363" t="s">
        <v>218</v>
      </c>
      <c r="W26" s="390" t="s">
        <v>158</v>
      </c>
      <c r="X26" s="363" t="s">
        <v>219</v>
      </c>
      <c r="Y26" s="390" t="s">
        <v>220</v>
      </c>
      <c r="Z26" s="363" t="s">
        <v>221</v>
      </c>
      <c r="AA26" s="363"/>
      <c r="AB26" s="363"/>
      <c r="AC26" s="363"/>
      <c r="AD26" s="363"/>
      <c r="AE26" s="363" t="s">
        <v>96</v>
      </c>
      <c r="AF26" s="380" t="s">
        <v>97</v>
      </c>
      <c r="AG26" s="380" t="s">
        <v>98</v>
      </c>
      <c r="AH26" s="363"/>
    </row>
    <row r="27" spans="2:34" ht="14.4" hidden="1" x14ac:dyDescent="0.3">
      <c r="B27" s="380" t="s">
        <v>14</v>
      </c>
      <c r="C27" s="363" t="s">
        <v>85</v>
      </c>
      <c r="D27" s="386" t="s">
        <v>86</v>
      </c>
      <c r="E27" s="393" t="s">
        <v>215</v>
      </c>
      <c r="F27" s="753">
        <v>45204</v>
      </c>
      <c r="G27" s="380" t="s">
        <v>55</v>
      </c>
      <c r="H27" s="380"/>
      <c r="I27" s="388">
        <f>696000/3</f>
        <v>232000</v>
      </c>
      <c r="J27" s="380">
        <v>4</v>
      </c>
      <c r="K27" s="389">
        <f t="shared" si="0"/>
        <v>58000</v>
      </c>
      <c r="L27" s="387">
        <v>45566</v>
      </c>
      <c r="M27" s="387">
        <v>45930</v>
      </c>
      <c r="N27" s="680"/>
      <c r="O27" s="680"/>
      <c r="P27" s="363"/>
      <c r="Q27" s="380"/>
      <c r="R27" s="363"/>
      <c r="S27" s="390" t="s">
        <v>222</v>
      </c>
      <c r="T27" s="363" t="s">
        <v>223</v>
      </c>
      <c r="U27" s="390" t="s">
        <v>164</v>
      </c>
      <c r="V27" s="363" t="s">
        <v>224</v>
      </c>
      <c r="W27" s="390" t="s">
        <v>166</v>
      </c>
      <c r="X27" s="363" t="s">
        <v>225</v>
      </c>
      <c r="Y27" s="390" t="s">
        <v>226</v>
      </c>
      <c r="Z27" s="363" t="s">
        <v>227</v>
      </c>
      <c r="AA27" s="363"/>
      <c r="AB27" s="363"/>
      <c r="AC27" s="363"/>
      <c r="AD27" s="363"/>
      <c r="AE27" s="363" t="s">
        <v>96</v>
      </c>
      <c r="AF27" s="380" t="s">
        <v>97</v>
      </c>
      <c r="AG27" s="380" t="s">
        <v>98</v>
      </c>
      <c r="AH27" s="363"/>
    </row>
    <row r="28" spans="2:34" ht="14.4" hidden="1" x14ac:dyDescent="0.3">
      <c r="B28" s="380" t="s">
        <v>14</v>
      </c>
      <c r="C28" s="363" t="s">
        <v>85</v>
      </c>
      <c r="D28" s="386" t="s">
        <v>86</v>
      </c>
      <c r="E28" s="393" t="s">
        <v>215</v>
      </c>
      <c r="F28" s="753">
        <v>45204</v>
      </c>
      <c r="G28" s="380" t="s">
        <v>55</v>
      </c>
      <c r="H28" s="380">
        <v>4</v>
      </c>
      <c r="I28" s="395">
        <f>696000/3</f>
        <v>232000</v>
      </c>
      <c r="J28" s="380">
        <v>4</v>
      </c>
      <c r="K28" s="389">
        <f t="shared" si="0"/>
        <v>58000</v>
      </c>
      <c r="L28" s="387">
        <v>45931</v>
      </c>
      <c r="M28" s="387">
        <v>46295</v>
      </c>
      <c r="N28" s="680"/>
      <c r="O28" s="680"/>
      <c r="P28" s="363" t="s">
        <v>19</v>
      </c>
      <c r="Q28" s="380" t="s">
        <v>1231</v>
      </c>
      <c r="R28" s="363"/>
      <c r="S28" s="390" t="s">
        <v>228</v>
      </c>
      <c r="T28" s="363" t="s">
        <v>229</v>
      </c>
      <c r="U28" s="390" t="s">
        <v>172</v>
      </c>
      <c r="V28" s="363" t="s">
        <v>230</v>
      </c>
      <c r="W28" s="390" t="s">
        <v>174</v>
      </c>
      <c r="X28" s="363" t="s">
        <v>1845</v>
      </c>
      <c r="Y28" s="390" t="s">
        <v>231</v>
      </c>
      <c r="Z28" s="363" t="s">
        <v>2012</v>
      </c>
      <c r="AA28" s="363"/>
      <c r="AB28" s="363"/>
      <c r="AC28" s="363"/>
      <c r="AD28" s="363"/>
      <c r="AE28" s="363" t="s">
        <v>96</v>
      </c>
      <c r="AF28" s="380" t="s">
        <v>97</v>
      </c>
      <c r="AG28" s="380" t="s">
        <v>98</v>
      </c>
      <c r="AH28" s="363"/>
    </row>
    <row r="29" spans="2:34" ht="14.4" x14ac:dyDescent="0.3">
      <c r="B29" s="380" t="s">
        <v>14</v>
      </c>
      <c r="C29" s="363" t="s">
        <v>232</v>
      </c>
      <c r="D29" s="386" t="s">
        <v>86</v>
      </c>
      <c r="E29" s="380">
        <v>115885</v>
      </c>
      <c r="F29" s="753">
        <v>45269</v>
      </c>
      <c r="G29" s="380" t="s">
        <v>55</v>
      </c>
      <c r="H29" s="380"/>
      <c r="I29" s="388">
        <f>432000/3</f>
        <v>144000</v>
      </c>
      <c r="J29" s="380">
        <v>4</v>
      </c>
      <c r="K29" s="389">
        <f t="shared" si="0"/>
        <v>36000</v>
      </c>
      <c r="L29" s="387">
        <v>45261</v>
      </c>
      <c r="M29" s="387">
        <v>45626</v>
      </c>
      <c r="N29" s="680"/>
      <c r="O29" s="680"/>
      <c r="P29" s="363" t="s">
        <v>520</v>
      </c>
      <c r="Q29" s="380"/>
      <c r="R29" s="363"/>
      <c r="S29" s="390" t="s">
        <v>233</v>
      </c>
      <c r="T29" s="363" t="s">
        <v>234</v>
      </c>
      <c r="U29" s="390" t="s">
        <v>235</v>
      </c>
      <c r="V29" s="363" t="s">
        <v>203</v>
      </c>
      <c r="W29" s="390" t="s">
        <v>236</v>
      </c>
      <c r="X29" s="363" t="s">
        <v>237</v>
      </c>
      <c r="Y29" s="390" t="s">
        <v>238</v>
      </c>
      <c r="Z29" s="363" t="s">
        <v>239</v>
      </c>
      <c r="AA29" s="363"/>
      <c r="AB29" s="363"/>
      <c r="AC29" s="363"/>
      <c r="AD29" s="363"/>
      <c r="AE29" s="363" t="s">
        <v>96</v>
      </c>
      <c r="AF29" s="380" t="s">
        <v>97</v>
      </c>
      <c r="AG29" s="380" t="s">
        <v>98</v>
      </c>
      <c r="AH29" s="363"/>
    </row>
    <row r="30" spans="2:34" ht="14.4" x14ac:dyDescent="0.3">
      <c r="B30" s="380" t="s">
        <v>14</v>
      </c>
      <c r="C30" s="363" t="s">
        <v>232</v>
      </c>
      <c r="D30" s="386" t="s">
        <v>86</v>
      </c>
      <c r="E30" s="380">
        <v>115885</v>
      </c>
      <c r="F30" s="753">
        <v>45269</v>
      </c>
      <c r="G30" s="380" t="s">
        <v>55</v>
      </c>
      <c r="H30" s="380"/>
      <c r="I30" s="388">
        <f>432000/3</f>
        <v>144000</v>
      </c>
      <c r="J30" s="380">
        <v>4</v>
      </c>
      <c r="K30" s="389">
        <f t="shared" si="0"/>
        <v>36000</v>
      </c>
      <c r="L30" s="387">
        <v>45627</v>
      </c>
      <c r="M30" s="387">
        <v>45991</v>
      </c>
      <c r="N30" s="680"/>
      <c r="O30" s="680"/>
      <c r="P30" s="363" t="s">
        <v>520</v>
      </c>
      <c r="Q30" s="380"/>
      <c r="R30" s="363"/>
      <c r="S30" s="390" t="s">
        <v>240</v>
      </c>
      <c r="T30" s="363" t="s">
        <v>241</v>
      </c>
      <c r="U30" s="390" t="s">
        <v>242</v>
      </c>
      <c r="V30" s="363" t="s">
        <v>243</v>
      </c>
      <c r="W30" s="390" t="s">
        <v>244</v>
      </c>
      <c r="X30" s="363" t="s">
        <v>245</v>
      </c>
      <c r="Y30" s="390" t="s">
        <v>246</v>
      </c>
      <c r="Z30" s="363" t="s">
        <v>247</v>
      </c>
      <c r="AA30" s="363"/>
      <c r="AB30" s="363"/>
      <c r="AC30" s="363"/>
      <c r="AD30" s="363"/>
      <c r="AE30" s="363" t="s">
        <v>96</v>
      </c>
      <c r="AF30" s="380" t="s">
        <v>97</v>
      </c>
      <c r="AG30" s="380" t="s">
        <v>98</v>
      </c>
      <c r="AH30" s="363"/>
    </row>
    <row r="31" spans="2:34" ht="14.4" x14ac:dyDescent="0.3">
      <c r="B31" s="380" t="s">
        <v>14</v>
      </c>
      <c r="C31" s="363" t="s">
        <v>232</v>
      </c>
      <c r="D31" s="386" t="s">
        <v>86</v>
      </c>
      <c r="E31" s="380">
        <v>115885</v>
      </c>
      <c r="F31" s="753">
        <v>45269</v>
      </c>
      <c r="G31" s="380" t="s">
        <v>55</v>
      </c>
      <c r="H31" s="380">
        <v>2</v>
      </c>
      <c r="I31" s="388">
        <f>432000/3</f>
        <v>144000</v>
      </c>
      <c r="J31" s="380">
        <v>4</v>
      </c>
      <c r="K31" s="391">
        <f t="shared" si="0"/>
        <v>36000</v>
      </c>
      <c r="L31" s="387">
        <v>45992</v>
      </c>
      <c r="M31" s="387">
        <v>46356</v>
      </c>
      <c r="N31" s="680">
        <v>154899</v>
      </c>
      <c r="O31" s="680"/>
      <c r="P31" s="363" t="s">
        <v>520</v>
      </c>
      <c r="Q31" s="380"/>
      <c r="R31" s="363"/>
      <c r="S31" s="390" t="s">
        <v>248</v>
      </c>
      <c r="T31" s="363" t="s">
        <v>249</v>
      </c>
      <c r="U31" s="390" t="s">
        <v>250</v>
      </c>
      <c r="V31" s="363" t="s">
        <v>251</v>
      </c>
      <c r="W31" s="390" t="s">
        <v>252</v>
      </c>
      <c r="X31" s="363" t="s">
        <v>2013</v>
      </c>
      <c r="Y31" s="363" t="s">
        <v>253</v>
      </c>
      <c r="Z31" s="363"/>
      <c r="AA31" s="363"/>
      <c r="AB31" s="363"/>
      <c r="AC31" s="363"/>
      <c r="AD31" s="363"/>
      <c r="AE31" s="363" t="s">
        <v>96</v>
      </c>
      <c r="AF31" s="380" t="s">
        <v>97</v>
      </c>
      <c r="AG31" s="380" t="s">
        <v>98</v>
      </c>
      <c r="AH31" s="363"/>
    </row>
    <row r="32" spans="2:34" ht="14.4" hidden="1" x14ac:dyDescent="0.3">
      <c r="B32" s="380" t="s">
        <v>14</v>
      </c>
      <c r="C32" s="363" t="s">
        <v>254</v>
      </c>
      <c r="D32" s="386" t="s">
        <v>86</v>
      </c>
      <c r="E32" s="380" t="s">
        <v>255</v>
      </c>
      <c r="F32" s="753">
        <v>45323</v>
      </c>
      <c r="G32" s="380" t="s">
        <v>55</v>
      </c>
      <c r="H32" s="380"/>
      <c r="I32" s="388">
        <f>354000/2</f>
        <v>177000</v>
      </c>
      <c r="J32" s="380">
        <v>4</v>
      </c>
      <c r="K32" s="389">
        <f t="shared" si="0"/>
        <v>44250</v>
      </c>
      <c r="L32" s="387">
        <v>45323</v>
      </c>
      <c r="M32" s="387">
        <v>45688</v>
      </c>
      <c r="N32" s="680"/>
      <c r="O32" s="680"/>
      <c r="P32" s="363"/>
      <c r="Q32" s="380"/>
      <c r="R32" s="380"/>
      <c r="S32" s="390" t="s">
        <v>256</v>
      </c>
      <c r="T32" s="363" t="s">
        <v>257</v>
      </c>
      <c r="U32" s="390" t="s">
        <v>258</v>
      </c>
      <c r="V32" s="363" t="s">
        <v>259</v>
      </c>
      <c r="W32" s="390" t="s">
        <v>260</v>
      </c>
      <c r="X32" s="363" t="s">
        <v>261</v>
      </c>
      <c r="Y32" s="390" t="s">
        <v>262</v>
      </c>
      <c r="Z32" s="390" t="s">
        <v>263</v>
      </c>
      <c r="AA32" s="363"/>
      <c r="AB32" s="363"/>
      <c r="AC32" s="363"/>
      <c r="AD32" s="363"/>
      <c r="AE32" s="363" t="s">
        <v>96</v>
      </c>
      <c r="AF32" s="380" t="s">
        <v>97</v>
      </c>
      <c r="AG32" s="380" t="s">
        <v>98</v>
      </c>
      <c r="AH32" s="363"/>
    </row>
    <row r="33" spans="2:34" ht="14.4" hidden="1" x14ac:dyDescent="0.3">
      <c r="B33" s="380" t="s">
        <v>14</v>
      </c>
      <c r="C33" s="363" t="s">
        <v>254</v>
      </c>
      <c r="D33" s="386" t="s">
        <v>86</v>
      </c>
      <c r="E33" s="380" t="s">
        <v>255</v>
      </c>
      <c r="F33" s="753">
        <v>45323</v>
      </c>
      <c r="G33" s="380" t="s">
        <v>55</v>
      </c>
      <c r="H33" s="380"/>
      <c r="I33" s="388">
        <f>354000/2</f>
        <v>177000</v>
      </c>
      <c r="J33" s="380">
        <v>4</v>
      </c>
      <c r="K33" s="389">
        <f t="shared" si="0"/>
        <v>44250</v>
      </c>
      <c r="L33" s="387">
        <v>45689</v>
      </c>
      <c r="M33" s="387">
        <v>46053</v>
      </c>
      <c r="N33" s="680"/>
      <c r="O33" s="680"/>
      <c r="P33" s="363"/>
      <c r="Q33" s="380"/>
      <c r="R33" s="380"/>
      <c r="S33" s="390" t="s">
        <v>264</v>
      </c>
      <c r="T33" s="363" t="s">
        <v>265</v>
      </c>
      <c r="U33" s="390" t="s">
        <v>266</v>
      </c>
      <c r="V33" s="363" t="s">
        <v>145</v>
      </c>
      <c r="W33" s="390" t="s">
        <v>267</v>
      </c>
      <c r="X33" s="363" t="s">
        <v>268</v>
      </c>
      <c r="Y33" s="390" t="s">
        <v>269</v>
      </c>
      <c r="Z33" s="363" t="s">
        <v>270</v>
      </c>
      <c r="AA33" s="363"/>
      <c r="AB33" s="363"/>
      <c r="AC33" s="363"/>
      <c r="AD33" s="363"/>
      <c r="AE33" s="363" t="s">
        <v>96</v>
      </c>
      <c r="AF33" s="380" t="s">
        <v>97</v>
      </c>
      <c r="AG33" s="380" t="s">
        <v>98</v>
      </c>
      <c r="AH33" s="363"/>
    </row>
    <row r="34" spans="2:34" ht="14.4" hidden="1" x14ac:dyDescent="0.3">
      <c r="B34" s="380" t="s">
        <v>14</v>
      </c>
      <c r="C34" s="363" t="s">
        <v>271</v>
      </c>
      <c r="D34" s="386" t="s">
        <v>86</v>
      </c>
      <c r="E34" s="380" t="s">
        <v>272</v>
      </c>
      <c r="F34" s="753">
        <v>45260</v>
      </c>
      <c r="G34" s="380" t="s">
        <v>55</v>
      </c>
      <c r="H34" s="380"/>
      <c r="I34" s="388">
        <v>186960</v>
      </c>
      <c r="J34" s="380">
        <v>4</v>
      </c>
      <c r="K34" s="389">
        <f t="shared" si="0"/>
        <v>46740</v>
      </c>
      <c r="L34" s="387">
        <v>45260</v>
      </c>
      <c r="M34" s="387">
        <v>45625</v>
      </c>
      <c r="N34" s="680"/>
      <c r="O34" s="680"/>
      <c r="P34" s="363"/>
      <c r="Q34" s="380"/>
      <c r="R34" s="380"/>
      <c r="S34" s="390" t="s">
        <v>273</v>
      </c>
      <c r="T34" s="363" t="s">
        <v>274</v>
      </c>
      <c r="U34" s="390" t="s">
        <v>275</v>
      </c>
      <c r="V34" s="363" t="s">
        <v>276</v>
      </c>
      <c r="W34" s="390" t="s">
        <v>277</v>
      </c>
      <c r="X34" s="363" t="s">
        <v>278</v>
      </c>
      <c r="Y34" s="390" t="s">
        <v>279</v>
      </c>
      <c r="Z34" s="363" t="s">
        <v>280</v>
      </c>
      <c r="AA34" s="363"/>
      <c r="AB34" s="363"/>
      <c r="AC34" s="363"/>
      <c r="AD34" s="363"/>
      <c r="AE34" s="363" t="s">
        <v>281</v>
      </c>
      <c r="AF34" s="380" t="s">
        <v>97</v>
      </c>
      <c r="AG34" s="380" t="s">
        <v>98</v>
      </c>
      <c r="AH34" s="363"/>
    </row>
    <row r="35" spans="2:34" ht="14.4" hidden="1" x14ac:dyDescent="0.3">
      <c r="B35" s="380" t="s">
        <v>14</v>
      </c>
      <c r="C35" s="363" t="s">
        <v>271</v>
      </c>
      <c r="D35" s="386" t="s">
        <v>86</v>
      </c>
      <c r="E35" s="380" t="s">
        <v>272</v>
      </c>
      <c r="F35" s="753">
        <v>45260</v>
      </c>
      <c r="G35" s="380" t="s">
        <v>55</v>
      </c>
      <c r="H35" s="380"/>
      <c r="I35" s="388">
        <v>186960</v>
      </c>
      <c r="J35" s="380">
        <v>4</v>
      </c>
      <c r="K35" s="389">
        <f t="shared" si="0"/>
        <v>46740</v>
      </c>
      <c r="L35" s="387">
        <v>45626</v>
      </c>
      <c r="M35" s="387">
        <v>45990</v>
      </c>
      <c r="N35" s="680"/>
      <c r="O35" s="680"/>
      <c r="P35" s="363"/>
      <c r="Q35" s="380"/>
      <c r="R35" s="380"/>
      <c r="S35" s="390" t="s">
        <v>282</v>
      </c>
      <c r="T35" s="363" t="s">
        <v>283</v>
      </c>
      <c r="U35" s="390" t="s">
        <v>284</v>
      </c>
      <c r="V35" s="363" t="s">
        <v>285</v>
      </c>
      <c r="W35" s="390" t="s">
        <v>286</v>
      </c>
      <c r="X35" s="363" t="s">
        <v>287</v>
      </c>
      <c r="Y35" s="390" t="s">
        <v>288</v>
      </c>
      <c r="Z35" s="363" t="s">
        <v>289</v>
      </c>
      <c r="AA35" s="363"/>
      <c r="AB35" s="363"/>
      <c r="AC35" s="363"/>
      <c r="AD35" s="363"/>
      <c r="AE35" s="363" t="s">
        <v>281</v>
      </c>
      <c r="AF35" s="380" t="s">
        <v>97</v>
      </c>
      <c r="AG35" s="380" t="s">
        <v>98</v>
      </c>
      <c r="AH35" s="363"/>
    </row>
    <row r="36" spans="2:34" ht="14.4" x14ac:dyDescent="0.3">
      <c r="B36" s="380" t="s">
        <v>14</v>
      </c>
      <c r="C36" s="363" t="s">
        <v>271</v>
      </c>
      <c r="D36" s="386" t="s">
        <v>86</v>
      </c>
      <c r="E36" s="380" t="s">
        <v>272</v>
      </c>
      <c r="F36" s="753">
        <v>45260</v>
      </c>
      <c r="G36" s="380" t="s">
        <v>55</v>
      </c>
      <c r="H36" s="380">
        <v>2</v>
      </c>
      <c r="I36" s="388">
        <v>186960</v>
      </c>
      <c r="J36" s="380">
        <v>4</v>
      </c>
      <c r="K36" s="391">
        <f t="shared" si="0"/>
        <v>46740</v>
      </c>
      <c r="L36" s="387">
        <v>45991</v>
      </c>
      <c r="M36" s="387">
        <v>46355</v>
      </c>
      <c r="N36" s="680">
        <v>154893</v>
      </c>
      <c r="O36" s="680">
        <v>4754</v>
      </c>
      <c r="P36" s="363" t="s">
        <v>520</v>
      </c>
      <c r="Q36" s="380"/>
      <c r="R36" s="380"/>
      <c r="S36" s="390" t="s">
        <v>290</v>
      </c>
      <c r="T36" s="363" t="s">
        <v>291</v>
      </c>
      <c r="U36" s="390" t="s">
        <v>292</v>
      </c>
      <c r="V36" s="363" t="s">
        <v>1711</v>
      </c>
      <c r="W36" s="390" t="s">
        <v>293</v>
      </c>
      <c r="X36" s="363" t="s">
        <v>2014</v>
      </c>
      <c r="Y36" s="363" t="s">
        <v>294</v>
      </c>
      <c r="Z36" s="363"/>
      <c r="AA36" s="363"/>
      <c r="AB36" s="363"/>
      <c r="AC36" s="363"/>
      <c r="AD36" s="363"/>
      <c r="AE36" s="363" t="s">
        <v>281</v>
      </c>
      <c r="AF36" s="380" t="s">
        <v>97</v>
      </c>
      <c r="AG36" s="380" t="s">
        <v>98</v>
      </c>
      <c r="AH36" s="363"/>
    </row>
    <row r="37" spans="2:34" ht="14.4" hidden="1" x14ac:dyDescent="0.3">
      <c r="B37" s="380" t="s">
        <v>14</v>
      </c>
      <c r="C37" s="363" t="s">
        <v>295</v>
      </c>
      <c r="D37" s="386" t="s">
        <v>296</v>
      </c>
      <c r="E37" s="380" t="s">
        <v>297</v>
      </c>
      <c r="F37" s="753">
        <v>45337</v>
      </c>
      <c r="G37" s="380" t="s">
        <v>55</v>
      </c>
      <c r="H37" s="380"/>
      <c r="I37" s="388">
        <v>898776</v>
      </c>
      <c r="J37" s="380">
        <v>3</v>
      </c>
      <c r="K37" s="389">
        <f t="shared" si="0"/>
        <v>299592</v>
      </c>
      <c r="L37" s="387">
        <v>45352</v>
      </c>
      <c r="M37" s="387">
        <v>45716</v>
      </c>
      <c r="N37" s="680"/>
      <c r="O37" s="680"/>
      <c r="P37" s="363"/>
      <c r="Q37" s="380"/>
      <c r="R37" s="380"/>
      <c r="S37" s="390" t="s">
        <v>298</v>
      </c>
      <c r="T37" s="363" t="s">
        <v>299</v>
      </c>
      <c r="U37" s="390" t="s">
        <v>300</v>
      </c>
      <c r="V37" s="363" t="s">
        <v>122</v>
      </c>
      <c r="W37" s="390" t="s">
        <v>301</v>
      </c>
      <c r="X37" s="363" t="s">
        <v>302</v>
      </c>
      <c r="Y37" s="363"/>
      <c r="Z37" s="363"/>
      <c r="AA37" s="363"/>
      <c r="AB37" s="363"/>
      <c r="AC37" s="363"/>
      <c r="AD37" s="363"/>
      <c r="AE37" s="363" t="s">
        <v>281</v>
      </c>
      <c r="AF37" s="380" t="s">
        <v>97</v>
      </c>
      <c r="AG37" s="380">
        <f>9*3</f>
        <v>27</v>
      </c>
      <c r="AH37" s="363"/>
    </row>
    <row r="38" spans="2:34" ht="14.4" hidden="1" x14ac:dyDescent="0.3">
      <c r="B38" s="380" t="s">
        <v>14</v>
      </c>
      <c r="C38" s="363" t="s">
        <v>295</v>
      </c>
      <c r="D38" s="386" t="s">
        <v>296</v>
      </c>
      <c r="E38" s="380" t="s">
        <v>297</v>
      </c>
      <c r="F38" s="753">
        <v>45337</v>
      </c>
      <c r="G38" s="380" t="s">
        <v>55</v>
      </c>
      <c r="H38" s="380">
        <v>9</v>
      </c>
      <c r="I38" s="388">
        <v>898776</v>
      </c>
      <c r="J38" s="380">
        <v>3</v>
      </c>
      <c r="K38" s="389">
        <f t="shared" si="0"/>
        <v>299592</v>
      </c>
      <c r="L38" s="387">
        <v>45717</v>
      </c>
      <c r="M38" s="387">
        <v>46081</v>
      </c>
      <c r="N38" s="680"/>
      <c r="O38" s="680"/>
      <c r="P38" s="363" t="s">
        <v>19</v>
      </c>
      <c r="Q38" s="380" t="s">
        <v>2</v>
      </c>
      <c r="R38" s="380"/>
      <c r="S38" s="390" t="s">
        <v>303</v>
      </c>
      <c r="T38" s="363" t="s">
        <v>304</v>
      </c>
      <c r="U38" s="390" t="s">
        <v>305</v>
      </c>
      <c r="V38" s="363" t="s">
        <v>306</v>
      </c>
      <c r="W38" s="390" t="s">
        <v>307</v>
      </c>
      <c r="X38" s="363" t="s">
        <v>193</v>
      </c>
      <c r="Y38" s="363"/>
      <c r="Z38" s="363"/>
      <c r="AA38" s="363"/>
      <c r="AB38" s="363"/>
      <c r="AC38" s="363"/>
      <c r="AD38" s="363"/>
      <c r="AE38" s="363" t="s">
        <v>281</v>
      </c>
      <c r="AF38" s="380" t="s">
        <v>97</v>
      </c>
      <c r="AG38" s="380">
        <f>9*3</f>
        <v>27</v>
      </c>
      <c r="AH38" s="363"/>
    </row>
    <row r="39" spans="2:34" ht="14.4" hidden="1" x14ac:dyDescent="0.3">
      <c r="B39" s="380" t="s">
        <v>14</v>
      </c>
      <c r="C39" s="363" t="s">
        <v>76</v>
      </c>
      <c r="D39" s="386" t="s">
        <v>151</v>
      </c>
      <c r="E39" s="380">
        <v>4700004976</v>
      </c>
      <c r="F39" s="753">
        <v>45097</v>
      </c>
      <c r="G39" s="380" t="s">
        <v>55</v>
      </c>
      <c r="H39" s="380"/>
      <c r="I39" s="388">
        <f>261000/3</f>
        <v>87000</v>
      </c>
      <c r="J39" s="380">
        <v>3</v>
      </c>
      <c r="K39" s="389">
        <f t="shared" ref="K39:K70" si="1">I39/J39</f>
        <v>29000</v>
      </c>
      <c r="L39" s="387">
        <v>45078</v>
      </c>
      <c r="M39" s="387">
        <v>45443</v>
      </c>
      <c r="N39" s="680"/>
      <c r="O39" s="680"/>
      <c r="P39" s="363"/>
      <c r="Q39" s="380"/>
      <c r="R39" s="380"/>
      <c r="S39" s="390" t="s">
        <v>308</v>
      </c>
      <c r="T39" s="363" t="s">
        <v>309</v>
      </c>
      <c r="U39" s="390" t="s">
        <v>310</v>
      </c>
      <c r="V39" s="363" t="s">
        <v>311</v>
      </c>
      <c r="W39" s="390" t="s">
        <v>312</v>
      </c>
      <c r="X39" s="363" t="s">
        <v>313</v>
      </c>
      <c r="Y39" s="363"/>
      <c r="Z39" s="363"/>
      <c r="AA39" s="363"/>
      <c r="AB39" s="363"/>
      <c r="AC39" s="363"/>
      <c r="AD39" s="363"/>
      <c r="AE39" s="363" t="s">
        <v>62</v>
      </c>
      <c r="AF39" s="380" t="s">
        <v>63</v>
      </c>
      <c r="AG39" s="380"/>
      <c r="AH39" s="363"/>
    </row>
    <row r="40" spans="2:34" ht="14.4" hidden="1" x14ac:dyDescent="0.3">
      <c r="B40" s="380" t="s">
        <v>14</v>
      </c>
      <c r="C40" s="363" t="s">
        <v>76</v>
      </c>
      <c r="D40" s="386" t="s">
        <v>151</v>
      </c>
      <c r="E40" s="380">
        <v>4700004976</v>
      </c>
      <c r="F40" s="753">
        <v>45097</v>
      </c>
      <c r="G40" s="380" t="s">
        <v>55</v>
      </c>
      <c r="H40" s="380"/>
      <c r="I40" s="388">
        <f>261000/3</f>
        <v>87000</v>
      </c>
      <c r="J40" s="380">
        <v>3</v>
      </c>
      <c r="K40" s="389">
        <f t="shared" si="1"/>
        <v>29000</v>
      </c>
      <c r="L40" s="387">
        <v>45444</v>
      </c>
      <c r="M40" s="387">
        <v>45808</v>
      </c>
      <c r="N40" s="680"/>
      <c r="O40" s="680"/>
      <c r="P40" s="363"/>
      <c r="Q40" s="380"/>
      <c r="R40" s="380"/>
      <c r="S40" s="390" t="s">
        <v>314</v>
      </c>
      <c r="T40" s="363" t="s">
        <v>315</v>
      </c>
      <c r="U40" s="390" t="s">
        <v>316</v>
      </c>
      <c r="V40" s="363" t="s">
        <v>317</v>
      </c>
      <c r="W40" s="390" t="s">
        <v>318</v>
      </c>
      <c r="X40" s="363" t="s">
        <v>319</v>
      </c>
      <c r="Y40" s="363"/>
      <c r="Z40" s="363"/>
      <c r="AA40" s="363"/>
      <c r="AB40" s="363"/>
      <c r="AC40" s="363"/>
      <c r="AD40" s="363"/>
      <c r="AE40" s="363" t="s">
        <v>62</v>
      </c>
      <c r="AF40" s="380" t="s">
        <v>63</v>
      </c>
      <c r="AG40" s="380"/>
      <c r="AH40" s="363"/>
    </row>
    <row r="41" spans="2:34" ht="14.4" hidden="1" x14ac:dyDescent="0.3">
      <c r="B41" s="380" t="s">
        <v>14</v>
      </c>
      <c r="C41" s="363" t="s">
        <v>76</v>
      </c>
      <c r="D41" s="386" t="s">
        <v>151</v>
      </c>
      <c r="E41" s="380">
        <v>4700004976</v>
      </c>
      <c r="F41" s="753">
        <v>45097</v>
      </c>
      <c r="G41" s="380" t="s">
        <v>55</v>
      </c>
      <c r="H41" s="380">
        <v>1</v>
      </c>
      <c r="I41" s="388">
        <f>261000/3</f>
        <v>87000</v>
      </c>
      <c r="J41" s="380">
        <v>3</v>
      </c>
      <c r="K41" s="391">
        <f t="shared" si="1"/>
        <v>29000</v>
      </c>
      <c r="L41" s="387">
        <v>45809</v>
      </c>
      <c r="M41" s="387">
        <v>46173</v>
      </c>
      <c r="N41" s="680"/>
      <c r="O41" s="680"/>
      <c r="P41" s="363" t="s">
        <v>19</v>
      </c>
      <c r="Q41" s="380" t="s">
        <v>6</v>
      </c>
      <c r="R41" s="380"/>
      <c r="S41" s="390" t="s">
        <v>81</v>
      </c>
      <c r="T41" s="363" t="s">
        <v>82</v>
      </c>
      <c r="U41" s="390" t="s">
        <v>83</v>
      </c>
      <c r="V41" s="363" t="s">
        <v>320</v>
      </c>
      <c r="W41" s="390" t="s">
        <v>321</v>
      </c>
      <c r="X41" s="363" t="s">
        <v>1712</v>
      </c>
      <c r="Y41" s="363"/>
      <c r="Z41" s="363"/>
      <c r="AA41" s="363"/>
      <c r="AB41" s="363"/>
      <c r="AC41" s="363"/>
      <c r="AD41" s="363"/>
      <c r="AE41" s="363" t="s">
        <v>62</v>
      </c>
      <c r="AF41" s="380" t="s">
        <v>63</v>
      </c>
      <c r="AG41" s="380"/>
      <c r="AH41" s="363"/>
    </row>
    <row r="42" spans="2:34" ht="14.4" hidden="1" x14ac:dyDescent="0.3">
      <c r="B42" s="380" t="s">
        <v>14</v>
      </c>
      <c r="C42" s="363" t="s">
        <v>322</v>
      </c>
      <c r="D42" s="386" t="s">
        <v>323</v>
      </c>
      <c r="E42" s="380">
        <v>401186595</v>
      </c>
      <c r="F42" s="753">
        <v>45357</v>
      </c>
      <c r="G42" s="380" t="s">
        <v>55</v>
      </c>
      <c r="H42" s="380">
        <v>2</v>
      </c>
      <c r="I42" s="388">
        <v>380004</v>
      </c>
      <c r="J42" s="380">
        <v>4</v>
      </c>
      <c r="K42" s="389">
        <f t="shared" si="1"/>
        <v>95001</v>
      </c>
      <c r="L42" s="387">
        <v>45413</v>
      </c>
      <c r="M42" s="387">
        <v>46142</v>
      </c>
      <c r="N42" s="680"/>
      <c r="O42" s="680"/>
      <c r="P42" s="363" t="s">
        <v>19</v>
      </c>
      <c r="Q42" s="380" t="s">
        <v>5</v>
      </c>
      <c r="R42" s="380"/>
      <c r="S42" s="390" t="s">
        <v>324</v>
      </c>
      <c r="T42" s="363" t="s">
        <v>325</v>
      </c>
      <c r="U42" s="390" t="s">
        <v>326</v>
      </c>
      <c r="V42" s="363" t="s">
        <v>327</v>
      </c>
      <c r="W42" s="390" t="s">
        <v>328</v>
      </c>
      <c r="X42" s="363" t="s">
        <v>329</v>
      </c>
      <c r="Y42" s="390" t="s">
        <v>330</v>
      </c>
      <c r="Z42" s="363" t="s">
        <v>331</v>
      </c>
      <c r="AA42" s="363"/>
      <c r="AB42" s="363"/>
      <c r="AC42" s="363"/>
      <c r="AD42" s="363"/>
      <c r="AE42" s="363" t="s">
        <v>96</v>
      </c>
      <c r="AF42" s="380" t="s">
        <v>97</v>
      </c>
      <c r="AG42" s="380">
        <v>16</v>
      </c>
      <c r="AH42" s="363" t="s">
        <v>332</v>
      </c>
    </row>
    <row r="43" spans="2:34" ht="14.4" hidden="1" x14ac:dyDescent="0.3">
      <c r="B43" s="380" t="s">
        <v>14</v>
      </c>
      <c r="C43" s="363" t="s">
        <v>333</v>
      </c>
      <c r="D43" s="386" t="s">
        <v>151</v>
      </c>
      <c r="E43" s="380">
        <v>8163932</v>
      </c>
      <c r="F43" s="753">
        <v>45418</v>
      </c>
      <c r="G43" s="380" t="s">
        <v>55</v>
      </c>
      <c r="H43" s="380"/>
      <c r="I43" s="388">
        <f>232497/3</f>
        <v>77499</v>
      </c>
      <c r="J43" s="380">
        <v>3</v>
      </c>
      <c r="K43" s="389">
        <f t="shared" si="1"/>
        <v>25833</v>
      </c>
      <c r="L43" s="387">
        <v>45292</v>
      </c>
      <c r="M43" s="387">
        <v>45657</v>
      </c>
      <c r="N43" s="680"/>
      <c r="O43" s="680"/>
      <c r="P43" s="363"/>
      <c r="Q43" s="380"/>
      <c r="R43" s="380"/>
      <c r="S43" s="390" t="s">
        <v>334</v>
      </c>
      <c r="T43" s="363" t="s">
        <v>335</v>
      </c>
      <c r="U43" s="390" t="s">
        <v>336</v>
      </c>
      <c r="V43" s="363" t="s">
        <v>337</v>
      </c>
      <c r="W43" s="390" t="s">
        <v>338</v>
      </c>
      <c r="X43" s="363" t="s">
        <v>339</v>
      </c>
      <c r="Y43" s="363"/>
      <c r="Z43" s="363"/>
      <c r="AA43" s="363"/>
      <c r="AB43" s="363"/>
      <c r="AC43" s="363"/>
      <c r="AD43" s="363"/>
      <c r="AE43" s="363" t="s">
        <v>62</v>
      </c>
      <c r="AF43" s="380" t="s">
        <v>63</v>
      </c>
      <c r="AG43" s="380">
        <v>3</v>
      </c>
      <c r="AH43" s="363" t="s">
        <v>340</v>
      </c>
    </row>
    <row r="44" spans="2:34" ht="14.4" hidden="1" x14ac:dyDescent="0.3">
      <c r="B44" s="380" t="s">
        <v>14</v>
      </c>
      <c r="C44" s="363" t="s">
        <v>333</v>
      </c>
      <c r="D44" s="386" t="s">
        <v>151</v>
      </c>
      <c r="E44" s="380">
        <v>8163932</v>
      </c>
      <c r="F44" s="753">
        <v>45418</v>
      </c>
      <c r="G44" s="380" t="s">
        <v>55</v>
      </c>
      <c r="H44" s="380"/>
      <c r="I44" s="388">
        <f>232497/3</f>
        <v>77499</v>
      </c>
      <c r="J44" s="380">
        <v>3</v>
      </c>
      <c r="K44" s="389">
        <f t="shared" si="1"/>
        <v>25833</v>
      </c>
      <c r="L44" s="387">
        <v>45658</v>
      </c>
      <c r="M44" s="387">
        <v>46022</v>
      </c>
      <c r="N44" s="680"/>
      <c r="O44" s="680"/>
      <c r="P44" s="363"/>
      <c r="Q44" s="380"/>
      <c r="R44" s="380"/>
      <c r="S44" s="390" t="s">
        <v>341</v>
      </c>
      <c r="T44" s="363" t="s">
        <v>342</v>
      </c>
      <c r="U44" s="390" t="s">
        <v>343</v>
      </c>
      <c r="V44" s="363" t="s">
        <v>344</v>
      </c>
      <c r="W44" s="390" t="s">
        <v>345</v>
      </c>
      <c r="X44" s="363" t="s">
        <v>346</v>
      </c>
      <c r="Y44" s="363"/>
      <c r="Z44" s="363"/>
      <c r="AA44" s="363"/>
      <c r="AB44" s="363"/>
      <c r="AC44" s="363"/>
      <c r="AD44" s="363"/>
      <c r="AE44" s="363" t="s">
        <v>62</v>
      </c>
      <c r="AF44" s="380" t="s">
        <v>63</v>
      </c>
      <c r="AG44" s="380">
        <v>3</v>
      </c>
      <c r="AH44" s="363" t="s">
        <v>340</v>
      </c>
    </row>
    <row r="45" spans="2:34" ht="14.4" x14ac:dyDescent="0.3">
      <c r="B45" s="380" t="s">
        <v>14</v>
      </c>
      <c r="C45" s="363" t="s">
        <v>333</v>
      </c>
      <c r="D45" s="386" t="s">
        <v>151</v>
      </c>
      <c r="E45" s="380">
        <v>8163932</v>
      </c>
      <c r="F45" s="753">
        <v>45418</v>
      </c>
      <c r="G45" s="380" t="s">
        <v>55</v>
      </c>
      <c r="H45" s="380">
        <v>1</v>
      </c>
      <c r="I45" s="388">
        <f>232497/3</f>
        <v>77499</v>
      </c>
      <c r="J45" s="380">
        <v>3</v>
      </c>
      <c r="K45" s="389">
        <f t="shared" si="1"/>
        <v>25833</v>
      </c>
      <c r="L45" s="387">
        <v>46023</v>
      </c>
      <c r="M45" s="387">
        <v>46387</v>
      </c>
      <c r="N45" s="680"/>
      <c r="O45" s="680"/>
      <c r="P45" s="363" t="s">
        <v>520</v>
      </c>
      <c r="Q45" s="380"/>
      <c r="R45" s="380"/>
      <c r="S45" s="390" t="s">
        <v>347</v>
      </c>
      <c r="T45" s="363" t="s">
        <v>986</v>
      </c>
      <c r="U45" s="363" t="s">
        <v>348</v>
      </c>
      <c r="V45" s="363" t="s">
        <v>2015</v>
      </c>
      <c r="W45" s="363" t="s">
        <v>349</v>
      </c>
      <c r="X45" s="363"/>
      <c r="Y45" s="363"/>
      <c r="Z45" s="363"/>
      <c r="AA45" s="363"/>
      <c r="AB45" s="363"/>
      <c r="AC45" s="363"/>
      <c r="AD45" s="363"/>
      <c r="AE45" s="363" t="s">
        <v>62</v>
      </c>
      <c r="AF45" s="380" t="s">
        <v>63</v>
      </c>
      <c r="AG45" s="380">
        <v>3</v>
      </c>
      <c r="AH45" s="363" t="s">
        <v>340</v>
      </c>
    </row>
    <row r="46" spans="2:34" ht="14.4" hidden="1" x14ac:dyDescent="0.3">
      <c r="B46" s="380" t="s">
        <v>14</v>
      </c>
      <c r="C46" s="392" t="s">
        <v>150</v>
      </c>
      <c r="D46" s="386" t="s">
        <v>350</v>
      </c>
      <c r="E46" s="380">
        <v>4200269912</v>
      </c>
      <c r="F46" s="753">
        <v>45355</v>
      </c>
      <c r="G46" s="380" t="s">
        <v>55</v>
      </c>
      <c r="H46" s="380"/>
      <c r="I46" s="388">
        <v>117500</v>
      </c>
      <c r="J46" s="380">
        <v>3</v>
      </c>
      <c r="K46" s="389">
        <f t="shared" si="1"/>
        <v>39166.666666666664</v>
      </c>
      <c r="L46" s="387">
        <v>45383</v>
      </c>
      <c r="M46" s="387">
        <v>45747</v>
      </c>
      <c r="N46" s="680"/>
      <c r="O46" s="680"/>
      <c r="P46" s="363"/>
      <c r="Q46" s="380"/>
      <c r="R46" s="380"/>
      <c r="S46" s="390" t="s">
        <v>351</v>
      </c>
      <c r="T46" s="363" t="s">
        <v>352</v>
      </c>
      <c r="U46" s="390" t="s">
        <v>353</v>
      </c>
      <c r="V46" s="363" t="s">
        <v>102</v>
      </c>
      <c r="W46" s="390" t="s">
        <v>354</v>
      </c>
      <c r="X46" s="363" t="s">
        <v>355</v>
      </c>
      <c r="Y46" s="363"/>
      <c r="Z46" s="363"/>
      <c r="AA46" s="363"/>
      <c r="AB46" s="363"/>
      <c r="AC46" s="363"/>
      <c r="AD46" s="363"/>
      <c r="AE46" s="363" t="s">
        <v>356</v>
      </c>
      <c r="AF46" s="380" t="s">
        <v>207</v>
      </c>
      <c r="AG46" s="380">
        <v>2</v>
      </c>
      <c r="AH46" s="363" t="s">
        <v>340</v>
      </c>
    </row>
    <row r="47" spans="2:34" ht="14.4" hidden="1" x14ac:dyDescent="0.3">
      <c r="B47" s="380" t="s">
        <v>14</v>
      </c>
      <c r="C47" s="392" t="s">
        <v>150</v>
      </c>
      <c r="D47" s="386" t="s">
        <v>350</v>
      </c>
      <c r="E47" s="380">
        <v>4200269912</v>
      </c>
      <c r="F47" s="753">
        <v>45355</v>
      </c>
      <c r="G47" s="380" t="s">
        <v>55</v>
      </c>
      <c r="H47" s="380">
        <v>1</v>
      </c>
      <c r="I47" s="388">
        <v>117500</v>
      </c>
      <c r="J47" s="380">
        <v>3</v>
      </c>
      <c r="K47" s="389">
        <f t="shared" si="1"/>
        <v>39166.666666666664</v>
      </c>
      <c r="L47" s="387">
        <v>45748</v>
      </c>
      <c r="M47" s="387">
        <v>46112</v>
      </c>
      <c r="N47" s="680"/>
      <c r="O47" s="680"/>
      <c r="P47" s="363" t="s">
        <v>19</v>
      </c>
      <c r="Q47" s="380" t="s">
        <v>3</v>
      </c>
      <c r="R47" s="380"/>
      <c r="S47" s="390" t="s">
        <v>357</v>
      </c>
      <c r="T47" s="363" t="s">
        <v>358</v>
      </c>
      <c r="U47" s="390" t="s">
        <v>359</v>
      </c>
      <c r="V47" s="363" t="s">
        <v>360</v>
      </c>
      <c r="W47" s="390" t="s">
        <v>361</v>
      </c>
      <c r="X47" s="363" t="s">
        <v>173</v>
      </c>
      <c r="Y47" s="363"/>
      <c r="Z47" s="363"/>
      <c r="AA47" s="363"/>
      <c r="AB47" s="363"/>
      <c r="AC47" s="363"/>
      <c r="AD47" s="363"/>
      <c r="AE47" s="363" t="s">
        <v>356</v>
      </c>
      <c r="AF47" s="380" t="s">
        <v>207</v>
      </c>
      <c r="AG47" s="380">
        <v>2</v>
      </c>
      <c r="AH47" s="363" t="s">
        <v>362</v>
      </c>
    </row>
    <row r="48" spans="2:34" ht="14.4" hidden="1" x14ac:dyDescent="0.3">
      <c r="B48" s="380" t="s">
        <v>14</v>
      </c>
      <c r="C48" s="363" t="s">
        <v>363</v>
      </c>
      <c r="D48" s="386" t="s">
        <v>364</v>
      </c>
      <c r="E48" s="380" t="s">
        <v>365</v>
      </c>
      <c r="F48" s="753">
        <v>45442</v>
      </c>
      <c r="G48" s="380" t="s">
        <v>55</v>
      </c>
      <c r="H48" s="380"/>
      <c r="I48" s="388">
        <v>362880</v>
      </c>
      <c r="J48" s="380">
        <v>2</v>
      </c>
      <c r="K48" s="389">
        <f t="shared" si="1"/>
        <v>181440</v>
      </c>
      <c r="L48" s="387">
        <v>45442</v>
      </c>
      <c r="M48" s="387">
        <v>45806</v>
      </c>
      <c r="N48" s="680"/>
      <c r="O48" s="680"/>
      <c r="P48" s="363"/>
      <c r="Q48" s="380"/>
      <c r="R48" s="380"/>
      <c r="S48" s="390" t="s">
        <v>366</v>
      </c>
      <c r="T48" s="363" t="s">
        <v>367</v>
      </c>
      <c r="U48" s="390" t="s">
        <v>368</v>
      </c>
      <c r="V48" s="363" t="s">
        <v>369</v>
      </c>
      <c r="W48" s="363"/>
      <c r="X48" s="363"/>
      <c r="Y48" s="363"/>
      <c r="Z48" s="363"/>
      <c r="AA48" s="363"/>
      <c r="AB48" s="363"/>
      <c r="AC48" s="363"/>
      <c r="AD48" s="363"/>
      <c r="AE48" s="363" t="s">
        <v>356</v>
      </c>
      <c r="AF48" s="380" t="s">
        <v>207</v>
      </c>
      <c r="AG48" s="380">
        <v>12</v>
      </c>
      <c r="AH48" s="363" t="s">
        <v>340</v>
      </c>
    </row>
    <row r="49" spans="2:34" ht="14.4" hidden="1" x14ac:dyDescent="0.3">
      <c r="B49" s="380" t="s">
        <v>14</v>
      </c>
      <c r="C49" s="363" t="s">
        <v>363</v>
      </c>
      <c r="D49" s="386" t="s">
        <v>364</v>
      </c>
      <c r="E49" s="380" t="s">
        <v>365</v>
      </c>
      <c r="F49" s="753">
        <v>45442</v>
      </c>
      <c r="G49" s="380" t="s">
        <v>55</v>
      </c>
      <c r="H49" s="380">
        <v>6</v>
      </c>
      <c r="I49" s="388">
        <v>362880</v>
      </c>
      <c r="J49" s="380">
        <v>2</v>
      </c>
      <c r="K49" s="389">
        <f t="shared" si="1"/>
        <v>181440</v>
      </c>
      <c r="L49" s="387">
        <v>45807</v>
      </c>
      <c r="M49" s="387">
        <v>46171</v>
      </c>
      <c r="N49" s="680"/>
      <c r="O49" s="680"/>
      <c r="P49" s="363" t="s">
        <v>19</v>
      </c>
      <c r="Q49" s="380" t="s">
        <v>6</v>
      </c>
      <c r="R49" s="380"/>
      <c r="S49" s="390" t="s">
        <v>370</v>
      </c>
      <c r="T49" s="363" t="s">
        <v>371</v>
      </c>
      <c r="U49" s="390" t="s">
        <v>372</v>
      </c>
      <c r="V49" s="363" t="s">
        <v>373</v>
      </c>
      <c r="W49" s="363"/>
      <c r="X49" s="363"/>
      <c r="Y49" s="363"/>
      <c r="Z49" s="363"/>
      <c r="AA49" s="363"/>
      <c r="AB49" s="363"/>
      <c r="AC49" s="363"/>
      <c r="AD49" s="363"/>
      <c r="AE49" s="363" t="s">
        <v>356</v>
      </c>
      <c r="AF49" s="380" t="s">
        <v>207</v>
      </c>
      <c r="AG49" s="380">
        <v>12</v>
      </c>
      <c r="AH49" s="363" t="s">
        <v>340</v>
      </c>
    </row>
    <row r="50" spans="2:34" ht="14.4" hidden="1" x14ac:dyDescent="0.3">
      <c r="B50" s="380" t="s">
        <v>14</v>
      </c>
      <c r="C50" s="363" t="s">
        <v>374</v>
      </c>
      <c r="D50" s="386" t="s">
        <v>375</v>
      </c>
      <c r="E50" s="380">
        <v>2260058861</v>
      </c>
      <c r="F50" s="753">
        <v>45450</v>
      </c>
      <c r="G50" s="380" t="s">
        <v>55</v>
      </c>
      <c r="H50" s="380"/>
      <c r="I50" s="388">
        <f>607992/2</f>
        <v>303996</v>
      </c>
      <c r="J50" s="380">
        <v>3</v>
      </c>
      <c r="K50" s="389">
        <f t="shared" si="1"/>
        <v>101332</v>
      </c>
      <c r="L50" s="387">
        <v>45383</v>
      </c>
      <c r="M50" s="387">
        <v>45747</v>
      </c>
      <c r="N50" s="680"/>
      <c r="O50" s="680"/>
      <c r="P50" s="363"/>
      <c r="Q50" s="380"/>
      <c r="R50" s="380"/>
      <c r="S50" s="390" t="s">
        <v>351</v>
      </c>
      <c r="T50" s="363" t="s">
        <v>376</v>
      </c>
      <c r="U50" s="390" t="s">
        <v>353</v>
      </c>
      <c r="V50" s="363" t="s">
        <v>377</v>
      </c>
      <c r="W50" s="390" t="s">
        <v>354</v>
      </c>
      <c r="X50" s="363" t="s">
        <v>378</v>
      </c>
      <c r="Y50" s="363"/>
      <c r="Z50" s="363"/>
      <c r="AA50" s="363"/>
      <c r="AB50" s="363"/>
      <c r="AC50" s="363"/>
      <c r="AD50" s="363"/>
      <c r="AE50" s="363" t="s">
        <v>62</v>
      </c>
      <c r="AF50" s="380" t="s">
        <v>63</v>
      </c>
      <c r="AG50" s="380">
        <v>12</v>
      </c>
      <c r="AH50" s="363" t="s">
        <v>340</v>
      </c>
    </row>
    <row r="51" spans="2:34" ht="14.4" hidden="1" x14ac:dyDescent="0.3">
      <c r="B51" s="380" t="s">
        <v>14</v>
      </c>
      <c r="C51" s="363" t="s">
        <v>374</v>
      </c>
      <c r="D51" s="386" t="s">
        <v>375</v>
      </c>
      <c r="E51" s="396">
        <v>2260058861</v>
      </c>
      <c r="F51" s="753">
        <v>45450</v>
      </c>
      <c r="G51" s="380" t="s">
        <v>55</v>
      </c>
      <c r="H51" s="380">
        <v>4</v>
      </c>
      <c r="I51" s="388">
        <f>607992/2</f>
        <v>303996</v>
      </c>
      <c r="J51" s="380">
        <v>3</v>
      </c>
      <c r="K51" s="389">
        <f t="shared" si="1"/>
        <v>101332</v>
      </c>
      <c r="L51" s="387">
        <v>45748</v>
      </c>
      <c r="M51" s="387">
        <v>46112</v>
      </c>
      <c r="N51" s="680"/>
      <c r="O51" s="680"/>
      <c r="P51" s="363" t="s">
        <v>19</v>
      </c>
      <c r="Q51" s="380" t="s">
        <v>3</v>
      </c>
      <c r="R51" s="380"/>
      <c r="S51" s="390" t="s">
        <v>357</v>
      </c>
      <c r="T51" s="363" t="s">
        <v>379</v>
      </c>
      <c r="U51" s="390" t="s">
        <v>359</v>
      </c>
      <c r="V51" s="363" t="s">
        <v>289</v>
      </c>
      <c r="W51" s="390" t="s">
        <v>361</v>
      </c>
      <c r="X51" s="363" t="s">
        <v>380</v>
      </c>
      <c r="Y51" s="363"/>
      <c r="Z51" s="363"/>
      <c r="AA51" s="363"/>
      <c r="AB51" s="363"/>
      <c r="AC51" s="363"/>
      <c r="AD51" s="363"/>
      <c r="AE51" s="363" t="s">
        <v>62</v>
      </c>
      <c r="AF51" s="380" t="s">
        <v>63</v>
      </c>
      <c r="AG51" s="380">
        <v>12</v>
      </c>
      <c r="AH51" s="363" t="s">
        <v>340</v>
      </c>
    </row>
    <row r="52" spans="2:34" ht="14.4" hidden="1" x14ac:dyDescent="0.3">
      <c r="B52" s="380" t="s">
        <v>14</v>
      </c>
      <c r="C52" s="363" t="s">
        <v>381</v>
      </c>
      <c r="D52" s="386" t="s">
        <v>86</v>
      </c>
      <c r="E52" s="397" t="s">
        <v>382</v>
      </c>
      <c r="F52" s="753">
        <v>45467</v>
      </c>
      <c r="G52" s="380" t="s">
        <v>55</v>
      </c>
      <c r="H52" s="380"/>
      <c r="I52" s="388">
        <f>3582696/2</f>
        <v>1791348</v>
      </c>
      <c r="J52" s="380">
        <v>3</v>
      </c>
      <c r="K52" s="389">
        <f t="shared" si="1"/>
        <v>597116</v>
      </c>
      <c r="L52" s="387">
        <v>45474</v>
      </c>
      <c r="M52" s="387">
        <v>45838</v>
      </c>
      <c r="N52" s="680"/>
      <c r="O52" s="680"/>
      <c r="P52" s="363"/>
      <c r="Q52" s="380"/>
      <c r="R52" s="380"/>
      <c r="S52" s="390" t="s">
        <v>184</v>
      </c>
      <c r="T52" s="363" t="s">
        <v>383</v>
      </c>
      <c r="U52" s="390" t="s">
        <v>186</v>
      </c>
      <c r="V52" s="363" t="s">
        <v>104</v>
      </c>
      <c r="W52" s="390" t="s">
        <v>188</v>
      </c>
      <c r="X52" s="363" t="s">
        <v>384</v>
      </c>
      <c r="Y52" s="363"/>
      <c r="Z52" s="363"/>
      <c r="AA52" s="363"/>
      <c r="AB52" s="363"/>
      <c r="AC52" s="363"/>
      <c r="AD52" s="363"/>
      <c r="AE52" s="363" t="s">
        <v>96</v>
      </c>
      <c r="AF52" s="380" t="s">
        <v>97</v>
      </c>
      <c r="AG52" s="380" t="s">
        <v>98</v>
      </c>
      <c r="AH52" s="363" t="s">
        <v>385</v>
      </c>
    </row>
    <row r="53" spans="2:34" ht="14.4" hidden="1" x14ac:dyDescent="0.3">
      <c r="B53" s="380" t="s">
        <v>14</v>
      </c>
      <c r="C53" s="363" t="s">
        <v>381</v>
      </c>
      <c r="D53" s="386" t="s">
        <v>86</v>
      </c>
      <c r="E53" s="397" t="s">
        <v>382</v>
      </c>
      <c r="F53" s="753">
        <v>45467</v>
      </c>
      <c r="G53" s="380" t="s">
        <v>55</v>
      </c>
      <c r="H53" s="380">
        <v>26</v>
      </c>
      <c r="I53" s="388">
        <f>3582696/2</f>
        <v>1791348</v>
      </c>
      <c r="J53" s="380">
        <v>3</v>
      </c>
      <c r="K53" s="389">
        <f t="shared" si="1"/>
        <v>597116</v>
      </c>
      <c r="L53" s="387">
        <v>45839</v>
      </c>
      <c r="M53" s="387">
        <v>46203</v>
      </c>
      <c r="N53" s="680"/>
      <c r="O53" s="680"/>
      <c r="P53" s="363" t="s">
        <v>19</v>
      </c>
      <c r="Q53" s="380" t="s">
        <v>9</v>
      </c>
      <c r="R53" s="380"/>
      <c r="S53" s="390" t="s">
        <v>190</v>
      </c>
      <c r="T53" s="363" t="s">
        <v>110</v>
      </c>
      <c r="U53" s="390" t="s">
        <v>192</v>
      </c>
      <c r="V53" s="363" t="s">
        <v>386</v>
      </c>
      <c r="W53" s="390" t="s">
        <v>194</v>
      </c>
      <c r="X53" s="363" t="s">
        <v>1846</v>
      </c>
      <c r="Y53" s="363"/>
      <c r="Z53" s="363"/>
      <c r="AA53" s="363"/>
      <c r="AB53" s="363"/>
      <c r="AC53" s="363"/>
      <c r="AD53" s="363"/>
      <c r="AE53" s="363" t="s">
        <v>96</v>
      </c>
      <c r="AF53" s="380" t="s">
        <v>97</v>
      </c>
      <c r="AG53" s="380" t="s">
        <v>98</v>
      </c>
      <c r="AH53" s="363" t="s">
        <v>385</v>
      </c>
    </row>
    <row r="54" spans="2:34" ht="14.4" hidden="1" x14ac:dyDescent="0.3">
      <c r="B54" s="380" t="s">
        <v>14</v>
      </c>
      <c r="C54" s="363" t="s">
        <v>387</v>
      </c>
      <c r="D54" s="386" t="s">
        <v>388</v>
      </c>
      <c r="E54" s="380">
        <v>4500023979</v>
      </c>
      <c r="F54" s="753">
        <v>45488</v>
      </c>
      <c r="G54" s="380" t="s">
        <v>55</v>
      </c>
      <c r="H54" s="380"/>
      <c r="I54" s="388">
        <v>67651</v>
      </c>
      <c r="J54" s="380">
        <v>4</v>
      </c>
      <c r="K54" s="389">
        <f t="shared" si="1"/>
        <v>16912.75</v>
      </c>
      <c r="L54" s="387">
        <v>45474</v>
      </c>
      <c r="M54" s="387">
        <v>45838</v>
      </c>
      <c r="N54" s="680"/>
      <c r="O54" s="680"/>
      <c r="P54" s="363"/>
      <c r="Q54" s="380"/>
      <c r="R54" s="380"/>
      <c r="S54" s="390" t="s">
        <v>160</v>
      </c>
      <c r="T54" s="363" t="s">
        <v>389</v>
      </c>
      <c r="U54" s="390" t="s">
        <v>222</v>
      </c>
      <c r="V54" s="363" t="s">
        <v>163</v>
      </c>
      <c r="W54" s="390" t="s">
        <v>390</v>
      </c>
      <c r="X54" s="363" t="s">
        <v>378</v>
      </c>
      <c r="Y54" s="390" t="s">
        <v>391</v>
      </c>
      <c r="Z54" s="363" t="s">
        <v>392</v>
      </c>
      <c r="AA54" s="363"/>
      <c r="AB54" s="363"/>
      <c r="AC54" s="363"/>
      <c r="AD54" s="363"/>
      <c r="AE54" s="363" t="s">
        <v>393</v>
      </c>
      <c r="AF54" s="380" t="s">
        <v>63</v>
      </c>
      <c r="AG54" s="380">
        <v>4</v>
      </c>
      <c r="AH54" s="363" t="s">
        <v>332</v>
      </c>
    </row>
    <row r="55" spans="2:34" ht="14.4" hidden="1" x14ac:dyDescent="0.3">
      <c r="B55" s="398" t="s">
        <v>14</v>
      </c>
      <c r="C55" s="399" t="s">
        <v>387</v>
      </c>
      <c r="D55" s="400" t="s">
        <v>388</v>
      </c>
      <c r="E55" s="398">
        <v>4500023979</v>
      </c>
      <c r="F55" s="754">
        <v>45488</v>
      </c>
      <c r="G55" s="380" t="s">
        <v>55</v>
      </c>
      <c r="H55" s="402"/>
      <c r="I55" s="388">
        <v>67651</v>
      </c>
      <c r="J55" s="380">
        <v>4</v>
      </c>
      <c r="K55" s="389">
        <f t="shared" si="1"/>
        <v>16912.75</v>
      </c>
      <c r="L55" s="387">
        <v>45839</v>
      </c>
      <c r="M55" s="387">
        <v>46203</v>
      </c>
      <c r="N55" s="680"/>
      <c r="O55" s="680"/>
      <c r="P55" s="363"/>
      <c r="Q55" s="380"/>
      <c r="R55" s="380"/>
      <c r="S55" s="390" t="s">
        <v>168</v>
      </c>
      <c r="T55" s="363" t="s">
        <v>394</v>
      </c>
      <c r="U55" s="390" t="s">
        <v>228</v>
      </c>
      <c r="V55" s="363" t="s">
        <v>395</v>
      </c>
      <c r="W55" s="403" t="s">
        <v>396</v>
      </c>
      <c r="X55" s="363"/>
      <c r="Y55" s="403" t="s">
        <v>397</v>
      </c>
      <c r="Z55" s="363"/>
      <c r="AA55" s="363"/>
      <c r="AB55" s="363"/>
      <c r="AC55" s="363"/>
      <c r="AD55" s="363"/>
      <c r="AE55" s="363" t="s">
        <v>393</v>
      </c>
      <c r="AF55" s="380" t="s">
        <v>63</v>
      </c>
      <c r="AG55" s="380">
        <v>4</v>
      </c>
      <c r="AH55" s="363" t="s">
        <v>332</v>
      </c>
    </row>
    <row r="56" spans="2:34" ht="14.4" x14ac:dyDescent="0.3">
      <c r="B56" s="380" t="s">
        <v>14</v>
      </c>
      <c r="C56" s="392" t="s">
        <v>150</v>
      </c>
      <c r="D56" s="386" t="s">
        <v>398</v>
      </c>
      <c r="E56" s="380">
        <v>4200280308</v>
      </c>
      <c r="F56" s="753">
        <v>45443</v>
      </c>
      <c r="G56" s="380" t="s">
        <v>55</v>
      </c>
      <c r="H56" s="380"/>
      <c r="I56" s="388">
        <v>117600</v>
      </c>
      <c r="J56" s="380">
        <v>3</v>
      </c>
      <c r="K56" s="389">
        <f t="shared" si="1"/>
        <v>39200</v>
      </c>
      <c r="L56" s="387">
        <v>45444</v>
      </c>
      <c r="M56" s="387">
        <v>45808</v>
      </c>
      <c r="N56" s="680"/>
      <c r="O56" s="680"/>
      <c r="P56" s="363" t="s">
        <v>520</v>
      </c>
      <c r="Q56" s="380"/>
      <c r="R56" s="380"/>
      <c r="S56" s="390" t="s">
        <v>314</v>
      </c>
      <c r="T56" s="363" t="s">
        <v>399</v>
      </c>
      <c r="U56" s="390" t="s">
        <v>316</v>
      </c>
      <c r="V56" s="363" t="s">
        <v>400</v>
      </c>
      <c r="W56" s="390" t="s">
        <v>79</v>
      </c>
      <c r="X56" s="363" t="s">
        <v>401</v>
      </c>
      <c r="Y56" s="363"/>
      <c r="Z56" s="363"/>
      <c r="AA56" s="363"/>
      <c r="AB56" s="363"/>
      <c r="AC56" s="363"/>
      <c r="AD56" s="363"/>
      <c r="AE56" s="363" t="s">
        <v>128</v>
      </c>
      <c r="AF56" s="380" t="s">
        <v>129</v>
      </c>
      <c r="AG56" s="380">
        <v>4</v>
      </c>
      <c r="AH56" s="363"/>
    </row>
    <row r="57" spans="2:34" ht="14.4" x14ac:dyDescent="0.3">
      <c r="B57" s="380" t="s">
        <v>14</v>
      </c>
      <c r="C57" s="392" t="s">
        <v>150</v>
      </c>
      <c r="D57" s="386" t="s">
        <v>398</v>
      </c>
      <c r="E57" s="380">
        <v>4200280308</v>
      </c>
      <c r="F57" s="753">
        <v>45443</v>
      </c>
      <c r="G57" s="380" t="s">
        <v>55</v>
      </c>
      <c r="H57" s="380"/>
      <c r="I57" s="388">
        <v>123480</v>
      </c>
      <c r="J57" s="380">
        <v>3</v>
      </c>
      <c r="K57" s="391">
        <f t="shared" si="1"/>
        <v>41160</v>
      </c>
      <c r="L57" s="387">
        <v>45809</v>
      </c>
      <c r="M57" s="387">
        <v>46173</v>
      </c>
      <c r="N57" s="680"/>
      <c r="O57" s="680"/>
      <c r="P57" s="363" t="s">
        <v>520</v>
      </c>
      <c r="Q57" s="380"/>
      <c r="R57" s="380"/>
      <c r="S57" s="390" t="s">
        <v>81</v>
      </c>
      <c r="T57" s="363" t="s">
        <v>402</v>
      </c>
      <c r="U57" s="390" t="s">
        <v>83</v>
      </c>
      <c r="V57" s="363" t="s">
        <v>403</v>
      </c>
      <c r="W57" s="390" t="s">
        <v>404</v>
      </c>
      <c r="X57" s="363" t="s">
        <v>1847</v>
      </c>
      <c r="Y57" s="363"/>
      <c r="Z57" s="363"/>
      <c r="AA57" s="363"/>
      <c r="AB57" s="363"/>
      <c r="AC57" s="363"/>
      <c r="AD57" s="363"/>
      <c r="AE57" s="363" t="s">
        <v>128</v>
      </c>
      <c r="AF57" s="380" t="s">
        <v>129</v>
      </c>
      <c r="AG57" s="380">
        <v>4</v>
      </c>
      <c r="AH57" s="363" t="s">
        <v>405</v>
      </c>
    </row>
    <row r="58" spans="2:34" ht="14.4" x14ac:dyDescent="0.3">
      <c r="B58" s="380" t="s">
        <v>14</v>
      </c>
      <c r="C58" s="392" t="s">
        <v>150</v>
      </c>
      <c r="D58" s="386" t="s">
        <v>398</v>
      </c>
      <c r="E58" s="380">
        <v>4200280308</v>
      </c>
      <c r="F58" s="753">
        <v>45443</v>
      </c>
      <c r="G58" s="380" t="s">
        <v>55</v>
      </c>
      <c r="H58" s="380">
        <v>2</v>
      </c>
      <c r="I58" s="388">
        <v>129654</v>
      </c>
      <c r="J58" s="380">
        <v>3</v>
      </c>
      <c r="K58" s="389">
        <f t="shared" si="1"/>
        <v>43218</v>
      </c>
      <c r="L58" s="387">
        <v>46174</v>
      </c>
      <c r="M58" s="387">
        <v>46538</v>
      </c>
      <c r="N58" s="680"/>
      <c r="O58" s="680"/>
      <c r="P58" s="363" t="s">
        <v>520</v>
      </c>
      <c r="Q58" s="380"/>
      <c r="R58" s="380"/>
      <c r="S58" s="363" t="s">
        <v>406</v>
      </c>
      <c r="T58" s="363"/>
      <c r="U58" s="363" t="s">
        <v>407</v>
      </c>
      <c r="V58" s="363"/>
      <c r="W58" s="363" t="s">
        <v>408</v>
      </c>
      <c r="X58" s="363"/>
      <c r="Y58" s="363"/>
      <c r="Z58" s="363"/>
      <c r="AA58" s="363"/>
      <c r="AB58" s="363"/>
      <c r="AC58" s="363"/>
      <c r="AD58" s="363"/>
      <c r="AE58" s="363" t="s">
        <v>128</v>
      </c>
      <c r="AF58" s="380" t="s">
        <v>129</v>
      </c>
      <c r="AG58" s="380">
        <v>4</v>
      </c>
      <c r="AH58" s="363" t="s">
        <v>405</v>
      </c>
    </row>
    <row r="59" spans="2:34" ht="14.4" hidden="1" x14ac:dyDescent="0.3">
      <c r="B59" s="380" t="s">
        <v>14</v>
      </c>
      <c r="C59" s="363" t="s">
        <v>409</v>
      </c>
      <c r="D59" s="386" t="s">
        <v>86</v>
      </c>
      <c r="E59" s="397" t="s">
        <v>410</v>
      </c>
      <c r="F59" s="755">
        <v>45558</v>
      </c>
      <c r="G59" s="380" t="s">
        <v>55</v>
      </c>
      <c r="H59" s="380"/>
      <c r="I59" s="388">
        <f>290488/2</f>
        <v>145244</v>
      </c>
      <c r="J59" s="380">
        <v>3</v>
      </c>
      <c r="K59" s="389">
        <f t="shared" si="1"/>
        <v>48414.666666666664</v>
      </c>
      <c r="L59" s="387">
        <v>45566</v>
      </c>
      <c r="M59" s="387">
        <v>45930</v>
      </c>
      <c r="N59" s="680"/>
      <c r="O59" s="680"/>
      <c r="P59" s="363"/>
      <c r="Q59" s="380"/>
      <c r="R59" s="380"/>
      <c r="S59" s="390" t="s">
        <v>411</v>
      </c>
      <c r="T59" s="363" t="s">
        <v>412</v>
      </c>
      <c r="U59" s="390" t="s">
        <v>318</v>
      </c>
      <c r="V59" s="363" t="s">
        <v>413</v>
      </c>
      <c r="W59" s="390" t="s">
        <v>414</v>
      </c>
      <c r="X59" s="363" t="s">
        <v>415</v>
      </c>
      <c r="Y59" s="363"/>
      <c r="Z59" s="363"/>
      <c r="AA59" s="363"/>
      <c r="AB59" s="363"/>
      <c r="AC59" s="363"/>
      <c r="AD59" s="363"/>
      <c r="AE59" s="363" t="s">
        <v>281</v>
      </c>
      <c r="AF59" s="380" t="s">
        <v>97</v>
      </c>
      <c r="AG59" s="380">
        <v>6</v>
      </c>
      <c r="AH59" s="363" t="s">
        <v>332</v>
      </c>
    </row>
    <row r="60" spans="2:34" ht="14.4" hidden="1" x14ac:dyDescent="0.3">
      <c r="B60" s="380" t="s">
        <v>14</v>
      </c>
      <c r="C60" s="363" t="s">
        <v>409</v>
      </c>
      <c r="D60" s="386" t="s">
        <v>86</v>
      </c>
      <c r="E60" s="397" t="s">
        <v>410</v>
      </c>
      <c r="F60" s="755">
        <v>45558</v>
      </c>
      <c r="G60" s="380" t="s">
        <v>55</v>
      </c>
      <c r="H60" s="380">
        <v>2</v>
      </c>
      <c r="I60" s="388">
        <f>290488/2</f>
        <v>145244</v>
      </c>
      <c r="J60" s="380">
        <v>3</v>
      </c>
      <c r="K60" s="391">
        <f t="shared" si="1"/>
        <v>48414.666666666664</v>
      </c>
      <c r="L60" s="387">
        <v>45931</v>
      </c>
      <c r="M60" s="387">
        <v>46295</v>
      </c>
      <c r="N60" s="680">
        <v>154816</v>
      </c>
      <c r="O60" s="680">
        <v>4735</v>
      </c>
      <c r="P60" s="363" t="s">
        <v>19</v>
      </c>
      <c r="Q60" s="380" t="s">
        <v>1231</v>
      </c>
      <c r="R60" s="380"/>
      <c r="S60" s="390" t="s">
        <v>416</v>
      </c>
      <c r="T60" s="363" t="s">
        <v>417</v>
      </c>
      <c r="U60" s="390" t="s">
        <v>321</v>
      </c>
      <c r="V60" s="363" t="s">
        <v>1524</v>
      </c>
      <c r="W60" s="390" t="s">
        <v>418</v>
      </c>
      <c r="X60" s="363" t="s">
        <v>2016</v>
      </c>
      <c r="Y60" s="363"/>
      <c r="Z60" s="363"/>
      <c r="AA60" s="363"/>
      <c r="AB60" s="363"/>
      <c r="AC60" s="363"/>
      <c r="AD60" s="363"/>
      <c r="AE60" s="363" t="s">
        <v>281</v>
      </c>
      <c r="AF60" s="380" t="s">
        <v>97</v>
      </c>
      <c r="AG60" s="380">
        <v>6</v>
      </c>
      <c r="AH60" s="363" t="s">
        <v>332</v>
      </c>
    </row>
    <row r="61" spans="2:34" ht="14.4" hidden="1" x14ac:dyDescent="0.3">
      <c r="B61" s="380" t="s">
        <v>14</v>
      </c>
      <c r="C61" s="363" t="s">
        <v>419</v>
      </c>
      <c r="D61" s="386" t="s">
        <v>151</v>
      </c>
      <c r="E61" s="380">
        <v>4508706140</v>
      </c>
      <c r="F61" s="753">
        <v>45566</v>
      </c>
      <c r="G61" s="380" t="s">
        <v>55</v>
      </c>
      <c r="H61" s="380"/>
      <c r="I61" s="388">
        <f>59400+59400+54000+32000</f>
        <v>204800</v>
      </c>
      <c r="J61" s="380">
        <v>2</v>
      </c>
      <c r="K61" s="389">
        <f t="shared" si="1"/>
        <v>102400</v>
      </c>
      <c r="L61" s="387">
        <v>45505</v>
      </c>
      <c r="M61" s="387">
        <v>45869</v>
      </c>
      <c r="N61" s="680"/>
      <c r="O61" s="680"/>
      <c r="P61" s="363"/>
      <c r="Q61" s="380"/>
      <c r="R61" s="380" t="s">
        <v>1</v>
      </c>
      <c r="S61" s="390" t="s">
        <v>420</v>
      </c>
      <c r="T61" s="363" t="s">
        <v>421</v>
      </c>
      <c r="U61" s="390" t="s">
        <v>422</v>
      </c>
      <c r="V61" s="363" t="s">
        <v>423</v>
      </c>
      <c r="W61" s="363"/>
      <c r="X61" s="363"/>
      <c r="Y61" s="363"/>
      <c r="Z61" s="363"/>
      <c r="AA61" s="363"/>
      <c r="AB61" s="363"/>
      <c r="AC61" s="363"/>
      <c r="AD61" s="363"/>
      <c r="AE61" s="363" t="s">
        <v>62</v>
      </c>
      <c r="AF61" s="380" t="s">
        <v>63</v>
      </c>
      <c r="AG61" s="380">
        <v>9</v>
      </c>
      <c r="AH61" s="363" t="s">
        <v>332</v>
      </c>
    </row>
    <row r="62" spans="2:34" ht="14.4" hidden="1" x14ac:dyDescent="0.3">
      <c r="B62" s="380" t="s">
        <v>14</v>
      </c>
      <c r="C62" s="363" t="s">
        <v>419</v>
      </c>
      <c r="D62" s="386" t="s">
        <v>151</v>
      </c>
      <c r="E62" s="380">
        <v>4508706140</v>
      </c>
      <c r="F62" s="753">
        <v>45566</v>
      </c>
      <c r="G62" s="380" t="s">
        <v>55</v>
      </c>
      <c r="H62" s="380"/>
      <c r="I62" s="388">
        <f>59400+59400+54000+32000</f>
        <v>204800</v>
      </c>
      <c r="J62" s="380">
        <v>2</v>
      </c>
      <c r="K62" s="389">
        <f t="shared" si="1"/>
        <v>102400</v>
      </c>
      <c r="L62" s="387">
        <v>45870</v>
      </c>
      <c r="M62" s="387">
        <v>46234</v>
      </c>
      <c r="N62" s="680">
        <v>154833</v>
      </c>
      <c r="O62" s="680">
        <v>4482</v>
      </c>
      <c r="P62" s="363"/>
      <c r="Q62" s="380"/>
      <c r="R62" s="380" t="s">
        <v>1</v>
      </c>
      <c r="S62" s="390" t="s">
        <v>424</v>
      </c>
      <c r="T62" s="363" t="s">
        <v>425</v>
      </c>
      <c r="U62" s="390" t="s">
        <v>426</v>
      </c>
      <c r="V62" s="363" t="s">
        <v>1934</v>
      </c>
      <c r="W62" s="363"/>
      <c r="X62" s="363"/>
      <c r="Y62" s="363"/>
      <c r="Z62" s="363"/>
      <c r="AA62" s="363"/>
      <c r="AB62" s="363"/>
      <c r="AC62" s="363"/>
      <c r="AD62" s="363"/>
      <c r="AE62" s="363" t="s">
        <v>62</v>
      </c>
      <c r="AF62" s="380" t="s">
        <v>63</v>
      </c>
      <c r="AG62" s="380">
        <v>9</v>
      </c>
      <c r="AH62" s="363" t="s">
        <v>332</v>
      </c>
    </row>
    <row r="63" spans="2:34" ht="14.4" x14ac:dyDescent="0.3">
      <c r="B63" s="380" t="s">
        <v>14</v>
      </c>
      <c r="C63" s="363" t="s">
        <v>419</v>
      </c>
      <c r="D63" s="386" t="s">
        <v>151</v>
      </c>
      <c r="E63" s="542">
        <v>4508706140</v>
      </c>
      <c r="F63" s="753">
        <v>45566</v>
      </c>
      <c r="G63" s="380" t="s">
        <v>55</v>
      </c>
      <c r="H63" s="380">
        <v>3</v>
      </c>
      <c r="I63" s="388">
        <f>59400+59400+54000+32000</f>
        <v>204800</v>
      </c>
      <c r="J63" s="380">
        <v>2</v>
      </c>
      <c r="K63" s="389">
        <f t="shared" si="1"/>
        <v>102400</v>
      </c>
      <c r="L63" s="387">
        <v>46235</v>
      </c>
      <c r="M63" s="387">
        <v>46599</v>
      </c>
      <c r="N63" s="680"/>
      <c r="O63" s="680"/>
      <c r="P63" s="363" t="s">
        <v>520</v>
      </c>
      <c r="Q63" s="380"/>
      <c r="R63" s="380" t="s">
        <v>1</v>
      </c>
      <c r="S63" s="363" t="s">
        <v>427</v>
      </c>
      <c r="T63" s="363"/>
      <c r="U63" s="363" t="s">
        <v>428</v>
      </c>
      <c r="V63" s="363"/>
      <c r="W63" s="363"/>
      <c r="X63" s="363"/>
      <c r="Y63" s="363"/>
      <c r="Z63" s="363"/>
      <c r="AA63" s="363"/>
      <c r="AB63" s="363"/>
      <c r="AC63" s="363"/>
      <c r="AD63" s="363"/>
      <c r="AE63" s="363" t="s">
        <v>62</v>
      </c>
      <c r="AF63" s="380" t="s">
        <v>63</v>
      </c>
      <c r="AG63" s="380">
        <v>9</v>
      </c>
      <c r="AH63" s="363" t="s">
        <v>332</v>
      </c>
    </row>
    <row r="64" spans="2:34" ht="14.4" hidden="1" x14ac:dyDescent="0.3">
      <c r="B64" s="380" t="s">
        <v>14</v>
      </c>
      <c r="C64" s="363" t="s">
        <v>419</v>
      </c>
      <c r="D64" s="386" t="s">
        <v>151</v>
      </c>
      <c r="E64" s="380">
        <v>4508706120</v>
      </c>
      <c r="F64" s="753">
        <v>45566</v>
      </c>
      <c r="G64" s="380" t="s">
        <v>55</v>
      </c>
      <c r="H64" s="380"/>
      <c r="I64" s="388">
        <f t="shared" ref="I64:I69" si="2">54000+54000+32000</f>
        <v>140000</v>
      </c>
      <c r="J64" s="380">
        <v>2</v>
      </c>
      <c r="K64" s="389">
        <f t="shared" si="1"/>
        <v>70000</v>
      </c>
      <c r="L64" s="387">
        <v>45505</v>
      </c>
      <c r="M64" s="387">
        <v>45869</v>
      </c>
      <c r="N64" s="680"/>
      <c r="O64" s="680"/>
      <c r="P64" s="363"/>
      <c r="Q64" s="380"/>
      <c r="R64" s="380" t="s">
        <v>1</v>
      </c>
      <c r="S64" s="390" t="s">
        <v>420</v>
      </c>
      <c r="T64" s="363" t="s">
        <v>421</v>
      </c>
      <c r="U64" s="390" t="s">
        <v>422</v>
      </c>
      <c r="V64" s="363" t="s">
        <v>429</v>
      </c>
      <c r="W64" s="363"/>
      <c r="X64" s="363"/>
      <c r="Y64" s="363"/>
      <c r="Z64" s="363"/>
      <c r="AA64" s="363"/>
      <c r="AB64" s="363"/>
      <c r="AC64" s="363"/>
      <c r="AD64" s="363"/>
      <c r="AE64" s="363" t="s">
        <v>62</v>
      </c>
      <c r="AF64" s="380" t="s">
        <v>63</v>
      </c>
      <c r="AG64" s="380">
        <v>9</v>
      </c>
      <c r="AH64" s="363" t="s">
        <v>332</v>
      </c>
    </row>
    <row r="65" spans="2:34" ht="14.4" hidden="1" x14ac:dyDescent="0.3">
      <c r="B65" s="380" t="s">
        <v>14</v>
      </c>
      <c r="C65" s="363" t="s">
        <v>419</v>
      </c>
      <c r="D65" s="386" t="s">
        <v>151</v>
      </c>
      <c r="E65" s="380">
        <v>4508706120</v>
      </c>
      <c r="F65" s="753">
        <v>45566</v>
      </c>
      <c r="G65" s="380" t="s">
        <v>55</v>
      </c>
      <c r="H65" s="380"/>
      <c r="I65" s="388">
        <f t="shared" si="2"/>
        <v>140000</v>
      </c>
      <c r="J65" s="380">
        <v>2</v>
      </c>
      <c r="K65" s="389">
        <f t="shared" si="1"/>
        <v>70000</v>
      </c>
      <c r="L65" s="387">
        <v>45870</v>
      </c>
      <c r="M65" s="387">
        <v>46234</v>
      </c>
      <c r="N65" s="680">
        <v>154831</v>
      </c>
      <c r="O65" s="680">
        <v>4480</v>
      </c>
      <c r="P65" s="363"/>
      <c r="Q65" s="380"/>
      <c r="R65" s="380" t="s">
        <v>1</v>
      </c>
      <c r="S65" s="390" t="s">
        <v>424</v>
      </c>
      <c r="T65" s="363" t="s">
        <v>430</v>
      </c>
      <c r="U65" s="390" t="s">
        <v>426</v>
      </c>
      <c r="V65" s="363" t="s">
        <v>1935</v>
      </c>
      <c r="W65" s="363"/>
      <c r="X65" s="363"/>
      <c r="Y65" s="363"/>
      <c r="Z65" s="363"/>
      <c r="AA65" s="363"/>
      <c r="AB65" s="363"/>
      <c r="AC65" s="363"/>
      <c r="AD65" s="363"/>
      <c r="AE65" s="363" t="s">
        <v>62</v>
      </c>
      <c r="AF65" s="380" t="s">
        <v>63</v>
      </c>
      <c r="AG65" s="380">
        <v>9</v>
      </c>
      <c r="AH65" s="363" t="s">
        <v>332</v>
      </c>
    </row>
    <row r="66" spans="2:34" ht="14.4" x14ac:dyDescent="0.3">
      <c r="B66" s="380" t="s">
        <v>14</v>
      </c>
      <c r="C66" s="363" t="s">
        <v>419</v>
      </c>
      <c r="D66" s="386" t="s">
        <v>151</v>
      </c>
      <c r="E66" s="380">
        <v>4508706120</v>
      </c>
      <c r="F66" s="753">
        <v>45566</v>
      </c>
      <c r="G66" s="380" t="s">
        <v>55</v>
      </c>
      <c r="H66" s="380">
        <v>2</v>
      </c>
      <c r="I66" s="388">
        <f t="shared" si="2"/>
        <v>140000</v>
      </c>
      <c r="J66" s="380">
        <v>2</v>
      </c>
      <c r="K66" s="389">
        <f t="shared" si="1"/>
        <v>70000</v>
      </c>
      <c r="L66" s="387">
        <v>46235</v>
      </c>
      <c r="M66" s="387">
        <v>46599</v>
      </c>
      <c r="N66" s="680"/>
      <c r="O66" s="680"/>
      <c r="P66" s="363" t="s">
        <v>520</v>
      </c>
      <c r="Q66" s="380"/>
      <c r="R66" s="380" t="s">
        <v>1</v>
      </c>
      <c r="S66" s="363" t="s">
        <v>427</v>
      </c>
      <c r="T66" s="363"/>
      <c r="U66" s="363" t="s">
        <v>428</v>
      </c>
      <c r="V66" s="363"/>
      <c r="W66" s="363"/>
      <c r="X66" s="363"/>
      <c r="Y66" s="363"/>
      <c r="Z66" s="363"/>
      <c r="AA66" s="363"/>
      <c r="AB66" s="363"/>
      <c r="AC66" s="363"/>
      <c r="AD66" s="363"/>
      <c r="AE66" s="363" t="s">
        <v>62</v>
      </c>
      <c r="AF66" s="380" t="s">
        <v>63</v>
      </c>
      <c r="AG66" s="380">
        <v>9</v>
      </c>
      <c r="AH66" s="363" t="s">
        <v>332</v>
      </c>
    </row>
    <row r="67" spans="2:34" ht="14.4" hidden="1" x14ac:dyDescent="0.3">
      <c r="B67" s="380" t="s">
        <v>14</v>
      </c>
      <c r="C67" s="363" t="s">
        <v>419</v>
      </c>
      <c r="D67" s="386" t="s">
        <v>151</v>
      </c>
      <c r="E67" s="380">
        <v>4508706133</v>
      </c>
      <c r="F67" s="753">
        <v>45566</v>
      </c>
      <c r="G67" s="380" t="s">
        <v>55</v>
      </c>
      <c r="H67" s="380"/>
      <c r="I67" s="388">
        <f t="shared" si="2"/>
        <v>140000</v>
      </c>
      <c r="J67" s="380">
        <v>2</v>
      </c>
      <c r="K67" s="389">
        <f t="shared" si="1"/>
        <v>70000</v>
      </c>
      <c r="L67" s="387">
        <v>45505</v>
      </c>
      <c r="M67" s="387">
        <v>45869</v>
      </c>
      <c r="N67" s="680"/>
      <c r="O67" s="680"/>
      <c r="P67" s="363"/>
      <c r="Q67" s="380"/>
      <c r="R67" s="380" t="s">
        <v>1</v>
      </c>
      <c r="S67" s="390" t="s">
        <v>420</v>
      </c>
      <c r="T67" s="363" t="s">
        <v>421</v>
      </c>
      <c r="U67" s="390" t="s">
        <v>422</v>
      </c>
      <c r="V67" s="363" t="s">
        <v>431</v>
      </c>
      <c r="W67" s="363"/>
      <c r="X67" s="363"/>
      <c r="Y67" s="363"/>
      <c r="Z67" s="363"/>
      <c r="AA67" s="363"/>
      <c r="AB67" s="363"/>
      <c r="AC67" s="363"/>
      <c r="AD67" s="363"/>
      <c r="AE67" s="363" t="s">
        <v>62</v>
      </c>
      <c r="AF67" s="380" t="s">
        <v>63</v>
      </c>
      <c r="AG67" s="380">
        <v>9</v>
      </c>
      <c r="AH67" s="363" t="s">
        <v>332</v>
      </c>
    </row>
    <row r="68" spans="2:34" ht="14.4" hidden="1" x14ac:dyDescent="0.3">
      <c r="B68" s="380" t="s">
        <v>14</v>
      </c>
      <c r="C68" s="363" t="s">
        <v>419</v>
      </c>
      <c r="D68" s="386" t="s">
        <v>151</v>
      </c>
      <c r="E68" s="380">
        <v>4508706133</v>
      </c>
      <c r="F68" s="753">
        <v>45566</v>
      </c>
      <c r="G68" s="380" t="s">
        <v>55</v>
      </c>
      <c r="H68" s="380"/>
      <c r="I68" s="388">
        <f t="shared" si="2"/>
        <v>140000</v>
      </c>
      <c r="J68" s="380">
        <v>2</v>
      </c>
      <c r="K68" s="389">
        <f t="shared" si="1"/>
        <v>70000</v>
      </c>
      <c r="L68" s="387">
        <v>45870</v>
      </c>
      <c r="M68" s="387">
        <v>46234</v>
      </c>
      <c r="N68" s="680">
        <v>154832</v>
      </c>
      <c r="O68" s="680">
        <v>4481</v>
      </c>
      <c r="P68" s="363"/>
      <c r="Q68" s="380"/>
      <c r="R68" s="380" t="s">
        <v>1</v>
      </c>
      <c r="S68" s="390" t="s">
        <v>424</v>
      </c>
      <c r="T68" s="363" t="s">
        <v>432</v>
      </c>
      <c r="U68" s="390" t="s">
        <v>426</v>
      </c>
      <c r="V68" s="363" t="s">
        <v>1936</v>
      </c>
      <c r="W68" s="363"/>
      <c r="X68" s="363"/>
      <c r="Y68" s="363"/>
      <c r="Z68" s="363"/>
      <c r="AA68" s="363"/>
      <c r="AB68" s="363"/>
      <c r="AC68" s="363"/>
      <c r="AD68" s="363"/>
      <c r="AE68" s="363" t="s">
        <v>62</v>
      </c>
      <c r="AF68" s="380" t="s">
        <v>63</v>
      </c>
      <c r="AG68" s="380">
        <v>9</v>
      </c>
      <c r="AH68" s="363" t="s">
        <v>332</v>
      </c>
    </row>
    <row r="69" spans="2:34" ht="14.4" x14ac:dyDescent="0.3">
      <c r="B69" s="380" t="s">
        <v>14</v>
      </c>
      <c r="C69" s="363" t="s">
        <v>419</v>
      </c>
      <c r="D69" s="386" t="s">
        <v>151</v>
      </c>
      <c r="E69" s="380">
        <v>4508706133</v>
      </c>
      <c r="F69" s="753">
        <v>45566</v>
      </c>
      <c r="G69" s="380" t="s">
        <v>55</v>
      </c>
      <c r="H69" s="380">
        <v>2</v>
      </c>
      <c r="I69" s="388">
        <f t="shared" si="2"/>
        <v>140000</v>
      </c>
      <c r="J69" s="380">
        <v>2</v>
      </c>
      <c r="K69" s="389">
        <f t="shared" si="1"/>
        <v>70000</v>
      </c>
      <c r="L69" s="387">
        <v>46235</v>
      </c>
      <c r="M69" s="387">
        <v>46599</v>
      </c>
      <c r="N69" s="680"/>
      <c r="O69" s="680"/>
      <c r="P69" s="363" t="s">
        <v>520</v>
      </c>
      <c r="Q69" s="380"/>
      <c r="R69" s="380" t="s">
        <v>1</v>
      </c>
      <c r="S69" s="363" t="s">
        <v>427</v>
      </c>
      <c r="T69" s="363"/>
      <c r="U69" s="363" t="s">
        <v>428</v>
      </c>
      <c r="V69" s="363"/>
      <c r="W69" s="363"/>
      <c r="X69" s="363"/>
      <c r="Y69" s="363"/>
      <c r="Z69" s="363"/>
      <c r="AA69" s="363"/>
      <c r="AB69" s="363"/>
      <c r="AC69" s="363"/>
      <c r="AD69" s="363"/>
      <c r="AE69" s="363" t="s">
        <v>62</v>
      </c>
      <c r="AF69" s="380" t="s">
        <v>63</v>
      </c>
      <c r="AG69" s="380">
        <v>9</v>
      </c>
      <c r="AH69" s="363" t="s">
        <v>332</v>
      </c>
    </row>
    <row r="70" spans="2:34" ht="14.4" hidden="1" x14ac:dyDescent="0.3">
      <c r="B70" s="380" t="s">
        <v>14</v>
      </c>
      <c r="C70" s="363" t="s">
        <v>433</v>
      </c>
      <c r="D70" s="386" t="s">
        <v>434</v>
      </c>
      <c r="E70" s="405" t="s">
        <v>435</v>
      </c>
      <c r="F70" s="756">
        <v>45581</v>
      </c>
      <c r="G70" s="407" t="s">
        <v>436</v>
      </c>
      <c r="H70" s="380"/>
      <c r="I70" s="388">
        <f>(6572290/118*100)/2</f>
        <v>2784868.6440677969</v>
      </c>
      <c r="J70" s="380">
        <v>4</v>
      </c>
      <c r="K70" s="389">
        <f t="shared" si="1"/>
        <v>696217.16101694922</v>
      </c>
      <c r="L70" s="387">
        <v>45597</v>
      </c>
      <c r="M70" s="387">
        <v>45961</v>
      </c>
      <c r="N70" s="680"/>
      <c r="O70" s="680"/>
      <c r="P70" s="363"/>
      <c r="Q70" s="380"/>
      <c r="R70" s="380" t="s">
        <v>437</v>
      </c>
      <c r="S70" s="390" t="s">
        <v>262</v>
      </c>
      <c r="T70" s="363" t="s">
        <v>438</v>
      </c>
      <c r="U70" s="390" t="s">
        <v>264</v>
      </c>
      <c r="V70" s="363" t="s">
        <v>124</v>
      </c>
      <c r="W70" s="390" t="s">
        <v>266</v>
      </c>
      <c r="X70" s="363" t="s">
        <v>439</v>
      </c>
      <c r="Y70" s="390" t="s">
        <v>267</v>
      </c>
      <c r="Z70" s="363" t="s">
        <v>440</v>
      </c>
      <c r="AA70" s="363"/>
      <c r="AB70" s="363"/>
      <c r="AC70" s="363"/>
      <c r="AD70" s="363"/>
      <c r="AE70" s="363" t="s">
        <v>281</v>
      </c>
      <c r="AF70" s="380" t="s">
        <v>97</v>
      </c>
      <c r="AG70" s="380" t="s">
        <v>98</v>
      </c>
      <c r="AH70" s="363" t="s">
        <v>332</v>
      </c>
    </row>
    <row r="71" spans="2:34" ht="14.4" x14ac:dyDescent="0.3">
      <c r="B71" s="380" t="s">
        <v>14</v>
      </c>
      <c r="C71" s="363" t="s">
        <v>433</v>
      </c>
      <c r="D71" s="386" t="s">
        <v>434</v>
      </c>
      <c r="E71" s="405" t="s">
        <v>435</v>
      </c>
      <c r="F71" s="756">
        <v>45581</v>
      </c>
      <c r="G71" s="407" t="s">
        <v>436</v>
      </c>
      <c r="H71" s="380">
        <v>10</v>
      </c>
      <c r="I71" s="388">
        <f>(6572290/118*100)/2</f>
        <v>2784868.6440677969</v>
      </c>
      <c r="J71" s="380">
        <v>4</v>
      </c>
      <c r="K71" s="389">
        <f t="shared" ref="K71:K96" si="3">I71/J71</f>
        <v>696217.16101694922</v>
      </c>
      <c r="L71" s="387">
        <v>45962</v>
      </c>
      <c r="M71" s="387">
        <v>46326</v>
      </c>
      <c r="N71" s="680">
        <v>154890</v>
      </c>
      <c r="O71" s="680">
        <v>4709</v>
      </c>
      <c r="P71" s="363" t="s">
        <v>520</v>
      </c>
      <c r="Q71" s="380"/>
      <c r="R71" s="380" t="s">
        <v>437</v>
      </c>
      <c r="S71" s="390" t="s">
        <v>269</v>
      </c>
      <c r="T71" s="363" t="s">
        <v>441</v>
      </c>
      <c r="U71" s="390" t="s">
        <v>442</v>
      </c>
      <c r="V71" s="363" t="s">
        <v>443</v>
      </c>
      <c r="W71" s="390" t="s">
        <v>444</v>
      </c>
      <c r="X71" s="363" t="s">
        <v>1937</v>
      </c>
      <c r="Y71" s="363" t="s">
        <v>445</v>
      </c>
      <c r="Z71" s="363"/>
      <c r="AA71" s="363"/>
      <c r="AB71" s="363"/>
      <c r="AC71" s="363"/>
      <c r="AD71" s="363"/>
      <c r="AE71" s="363" t="s">
        <v>281</v>
      </c>
      <c r="AF71" s="380" t="s">
        <v>97</v>
      </c>
      <c r="AG71" s="380" t="s">
        <v>98</v>
      </c>
      <c r="AH71" s="363" t="s">
        <v>332</v>
      </c>
    </row>
    <row r="72" spans="2:34" ht="14.4" hidden="1" x14ac:dyDescent="0.3">
      <c r="B72" s="380" t="s">
        <v>14</v>
      </c>
      <c r="C72" s="363" t="s">
        <v>446</v>
      </c>
      <c r="D72" s="386" t="s">
        <v>447</v>
      </c>
      <c r="E72" s="405" t="s">
        <v>448</v>
      </c>
      <c r="F72" s="756">
        <v>45589</v>
      </c>
      <c r="G72" s="380" t="s">
        <v>55</v>
      </c>
      <c r="H72" s="380"/>
      <c r="I72" s="388">
        <f>44887.5*4</f>
        <v>179550</v>
      </c>
      <c r="J72" s="380">
        <v>4</v>
      </c>
      <c r="K72" s="389">
        <f t="shared" si="3"/>
        <v>44887.5</v>
      </c>
      <c r="L72" s="387">
        <v>45597</v>
      </c>
      <c r="M72" s="387">
        <v>45961</v>
      </c>
      <c r="N72" s="680"/>
      <c r="O72" s="680"/>
      <c r="P72" s="363"/>
      <c r="Q72" s="380"/>
      <c r="R72" s="380"/>
      <c r="S72" s="390" t="s">
        <v>262</v>
      </c>
      <c r="T72" s="390" t="s">
        <v>449</v>
      </c>
      <c r="U72" s="390" t="s">
        <v>264</v>
      </c>
      <c r="V72" s="363" t="s">
        <v>450</v>
      </c>
      <c r="W72" s="390" t="s">
        <v>266</v>
      </c>
      <c r="X72" s="363" t="s">
        <v>451</v>
      </c>
      <c r="Y72" s="390" t="s">
        <v>267</v>
      </c>
      <c r="Z72" s="363" t="s">
        <v>452</v>
      </c>
      <c r="AA72" s="363"/>
      <c r="AB72" s="363"/>
      <c r="AC72" s="363"/>
      <c r="AD72" s="363"/>
      <c r="AE72" s="363" t="s">
        <v>96</v>
      </c>
      <c r="AF72" s="380" t="s">
        <v>97</v>
      </c>
      <c r="AG72" s="380" t="s">
        <v>98</v>
      </c>
      <c r="AH72" s="363" t="s">
        <v>453</v>
      </c>
    </row>
    <row r="73" spans="2:34" ht="14.4" hidden="1" x14ac:dyDescent="0.3">
      <c r="B73" s="380" t="s">
        <v>14</v>
      </c>
      <c r="C73" s="363" t="s">
        <v>446</v>
      </c>
      <c r="D73" s="386" t="s">
        <v>447</v>
      </c>
      <c r="E73" s="405" t="s">
        <v>448</v>
      </c>
      <c r="F73" s="756">
        <v>45589</v>
      </c>
      <c r="G73" s="380" t="s">
        <v>55</v>
      </c>
      <c r="H73" s="380"/>
      <c r="I73" s="388">
        <f>47133.75*4</f>
        <v>188535</v>
      </c>
      <c r="J73" s="380">
        <v>4</v>
      </c>
      <c r="K73" s="389">
        <f t="shared" si="3"/>
        <v>47133.75</v>
      </c>
      <c r="L73" s="387">
        <v>45962</v>
      </c>
      <c r="M73" s="387">
        <v>46326</v>
      </c>
      <c r="N73" s="680"/>
      <c r="O73" s="680"/>
      <c r="P73" s="363"/>
      <c r="Q73" s="380"/>
      <c r="R73" s="380"/>
      <c r="S73" s="390" t="s">
        <v>269</v>
      </c>
      <c r="T73" s="363" t="s">
        <v>454</v>
      </c>
      <c r="U73" s="390" t="s">
        <v>442</v>
      </c>
      <c r="V73" s="363" t="s">
        <v>455</v>
      </c>
      <c r="W73" s="390" t="s">
        <v>444</v>
      </c>
      <c r="X73" s="363" t="s">
        <v>1938</v>
      </c>
      <c r="Y73" s="363" t="s">
        <v>445</v>
      </c>
      <c r="Z73" s="363"/>
      <c r="AA73" s="363"/>
      <c r="AB73" s="363"/>
      <c r="AC73" s="363"/>
      <c r="AD73" s="363"/>
      <c r="AE73" s="363" t="s">
        <v>96</v>
      </c>
      <c r="AF73" s="380" t="s">
        <v>97</v>
      </c>
      <c r="AG73" s="380" t="s">
        <v>98</v>
      </c>
      <c r="AH73" s="363" t="s">
        <v>453</v>
      </c>
    </row>
    <row r="74" spans="2:34" ht="14.4" x14ac:dyDescent="0.3">
      <c r="B74" s="380" t="s">
        <v>14</v>
      </c>
      <c r="C74" s="363" t="s">
        <v>446</v>
      </c>
      <c r="D74" s="386" t="s">
        <v>447</v>
      </c>
      <c r="E74" s="405" t="s">
        <v>448</v>
      </c>
      <c r="F74" s="756">
        <v>45589</v>
      </c>
      <c r="G74" s="380" t="s">
        <v>55</v>
      </c>
      <c r="H74" s="380">
        <v>3</v>
      </c>
      <c r="I74" s="388">
        <f>49488.75*4</f>
        <v>197955</v>
      </c>
      <c r="J74" s="380">
        <v>4</v>
      </c>
      <c r="K74" s="389">
        <f t="shared" si="3"/>
        <v>49488.75</v>
      </c>
      <c r="L74" s="387">
        <v>46327</v>
      </c>
      <c r="M74" s="387">
        <v>46691</v>
      </c>
      <c r="N74" s="680"/>
      <c r="O74" s="680"/>
      <c r="P74" s="363" t="s">
        <v>520</v>
      </c>
      <c r="Q74" s="380"/>
      <c r="R74" s="380"/>
      <c r="S74" s="363" t="s">
        <v>456</v>
      </c>
      <c r="T74" s="363"/>
      <c r="U74" s="363" t="s">
        <v>457</v>
      </c>
      <c r="V74" s="363"/>
      <c r="W74" s="363" t="s">
        <v>458</v>
      </c>
      <c r="X74" s="363"/>
      <c r="Y74" s="363" t="s">
        <v>459</v>
      </c>
      <c r="Z74" s="363"/>
      <c r="AA74" s="363"/>
      <c r="AB74" s="363"/>
      <c r="AC74" s="363"/>
      <c r="AD74" s="363"/>
      <c r="AE74" s="363" t="s">
        <v>96</v>
      </c>
      <c r="AF74" s="380" t="s">
        <v>97</v>
      </c>
      <c r="AG74" s="380" t="s">
        <v>98</v>
      </c>
      <c r="AH74" s="363" t="s">
        <v>453</v>
      </c>
    </row>
    <row r="75" spans="2:34" ht="14.4" x14ac:dyDescent="0.3">
      <c r="B75" s="380" t="s">
        <v>14</v>
      </c>
      <c r="C75" s="363" t="s">
        <v>460</v>
      </c>
      <c r="D75" s="386" t="s">
        <v>151</v>
      </c>
      <c r="E75" s="408">
        <v>1240038765</v>
      </c>
      <c r="F75" s="753">
        <v>45591</v>
      </c>
      <c r="G75" s="380" t="s">
        <v>55</v>
      </c>
      <c r="H75" s="380">
        <v>1</v>
      </c>
      <c r="I75" s="388">
        <v>150000</v>
      </c>
      <c r="J75" s="380">
        <v>4</v>
      </c>
      <c r="K75" s="389">
        <f t="shared" si="3"/>
        <v>37500</v>
      </c>
      <c r="L75" s="387">
        <v>45566</v>
      </c>
      <c r="M75" s="387">
        <v>46295</v>
      </c>
      <c r="N75" s="680"/>
      <c r="O75" s="680"/>
      <c r="P75" s="363" t="s">
        <v>520</v>
      </c>
      <c r="Q75" s="380"/>
      <c r="R75" s="380"/>
      <c r="S75" s="390" t="s">
        <v>461</v>
      </c>
      <c r="T75" s="363" t="s">
        <v>462</v>
      </c>
      <c r="U75" s="390" t="s">
        <v>463</v>
      </c>
      <c r="V75" s="363" t="s">
        <v>464</v>
      </c>
      <c r="W75" s="390" t="s">
        <v>465</v>
      </c>
      <c r="X75" s="363" t="s">
        <v>466</v>
      </c>
      <c r="Y75" s="363" t="s">
        <v>467</v>
      </c>
      <c r="Z75" s="363"/>
      <c r="AA75" s="363"/>
      <c r="AB75" s="363"/>
      <c r="AC75" s="363"/>
      <c r="AD75" s="363"/>
      <c r="AE75" s="363" t="s">
        <v>62</v>
      </c>
      <c r="AF75" s="380" t="s">
        <v>63</v>
      </c>
      <c r="AG75" s="380">
        <v>6</v>
      </c>
      <c r="AH75" s="363" t="s">
        <v>332</v>
      </c>
    </row>
    <row r="76" spans="2:34" ht="14.4" hidden="1" x14ac:dyDescent="0.3">
      <c r="B76" s="380" t="s">
        <v>14</v>
      </c>
      <c r="C76" s="409" t="s">
        <v>480</v>
      </c>
      <c r="D76" s="386" t="s">
        <v>481</v>
      </c>
      <c r="E76" s="380">
        <v>5300005783</v>
      </c>
      <c r="F76" s="753">
        <v>45467</v>
      </c>
      <c r="G76" s="380" t="s">
        <v>55</v>
      </c>
      <c r="H76" s="380"/>
      <c r="I76" s="388">
        <f>882000/3</f>
        <v>294000</v>
      </c>
      <c r="J76" s="380">
        <v>2</v>
      </c>
      <c r="K76" s="389">
        <f t="shared" si="3"/>
        <v>147000</v>
      </c>
      <c r="L76" s="387">
        <v>45658</v>
      </c>
      <c r="M76" s="387">
        <v>46022</v>
      </c>
      <c r="N76" s="680"/>
      <c r="O76" s="680"/>
      <c r="P76" s="363"/>
      <c r="Q76" s="380"/>
      <c r="R76" s="380" t="s">
        <v>1</v>
      </c>
      <c r="S76" s="390" t="s">
        <v>482</v>
      </c>
      <c r="T76" s="363" t="s">
        <v>189</v>
      </c>
      <c r="U76" s="390" t="s">
        <v>483</v>
      </c>
      <c r="V76" s="363" t="s">
        <v>484</v>
      </c>
      <c r="W76" s="363"/>
      <c r="X76" s="363"/>
      <c r="Y76" s="363"/>
      <c r="Z76" s="363"/>
      <c r="AA76" s="363"/>
      <c r="AB76" s="363"/>
      <c r="AC76" s="363"/>
      <c r="AD76" s="363"/>
      <c r="AE76" s="363" t="s">
        <v>485</v>
      </c>
      <c r="AF76" s="380" t="s">
        <v>63</v>
      </c>
      <c r="AG76" s="380">
        <v>6</v>
      </c>
      <c r="AH76" s="363" t="s">
        <v>332</v>
      </c>
    </row>
    <row r="77" spans="2:34" ht="14.4" hidden="1" x14ac:dyDescent="0.3">
      <c r="B77" s="380" t="s">
        <v>14</v>
      </c>
      <c r="C77" s="409" t="s">
        <v>480</v>
      </c>
      <c r="D77" s="386" t="s">
        <v>481</v>
      </c>
      <c r="E77" s="380">
        <v>5300005783</v>
      </c>
      <c r="F77" s="753">
        <v>45467</v>
      </c>
      <c r="G77" s="380" t="s">
        <v>55</v>
      </c>
      <c r="H77" s="380"/>
      <c r="I77" s="388">
        <f>882000/3</f>
        <v>294000</v>
      </c>
      <c r="J77" s="380">
        <v>2</v>
      </c>
      <c r="K77" s="389">
        <f t="shared" si="3"/>
        <v>147000</v>
      </c>
      <c r="L77" s="387">
        <v>46023</v>
      </c>
      <c r="M77" s="387">
        <v>46387</v>
      </c>
      <c r="N77" s="680"/>
      <c r="O77" s="680"/>
      <c r="P77" s="363"/>
      <c r="Q77" s="380"/>
      <c r="R77" s="380" t="s">
        <v>1</v>
      </c>
      <c r="S77" s="390" t="s">
        <v>486</v>
      </c>
      <c r="T77" s="363" t="s">
        <v>1713</v>
      </c>
      <c r="U77" s="363" t="s">
        <v>487</v>
      </c>
      <c r="V77" s="363"/>
      <c r="W77" s="363"/>
      <c r="X77" s="363"/>
      <c r="Y77" s="363"/>
      <c r="Z77" s="363"/>
      <c r="AA77" s="363"/>
      <c r="AB77" s="363"/>
      <c r="AC77" s="363"/>
      <c r="AD77" s="363"/>
      <c r="AE77" s="363" t="s">
        <v>485</v>
      </c>
      <c r="AF77" s="380" t="s">
        <v>63</v>
      </c>
      <c r="AG77" s="380">
        <v>6</v>
      </c>
      <c r="AH77" s="363" t="s">
        <v>332</v>
      </c>
    </row>
    <row r="78" spans="2:34" ht="14.4" x14ac:dyDescent="0.3">
      <c r="B78" s="380" t="s">
        <v>14</v>
      </c>
      <c r="C78" s="409" t="s">
        <v>480</v>
      </c>
      <c r="D78" s="386" t="s">
        <v>481</v>
      </c>
      <c r="E78" s="380">
        <v>5300005783</v>
      </c>
      <c r="F78" s="753">
        <v>45467</v>
      </c>
      <c r="G78" s="380" t="s">
        <v>55</v>
      </c>
      <c r="H78" s="380">
        <v>3</v>
      </c>
      <c r="I78" s="388">
        <f>882000/3</f>
        <v>294000</v>
      </c>
      <c r="J78" s="380">
        <v>2</v>
      </c>
      <c r="K78" s="389">
        <f t="shared" si="3"/>
        <v>147000</v>
      </c>
      <c r="L78" s="387">
        <v>46388</v>
      </c>
      <c r="M78" s="387">
        <v>46752</v>
      </c>
      <c r="N78" s="680"/>
      <c r="O78" s="680"/>
      <c r="P78" s="363" t="s">
        <v>520</v>
      </c>
      <c r="Q78" s="380"/>
      <c r="R78" s="380" t="s">
        <v>1</v>
      </c>
      <c r="S78" s="363" t="s">
        <v>488</v>
      </c>
      <c r="T78" s="363"/>
      <c r="U78" s="363" t="s">
        <v>489</v>
      </c>
      <c r="V78" s="363"/>
      <c r="W78" s="363"/>
      <c r="X78" s="363"/>
      <c r="Y78" s="363"/>
      <c r="Z78" s="363"/>
      <c r="AA78" s="363"/>
      <c r="AB78" s="363"/>
      <c r="AC78" s="363"/>
      <c r="AD78" s="363"/>
      <c r="AE78" s="363" t="s">
        <v>485</v>
      </c>
      <c r="AF78" s="380" t="s">
        <v>63</v>
      </c>
      <c r="AG78" s="380">
        <v>6</v>
      </c>
      <c r="AH78" s="363" t="s">
        <v>332</v>
      </c>
    </row>
    <row r="79" spans="2:34" ht="14.4" hidden="1" x14ac:dyDescent="0.3">
      <c r="B79" s="380" t="s">
        <v>14</v>
      </c>
      <c r="C79" s="409" t="s">
        <v>490</v>
      </c>
      <c r="D79" s="386" t="s">
        <v>447</v>
      </c>
      <c r="E79" s="411">
        <v>1000036136</v>
      </c>
      <c r="F79" s="753">
        <v>45644</v>
      </c>
      <c r="G79" s="380" t="s">
        <v>55</v>
      </c>
      <c r="H79" s="380"/>
      <c r="I79" s="388">
        <f>68706.75*4</f>
        <v>274827</v>
      </c>
      <c r="J79" s="380">
        <v>4</v>
      </c>
      <c r="K79" s="389">
        <f t="shared" si="3"/>
        <v>68706.75</v>
      </c>
      <c r="L79" s="387">
        <v>45658</v>
      </c>
      <c r="M79" s="387">
        <v>46022</v>
      </c>
      <c r="N79" s="680"/>
      <c r="O79" s="680"/>
      <c r="P79" s="363"/>
      <c r="Q79" s="380"/>
      <c r="R79" s="380"/>
      <c r="S79" s="390" t="s">
        <v>390</v>
      </c>
      <c r="T79" s="363" t="s">
        <v>491</v>
      </c>
      <c r="U79" s="390" t="s">
        <v>391</v>
      </c>
      <c r="V79" s="363" t="s">
        <v>384</v>
      </c>
      <c r="W79" s="390" t="s">
        <v>168</v>
      </c>
      <c r="X79" s="363" t="s">
        <v>492</v>
      </c>
      <c r="Y79" s="390" t="s">
        <v>228</v>
      </c>
      <c r="Z79" s="363" t="s">
        <v>493</v>
      </c>
      <c r="AA79" s="363"/>
      <c r="AB79" s="363"/>
      <c r="AC79" s="363"/>
      <c r="AD79" s="363"/>
      <c r="AE79" s="363" t="s">
        <v>281</v>
      </c>
      <c r="AF79" s="380" t="s">
        <v>97</v>
      </c>
      <c r="AG79" s="380" t="s">
        <v>494</v>
      </c>
      <c r="AH79" s="363"/>
    </row>
    <row r="80" spans="2:34" ht="14.4" hidden="1" x14ac:dyDescent="0.3">
      <c r="B80" s="380" t="s">
        <v>14</v>
      </c>
      <c r="C80" s="409" t="s">
        <v>490</v>
      </c>
      <c r="D80" s="386" t="s">
        <v>447</v>
      </c>
      <c r="E80" s="411">
        <v>1000036136</v>
      </c>
      <c r="F80" s="753">
        <v>45644</v>
      </c>
      <c r="G80" s="380" t="s">
        <v>55</v>
      </c>
      <c r="H80" s="380"/>
      <c r="I80" s="388">
        <f>68706.75*4</f>
        <v>274827</v>
      </c>
      <c r="J80" s="380">
        <v>4</v>
      </c>
      <c r="K80" s="389">
        <f t="shared" si="3"/>
        <v>68706.75</v>
      </c>
      <c r="L80" s="387">
        <v>46023</v>
      </c>
      <c r="M80" s="387">
        <v>46387</v>
      </c>
      <c r="N80" s="680">
        <v>154960</v>
      </c>
      <c r="O80" s="680">
        <v>4835</v>
      </c>
      <c r="P80" s="363"/>
      <c r="Q80" s="380"/>
      <c r="R80" s="380"/>
      <c r="S80" s="390" t="s">
        <v>396</v>
      </c>
      <c r="T80" s="363" t="s">
        <v>495</v>
      </c>
      <c r="U80" s="390" t="s">
        <v>397</v>
      </c>
      <c r="V80" s="363" t="s">
        <v>1843</v>
      </c>
      <c r="W80" s="390" t="s">
        <v>496</v>
      </c>
      <c r="X80" s="363" t="s">
        <v>2017</v>
      </c>
      <c r="Y80" s="363" t="s">
        <v>497</v>
      </c>
      <c r="Z80" s="363"/>
      <c r="AA80" s="363"/>
      <c r="AB80" s="363"/>
      <c r="AC80" s="363"/>
      <c r="AD80" s="363"/>
      <c r="AE80" s="363" t="s">
        <v>281</v>
      </c>
      <c r="AF80" s="380" t="s">
        <v>97</v>
      </c>
      <c r="AG80" s="380" t="s">
        <v>494</v>
      </c>
      <c r="AH80" s="363"/>
    </row>
    <row r="81" spans="2:34" ht="14.4" x14ac:dyDescent="0.3">
      <c r="B81" s="380" t="s">
        <v>14</v>
      </c>
      <c r="C81" s="409" t="s">
        <v>490</v>
      </c>
      <c r="D81" s="386" t="s">
        <v>447</v>
      </c>
      <c r="E81" s="411">
        <v>1000036136</v>
      </c>
      <c r="F81" s="753">
        <v>45644</v>
      </c>
      <c r="G81" s="380" t="s">
        <v>55</v>
      </c>
      <c r="H81" s="380">
        <v>4</v>
      </c>
      <c r="I81" s="388">
        <f>68706.75*4</f>
        <v>274827</v>
      </c>
      <c r="J81" s="380">
        <v>4</v>
      </c>
      <c r="K81" s="389">
        <f t="shared" si="3"/>
        <v>68706.75</v>
      </c>
      <c r="L81" s="387">
        <v>46388</v>
      </c>
      <c r="M81" s="387">
        <v>46752</v>
      </c>
      <c r="N81" s="680"/>
      <c r="O81" s="680"/>
      <c r="P81" s="363" t="s">
        <v>520</v>
      </c>
      <c r="Q81" s="380"/>
      <c r="R81" s="380"/>
      <c r="S81" s="363" t="s">
        <v>498</v>
      </c>
      <c r="T81" s="363"/>
      <c r="U81" s="363" t="s">
        <v>499</v>
      </c>
      <c r="V81" s="363"/>
      <c r="W81" s="363" t="s">
        <v>500</v>
      </c>
      <c r="X81" s="363"/>
      <c r="Y81" s="363" t="s">
        <v>501</v>
      </c>
      <c r="Z81" s="363"/>
      <c r="AA81" s="363"/>
      <c r="AB81" s="363"/>
      <c r="AC81" s="363"/>
      <c r="AD81" s="363"/>
      <c r="AE81" s="363" t="s">
        <v>281</v>
      </c>
      <c r="AF81" s="380" t="s">
        <v>97</v>
      </c>
      <c r="AG81" s="380" t="s">
        <v>494</v>
      </c>
      <c r="AH81" s="363"/>
    </row>
    <row r="82" spans="2:34" ht="14.4" hidden="1" x14ac:dyDescent="0.3">
      <c r="B82" s="380" t="s">
        <v>14</v>
      </c>
      <c r="C82" s="412" t="s">
        <v>508</v>
      </c>
      <c r="D82" s="413" t="s">
        <v>509</v>
      </c>
      <c r="E82" s="416" t="s">
        <v>510</v>
      </c>
      <c r="F82" s="757">
        <v>45661</v>
      </c>
      <c r="G82" s="380" t="s">
        <v>55</v>
      </c>
      <c r="H82" s="380">
        <v>1</v>
      </c>
      <c r="I82" s="417">
        <v>89000</v>
      </c>
      <c r="J82" s="380">
        <v>3</v>
      </c>
      <c r="K82" s="389">
        <f t="shared" si="3"/>
        <v>29666.666666666668</v>
      </c>
      <c r="L82" s="387">
        <v>45667</v>
      </c>
      <c r="M82" s="387">
        <v>46031</v>
      </c>
      <c r="N82" s="680"/>
      <c r="O82" s="680"/>
      <c r="P82" s="363" t="s">
        <v>19</v>
      </c>
      <c r="Q82" s="380" t="s">
        <v>0</v>
      </c>
      <c r="R82" s="380"/>
      <c r="S82" s="390" t="s">
        <v>511</v>
      </c>
      <c r="T82" s="363" t="s">
        <v>512</v>
      </c>
      <c r="U82" s="390" t="s">
        <v>513</v>
      </c>
      <c r="V82" s="363" t="s">
        <v>514</v>
      </c>
      <c r="W82" s="390" t="s">
        <v>515</v>
      </c>
      <c r="X82" s="363" t="s">
        <v>516</v>
      </c>
      <c r="Y82" s="363"/>
      <c r="Z82" s="363"/>
      <c r="AA82" s="363"/>
      <c r="AB82" s="363"/>
      <c r="AC82" s="363"/>
      <c r="AD82" s="363"/>
      <c r="AE82" s="363" t="s">
        <v>96</v>
      </c>
      <c r="AF82" s="380" t="s">
        <v>97</v>
      </c>
      <c r="AG82" s="380" t="s">
        <v>494</v>
      </c>
      <c r="AH82" s="535" t="s">
        <v>517</v>
      </c>
    </row>
    <row r="83" spans="2:34" ht="14.4" x14ac:dyDescent="0.3">
      <c r="B83" s="380" t="s">
        <v>14</v>
      </c>
      <c r="C83" s="409" t="s">
        <v>518</v>
      </c>
      <c r="D83" s="418" t="s">
        <v>519</v>
      </c>
      <c r="E83" s="380">
        <v>4516924874</v>
      </c>
      <c r="F83" s="753">
        <v>45660</v>
      </c>
      <c r="G83" s="380" t="s">
        <v>55</v>
      </c>
      <c r="H83" s="380"/>
      <c r="I83" s="388">
        <v>219500</v>
      </c>
      <c r="J83" s="380">
        <v>4</v>
      </c>
      <c r="K83" s="389">
        <f t="shared" si="3"/>
        <v>54875</v>
      </c>
      <c r="L83" s="387">
        <v>45658</v>
      </c>
      <c r="M83" s="387">
        <v>46022</v>
      </c>
      <c r="N83" s="680"/>
      <c r="O83" s="680"/>
      <c r="P83" s="363" t="s">
        <v>520</v>
      </c>
      <c r="Q83" s="380" t="s">
        <v>0</v>
      </c>
      <c r="R83" s="380"/>
      <c r="S83" s="390" t="s">
        <v>390</v>
      </c>
      <c r="T83" s="363" t="s">
        <v>521</v>
      </c>
      <c r="U83" s="390" t="s">
        <v>391</v>
      </c>
      <c r="V83" s="363" t="s">
        <v>522</v>
      </c>
      <c r="W83" s="390" t="s">
        <v>523</v>
      </c>
      <c r="X83" s="363" t="s">
        <v>524</v>
      </c>
      <c r="Y83" s="390" t="s">
        <v>228</v>
      </c>
      <c r="Z83" s="363" t="s">
        <v>525</v>
      </c>
      <c r="AA83" s="363"/>
      <c r="AB83" s="363"/>
      <c r="AC83" s="363"/>
      <c r="AD83" s="363"/>
      <c r="AE83" s="363" t="s">
        <v>485</v>
      </c>
      <c r="AF83" s="380" t="s">
        <v>63</v>
      </c>
      <c r="AG83" s="380">
        <f>6</f>
        <v>6</v>
      </c>
      <c r="AH83" s="363"/>
    </row>
    <row r="84" spans="2:34" ht="14.4" x14ac:dyDescent="0.3">
      <c r="B84" s="380" t="s">
        <v>14</v>
      </c>
      <c r="C84" s="409" t="s">
        <v>518</v>
      </c>
      <c r="D84" s="418" t="s">
        <v>519</v>
      </c>
      <c r="E84" s="380">
        <v>4516924874</v>
      </c>
      <c r="F84" s="753">
        <v>45660</v>
      </c>
      <c r="G84" s="380" t="s">
        <v>55</v>
      </c>
      <c r="H84" s="380">
        <v>2</v>
      </c>
      <c r="I84" s="388">
        <v>142300</v>
      </c>
      <c r="J84" s="380">
        <v>4</v>
      </c>
      <c r="K84" s="389">
        <f t="shared" si="3"/>
        <v>35575</v>
      </c>
      <c r="L84" s="387">
        <v>46023</v>
      </c>
      <c r="M84" s="387">
        <v>46387</v>
      </c>
      <c r="N84" s="680"/>
      <c r="O84" s="680"/>
      <c r="P84" s="363" t="s">
        <v>520</v>
      </c>
      <c r="Q84" s="380" t="s">
        <v>0</v>
      </c>
      <c r="R84" s="380"/>
      <c r="S84" s="394" t="s">
        <v>396</v>
      </c>
      <c r="T84" s="363" t="s">
        <v>526</v>
      </c>
      <c r="U84" s="390" t="s">
        <v>397</v>
      </c>
      <c r="V84" s="363" t="s">
        <v>1849</v>
      </c>
      <c r="W84" s="363" t="s">
        <v>496</v>
      </c>
      <c r="X84" s="363"/>
      <c r="Y84" s="363" t="s">
        <v>497</v>
      </c>
      <c r="Z84" s="363"/>
      <c r="AA84" s="363"/>
      <c r="AB84" s="363"/>
      <c r="AC84" s="363"/>
      <c r="AD84" s="363"/>
      <c r="AE84" s="363" t="s">
        <v>485</v>
      </c>
      <c r="AF84" s="380" t="s">
        <v>63</v>
      </c>
      <c r="AG84" s="380">
        <v>6</v>
      </c>
      <c r="AH84" s="363"/>
    </row>
    <row r="85" spans="2:34" ht="14.4" hidden="1" x14ac:dyDescent="0.3">
      <c r="B85" s="380" t="s">
        <v>14</v>
      </c>
      <c r="C85" s="409" t="s">
        <v>527</v>
      </c>
      <c r="D85" s="386" t="s">
        <v>151</v>
      </c>
      <c r="E85" s="419">
        <v>38369028</v>
      </c>
      <c r="F85" s="753">
        <v>45664</v>
      </c>
      <c r="G85" s="380" t="s">
        <v>55</v>
      </c>
      <c r="H85" s="380">
        <v>1</v>
      </c>
      <c r="I85" s="388">
        <v>67000</v>
      </c>
      <c r="J85" s="380">
        <v>1</v>
      </c>
      <c r="K85" s="389">
        <f t="shared" si="3"/>
        <v>67000</v>
      </c>
      <c r="L85" s="387">
        <v>45670</v>
      </c>
      <c r="M85" s="387">
        <v>46034</v>
      </c>
      <c r="N85" s="680"/>
      <c r="O85" s="680"/>
      <c r="P85" s="363" t="s">
        <v>19</v>
      </c>
      <c r="Q85" s="380" t="s">
        <v>0</v>
      </c>
      <c r="R85" s="380"/>
      <c r="S85" s="390" t="s">
        <v>528</v>
      </c>
      <c r="T85" s="363" t="s">
        <v>451</v>
      </c>
      <c r="U85" s="363"/>
      <c r="V85" s="363"/>
      <c r="W85" s="363"/>
      <c r="X85" s="363"/>
      <c r="Y85" s="363"/>
      <c r="Z85" s="363"/>
      <c r="AA85" s="363"/>
      <c r="AB85" s="363"/>
      <c r="AC85" s="363"/>
      <c r="AD85" s="363"/>
      <c r="AE85" s="363" t="s">
        <v>507</v>
      </c>
      <c r="AF85" s="380" t="s">
        <v>63</v>
      </c>
      <c r="AG85" s="380">
        <v>2</v>
      </c>
      <c r="AH85" s="363"/>
    </row>
    <row r="86" spans="2:34" ht="14.4" hidden="1" x14ac:dyDescent="0.3">
      <c r="B86" s="380" t="s">
        <v>14</v>
      </c>
      <c r="C86" s="409" t="s">
        <v>527</v>
      </c>
      <c r="D86" s="386" t="s">
        <v>151</v>
      </c>
      <c r="E86" s="419">
        <v>38414491</v>
      </c>
      <c r="F86" s="753">
        <v>45671</v>
      </c>
      <c r="G86" s="380" t="s">
        <v>55</v>
      </c>
      <c r="H86" s="380">
        <v>1</v>
      </c>
      <c r="I86" s="388">
        <v>67000</v>
      </c>
      <c r="J86" s="380">
        <v>1</v>
      </c>
      <c r="K86" s="389">
        <f t="shared" si="3"/>
        <v>67000</v>
      </c>
      <c r="L86" s="387">
        <v>45672</v>
      </c>
      <c r="M86" s="387">
        <v>46036</v>
      </c>
      <c r="N86" s="680"/>
      <c r="O86" s="680"/>
      <c r="P86" s="363" t="s">
        <v>19</v>
      </c>
      <c r="Q86" s="380" t="s">
        <v>0</v>
      </c>
      <c r="R86" s="380"/>
      <c r="S86" s="390" t="s">
        <v>529</v>
      </c>
      <c r="T86" s="363" t="s">
        <v>451</v>
      </c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 t="s">
        <v>507</v>
      </c>
      <c r="AF86" s="380" t="s">
        <v>63</v>
      </c>
      <c r="AG86" s="380">
        <v>2</v>
      </c>
      <c r="AH86" s="363"/>
    </row>
    <row r="87" spans="2:34" ht="14.4" x14ac:dyDescent="0.3">
      <c r="B87" s="380" t="s">
        <v>14</v>
      </c>
      <c r="C87" s="420" t="s">
        <v>530</v>
      </c>
      <c r="D87" s="421" t="s">
        <v>176</v>
      </c>
      <c r="E87" s="380">
        <v>16882528</v>
      </c>
      <c r="F87" s="753">
        <v>45670</v>
      </c>
      <c r="G87" s="380" t="s">
        <v>55</v>
      </c>
      <c r="H87" s="380"/>
      <c r="I87" s="388">
        <f>568000/4</f>
        <v>142000</v>
      </c>
      <c r="J87" s="380">
        <v>4</v>
      </c>
      <c r="K87" s="389">
        <f t="shared" si="3"/>
        <v>35500</v>
      </c>
      <c r="L87" s="387">
        <v>45670</v>
      </c>
      <c r="M87" s="387">
        <v>46764</v>
      </c>
      <c r="N87" s="680"/>
      <c r="O87" s="680"/>
      <c r="P87" s="363" t="s">
        <v>520</v>
      </c>
      <c r="Q87" s="380" t="s">
        <v>0</v>
      </c>
      <c r="R87" s="380"/>
      <c r="S87" s="422" t="s">
        <v>531</v>
      </c>
      <c r="T87" s="363"/>
      <c r="U87" s="422" t="s">
        <v>532</v>
      </c>
      <c r="V87" s="363"/>
      <c r="W87" s="422" t="s">
        <v>533</v>
      </c>
      <c r="X87" s="363"/>
      <c r="Y87" s="422" t="s">
        <v>534</v>
      </c>
      <c r="Z87" s="363"/>
      <c r="AA87" s="363"/>
      <c r="AB87" s="363"/>
      <c r="AC87" s="363"/>
      <c r="AD87" s="363"/>
      <c r="AE87" s="363" t="s">
        <v>183</v>
      </c>
      <c r="AF87" s="380" t="s">
        <v>97</v>
      </c>
      <c r="AG87" s="380">
        <v>4</v>
      </c>
      <c r="AH87" s="363"/>
    </row>
    <row r="88" spans="2:34" ht="14.4" x14ac:dyDescent="0.3">
      <c r="B88" s="380" t="s">
        <v>14</v>
      </c>
      <c r="C88" s="420" t="s">
        <v>530</v>
      </c>
      <c r="D88" s="421" t="s">
        <v>535</v>
      </c>
      <c r="E88" s="380">
        <v>16882528</v>
      </c>
      <c r="F88" s="753">
        <v>45670</v>
      </c>
      <c r="G88" s="380" t="s">
        <v>55</v>
      </c>
      <c r="H88" s="380"/>
      <c r="I88" s="388">
        <f>568000/4</f>
        <v>142000</v>
      </c>
      <c r="J88" s="380">
        <v>4</v>
      </c>
      <c r="K88" s="389">
        <f t="shared" si="3"/>
        <v>35500</v>
      </c>
      <c r="L88" s="387">
        <v>45670</v>
      </c>
      <c r="M88" s="387">
        <v>46764</v>
      </c>
      <c r="N88" s="680"/>
      <c r="O88" s="680"/>
      <c r="P88" s="363" t="s">
        <v>520</v>
      </c>
      <c r="Q88" s="380" t="s">
        <v>0</v>
      </c>
      <c r="R88" s="380"/>
      <c r="S88" s="390" t="s">
        <v>531</v>
      </c>
      <c r="T88" s="363" t="s">
        <v>536</v>
      </c>
      <c r="U88" s="390" t="s">
        <v>532</v>
      </c>
      <c r="V88" s="363" t="s">
        <v>439</v>
      </c>
      <c r="W88" s="390" t="s">
        <v>533</v>
      </c>
      <c r="X88" s="363" t="s">
        <v>537</v>
      </c>
      <c r="Y88" s="390" t="s">
        <v>534</v>
      </c>
      <c r="Z88" s="363" t="s">
        <v>320</v>
      </c>
      <c r="AA88" s="363"/>
      <c r="AB88" s="363"/>
      <c r="AC88" s="363"/>
      <c r="AD88" s="363"/>
      <c r="AE88" s="363" t="s">
        <v>183</v>
      </c>
      <c r="AF88" s="380" t="s">
        <v>97</v>
      </c>
      <c r="AG88" s="380">
        <v>4</v>
      </c>
      <c r="AH88" s="363"/>
    </row>
    <row r="89" spans="2:34" ht="14.4" x14ac:dyDescent="0.3">
      <c r="B89" s="380" t="s">
        <v>14</v>
      </c>
      <c r="C89" s="420" t="s">
        <v>530</v>
      </c>
      <c r="D89" s="421" t="s">
        <v>538</v>
      </c>
      <c r="E89" s="380">
        <v>16882528</v>
      </c>
      <c r="F89" s="753">
        <v>45670</v>
      </c>
      <c r="G89" s="380" t="s">
        <v>55</v>
      </c>
      <c r="H89" s="380"/>
      <c r="I89" s="388">
        <f>568000/4</f>
        <v>142000</v>
      </c>
      <c r="J89" s="380">
        <v>4</v>
      </c>
      <c r="K89" s="389">
        <f t="shared" si="3"/>
        <v>35500</v>
      </c>
      <c r="L89" s="387">
        <v>45670</v>
      </c>
      <c r="M89" s="387">
        <v>46764</v>
      </c>
      <c r="N89" s="680"/>
      <c r="O89" s="680"/>
      <c r="P89" s="363" t="s">
        <v>520</v>
      </c>
      <c r="Q89" s="380" t="s">
        <v>0</v>
      </c>
      <c r="R89" s="380"/>
      <c r="S89" s="390" t="s">
        <v>531</v>
      </c>
      <c r="T89" s="363" t="s">
        <v>241</v>
      </c>
      <c r="U89" s="390" t="s">
        <v>532</v>
      </c>
      <c r="V89" s="363" t="s">
        <v>439</v>
      </c>
      <c r="W89" s="390" t="s">
        <v>533</v>
      </c>
      <c r="X89" s="363" t="s">
        <v>539</v>
      </c>
      <c r="Y89" s="390" t="s">
        <v>534</v>
      </c>
      <c r="Z89" s="363" t="s">
        <v>417</v>
      </c>
      <c r="AA89" s="363"/>
      <c r="AB89" s="363"/>
      <c r="AC89" s="363"/>
      <c r="AD89" s="363"/>
      <c r="AE89" s="363" t="s">
        <v>485</v>
      </c>
      <c r="AF89" s="380" t="s">
        <v>63</v>
      </c>
      <c r="AG89" s="380">
        <v>4</v>
      </c>
      <c r="AH89" s="363"/>
    </row>
    <row r="90" spans="2:34" ht="14.4" x14ac:dyDescent="0.3">
      <c r="B90" s="380" t="s">
        <v>14</v>
      </c>
      <c r="C90" s="420" t="s">
        <v>530</v>
      </c>
      <c r="D90" s="421" t="s">
        <v>540</v>
      </c>
      <c r="E90" s="380">
        <v>16882528</v>
      </c>
      <c r="F90" s="753">
        <v>45670</v>
      </c>
      <c r="G90" s="380" t="s">
        <v>55</v>
      </c>
      <c r="H90" s="380"/>
      <c r="I90" s="388">
        <f>568000/4</f>
        <v>142000</v>
      </c>
      <c r="J90" s="380">
        <v>4</v>
      </c>
      <c r="K90" s="389">
        <f t="shared" si="3"/>
        <v>35500</v>
      </c>
      <c r="L90" s="387">
        <v>45670</v>
      </c>
      <c r="M90" s="387">
        <v>46764</v>
      </c>
      <c r="N90" s="680"/>
      <c r="O90" s="680"/>
      <c r="P90" s="363" t="s">
        <v>520</v>
      </c>
      <c r="Q90" s="380" t="s">
        <v>0</v>
      </c>
      <c r="R90" s="380"/>
      <c r="S90" s="390" t="s">
        <v>531</v>
      </c>
      <c r="T90" s="363" t="s">
        <v>541</v>
      </c>
      <c r="U90" s="390" t="s">
        <v>532</v>
      </c>
      <c r="V90" s="363" t="s">
        <v>439</v>
      </c>
      <c r="W90" s="390" t="s">
        <v>533</v>
      </c>
      <c r="X90" s="363" t="s">
        <v>542</v>
      </c>
      <c r="Y90" s="390" t="s">
        <v>534</v>
      </c>
      <c r="Z90" s="363" t="s">
        <v>543</v>
      </c>
      <c r="AA90" s="363"/>
      <c r="AB90" s="363"/>
      <c r="AC90" s="363"/>
      <c r="AD90" s="363"/>
      <c r="AE90" s="363" t="s">
        <v>128</v>
      </c>
      <c r="AF90" s="380" t="s">
        <v>129</v>
      </c>
      <c r="AG90" s="380">
        <v>4</v>
      </c>
      <c r="AH90" s="363"/>
    </row>
    <row r="91" spans="2:34" ht="14.4" hidden="1" x14ac:dyDescent="0.3">
      <c r="B91" s="380" t="s">
        <v>14</v>
      </c>
      <c r="C91" s="409" t="s">
        <v>544</v>
      </c>
      <c r="D91" s="423" t="s">
        <v>545</v>
      </c>
      <c r="E91" s="419">
        <v>1240051506</v>
      </c>
      <c r="F91" s="753">
        <v>45670</v>
      </c>
      <c r="G91" s="380" t="s">
        <v>55</v>
      </c>
      <c r="H91" s="380">
        <v>2</v>
      </c>
      <c r="I91" s="388">
        <v>144999.96</v>
      </c>
      <c r="J91" s="380">
        <v>3</v>
      </c>
      <c r="K91" s="389">
        <f t="shared" si="3"/>
        <v>48333.32</v>
      </c>
      <c r="L91" s="387">
        <v>45670</v>
      </c>
      <c r="M91" s="387">
        <v>46034</v>
      </c>
      <c r="N91" s="680"/>
      <c r="O91" s="680"/>
      <c r="P91" s="363" t="s">
        <v>19</v>
      </c>
      <c r="Q91" s="380" t="s">
        <v>0</v>
      </c>
      <c r="R91" s="380"/>
      <c r="S91" s="390" t="s">
        <v>546</v>
      </c>
      <c r="T91" s="363" t="s">
        <v>547</v>
      </c>
      <c r="U91" s="390" t="s">
        <v>548</v>
      </c>
      <c r="V91" s="363" t="s">
        <v>549</v>
      </c>
      <c r="W91" s="390" t="s">
        <v>550</v>
      </c>
      <c r="X91" s="363" t="s">
        <v>537</v>
      </c>
      <c r="Y91" s="363"/>
      <c r="Z91" s="363"/>
      <c r="AA91" s="363"/>
      <c r="AB91" s="363"/>
      <c r="AC91" s="363"/>
      <c r="AD91" s="363"/>
      <c r="AE91" s="363" t="s">
        <v>551</v>
      </c>
      <c r="AF91" s="380" t="s">
        <v>207</v>
      </c>
      <c r="AG91" s="380">
        <v>3</v>
      </c>
      <c r="AH91" s="363"/>
    </row>
    <row r="92" spans="2:34" ht="14.4" x14ac:dyDescent="0.3">
      <c r="B92" s="380" t="s">
        <v>14</v>
      </c>
      <c r="C92" s="409" t="s">
        <v>552</v>
      </c>
      <c r="D92" s="418" t="s">
        <v>151</v>
      </c>
      <c r="E92" s="380" t="s">
        <v>553</v>
      </c>
      <c r="F92" s="753">
        <v>45677</v>
      </c>
      <c r="G92" s="380" t="s">
        <v>55</v>
      </c>
      <c r="H92" s="380"/>
      <c r="I92" s="388">
        <f>332160/2</f>
        <v>166080</v>
      </c>
      <c r="J92" s="380">
        <v>3</v>
      </c>
      <c r="K92" s="389">
        <f t="shared" si="3"/>
        <v>55360</v>
      </c>
      <c r="L92" s="387">
        <v>45658</v>
      </c>
      <c r="M92" s="387">
        <v>46022</v>
      </c>
      <c r="N92" s="680"/>
      <c r="O92" s="680"/>
      <c r="P92" s="363" t="s">
        <v>520</v>
      </c>
      <c r="Q92" s="380" t="s">
        <v>0</v>
      </c>
      <c r="R92" s="380"/>
      <c r="S92" s="390" t="s">
        <v>554</v>
      </c>
      <c r="T92" s="363" t="s">
        <v>555</v>
      </c>
      <c r="U92" s="390" t="s">
        <v>343</v>
      </c>
      <c r="V92" s="363" t="s">
        <v>227</v>
      </c>
      <c r="W92" s="390" t="s">
        <v>345</v>
      </c>
      <c r="X92" s="363" t="s">
        <v>417</v>
      </c>
      <c r="Y92" s="363"/>
      <c r="Z92" s="363"/>
      <c r="AA92" s="363"/>
      <c r="AB92" s="363"/>
      <c r="AC92" s="363"/>
      <c r="AD92" s="363"/>
      <c r="AE92" s="363" t="s">
        <v>507</v>
      </c>
      <c r="AF92" s="380" t="s">
        <v>63</v>
      </c>
      <c r="AG92" s="380">
        <v>3</v>
      </c>
      <c r="AH92" s="363"/>
    </row>
    <row r="93" spans="2:34" ht="14.4" x14ac:dyDescent="0.3">
      <c r="B93" s="380" t="s">
        <v>14</v>
      </c>
      <c r="C93" s="409" t="s">
        <v>552</v>
      </c>
      <c r="D93" s="418" t="s">
        <v>151</v>
      </c>
      <c r="E93" s="493" t="s">
        <v>553</v>
      </c>
      <c r="F93" s="753">
        <v>45677</v>
      </c>
      <c r="G93" s="380" t="s">
        <v>55</v>
      </c>
      <c r="H93" s="380">
        <v>2</v>
      </c>
      <c r="I93" s="388">
        <f>332160/2</f>
        <v>166080</v>
      </c>
      <c r="J93" s="380">
        <v>3</v>
      </c>
      <c r="K93" s="389">
        <f t="shared" si="3"/>
        <v>55360</v>
      </c>
      <c r="L93" s="387">
        <v>46023</v>
      </c>
      <c r="M93" s="387">
        <v>46387</v>
      </c>
      <c r="N93" s="680"/>
      <c r="O93" s="680"/>
      <c r="P93" s="363" t="s">
        <v>520</v>
      </c>
      <c r="Q93" s="380" t="s">
        <v>0</v>
      </c>
      <c r="R93" s="380"/>
      <c r="S93" s="390" t="s">
        <v>347</v>
      </c>
      <c r="T93" s="363" t="s">
        <v>556</v>
      </c>
      <c r="U93" s="363" t="s">
        <v>348</v>
      </c>
      <c r="V93" s="363"/>
      <c r="W93" s="363" t="s">
        <v>349</v>
      </c>
      <c r="X93" s="363"/>
      <c r="Y93" s="363"/>
      <c r="Z93" s="363"/>
      <c r="AA93" s="363"/>
      <c r="AB93" s="363"/>
      <c r="AC93" s="363"/>
      <c r="AD93" s="363"/>
      <c r="AE93" s="363" t="s">
        <v>507</v>
      </c>
      <c r="AF93" s="380" t="s">
        <v>63</v>
      </c>
      <c r="AG93" s="380">
        <v>3</v>
      </c>
      <c r="AH93" s="363"/>
    </row>
    <row r="94" spans="2:34" ht="14.4" hidden="1" x14ac:dyDescent="0.3">
      <c r="B94" s="380" t="s">
        <v>14</v>
      </c>
      <c r="C94" s="409" t="s">
        <v>557</v>
      </c>
      <c r="D94" s="386" t="s">
        <v>558</v>
      </c>
      <c r="E94" s="424" t="s">
        <v>559</v>
      </c>
      <c r="F94" s="753">
        <v>45688</v>
      </c>
      <c r="G94" s="380" t="s">
        <v>55</v>
      </c>
      <c r="H94" s="380">
        <v>1</v>
      </c>
      <c r="I94" s="388">
        <v>134698</v>
      </c>
      <c r="J94" s="380">
        <v>4</v>
      </c>
      <c r="K94" s="389">
        <f t="shared" si="3"/>
        <v>33674.5</v>
      </c>
      <c r="L94" s="387">
        <v>45688</v>
      </c>
      <c r="M94" s="387">
        <v>46052</v>
      </c>
      <c r="N94" s="680"/>
      <c r="O94" s="680"/>
      <c r="P94" s="363" t="s">
        <v>19</v>
      </c>
      <c r="Q94" s="380" t="s">
        <v>0</v>
      </c>
      <c r="R94" s="380"/>
      <c r="S94" s="390" t="s">
        <v>560</v>
      </c>
      <c r="T94" s="363" t="s">
        <v>561</v>
      </c>
      <c r="U94" s="390" t="s">
        <v>266</v>
      </c>
      <c r="V94" s="363" t="s">
        <v>562</v>
      </c>
      <c r="W94" s="390" t="s">
        <v>267</v>
      </c>
      <c r="X94" s="363" t="s">
        <v>563</v>
      </c>
      <c r="Y94" s="390" t="s">
        <v>564</v>
      </c>
      <c r="Z94" s="363" t="s">
        <v>84</v>
      </c>
      <c r="AA94" s="363"/>
      <c r="AB94" s="363"/>
      <c r="AC94" s="363"/>
      <c r="AD94" s="363"/>
      <c r="AE94" s="363" t="s">
        <v>281</v>
      </c>
      <c r="AF94" s="380" t="s">
        <v>97</v>
      </c>
      <c r="AG94" s="380" t="s">
        <v>494</v>
      </c>
      <c r="AH94" s="363"/>
    </row>
    <row r="95" spans="2:34" ht="14.4" hidden="1" x14ac:dyDescent="0.3">
      <c r="B95" s="380" t="s">
        <v>14</v>
      </c>
      <c r="C95" s="409" t="s">
        <v>565</v>
      </c>
      <c r="D95" s="386" t="s">
        <v>566</v>
      </c>
      <c r="E95" s="424">
        <v>1011705960</v>
      </c>
      <c r="F95" s="753">
        <v>45692</v>
      </c>
      <c r="G95" s="380" t="s">
        <v>55</v>
      </c>
      <c r="H95" s="380">
        <v>1</v>
      </c>
      <c r="I95" s="388">
        <v>75000</v>
      </c>
      <c r="J95" s="380">
        <v>2</v>
      </c>
      <c r="K95" s="389">
        <f t="shared" si="3"/>
        <v>37500</v>
      </c>
      <c r="L95" s="387">
        <v>45689</v>
      </c>
      <c r="M95" s="387">
        <v>46053</v>
      </c>
      <c r="N95" s="680"/>
      <c r="O95" s="680"/>
      <c r="P95" s="363" t="s">
        <v>19</v>
      </c>
      <c r="Q95" s="380" t="s">
        <v>0</v>
      </c>
      <c r="R95" s="380"/>
      <c r="S95" s="390" t="s">
        <v>567</v>
      </c>
      <c r="T95" s="363" t="s">
        <v>555</v>
      </c>
      <c r="U95" s="390" t="s">
        <v>424</v>
      </c>
      <c r="V95" s="363" t="s">
        <v>493</v>
      </c>
      <c r="W95" s="363"/>
      <c r="X95" s="363"/>
      <c r="Y95" s="363"/>
      <c r="Z95" s="363"/>
      <c r="AA95" s="363"/>
      <c r="AB95" s="363"/>
      <c r="AC95" s="363"/>
      <c r="AD95" s="363"/>
      <c r="AE95" s="363" t="s">
        <v>551</v>
      </c>
      <c r="AF95" s="380" t="s">
        <v>207</v>
      </c>
      <c r="AG95" s="380">
        <v>2</v>
      </c>
      <c r="AH95" s="363"/>
    </row>
    <row r="96" spans="2:34" ht="14.4" x14ac:dyDescent="0.3">
      <c r="B96" s="380" t="s">
        <v>14</v>
      </c>
      <c r="C96" s="412" t="s">
        <v>568</v>
      </c>
      <c r="D96" s="413" t="s">
        <v>151</v>
      </c>
      <c r="E96" s="425">
        <v>7700326717</v>
      </c>
      <c r="F96" s="757">
        <v>45693</v>
      </c>
      <c r="G96" s="380" t="s">
        <v>55</v>
      </c>
      <c r="H96" s="380"/>
      <c r="I96" s="388">
        <f>93000*3</f>
        <v>279000</v>
      </c>
      <c r="J96" s="380">
        <v>3</v>
      </c>
      <c r="K96" s="389">
        <f t="shared" si="3"/>
        <v>93000</v>
      </c>
      <c r="L96" s="387">
        <v>45705</v>
      </c>
      <c r="M96" s="387">
        <v>46069</v>
      </c>
      <c r="N96" s="680"/>
      <c r="O96" s="680"/>
      <c r="P96" s="363" t="s">
        <v>520</v>
      </c>
      <c r="Q96" s="380" t="s">
        <v>2</v>
      </c>
      <c r="R96" s="380"/>
      <c r="S96" s="390" t="s">
        <v>569</v>
      </c>
      <c r="T96" s="363" t="s">
        <v>570</v>
      </c>
      <c r="U96" s="390" t="s">
        <v>571</v>
      </c>
      <c r="V96" s="363" t="s">
        <v>126</v>
      </c>
      <c r="W96" s="390" t="s">
        <v>572</v>
      </c>
      <c r="X96" s="363" t="s">
        <v>573</v>
      </c>
      <c r="Y96" s="363"/>
      <c r="Z96" s="363"/>
      <c r="AA96" s="363"/>
      <c r="AB96" s="363"/>
      <c r="AC96" s="363"/>
      <c r="AD96" s="363"/>
      <c r="AE96" s="363" t="s">
        <v>507</v>
      </c>
      <c r="AF96" s="380" t="s">
        <v>63</v>
      </c>
      <c r="AG96" s="380">
        <v>3</v>
      </c>
      <c r="AH96" s="363"/>
    </row>
    <row r="97" spans="2:34" ht="14.4" x14ac:dyDescent="0.3">
      <c r="B97" s="380" t="s">
        <v>14</v>
      </c>
      <c r="C97" s="412" t="s">
        <v>568</v>
      </c>
      <c r="D97" s="413" t="s">
        <v>151</v>
      </c>
      <c r="E97" s="425">
        <v>7700326717</v>
      </c>
      <c r="F97" s="757">
        <v>45693</v>
      </c>
      <c r="G97" s="380" t="s">
        <v>55</v>
      </c>
      <c r="H97" s="380"/>
      <c r="I97" s="388">
        <f>279000+93000</f>
        <v>372000</v>
      </c>
      <c r="J97" s="380">
        <v>3</v>
      </c>
      <c r="K97" s="389"/>
      <c r="L97" s="387">
        <v>46070</v>
      </c>
      <c r="M97" s="387">
        <v>46434</v>
      </c>
      <c r="N97" s="680"/>
      <c r="O97" s="680"/>
      <c r="P97" s="363" t="s">
        <v>520</v>
      </c>
      <c r="Q97" s="380" t="s">
        <v>2</v>
      </c>
      <c r="R97" s="380"/>
      <c r="S97" s="390" t="s">
        <v>574</v>
      </c>
      <c r="T97" s="363" t="s">
        <v>1714</v>
      </c>
      <c r="U97" s="363" t="s">
        <v>575</v>
      </c>
      <c r="V97" s="363"/>
      <c r="W97" s="363" t="s">
        <v>576</v>
      </c>
      <c r="X97" s="363"/>
      <c r="Y97" s="363"/>
      <c r="Z97" s="363"/>
      <c r="AA97" s="363"/>
      <c r="AB97" s="363"/>
      <c r="AC97" s="363"/>
      <c r="AD97" s="363"/>
      <c r="AE97" s="363" t="s">
        <v>507</v>
      </c>
      <c r="AF97" s="380" t="s">
        <v>63</v>
      </c>
      <c r="AG97" s="380">
        <v>3</v>
      </c>
      <c r="AH97" s="363"/>
    </row>
    <row r="98" spans="2:34" ht="14.4" x14ac:dyDescent="0.3">
      <c r="B98" s="380" t="s">
        <v>14</v>
      </c>
      <c r="C98" s="409" t="s">
        <v>568</v>
      </c>
      <c r="D98" s="386" t="s">
        <v>151</v>
      </c>
      <c r="E98" s="380">
        <v>7700326717</v>
      </c>
      <c r="F98" s="753">
        <v>45693</v>
      </c>
      <c r="G98" s="380" t="s">
        <v>55</v>
      </c>
      <c r="H98" s="380">
        <v>4</v>
      </c>
      <c r="I98" s="388">
        <f>279000+93000</f>
        <v>372000</v>
      </c>
      <c r="J98" s="380">
        <v>3</v>
      </c>
      <c r="K98" s="389"/>
      <c r="L98" s="387">
        <v>46435</v>
      </c>
      <c r="M98" s="387">
        <v>46799</v>
      </c>
      <c r="N98" s="680"/>
      <c r="O98" s="680"/>
      <c r="P98" s="363" t="s">
        <v>520</v>
      </c>
      <c r="Q98" s="380" t="s">
        <v>2</v>
      </c>
      <c r="R98" s="380"/>
      <c r="S98" s="363" t="s">
        <v>577</v>
      </c>
      <c r="T98" s="363"/>
      <c r="U98" s="363" t="s">
        <v>578</v>
      </c>
      <c r="V98" s="363"/>
      <c r="W98" s="363" t="s">
        <v>579</v>
      </c>
      <c r="X98" s="363"/>
      <c r="Y98" s="363"/>
      <c r="Z98" s="363"/>
      <c r="AA98" s="363"/>
      <c r="AB98" s="363"/>
      <c r="AC98" s="363"/>
      <c r="AD98" s="363"/>
      <c r="AE98" s="363" t="s">
        <v>507</v>
      </c>
      <c r="AF98" s="380" t="s">
        <v>63</v>
      </c>
      <c r="AG98" s="380">
        <v>3</v>
      </c>
      <c r="AH98" s="363"/>
    </row>
    <row r="99" spans="2:34" ht="14.4" hidden="1" x14ac:dyDescent="0.3">
      <c r="B99" s="380" t="s">
        <v>14</v>
      </c>
      <c r="C99" s="412" t="s">
        <v>580</v>
      </c>
      <c r="D99" s="413" t="s">
        <v>581</v>
      </c>
      <c r="E99" s="426">
        <v>24008608</v>
      </c>
      <c r="F99" s="757">
        <v>45698</v>
      </c>
      <c r="G99" s="380" t="s">
        <v>55</v>
      </c>
      <c r="H99" s="380">
        <v>1</v>
      </c>
      <c r="I99" s="388">
        <v>90000</v>
      </c>
      <c r="J99" s="380">
        <v>3</v>
      </c>
      <c r="K99" s="389">
        <f t="shared" ref="K99:K128" si="4">I99/J99</f>
        <v>30000</v>
      </c>
      <c r="L99" s="387">
        <v>45689</v>
      </c>
      <c r="M99" s="387">
        <v>46053</v>
      </c>
      <c r="N99" s="680"/>
      <c r="O99" s="680"/>
      <c r="P99" s="363" t="s">
        <v>19</v>
      </c>
      <c r="Q99" s="380" t="s">
        <v>0</v>
      </c>
      <c r="R99" s="380"/>
      <c r="S99" s="390" t="s">
        <v>79</v>
      </c>
      <c r="T99" s="363" t="s">
        <v>413</v>
      </c>
      <c r="U99" s="390" t="s">
        <v>81</v>
      </c>
      <c r="V99" s="363" t="s">
        <v>582</v>
      </c>
      <c r="W99" s="390" t="s">
        <v>83</v>
      </c>
      <c r="X99" s="363" t="s">
        <v>320</v>
      </c>
      <c r="Y99" s="363"/>
      <c r="Z99" s="363"/>
      <c r="AA99" s="363"/>
      <c r="AB99" s="363"/>
      <c r="AC99" s="363"/>
      <c r="AD99" s="363"/>
      <c r="AE99" s="363" t="s">
        <v>183</v>
      </c>
      <c r="AF99" s="380" t="s">
        <v>97</v>
      </c>
      <c r="AG99" s="380">
        <v>2</v>
      </c>
      <c r="AH99" s="363"/>
    </row>
    <row r="100" spans="2:34" ht="14.4" hidden="1" x14ac:dyDescent="0.3">
      <c r="B100" s="380" t="s">
        <v>14</v>
      </c>
      <c r="C100" s="427" t="s">
        <v>583</v>
      </c>
      <c r="D100" s="413" t="s">
        <v>176</v>
      </c>
      <c r="E100" s="416" t="s">
        <v>584</v>
      </c>
      <c r="F100" s="753">
        <v>45699</v>
      </c>
      <c r="G100" s="380" t="s">
        <v>55</v>
      </c>
      <c r="H100" s="380">
        <v>1</v>
      </c>
      <c r="I100" s="428">
        <v>142080</v>
      </c>
      <c r="J100" s="380">
        <v>2</v>
      </c>
      <c r="K100" s="389">
        <f t="shared" si="4"/>
        <v>71040</v>
      </c>
      <c r="L100" s="387">
        <v>45689</v>
      </c>
      <c r="M100" s="387">
        <v>46053</v>
      </c>
      <c r="N100" s="680"/>
      <c r="O100" s="680"/>
      <c r="P100" s="363" t="s">
        <v>19</v>
      </c>
      <c r="Q100" s="380" t="s">
        <v>0</v>
      </c>
      <c r="R100" s="380"/>
      <c r="S100" s="390" t="s">
        <v>422</v>
      </c>
      <c r="T100" s="363" t="s">
        <v>585</v>
      </c>
      <c r="U100" s="390" t="s">
        <v>424</v>
      </c>
      <c r="V100" s="363" t="s">
        <v>586</v>
      </c>
      <c r="W100" s="363"/>
      <c r="X100" s="363"/>
      <c r="Y100" s="363"/>
      <c r="Z100" s="363"/>
      <c r="AA100" s="363"/>
      <c r="AB100" s="363"/>
      <c r="AC100" s="363"/>
      <c r="AD100" s="363"/>
      <c r="AE100" s="363" t="s">
        <v>183</v>
      </c>
      <c r="AF100" s="380" t="s">
        <v>97</v>
      </c>
      <c r="AG100" s="380">
        <v>2</v>
      </c>
      <c r="AH100" s="363"/>
    </row>
    <row r="101" spans="2:34" ht="14.4" hidden="1" x14ac:dyDescent="0.3">
      <c r="B101" s="380" t="s">
        <v>14</v>
      </c>
      <c r="C101" s="409" t="s">
        <v>587</v>
      </c>
      <c r="D101" s="386" t="s">
        <v>176</v>
      </c>
      <c r="E101" s="424">
        <v>4800012618</v>
      </c>
      <c r="F101" s="753">
        <v>45673</v>
      </c>
      <c r="G101" s="380" t="s">
        <v>55</v>
      </c>
      <c r="H101" s="380">
        <v>1</v>
      </c>
      <c r="I101" s="388">
        <v>86350</v>
      </c>
      <c r="J101" s="380">
        <v>2</v>
      </c>
      <c r="K101" s="389">
        <f t="shared" si="4"/>
        <v>43175</v>
      </c>
      <c r="L101" s="387">
        <v>45689</v>
      </c>
      <c r="M101" s="387">
        <v>46053</v>
      </c>
      <c r="N101" s="680"/>
      <c r="O101" s="680"/>
      <c r="P101" s="363" t="s">
        <v>19</v>
      </c>
      <c r="Q101" s="380" t="s">
        <v>0</v>
      </c>
      <c r="R101" s="380"/>
      <c r="S101" s="390" t="s">
        <v>422</v>
      </c>
      <c r="T101" s="363" t="s">
        <v>225</v>
      </c>
      <c r="U101" s="390" t="s">
        <v>424</v>
      </c>
      <c r="V101" s="363" t="s">
        <v>588</v>
      </c>
      <c r="W101" s="363"/>
      <c r="X101" s="363"/>
      <c r="Y101" s="363"/>
      <c r="Z101" s="363"/>
      <c r="AA101" s="363"/>
      <c r="AB101" s="363"/>
      <c r="AC101" s="363"/>
      <c r="AD101" s="363"/>
      <c r="AE101" s="363" t="s">
        <v>183</v>
      </c>
      <c r="AF101" s="380" t="s">
        <v>97</v>
      </c>
      <c r="AG101" s="380">
        <v>2</v>
      </c>
      <c r="AH101" s="363"/>
    </row>
    <row r="102" spans="2:34" ht="14.4" hidden="1" x14ac:dyDescent="0.3">
      <c r="B102" s="380" t="s">
        <v>14</v>
      </c>
      <c r="C102" s="409" t="s">
        <v>589</v>
      </c>
      <c r="D102" s="386" t="s">
        <v>590</v>
      </c>
      <c r="E102" s="424">
        <v>4508578495</v>
      </c>
      <c r="F102" s="753">
        <v>45700</v>
      </c>
      <c r="G102" s="380" t="s">
        <v>55</v>
      </c>
      <c r="H102" s="380">
        <v>1</v>
      </c>
      <c r="I102" s="388">
        <v>137750</v>
      </c>
      <c r="J102" s="380">
        <v>3</v>
      </c>
      <c r="K102" s="389">
        <f t="shared" si="4"/>
        <v>45916.666666666664</v>
      </c>
      <c r="L102" s="387">
        <v>45698</v>
      </c>
      <c r="M102" s="387">
        <v>46062</v>
      </c>
      <c r="N102" s="680"/>
      <c r="O102" s="680"/>
      <c r="P102" s="363" t="s">
        <v>19</v>
      </c>
      <c r="Q102" s="380" t="s">
        <v>2</v>
      </c>
      <c r="R102" s="380"/>
      <c r="S102" s="390" t="s">
        <v>591</v>
      </c>
      <c r="T102" s="363" t="s">
        <v>555</v>
      </c>
      <c r="U102" s="390" t="s">
        <v>592</v>
      </c>
      <c r="V102" s="363" t="s">
        <v>464</v>
      </c>
      <c r="W102" s="390" t="s">
        <v>593</v>
      </c>
      <c r="X102" s="363" t="s">
        <v>594</v>
      </c>
      <c r="Y102" s="363"/>
      <c r="Z102" s="363"/>
      <c r="AA102" s="363"/>
      <c r="AB102" s="363"/>
      <c r="AC102" s="363"/>
      <c r="AD102" s="363"/>
      <c r="AE102" s="363" t="s">
        <v>551</v>
      </c>
      <c r="AF102" s="380" t="s">
        <v>207</v>
      </c>
      <c r="AG102" s="380">
        <v>3</v>
      </c>
      <c r="AH102" s="363"/>
    </row>
    <row r="103" spans="2:34" ht="14.4" hidden="1" x14ac:dyDescent="0.3">
      <c r="B103" s="380" t="s">
        <v>14</v>
      </c>
      <c r="C103" s="409" t="s">
        <v>595</v>
      </c>
      <c r="D103" s="386" t="s">
        <v>596</v>
      </c>
      <c r="E103" s="424">
        <v>3110014461</v>
      </c>
      <c r="F103" s="753">
        <v>45700</v>
      </c>
      <c r="G103" s="380" t="s">
        <v>55</v>
      </c>
      <c r="H103" s="380">
        <v>1</v>
      </c>
      <c r="I103" s="388">
        <v>50000</v>
      </c>
      <c r="J103" s="380">
        <v>2</v>
      </c>
      <c r="K103" s="389">
        <f t="shared" si="4"/>
        <v>25000</v>
      </c>
      <c r="L103" s="387">
        <v>45748</v>
      </c>
      <c r="M103" s="387">
        <v>46112</v>
      </c>
      <c r="N103" s="680"/>
      <c r="O103" s="680"/>
      <c r="P103" s="363" t="s">
        <v>19</v>
      </c>
      <c r="Q103" s="380" t="s">
        <v>3</v>
      </c>
      <c r="R103" s="380"/>
      <c r="S103" s="390" t="s">
        <v>463</v>
      </c>
      <c r="T103" s="363" t="s">
        <v>537</v>
      </c>
      <c r="U103" s="390" t="s">
        <v>465</v>
      </c>
      <c r="V103" s="363" t="s">
        <v>597</v>
      </c>
      <c r="W103" s="363"/>
      <c r="X103" s="363"/>
      <c r="Y103" s="363"/>
      <c r="Z103" s="363"/>
      <c r="AA103" s="363"/>
      <c r="AB103" s="363"/>
      <c r="AC103" s="363"/>
      <c r="AD103" s="363"/>
      <c r="AE103" s="363" t="s">
        <v>507</v>
      </c>
      <c r="AF103" s="380" t="s">
        <v>63</v>
      </c>
      <c r="AG103" s="380">
        <v>2</v>
      </c>
      <c r="AH103" s="363"/>
    </row>
    <row r="104" spans="2:34" ht="14.4" hidden="1" x14ac:dyDescent="0.3">
      <c r="B104" s="380" t="s">
        <v>14</v>
      </c>
      <c r="C104" s="409" t="s">
        <v>598</v>
      </c>
      <c r="D104" s="386" t="s">
        <v>599</v>
      </c>
      <c r="E104" s="419">
        <v>3001027074</v>
      </c>
      <c r="F104" s="753">
        <v>45702</v>
      </c>
      <c r="G104" s="380" t="s">
        <v>55</v>
      </c>
      <c r="H104" s="380">
        <v>5</v>
      </c>
      <c r="I104" s="388">
        <v>290000</v>
      </c>
      <c r="J104" s="380">
        <v>2</v>
      </c>
      <c r="K104" s="389">
        <f t="shared" si="4"/>
        <v>145000</v>
      </c>
      <c r="L104" s="387">
        <v>45702</v>
      </c>
      <c r="M104" s="387">
        <v>46065</v>
      </c>
      <c r="N104" s="680"/>
      <c r="O104" s="680"/>
      <c r="P104" s="363" t="s">
        <v>19</v>
      </c>
      <c r="Q104" s="380" t="s">
        <v>2</v>
      </c>
      <c r="R104" s="380"/>
      <c r="S104" s="390" t="s">
        <v>600</v>
      </c>
      <c r="T104" s="363" t="s">
        <v>601</v>
      </c>
      <c r="U104" s="390" t="s">
        <v>602</v>
      </c>
      <c r="V104" s="363" t="s">
        <v>573</v>
      </c>
      <c r="W104" s="363"/>
      <c r="X104" s="363"/>
      <c r="Y104" s="363"/>
      <c r="Z104" s="363"/>
      <c r="AA104" s="363"/>
      <c r="AB104" s="363"/>
      <c r="AC104" s="363"/>
      <c r="AD104" s="363"/>
      <c r="AE104" s="363" t="s">
        <v>485</v>
      </c>
      <c r="AF104" s="380" t="s">
        <v>63</v>
      </c>
      <c r="AG104" s="380">
        <v>2</v>
      </c>
      <c r="AH104" s="363" t="s">
        <v>603</v>
      </c>
    </row>
    <row r="105" spans="2:34" ht="14.4" x14ac:dyDescent="0.3">
      <c r="B105" s="380" t="s">
        <v>14</v>
      </c>
      <c r="C105" s="409" t="s">
        <v>604</v>
      </c>
      <c r="D105" s="386" t="s">
        <v>605</v>
      </c>
      <c r="E105" s="380">
        <v>5700171274</v>
      </c>
      <c r="F105" s="753">
        <v>45705</v>
      </c>
      <c r="G105" s="380" t="s">
        <v>55</v>
      </c>
      <c r="H105" s="380"/>
      <c r="I105" s="388">
        <v>591675</v>
      </c>
      <c r="J105" s="380">
        <v>2</v>
      </c>
      <c r="K105" s="389">
        <f t="shared" si="4"/>
        <v>295837.5</v>
      </c>
      <c r="L105" s="387">
        <v>45658</v>
      </c>
      <c r="M105" s="387">
        <v>46022</v>
      </c>
      <c r="N105" s="680"/>
      <c r="O105" s="680"/>
      <c r="P105" s="363" t="s">
        <v>520</v>
      </c>
      <c r="Q105" s="380" t="s">
        <v>2</v>
      </c>
      <c r="R105" s="380"/>
      <c r="S105" s="390" t="s">
        <v>482</v>
      </c>
      <c r="T105" s="363" t="s">
        <v>371</v>
      </c>
      <c r="U105" s="390" t="s">
        <v>483</v>
      </c>
      <c r="V105" s="363" t="s">
        <v>606</v>
      </c>
      <c r="W105" s="363"/>
      <c r="X105" s="363"/>
      <c r="Y105" s="363"/>
      <c r="Z105" s="363"/>
      <c r="AA105" s="363"/>
      <c r="AB105" s="363"/>
      <c r="AC105" s="363"/>
      <c r="AD105" s="363"/>
      <c r="AE105" s="363" t="s">
        <v>485</v>
      </c>
      <c r="AF105" s="380" t="s">
        <v>63</v>
      </c>
      <c r="AG105" s="380">
        <v>3</v>
      </c>
      <c r="AH105" s="363"/>
    </row>
    <row r="106" spans="2:34" ht="14.4" x14ac:dyDescent="0.3">
      <c r="B106" s="380" t="s">
        <v>14</v>
      </c>
      <c r="C106" s="409" t="s">
        <v>604</v>
      </c>
      <c r="D106" s="386" t="s">
        <v>605</v>
      </c>
      <c r="E106" s="380">
        <v>5700171274</v>
      </c>
      <c r="F106" s="753">
        <v>45705</v>
      </c>
      <c r="G106" s="380" t="s">
        <v>55</v>
      </c>
      <c r="H106" s="380">
        <v>5</v>
      </c>
      <c r="I106" s="388">
        <v>591675</v>
      </c>
      <c r="J106" s="380">
        <v>2</v>
      </c>
      <c r="K106" s="389">
        <f t="shared" si="4"/>
        <v>295837.5</v>
      </c>
      <c r="L106" s="387">
        <v>46023</v>
      </c>
      <c r="M106" s="387">
        <v>46387</v>
      </c>
      <c r="N106" s="680"/>
      <c r="O106" s="680"/>
      <c r="P106" s="363" t="s">
        <v>520</v>
      </c>
      <c r="Q106" s="380" t="s">
        <v>2</v>
      </c>
      <c r="R106" s="380"/>
      <c r="S106" s="390" t="s">
        <v>607</v>
      </c>
      <c r="T106" s="363" t="s">
        <v>1850</v>
      </c>
      <c r="U106" s="363" t="s">
        <v>608</v>
      </c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 t="s">
        <v>485</v>
      </c>
      <c r="AF106" s="380" t="s">
        <v>63</v>
      </c>
      <c r="AG106" s="380">
        <v>3</v>
      </c>
      <c r="AH106" s="363"/>
    </row>
    <row r="107" spans="2:34" ht="14.4" hidden="1" x14ac:dyDescent="0.3">
      <c r="B107" s="380" t="s">
        <v>14</v>
      </c>
      <c r="C107" s="429" t="s">
        <v>609</v>
      </c>
      <c r="D107" s="386" t="s">
        <v>86</v>
      </c>
      <c r="E107" s="419">
        <v>3791225209</v>
      </c>
      <c r="F107" s="753">
        <v>45695</v>
      </c>
      <c r="G107" s="380" t="s">
        <v>55</v>
      </c>
      <c r="H107" s="380">
        <v>2</v>
      </c>
      <c r="I107" s="388">
        <v>364800</v>
      </c>
      <c r="J107" s="380">
        <v>3</v>
      </c>
      <c r="K107" s="389">
        <f t="shared" si="4"/>
        <v>121600</v>
      </c>
      <c r="L107" s="387">
        <v>45689</v>
      </c>
      <c r="M107" s="387">
        <v>46053</v>
      </c>
      <c r="N107" s="680"/>
      <c r="O107" s="680"/>
      <c r="P107" s="363" t="s">
        <v>19</v>
      </c>
      <c r="Q107" s="380" t="s">
        <v>0</v>
      </c>
      <c r="R107" s="380" t="s">
        <v>1</v>
      </c>
      <c r="S107" s="390" t="s">
        <v>79</v>
      </c>
      <c r="T107" s="363" t="s">
        <v>610</v>
      </c>
      <c r="U107" s="390" t="s">
        <v>81</v>
      </c>
      <c r="V107" s="363" t="s">
        <v>611</v>
      </c>
      <c r="W107" s="390" t="s">
        <v>83</v>
      </c>
      <c r="X107" s="430" t="s">
        <v>612</v>
      </c>
      <c r="Y107" s="363"/>
      <c r="Z107" s="363"/>
      <c r="AA107" s="363"/>
      <c r="AB107" s="363"/>
      <c r="AC107" s="363"/>
      <c r="AD107" s="363"/>
      <c r="AE107" s="363" t="s">
        <v>281</v>
      </c>
      <c r="AF107" s="380" t="s">
        <v>97</v>
      </c>
      <c r="AG107" s="380">
        <v>3</v>
      </c>
      <c r="AH107" s="363" t="s">
        <v>613</v>
      </c>
    </row>
    <row r="108" spans="2:34" ht="14.4" hidden="1" x14ac:dyDescent="0.3">
      <c r="B108" s="380" t="s">
        <v>14</v>
      </c>
      <c r="C108" s="409" t="s">
        <v>598</v>
      </c>
      <c r="D108" s="386" t="s">
        <v>388</v>
      </c>
      <c r="E108" s="424">
        <v>3001030991</v>
      </c>
      <c r="F108" s="753">
        <v>45719</v>
      </c>
      <c r="G108" s="380" t="s">
        <v>616</v>
      </c>
      <c r="H108" s="380">
        <v>2</v>
      </c>
      <c r="I108" s="388">
        <v>116000</v>
      </c>
      <c r="J108" s="380">
        <v>2</v>
      </c>
      <c r="K108" s="389">
        <f t="shared" si="4"/>
        <v>58000</v>
      </c>
      <c r="L108" s="387">
        <v>45717</v>
      </c>
      <c r="M108" s="387">
        <v>46081</v>
      </c>
      <c r="N108" s="680"/>
      <c r="O108" s="680"/>
      <c r="P108" s="363" t="s">
        <v>19</v>
      </c>
      <c r="Q108" s="380" t="s">
        <v>2</v>
      </c>
      <c r="R108" s="380"/>
      <c r="S108" s="390" t="s">
        <v>624</v>
      </c>
      <c r="T108" s="363" t="s">
        <v>423</v>
      </c>
      <c r="U108" s="390" t="s">
        <v>625</v>
      </c>
      <c r="V108" s="363" t="s">
        <v>626</v>
      </c>
      <c r="W108" s="363"/>
      <c r="X108" s="363"/>
      <c r="Y108" s="363"/>
      <c r="Z108" s="363"/>
      <c r="AA108" s="363"/>
      <c r="AB108" s="363"/>
      <c r="AC108" s="363"/>
      <c r="AD108" s="363"/>
      <c r="AE108" s="363" t="s">
        <v>478</v>
      </c>
      <c r="AF108" s="380" t="s">
        <v>63</v>
      </c>
      <c r="AG108" s="380">
        <v>2</v>
      </c>
      <c r="AH108" s="431" t="s">
        <v>627</v>
      </c>
    </row>
    <row r="109" spans="2:34" ht="14.4" hidden="1" x14ac:dyDescent="0.3">
      <c r="B109" s="380" t="s">
        <v>14</v>
      </c>
      <c r="C109" s="412" t="s">
        <v>628</v>
      </c>
      <c r="D109" s="413" t="s">
        <v>629</v>
      </c>
      <c r="E109" s="416" t="s">
        <v>630</v>
      </c>
      <c r="F109" s="757">
        <v>45727</v>
      </c>
      <c r="G109" s="425" t="s">
        <v>616</v>
      </c>
      <c r="H109" s="425">
        <v>1</v>
      </c>
      <c r="I109" s="432">
        <v>52000</v>
      </c>
      <c r="J109" s="380">
        <v>1</v>
      </c>
      <c r="K109" s="389">
        <f t="shared" si="4"/>
        <v>52000</v>
      </c>
      <c r="L109" s="387">
        <v>45748</v>
      </c>
      <c r="M109" s="387">
        <v>46112</v>
      </c>
      <c r="N109" s="680"/>
      <c r="O109" s="680"/>
      <c r="P109" s="363" t="s">
        <v>19</v>
      </c>
      <c r="Q109" s="380" t="s">
        <v>3</v>
      </c>
      <c r="R109" s="380"/>
      <c r="S109" s="390" t="s">
        <v>631</v>
      </c>
      <c r="T109" s="363" t="s">
        <v>632</v>
      </c>
      <c r="U109" s="363"/>
      <c r="V109" s="363"/>
      <c r="W109" s="363"/>
      <c r="X109" s="363"/>
      <c r="Y109" s="363"/>
      <c r="Z109" s="363"/>
      <c r="AA109" s="363"/>
      <c r="AB109" s="363"/>
      <c r="AC109" s="363"/>
      <c r="AD109" s="363"/>
      <c r="AE109" s="363" t="s">
        <v>485</v>
      </c>
      <c r="AF109" s="380" t="s">
        <v>63</v>
      </c>
      <c r="AG109" s="380">
        <v>2</v>
      </c>
      <c r="AH109" s="363" t="s">
        <v>633</v>
      </c>
    </row>
    <row r="110" spans="2:34" ht="14.4" x14ac:dyDescent="0.3">
      <c r="B110" s="380" t="s">
        <v>14</v>
      </c>
      <c r="C110" s="409" t="s">
        <v>634</v>
      </c>
      <c r="D110" s="386" t="s">
        <v>447</v>
      </c>
      <c r="E110" s="380">
        <v>4500262958</v>
      </c>
      <c r="F110" s="753">
        <v>45727</v>
      </c>
      <c r="G110" s="380" t="s">
        <v>616</v>
      </c>
      <c r="H110" s="380"/>
      <c r="I110" s="388">
        <f>597000/3</f>
        <v>199000</v>
      </c>
      <c r="J110" s="380">
        <v>4</v>
      </c>
      <c r="K110" s="389">
        <f t="shared" si="4"/>
        <v>49750</v>
      </c>
      <c r="L110" s="387">
        <v>45658</v>
      </c>
      <c r="M110" s="387">
        <v>46022</v>
      </c>
      <c r="N110" s="680"/>
      <c r="O110" s="680"/>
      <c r="P110" s="363" t="s">
        <v>520</v>
      </c>
      <c r="Q110" s="380" t="s">
        <v>3</v>
      </c>
      <c r="R110" s="380"/>
      <c r="S110" s="390" t="s">
        <v>390</v>
      </c>
      <c r="T110" s="363" t="s">
        <v>635</v>
      </c>
      <c r="U110" s="390" t="s">
        <v>391</v>
      </c>
      <c r="V110" s="363" t="s">
        <v>636</v>
      </c>
      <c r="W110" s="390" t="s">
        <v>168</v>
      </c>
      <c r="X110" s="363" t="s">
        <v>637</v>
      </c>
      <c r="Y110" s="390" t="s">
        <v>228</v>
      </c>
      <c r="Z110" s="363" t="s">
        <v>493</v>
      </c>
      <c r="AA110" s="363"/>
      <c r="AB110" s="363"/>
      <c r="AC110" s="363"/>
      <c r="AD110" s="363"/>
      <c r="AE110" s="363" t="s">
        <v>96</v>
      </c>
      <c r="AF110" s="380" t="s">
        <v>97</v>
      </c>
      <c r="AG110" s="380" t="s">
        <v>494</v>
      </c>
      <c r="AH110" s="363" t="s">
        <v>638</v>
      </c>
    </row>
    <row r="111" spans="2:34" ht="14.4" x14ac:dyDescent="0.3">
      <c r="B111" s="380" t="s">
        <v>14</v>
      </c>
      <c r="C111" s="409" t="s">
        <v>634</v>
      </c>
      <c r="D111" s="386" t="s">
        <v>447</v>
      </c>
      <c r="E111" s="380">
        <v>4500262958</v>
      </c>
      <c r="F111" s="753">
        <v>45727</v>
      </c>
      <c r="G111" s="380" t="s">
        <v>616</v>
      </c>
      <c r="H111" s="380"/>
      <c r="I111" s="388">
        <v>199000</v>
      </c>
      <c r="J111" s="380">
        <v>4</v>
      </c>
      <c r="K111" s="389">
        <f t="shared" si="4"/>
        <v>49750</v>
      </c>
      <c r="L111" s="387">
        <v>46023</v>
      </c>
      <c r="M111" s="387">
        <v>46387</v>
      </c>
      <c r="N111" s="680">
        <v>154805</v>
      </c>
      <c r="O111" s="680">
        <v>4782</v>
      </c>
      <c r="P111" s="363" t="s">
        <v>520</v>
      </c>
      <c r="Q111" s="380" t="s">
        <v>3</v>
      </c>
      <c r="R111" s="380"/>
      <c r="S111" s="390" t="s">
        <v>396</v>
      </c>
      <c r="T111" s="363" t="s">
        <v>639</v>
      </c>
      <c r="U111" s="390" t="s">
        <v>397</v>
      </c>
      <c r="V111" s="363" t="s">
        <v>1715</v>
      </c>
      <c r="W111" s="390" t="s">
        <v>496</v>
      </c>
      <c r="X111" s="363" t="s">
        <v>2018</v>
      </c>
      <c r="Y111" s="363" t="s">
        <v>497</v>
      </c>
      <c r="Z111" s="363"/>
      <c r="AA111" s="363"/>
      <c r="AB111" s="363"/>
      <c r="AC111" s="363"/>
      <c r="AD111" s="363"/>
      <c r="AE111" s="363" t="s">
        <v>96</v>
      </c>
      <c r="AF111" s="380" t="s">
        <v>97</v>
      </c>
      <c r="AG111" s="380" t="s">
        <v>494</v>
      </c>
      <c r="AH111" s="363"/>
    </row>
    <row r="112" spans="2:34" ht="14.4" x14ac:dyDescent="0.3">
      <c r="B112" s="380" t="s">
        <v>14</v>
      </c>
      <c r="C112" s="409" t="s">
        <v>634</v>
      </c>
      <c r="D112" s="386" t="s">
        <v>447</v>
      </c>
      <c r="E112" s="380">
        <v>4500262958</v>
      </c>
      <c r="F112" s="753">
        <v>45727</v>
      </c>
      <c r="G112" s="380" t="s">
        <v>616</v>
      </c>
      <c r="H112" s="380">
        <v>2</v>
      </c>
      <c r="I112" s="388">
        <v>199000</v>
      </c>
      <c r="J112" s="380">
        <v>4</v>
      </c>
      <c r="K112" s="389">
        <f t="shared" si="4"/>
        <v>49750</v>
      </c>
      <c r="L112" s="387">
        <v>46388</v>
      </c>
      <c r="M112" s="387">
        <v>46752</v>
      </c>
      <c r="N112" s="680"/>
      <c r="O112" s="680"/>
      <c r="P112" s="363" t="s">
        <v>520</v>
      </c>
      <c r="Q112" s="380" t="s">
        <v>3</v>
      </c>
      <c r="R112" s="380"/>
      <c r="S112" s="363" t="s">
        <v>498</v>
      </c>
      <c r="T112" s="363"/>
      <c r="U112" s="363" t="s">
        <v>499</v>
      </c>
      <c r="V112" s="363"/>
      <c r="W112" s="363" t="s">
        <v>500</v>
      </c>
      <c r="X112" s="363"/>
      <c r="Y112" s="363" t="s">
        <v>501</v>
      </c>
      <c r="Z112" s="363"/>
      <c r="AA112" s="363"/>
      <c r="AB112" s="363"/>
      <c r="AC112" s="363"/>
      <c r="AD112" s="363"/>
      <c r="AE112" s="363" t="s">
        <v>96</v>
      </c>
      <c r="AF112" s="380" t="s">
        <v>97</v>
      </c>
      <c r="AG112" s="380" t="s">
        <v>494</v>
      </c>
      <c r="AH112" s="363"/>
    </row>
    <row r="113" spans="2:34" ht="14.4" hidden="1" x14ac:dyDescent="0.3">
      <c r="B113" s="380" t="s">
        <v>14</v>
      </c>
      <c r="C113" s="409" t="s">
        <v>640</v>
      </c>
      <c r="D113" s="386" t="s">
        <v>641</v>
      </c>
      <c r="E113" s="380" t="s">
        <v>642</v>
      </c>
      <c r="F113" s="753">
        <v>45731</v>
      </c>
      <c r="G113" s="380" t="s">
        <v>643</v>
      </c>
      <c r="H113" s="380"/>
      <c r="I113" s="388">
        <v>152460</v>
      </c>
      <c r="J113" s="380">
        <v>1</v>
      </c>
      <c r="K113" s="389">
        <f t="shared" si="4"/>
        <v>152460</v>
      </c>
      <c r="L113" s="387">
        <v>45748</v>
      </c>
      <c r="M113" s="387">
        <v>46112</v>
      </c>
      <c r="N113" s="680"/>
      <c r="O113" s="680"/>
      <c r="P113" s="363" t="s">
        <v>19</v>
      </c>
      <c r="Q113" s="380" t="s">
        <v>3</v>
      </c>
      <c r="R113" s="380"/>
      <c r="S113" s="390" t="s">
        <v>631</v>
      </c>
      <c r="T113" s="363" t="s">
        <v>644</v>
      </c>
      <c r="U113" s="363"/>
      <c r="V113" s="363"/>
      <c r="W113" s="363"/>
      <c r="X113" s="363"/>
      <c r="Y113" s="363"/>
      <c r="Z113" s="363"/>
      <c r="AA113" s="363"/>
      <c r="AB113" s="363"/>
      <c r="AC113" s="363"/>
      <c r="AD113" s="363"/>
      <c r="AE113" s="363" t="s">
        <v>551</v>
      </c>
      <c r="AF113" s="380" t="s">
        <v>207</v>
      </c>
      <c r="AG113" s="380">
        <v>2</v>
      </c>
      <c r="AH113" s="363" t="s">
        <v>645</v>
      </c>
    </row>
    <row r="114" spans="2:34" ht="14.4" x14ac:dyDescent="0.3">
      <c r="B114" s="380" t="s">
        <v>14</v>
      </c>
      <c r="C114" s="409" t="s">
        <v>640</v>
      </c>
      <c r="D114" s="386" t="s">
        <v>641</v>
      </c>
      <c r="E114" s="380" t="s">
        <v>642</v>
      </c>
      <c r="F114" s="753">
        <v>45731</v>
      </c>
      <c r="G114" s="380" t="s">
        <v>643</v>
      </c>
      <c r="H114" s="380">
        <v>3</v>
      </c>
      <c r="I114" s="388">
        <v>152460</v>
      </c>
      <c r="J114" s="380">
        <v>1</v>
      </c>
      <c r="K114" s="389">
        <f t="shared" si="4"/>
        <v>152460</v>
      </c>
      <c r="L114" s="387">
        <v>46113</v>
      </c>
      <c r="M114" s="387">
        <v>46477</v>
      </c>
      <c r="N114" s="680"/>
      <c r="O114" s="680"/>
      <c r="P114" s="363" t="s">
        <v>520</v>
      </c>
      <c r="Q114" s="380" t="s">
        <v>3</v>
      </c>
      <c r="R114" s="380"/>
      <c r="S114" s="363" t="s">
        <v>646</v>
      </c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D114" s="363"/>
      <c r="AE114" s="363" t="s">
        <v>551</v>
      </c>
      <c r="AF114" s="380" t="s">
        <v>207</v>
      </c>
      <c r="AG114" s="380">
        <v>2</v>
      </c>
      <c r="AH114" s="363"/>
    </row>
    <row r="115" spans="2:34" ht="14.4" hidden="1" x14ac:dyDescent="0.3">
      <c r="B115" s="380" t="s">
        <v>14</v>
      </c>
      <c r="C115" s="409" t="s">
        <v>647</v>
      </c>
      <c r="D115" s="386" t="s">
        <v>648</v>
      </c>
      <c r="E115" s="419">
        <v>450087563</v>
      </c>
      <c r="F115" s="753">
        <v>45728</v>
      </c>
      <c r="G115" s="380" t="s">
        <v>643</v>
      </c>
      <c r="H115" s="380">
        <v>2</v>
      </c>
      <c r="I115" s="388">
        <v>220000</v>
      </c>
      <c r="J115" s="380">
        <v>2</v>
      </c>
      <c r="K115" s="389">
        <f t="shared" si="4"/>
        <v>110000</v>
      </c>
      <c r="L115" s="387">
        <v>45660</v>
      </c>
      <c r="M115" s="387">
        <v>46081</v>
      </c>
      <c r="N115" s="680"/>
      <c r="O115" s="680"/>
      <c r="P115" s="363" t="s">
        <v>19</v>
      </c>
      <c r="Q115" s="380" t="s">
        <v>2</v>
      </c>
      <c r="R115" s="380"/>
      <c r="S115" s="390" t="s">
        <v>624</v>
      </c>
      <c r="T115" s="363" t="s">
        <v>504</v>
      </c>
      <c r="U115" s="433" t="s">
        <v>625</v>
      </c>
      <c r="V115" s="363" t="s">
        <v>649</v>
      </c>
      <c r="W115" s="363"/>
      <c r="X115" s="363"/>
      <c r="Y115" s="363"/>
      <c r="Z115" s="363"/>
      <c r="AA115" s="363"/>
      <c r="AB115" s="363"/>
      <c r="AC115" s="363"/>
      <c r="AD115" s="363"/>
      <c r="AE115" s="363" t="s">
        <v>183</v>
      </c>
      <c r="AF115" s="380" t="s">
        <v>97</v>
      </c>
      <c r="AG115" s="380">
        <v>2</v>
      </c>
      <c r="AH115" s="363" t="s">
        <v>650</v>
      </c>
    </row>
    <row r="116" spans="2:34" ht="14.4" hidden="1" x14ac:dyDescent="0.3">
      <c r="B116" s="380" t="s">
        <v>14</v>
      </c>
      <c r="C116" s="409" t="s">
        <v>651</v>
      </c>
      <c r="D116" s="386" t="s">
        <v>447</v>
      </c>
      <c r="E116" s="408">
        <v>9200013983</v>
      </c>
      <c r="F116" s="753">
        <v>45727</v>
      </c>
      <c r="G116" s="380" t="s">
        <v>643</v>
      </c>
      <c r="H116" s="380">
        <v>1</v>
      </c>
      <c r="I116" s="388">
        <v>87360</v>
      </c>
      <c r="J116" s="380">
        <v>3</v>
      </c>
      <c r="K116" s="389">
        <f t="shared" si="4"/>
        <v>29120</v>
      </c>
      <c r="L116" s="387">
        <v>45717</v>
      </c>
      <c r="M116" s="387">
        <v>46081</v>
      </c>
      <c r="N116" s="680"/>
      <c r="O116" s="680"/>
      <c r="P116" s="363" t="s">
        <v>19</v>
      </c>
      <c r="Q116" s="380" t="s">
        <v>2</v>
      </c>
      <c r="R116" s="380"/>
      <c r="S116" s="390" t="s">
        <v>188</v>
      </c>
      <c r="T116" s="363" t="s">
        <v>652</v>
      </c>
      <c r="U116" s="390" t="s">
        <v>190</v>
      </c>
      <c r="V116" s="363" t="s">
        <v>475</v>
      </c>
      <c r="W116" s="390" t="s">
        <v>192</v>
      </c>
      <c r="X116" s="363" t="s">
        <v>653</v>
      </c>
      <c r="Y116" s="363"/>
      <c r="Z116" s="363"/>
      <c r="AA116" s="363"/>
      <c r="AB116" s="363"/>
      <c r="AC116" s="363"/>
      <c r="AD116" s="363"/>
      <c r="AE116" s="363" t="s">
        <v>281</v>
      </c>
      <c r="AF116" s="380" t="s">
        <v>97</v>
      </c>
      <c r="AG116" s="380">
        <v>3</v>
      </c>
      <c r="AH116" s="363" t="s">
        <v>654</v>
      </c>
    </row>
    <row r="117" spans="2:34" ht="14.4" hidden="1" x14ac:dyDescent="0.3">
      <c r="B117" s="380" t="s">
        <v>14</v>
      </c>
      <c r="C117" s="409" t="s">
        <v>655</v>
      </c>
      <c r="D117" s="423" t="s">
        <v>151</v>
      </c>
      <c r="E117" s="424">
        <v>2006637</v>
      </c>
      <c r="F117" s="753">
        <v>45729</v>
      </c>
      <c r="G117" s="380" t="s">
        <v>643</v>
      </c>
      <c r="H117" s="380">
        <v>4</v>
      </c>
      <c r="I117" s="388">
        <v>288000</v>
      </c>
      <c r="J117" s="380">
        <v>2</v>
      </c>
      <c r="K117" s="389">
        <f t="shared" si="4"/>
        <v>144000</v>
      </c>
      <c r="L117" s="387">
        <v>45661</v>
      </c>
      <c r="M117" s="387">
        <v>46112</v>
      </c>
      <c r="N117" s="680"/>
      <c r="O117" s="680"/>
      <c r="P117" s="363" t="s">
        <v>19</v>
      </c>
      <c r="Q117" s="380" t="s">
        <v>5</v>
      </c>
      <c r="R117" s="380"/>
      <c r="S117" s="390" t="s">
        <v>463</v>
      </c>
      <c r="T117" s="363" t="s">
        <v>582</v>
      </c>
      <c r="U117" s="390" t="s">
        <v>465</v>
      </c>
      <c r="V117" s="363" t="s">
        <v>656</v>
      </c>
      <c r="W117" s="363"/>
      <c r="X117" s="363"/>
      <c r="Y117" s="363"/>
      <c r="Z117" s="363"/>
      <c r="AA117" s="363"/>
      <c r="AB117" s="363"/>
      <c r="AC117" s="363"/>
      <c r="AD117" s="363"/>
      <c r="AE117" s="363" t="s">
        <v>478</v>
      </c>
      <c r="AF117" s="380" t="s">
        <v>63</v>
      </c>
      <c r="AG117" s="380">
        <v>2</v>
      </c>
      <c r="AH117" s="363" t="s">
        <v>657</v>
      </c>
    </row>
    <row r="118" spans="2:34" ht="14.4" hidden="1" x14ac:dyDescent="0.3">
      <c r="B118" s="380" t="s">
        <v>14</v>
      </c>
      <c r="C118" s="409" t="s">
        <v>658</v>
      </c>
      <c r="D118" s="386" t="s">
        <v>388</v>
      </c>
      <c r="E118" s="424" t="s">
        <v>659</v>
      </c>
      <c r="F118" s="753">
        <v>45705</v>
      </c>
      <c r="G118" s="380" t="s">
        <v>643</v>
      </c>
      <c r="H118" s="380">
        <v>1</v>
      </c>
      <c r="I118" s="388">
        <v>68000</v>
      </c>
      <c r="J118" s="380">
        <v>2</v>
      </c>
      <c r="K118" s="389">
        <f t="shared" si="4"/>
        <v>34000</v>
      </c>
      <c r="L118" s="387">
        <v>45717</v>
      </c>
      <c r="M118" s="387">
        <v>46081</v>
      </c>
      <c r="N118" s="680"/>
      <c r="O118" s="680"/>
      <c r="P118" s="363" t="s">
        <v>19</v>
      </c>
      <c r="Q118" s="380" t="s">
        <v>3</v>
      </c>
      <c r="R118" s="380"/>
      <c r="S118" s="390" t="s">
        <v>624</v>
      </c>
      <c r="T118" s="363" t="s">
        <v>660</v>
      </c>
      <c r="U118" s="390" t="s">
        <v>625</v>
      </c>
      <c r="V118" s="363" t="s">
        <v>661</v>
      </c>
      <c r="W118" s="363"/>
      <c r="X118" s="363"/>
      <c r="Y118" s="363"/>
      <c r="Z118" s="363"/>
      <c r="AA118" s="363"/>
      <c r="AB118" s="363"/>
      <c r="AC118" s="363"/>
      <c r="AD118" s="363"/>
      <c r="AE118" s="363" t="s">
        <v>478</v>
      </c>
      <c r="AF118" s="380" t="s">
        <v>63</v>
      </c>
      <c r="AG118" s="380">
        <v>3</v>
      </c>
      <c r="AH118" s="363" t="s">
        <v>662</v>
      </c>
    </row>
    <row r="119" spans="2:34" ht="14.4" hidden="1" x14ac:dyDescent="0.3">
      <c r="B119" s="380" t="s">
        <v>14</v>
      </c>
      <c r="C119" s="409" t="s">
        <v>663</v>
      </c>
      <c r="D119" s="434" t="s">
        <v>664</v>
      </c>
      <c r="E119" s="424">
        <v>4507449999</v>
      </c>
      <c r="F119" s="753">
        <v>45742</v>
      </c>
      <c r="G119" s="380" t="s">
        <v>643</v>
      </c>
      <c r="H119" s="380">
        <v>1</v>
      </c>
      <c r="I119" s="388">
        <v>66999.990000000005</v>
      </c>
      <c r="J119" s="380">
        <v>3</v>
      </c>
      <c r="K119" s="389">
        <f t="shared" si="4"/>
        <v>22333.33</v>
      </c>
      <c r="L119" s="387">
        <v>45748</v>
      </c>
      <c r="M119" s="387">
        <v>46112</v>
      </c>
      <c r="N119" s="680"/>
      <c r="O119" s="680"/>
      <c r="P119" s="363" t="s">
        <v>19</v>
      </c>
      <c r="Q119" s="380" t="s">
        <v>3</v>
      </c>
      <c r="R119" s="380"/>
      <c r="S119" s="390" t="s">
        <v>357</v>
      </c>
      <c r="T119" s="363" t="s">
        <v>401</v>
      </c>
      <c r="U119" s="390" t="s">
        <v>665</v>
      </c>
      <c r="V119" s="363" t="s">
        <v>73</v>
      </c>
      <c r="W119" s="390" t="s">
        <v>361</v>
      </c>
      <c r="X119" s="363" t="s">
        <v>666</v>
      </c>
      <c r="Y119" s="363"/>
      <c r="Z119" s="363"/>
      <c r="AA119" s="363"/>
      <c r="AB119" s="363"/>
      <c r="AC119" s="363"/>
      <c r="AD119" s="363"/>
      <c r="AE119" s="363" t="s">
        <v>478</v>
      </c>
      <c r="AF119" s="380" t="s">
        <v>63</v>
      </c>
      <c r="AG119" s="380" t="s">
        <v>494</v>
      </c>
      <c r="AH119" s="363" t="s">
        <v>667</v>
      </c>
    </row>
    <row r="120" spans="2:34" ht="14.4" hidden="1" x14ac:dyDescent="0.3">
      <c r="B120" s="380" t="s">
        <v>14</v>
      </c>
      <c r="C120" s="409" t="s">
        <v>668</v>
      </c>
      <c r="D120" s="434" t="s">
        <v>669</v>
      </c>
      <c r="E120" s="380">
        <v>50055662</v>
      </c>
      <c r="F120" s="753">
        <v>45743</v>
      </c>
      <c r="G120" s="380" t="s">
        <v>643</v>
      </c>
      <c r="H120" s="380">
        <v>13</v>
      </c>
      <c r="I120" s="388">
        <v>585000</v>
      </c>
      <c r="J120" s="380">
        <v>1</v>
      </c>
      <c r="K120" s="389">
        <f t="shared" si="4"/>
        <v>585000</v>
      </c>
      <c r="L120" s="387">
        <v>45748</v>
      </c>
      <c r="M120" s="387">
        <v>46112</v>
      </c>
      <c r="N120" s="680"/>
      <c r="O120" s="680"/>
      <c r="P120" s="363" t="s">
        <v>19</v>
      </c>
      <c r="Q120" s="380" t="s">
        <v>3</v>
      </c>
      <c r="R120" s="380"/>
      <c r="S120" s="390" t="s">
        <v>631</v>
      </c>
      <c r="T120" s="363" t="s">
        <v>670</v>
      </c>
      <c r="U120" s="363"/>
      <c r="V120" s="363"/>
      <c r="W120" s="363"/>
      <c r="X120" s="363"/>
      <c r="Y120" s="363"/>
      <c r="Z120" s="363"/>
      <c r="AA120" s="363"/>
      <c r="AB120" s="363"/>
      <c r="AC120" s="363"/>
      <c r="AD120" s="363"/>
      <c r="AE120" s="363" t="s">
        <v>478</v>
      </c>
      <c r="AF120" s="380" t="s">
        <v>63</v>
      </c>
      <c r="AG120" s="380">
        <v>1</v>
      </c>
      <c r="AH120" s="363"/>
    </row>
    <row r="121" spans="2:34" ht="14.4" hidden="1" x14ac:dyDescent="0.3">
      <c r="B121" s="380" t="s">
        <v>14</v>
      </c>
      <c r="C121" s="409" t="s">
        <v>668</v>
      </c>
      <c r="D121" s="434" t="s">
        <v>669</v>
      </c>
      <c r="E121" s="380">
        <v>50055662</v>
      </c>
      <c r="F121" s="753">
        <v>45743</v>
      </c>
      <c r="G121" s="380" t="s">
        <v>643</v>
      </c>
      <c r="H121" s="380">
        <v>2</v>
      </c>
      <c r="I121" s="388">
        <v>160000</v>
      </c>
      <c r="J121" s="380">
        <v>2</v>
      </c>
      <c r="K121" s="389">
        <f t="shared" si="4"/>
        <v>80000</v>
      </c>
      <c r="L121" s="387">
        <v>45748</v>
      </c>
      <c r="M121" s="387">
        <v>46112</v>
      </c>
      <c r="N121" s="680"/>
      <c r="O121" s="680"/>
      <c r="P121" s="363" t="s">
        <v>19</v>
      </c>
      <c r="Q121" s="380" t="s">
        <v>3</v>
      </c>
      <c r="R121" s="380"/>
      <c r="S121" s="390" t="s">
        <v>463</v>
      </c>
      <c r="T121" s="363" t="s">
        <v>169</v>
      </c>
      <c r="U121" s="390" t="s">
        <v>465</v>
      </c>
      <c r="V121" s="363" t="s">
        <v>526</v>
      </c>
      <c r="W121" s="363"/>
      <c r="X121" s="363"/>
      <c r="Y121" s="363"/>
      <c r="Z121" s="363"/>
      <c r="AA121" s="363"/>
      <c r="AB121" s="363"/>
      <c r="AC121" s="363"/>
      <c r="AD121" s="363"/>
      <c r="AE121" s="363" t="s">
        <v>478</v>
      </c>
      <c r="AF121" s="380" t="s">
        <v>63</v>
      </c>
      <c r="AG121" s="380">
        <v>2</v>
      </c>
      <c r="AH121" s="363" t="s">
        <v>671</v>
      </c>
    </row>
    <row r="122" spans="2:34" ht="14.4" x14ac:dyDescent="0.3">
      <c r="B122" s="380" t="s">
        <v>14</v>
      </c>
      <c r="C122" s="409" t="s">
        <v>672</v>
      </c>
      <c r="D122" s="386" t="s">
        <v>447</v>
      </c>
      <c r="E122" s="380" t="s">
        <v>1939</v>
      </c>
      <c r="F122" s="753">
        <v>45747</v>
      </c>
      <c r="G122" s="380" t="s">
        <v>643</v>
      </c>
      <c r="H122" s="380"/>
      <c r="I122" s="435">
        <f>44887.5*4</f>
        <v>179550</v>
      </c>
      <c r="J122" s="380">
        <v>4</v>
      </c>
      <c r="K122" s="389">
        <f t="shared" si="4"/>
        <v>44887.5</v>
      </c>
      <c r="L122" s="387">
        <v>45748</v>
      </c>
      <c r="M122" s="387">
        <v>46112</v>
      </c>
      <c r="N122" s="680"/>
      <c r="O122" s="680"/>
      <c r="P122" s="363" t="s">
        <v>520</v>
      </c>
      <c r="Q122" s="380" t="s">
        <v>5</v>
      </c>
      <c r="R122" s="380"/>
      <c r="S122" s="390" t="s">
        <v>391</v>
      </c>
      <c r="T122" s="363" t="s">
        <v>401</v>
      </c>
      <c r="U122" s="390" t="s">
        <v>523</v>
      </c>
      <c r="V122" s="363" t="s">
        <v>126</v>
      </c>
      <c r="W122" s="390" t="s">
        <v>228</v>
      </c>
      <c r="X122" s="363" t="s">
        <v>673</v>
      </c>
      <c r="Y122" s="390" t="s">
        <v>396</v>
      </c>
      <c r="Z122" s="363" t="s">
        <v>495</v>
      </c>
      <c r="AA122" s="363"/>
      <c r="AB122" s="363"/>
      <c r="AC122" s="363"/>
      <c r="AD122" s="363"/>
      <c r="AE122" s="363" t="s">
        <v>96</v>
      </c>
      <c r="AF122" s="380" t="s">
        <v>97</v>
      </c>
      <c r="AG122" s="380" t="s">
        <v>494</v>
      </c>
      <c r="AH122" s="363" t="s">
        <v>657</v>
      </c>
    </row>
    <row r="123" spans="2:34" ht="14.4" x14ac:dyDescent="0.3">
      <c r="B123" s="380" t="s">
        <v>14</v>
      </c>
      <c r="C123" s="409" t="s">
        <v>672</v>
      </c>
      <c r="D123" s="386" t="s">
        <v>447</v>
      </c>
      <c r="E123" s="380" t="s">
        <v>1939</v>
      </c>
      <c r="F123" s="753">
        <v>45747</v>
      </c>
      <c r="G123" s="380" t="s">
        <v>643</v>
      </c>
      <c r="H123" s="380"/>
      <c r="I123" s="388">
        <f>47133.75*4</f>
        <v>188535</v>
      </c>
      <c r="J123" s="380">
        <v>4</v>
      </c>
      <c r="K123" s="389">
        <f t="shared" si="4"/>
        <v>47133.75</v>
      </c>
      <c r="L123" s="387">
        <v>46113</v>
      </c>
      <c r="M123" s="387">
        <v>46477</v>
      </c>
      <c r="N123" s="680"/>
      <c r="O123" s="680"/>
      <c r="P123" s="363" t="s">
        <v>520</v>
      </c>
      <c r="Q123" s="380" t="s">
        <v>5</v>
      </c>
      <c r="R123" s="380"/>
      <c r="S123" s="390" t="s">
        <v>397</v>
      </c>
      <c r="T123" s="363" t="s">
        <v>1843</v>
      </c>
      <c r="U123" s="390" t="s">
        <v>496</v>
      </c>
      <c r="V123" s="363" t="s">
        <v>2012</v>
      </c>
      <c r="W123" s="363" t="s">
        <v>497</v>
      </c>
      <c r="X123" s="363"/>
      <c r="Y123" s="363" t="s">
        <v>498</v>
      </c>
      <c r="Z123" s="363"/>
      <c r="AA123" s="363"/>
      <c r="AB123" s="363"/>
      <c r="AC123" s="363"/>
      <c r="AD123" s="363"/>
      <c r="AE123" s="363" t="s">
        <v>96</v>
      </c>
      <c r="AF123" s="380" t="s">
        <v>97</v>
      </c>
      <c r="AG123" s="380" t="s">
        <v>494</v>
      </c>
      <c r="AH123" s="363"/>
    </row>
    <row r="124" spans="2:34" ht="14.4" x14ac:dyDescent="0.3">
      <c r="B124" s="380" t="s">
        <v>14</v>
      </c>
      <c r="C124" s="409" t="s">
        <v>672</v>
      </c>
      <c r="D124" s="386" t="s">
        <v>447</v>
      </c>
      <c r="E124" s="380" t="s">
        <v>1939</v>
      </c>
      <c r="F124" s="753">
        <v>45747</v>
      </c>
      <c r="G124" s="380" t="s">
        <v>643</v>
      </c>
      <c r="H124" s="380">
        <v>3</v>
      </c>
      <c r="I124" s="388">
        <v>196500</v>
      </c>
      <c r="J124" s="380">
        <v>4</v>
      </c>
      <c r="K124" s="389">
        <f t="shared" si="4"/>
        <v>49125</v>
      </c>
      <c r="L124" s="387">
        <v>46478</v>
      </c>
      <c r="M124" s="387">
        <v>46843</v>
      </c>
      <c r="N124" s="680"/>
      <c r="O124" s="680"/>
      <c r="P124" s="363" t="s">
        <v>520</v>
      </c>
      <c r="Q124" s="380" t="s">
        <v>5</v>
      </c>
      <c r="R124" s="380"/>
      <c r="S124" s="363" t="s">
        <v>499</v>
      </c>
      <c r="T124" s="363"/>
      <c r="U124" s="363" t="s">
        <v>500</v>
      </c>
      <c r="V124" s="363"/>
      <c r="W124" s="363" t="s">
        <v>501</v>
      </c>
      <c r="X124" s="363"/>
      <c r="Y124" s="363" t="s">
        <v>674</v>
      </c>
      <c r="Z124" s="363"/>
      <c r="AA124" s="363"/>
      <c r="AB124" s="363"/>
      <c r="AC124" s="363"/>
      <c r="AD124" s="363"/>
      <c r="AE124" s="363" t="s">
        <v>96</v>
      </c>
      <c r="AF124" s="380" t="s">
        <v>97</v>
      </c>
      <c r="AG124" s="380" t="s">
        <v>494</v>
      </c>
      <c r="AH124" s="363"/>
    </row>
    <row r="125" spans="2:34" ht="14.4" hidden="1" x14ac:dyDescent="0.3">
      <c r="B125" s="380" t="s">
        <v>14</v>
      </c>
      <c r="C125" s="412" t="s">
        <v>614</v>
      </c>
      <c r="D125" s="413" t="s">
        <v>447</v>
      </c>
      <c r="E125" s="436" t="s">
        <v>675</v>
      </c>
      <c r="F125" s="757">
        <v>45743</v>
      </c>
      <c r="G125" s="380" t="s">
        <v>643</v>
      </c>
      <c r="H125" s="380">
        <v>2</v>
      </c>
      <c r="I125" s="388">
        <v>152880</v>
      </c>
      <c r="J125" s="380">
        <v>3</v>
      </c>
      <c r="K125" s="389">
        <f t="shared" si="4"/>
        <v>50960</v>
      </c>
      <c r="L125" s="387">
        <v>45748</v>
      </c>
      <c r="M125" s="387">
        <v>46112</v>
      </c>
      <c r="N125" s="680"/>
      <c r="O125" s="680"/>
      <c r="P125" s="363" t="s">
        <v>19</v>
      </c>
      <c r="Q125" s="380" t="s">
        <v>3</v>
      </c>
      <c r="R125" s="380"/>
      <c r="S125" s="390" t="s">
        <v>357</v>
      </c>
      <c r="T125" s="363" t="s">
        <v>676</v>
      </c>
      <c r="U125" s="390" t="s">
        <v>665</v>
      </c>
      <c r="V125" s="363" t="s">
        <v>677</v>
      </c>
      <c r="W125" s="390" t="s">
        <v>361</v>
      </c>
      <c r="X125" s="363" t="s">
        <v>403</v>
      </c>
      <c r="Y125" s="363"/>
      <c r="Z125" s="363"/>
      <c r="AA125" s="363"/>
      <c r="AB125" s="363"/>
      <c r="AC125" s="363"/>
      <c r="AD125" s="363"/>
      <c r="AE125" s="363" t="s">
        <v>281</v>
      </c>
      <c r="AF125" s="380" t="s">
        <v>97</v>
      </c>
      <c r="AG125" s="380">
        <v>3</v>
      </c>
      <c r="AH125" s="363" t="s">
        <v>678</v>
      </c>
    </row>
    <row r="126" spans="2:34" ht="14.4" hidden="1" x14ac:dyDescent="0.3">
      <c r="B126" s="380" t="s">
        <v>14</v>
      </c>
      <c r="C126" s="429" t="s">
        <v>679</v>
      </c>
      <c r="D126" s="434" t="s">
        <v>680</v>
      </c>
      <c r="E126" s="380">
        <v>7000168921</v>
      </c>
      <c r="F126" s="753">
        <v>45834</v>
      </c>
      <c r="G126" s="380" t="s">
        <v>643</v>
      </c>
      <c r="H126" s="380">
        <v>2</v>
      </c>
      <c r="I126" s="435">
        <v>180000</v>
      </c>
      <c r="J126" s="380">
        <v>2</v>
      </c>
      <c r="K126" s="389">
        <f t="shared" si="4"/>
        <v>90000</v>
      </c>
      <c r="L126" s="387">
        <v>45748</v>
      </c>
      <c r="M126" s="387">
        <v>46112</v>
      </c>
      <c r="N126" s="680"/>
      <c r="O126" s="680"/>
      <c r="P126" s="363" t="s">
        <v>19</v>
      </c>
      <c r="Q126" s="380" t="s">
        <v>3</v>
      </c>
      <c r="R126" s="380"/>
      <c r="S126" s="390" t="s">
        <v>681</v>
      </c>
      <c r="T126" s="363" t="s">
        <v>682</v>
      </c>
      <c r="U126" s="390" t="s">
        <v>465</v>
      </c>
      <c r="V126" s="363" t="s">
        <v>683</v>
      </c>
      <c r="W126" s="363"/>
      <c r="X126" s="363"/>
      <c r="Y126" s="363"/>
      <c r="Z126" s="363"/>
      <c r="AA126" s="363"/>
      <c r="AB126" s="363"/>
      <c r="AC126" s="363"/>
      <c r="AD126" s="363"/>
      <c r="AE126" s="363" t="s">
        <v>485</v>
      </c>
      <c r="AF126" s="380" t="s">
        <v>63</v>
      </c>
      <c r="AG126" s="380">
        <v>2</v>
      </c>
      <c r="AH126" s="363" t="s">
        <v>684</v>
      </c>
    </row>
    <row r="127" spans="2:34" ht="14.4" hidden="1" x14ac:dyDescent="0.3">
      <c r="B127" s="380" t="s">
        <v>14</v>
      </c>
      <c r="C127" s="430" t="s">
        <v>685</v>
      </c>
      <c r="D127" s="386" t="s">
        <v>151</v>
      </c>
      <c r="E127" s="380">
        <v>4512433191</v>
      </c>
      <c r="F127" s="753">
        <v>45749</v>
      </c>
      <c r="G127" s="380" t="s">
        <v>643</v>
      </c>
      <c r="H127" s="380">
        <v>1</v>
      </c>
      <c r="I127" s="388">
        <v>46000</v>
      </c>
      <c r="J127" s="380">
        <v>3</v>
      </c>
      <c r="K127" s="389">
        <f t="shared" si="4"/>
        <v>15333.333333333334</v>
      </c>
      <c r="L127" s="387">
        <v>45778</v>
      </c>
      <c r="M127" s="387">
        <v>46142</v>
      </c>
      <c r="N127" s="680"/>
      <c r="O127" s="680"/>
      <c r="P127" s="363" t="s">
        <v>19</v>
      </c>
      <c r="Q127" s="380" t="s">
        <v>5</v>
      </c>
      <c r="R127" s="380"/>
      <c r="S127" s="390" t="s">
        <v>343</v>
      </c>
      <c r="T127" s="363" t="s">
        <v>686</v>
      </c>
      <c r="U127" s="390" t="s">
        <v>345</v>
      </c>
      <c r="V127" s="363" t="s">
        <v>687</v>
      </c>
      <c r="W127" s="390" t="s">
        <v>347</v>
      </c>
      <c r="X127" s="363" t="s">
        <v>688</v>
      </c>
      <c r="Y127" s="363"/>
      <c r="Z127" s="363"/>
      <c r="AA127" s="363"/>
      <c r="AB127" s="363"/>
      <c r="AC127" s="363"/>
      <c r="AD127" s="363"/>
      <c r="AE127" s="363" t="s">
        <v>478</v>
      </c>
      <c r="AF127" s="380" t="s">
        <v>63</v>
      </c>
      <c r="AG127" s="380">
        <v>5</v>
      </c>
      <c r="AH127" s="363" t="s">
        <v>689</v>
      </c>
    </row>
    <row r="128" spans="2:34" ht="14.4" hidden="1" x14ac:dyDescent="0.3">
      <c r="B128" s="380" t="s">
        <v>14</v>
      </c>
      <c r="C128" s="430" t="s">
        <v>685</v>
      </c>
      <c r="D128" s="386" t="s">
        <v>151</v>
      </c>
      <c r="E128" s="419">
        <v>4512439844</v>
      </c>
      <c r="F128" s="753">
        <v>45750</v>
      </c>
      <c r="G128" s="380" t="s">
        <v>643</v>
      </c>
      <c r="H128" s="380">
        <v>1</v>
      </c>
      <c r="I128" s="388">
        <v>269660</v>
      </c>
      <c r="J128" s="380">
        <v>3</v>
      </c>
      <c r="K128" s="389">
        <f t="shared" si="4"/>
        <v>89886.666666666672</v>
      </c>
      <c r="L128" s="387">
        <v>45748</v>
      </c>
      <c r="M128" s="387">
        <v>46112</v>
      </c>
      <c r="N128" s="680"/>
      <c r="O128" s="680"/>
      <c r="P128" s="363" t="s">
        <v>19</v>
      </c>
      <c r="Q128" s="380" t="s">
        <v>3</v>
      </c>
      <c r="R128" s="380"/>
      <c r="S128" s="390" t="s">
        <v>357</v>
      </c>
      <c r="T128" s="363" t="s">
        <v>690</v>
      </c>
      <c r="U128" s="390" t="s">
        <v>665</v>
      </c>
      <c r="V128" s="363" t="s">
        <v>691</v>
      </c>
      <c r="W128" s="390" t="s">
        <v>361</v>
      </c>
      <c r="X128" s="363" t="s">
        <v>692</v>
      </c>
      <c r="Y128" s="363"/>
      <c r="Z128" s="363"/>
      <c r="AA128" s="363"/>
      <c r="AB128" s="363"/>
      <c r="AC128" s="363"/>
      <c r="AD128" s="363"/>
      <c r="AE128" s="363" t="s">
        <v>478</v>
      </c>
      <c r="AF128" s="380" t="s">
        <v>63</v>
      </c>
      <c r="AG128" s="380">
        <v>5</v>
      </c>
      <c r="AH128" s="363" t="s">
        <v>689</v>
      </c>
    </row>
    <row r="129" spans="2:34" ht="14.4" hidden="1" x14ac:dyDescent="0.3">
      <c r="B129" s="380" t="s">
        <v>14</v>
      </c>
      <c r="C129" s="409" t="s">
        <v>668</v>
      </c>
      <c r="D129" s="386" t="s">
        <v>693</v>
      </c>
      <c r="E129" s="419">
        <v>30078594</v>
      </c>
      <c r="F129" s="753">
        <v>45755</v>
      </c>
      <c r="G129" s="380" t="s">
        <v>643</v>
      </c>
      <c r="H129" s="380">
        <v>7</v>
      </c>
      <c r="I129" s="388">
        <v>420413</v>
      </c>
      <c r="J129" s="380">
        <v>2</v>
      </c>
      <c r="K129" s="389">
        <f t="shared" ref="K129:K159" si="5">I129/J129</f>
        <v>210206.5</v>
      </c>
      <c r="L129" s="387">
        <v>45748</v>
      </c>
      <c r="M129" s="387">
        <v>46112</v>
      </c>
      <c r="N129" s="680"/>
      <c r="O129" s="680"/>
      <c r="P129" s="363" t="s">
        <v>19</v>
      </c>
      <c r="Q129" s="380" t="s">
        <v>5</v>
      </c>
      <c r="R129" s="380"/>
      <c r="S129" s="390" t="s">
        <v>463</v>
      </c>
      <c r="T129" s="363" t="s">
        <v>694</v>
      </c>
      <c r="U129" s="390" t="s">
        <v>465</v>
      </c>
      <c r="V129" s="363" t="s">
        <v>695</v>
      </c>
      <c r="W129" s="363"/>
      <c r="X129" s="363"/>
      <c r="Y129" s="363"/>
      <c r="Z129" s="363"/>
      <c r="AA129" s="363"/>
      <c r="AB129" s="363"/>
      <c r="AC129" s="363"/>
      <c r="AD129" s="363"/>
      <c r="AE129" s="363" t="s">
        <v>128</v>
      </c>
      <c r="AF129" s="380" t="s">
        <v>129</v>
      </c>
      <c r="AG129" s="380">
        <v>2</v>
      </c>
      <c r="AH129" s="363" t="s">
        <v>696</v>
      </c>
    </row>
    <row r="130" spans="2:34" ht="14.4" hidden="1" x14ac:dyDescent="0.3">
      <c r="B130" s="380" t="s">
        <v>14</v>
      </c>
      <c r="C130" s="409" t="s">
        <v>544</v>
      </c>
      <c r="D130" s="386" t="s">
        <v>447</v>
      </c>
      <c r="E130" s="380">
        <v>1240065413</v>
      </c>
      <c r="F130" s="753">
        <v>45744</v>
      </c>
      <c r="G130" s="380" t="s">
        <v>643</v>
      </c>
      <c r="H130" s="380">
        <v>2</v>
      </c>
      <c r="I130" s="388">
        <v>204999.96</v>
      </c>
      <c r="J130" s="380">
        <v>3</v>
      </c>
      <c r="K130" s="389">
        <f t="shared" si="5"/>
        <v>68333.319999999992</v>
      </c>
      <c r="L130" s="387">
        <v>45748</v>
      </c>
      <c r="M130" s="387">
        <v>46112</v>
      </c>
      <c r="N130" s="680"/>
      <c r="O130" s="680"/>
      <c r="P130" s="363" t="s">
        <v>19</v>
      </c>
      <c r="Q130" s="380" t="s">
        <v>3</v>
      </c>
      <c r="R130" s="380"/>
      <c r="S130" s="390" t="s">
        <v>357</v>
      </c>
      <c r="T130" s="363" t="s">
        <v>697</v>
      </c>
      <c r="U130" s="390" t="s">
        <v>665</v>
      </c>
      <c r="V130" s="363" t="s">
        <v>698</v>
      </c>
      <c r="W130" s="390" t="s">
        <v>361</v>
      </c>
      <c r="X130" s="363" t="s">
        <v>699</v>
      </c>
      <c r="Y130" s="363"/>
      <c r="Z130" s="363"/>
      <c r="AA130" s="363"/>
      <c r="AB130" s="363"/>
      <c r="AC130" s="363"/>
      <c r="AD130" s="363"/>
      <c r="AE130" s="363" t="s">
        <v>96</v>
      </c>
      <c r="AF130" s="380" t="s">
        <v>97</v>
      </c>
      <c r="AG130" s="380">
        <v>3</v>
      </c>
      <c r="AH130" s="363" t="s">
        <v>700</v>
      </c>
    </row>
    <row r="131" spans="2:34" ht="14.4" hidden="1" x14ac:dyDescent="0.3">
      <c r="B131" s="380" t="s">
        <v>14</v>
      </c>
      <c r="C131" s="363" t="s">
        <v>701</v>
      </c>
      <c r="D131" s="386" t="s">
        <v>702</v>
      </c>
      <c r="E131" s="419">
        <v>6000079727</v>
      </c>
      <c r="F131" s="753">
        <v>45754</v>
      </c>
      <c r="G131" s="407" t="s">
        <v>703</v>
      </c>
      <c r="H131" s="380"/>
      <c r="I131" s="388">
        <v>362744.94</v>
      </c>
      <c r="J131" s="380">
        <v>6</v>
      </c>
      <c r="K131" s="389">
        <f t="shared" si="5"/>
        <v>60457.49</v>
      </c>
      <c r="L131" s="387">
        <v>45818</v>
      </c>
      <c r="M131" s="387">
        <v>46182</v>
      </c>
      <c r="N131" s="680"/>
      <c r="O131" s="680"/>
      <c r="P131" s="363" t="s">
        <v>19</v>
      </c>
      <c r="Q131" s="380" t="s">
        <v>9</v>
      </c>
      <c r="R131" s="380"/>
      <c r="S131" s="390" t="s">
        <v>704</v>
      </c>
      <c r="T131" s="363" t="s">
        <v>705</v>
      </c>
      <c r="U131" s="390" t="s">
        <v>706</v>
      </c>
      <c r="V131" s="363" t="s">
        <v>707</v>
      </c>
      <c r="W131" s="390" t="s">
        <v>708</v>
      </c>
      <c r="X131" s="363" t="s">
        <v>709</v>
      </c>
      <c r="Y131" s="390" t="s">
        <v>710</v>
      </c>
      <c r="Z131" s="363" t="s">
        <v>230</v>
      </c>
      <c r="AA131" s="390" t="s">
        <v>711</v>
      </c>
      <c r="AB131" s="363" t="s">
        <v>712</v>
      </c>
      <c r="AC131" s="390" t="s">
        <v>713</v>
      </c>
      <c r="AD131" s="363" t="s">
        <v>1851</v>
      </c>
      <c r="AE131" s="363" t="s">
        <v>128</v>
      </c>
      <c r="AF131" s="380" t="s">
        <v>129</v>
      </c>
      <c r="AG131" s="380" t="s">
        <v>494</v>
      </c>
      <c r="AH131" s="363" t="s">
        <v>715</v>
      </c>
    </row>
    <row r="132" spans="2:34" ht="14.4" hidden="1" x14ac:dyDescent="0.3">
      <c r="B132" s="380" t="s">
        <v>14</v>
      </c>
      <c r="C132" s="409" t="s">
        <v>716</v>
      </c>
      <c r="D132" s="386" t="s">
        <v>447</v>
      </c>
      <c r="E132" s="380" t="s">
        <v>717</v>
      </c>
      <c r="F132" s="753">
        <v>45751</v>
      </c>
      <c r="G132" s="380" t="s">
        <v>643</v>
      </c>
      <c r="H132" s="380">
        <v>2</v>
      </c>
      <c r="I132" s="388">
        <f>118050+118050</f>
        <v>236100</v>
      </c>
      <c r="J132" s="380">
        <v>3</v>
      </c>
      <c r="K132" s="389">
        <f t="shared" si="5"/>
        <v>78700</v>
      </c>
      <c r="L132" s="387">
        <v>45748</v>
      </c>
      <c r="M132" s="387">
        <v>46112</v>
      </c>
      <c r="N132" s="680"/>
      <c r="O132" s="680"/>
      <c r="P132" s="363" t="s">
        <v>19</v>
      </c>
      <c r="Q132" s="380" t="s">
        <v>3</v>
      </c>
      <c r="R132" s="380"/>
      <c r="S132" s="390" t="s">
        <v>357</v>
      </c>
      <c r="T132" s="363" t="s">
        <v>570</v>
      </c>
      <c r="U132" s="390" t="s">
        <v>665</v>
      </c>
      <c r="V132" s="363" t="s">
        <v>718</v>
      </c>
      <c r="W132" s="390" t="s">
        <v>361</v>
      </c>
      <c r="X132" s="363" t="s">
        <v>719</v>
      </c>
      <c r="Y132" s="363"/>
      <c r="Z132" s="363"/>
      <c r="AA132" s="363"/>
      <c r="AB132" s="363"/>
      <c r="AC132" s="363"/>
      <c r="AD132" s="363"/>
      <c r="AE132" s="363" t="s">
        <v>281</v>
      </c>
      <c r="AF132" s="380" t="s">
        <v>97</v>
      </c>
      <c r="AG132" s="380" t="s">
        <v>494</v>
      </c>
      <c r="AH132" s="363" t="s">
        <v>720</v>
      </c>
    </row>
    <row r="133" spans="2:34" ht="14.4" hidden="1" x14ac:dyDescent="0.3">
      <c r="B133" s="380" t="s">
        <v>14</v>
      </c>
      <c r="C133" s="409" t="s">
        <v>716</v>
      </c>
      <c r="D133" s="386" t="s">
        <v>447</v>
      </c>
      <c r="E133" s="380" t="s">
        <v>721</v>
      </c>
      <c r="F133" s="753">
        <v>45751</v>
      </c>
      <c r="G133" s="380" t="s">
        <v>643</v>
      </c>
      <c r="H133" s="380">
        <v>3</v>
      </c>
      <c r="I133" s="388">
        <f>59022+83613+118050</f>
        <v>260685</v>
      </c>
      <c r="J133" s="380">
        <v>3</v>
      </c>
      <c r="K133" s="389">
        <f t="shared" si="5"/>
        <v>86895</v>
      </c>
      <c r="L133" s="387">
        <v>45748</v>
      </c>
      <c r="M133" s="387">
        <v>46112</v>
      </c>
      <c r="N133" s="680"/>
      <c r="O133" s="680"/>
      <c r="P133" s="363" t="s">
        <v>19</v>
      </c>
      <c r="Q133" s="380" t="s">
        <v>3</v>
      </c>
      <c r="R133" s="380"/>
      <c r="S133" s="390" t="s">
        <v>357</v>
      </c>
      <c r="T133" s="363" t="s">
        <v>722</v>
      </c>
      <c r="U133" s="390" t="s">
        <v>665</v>
      </c>
      <c r="V133" s="363" t="s">
        <v>723</v>
      </c>
      <c r="W133" s="390" t="s">
        <v>361</v>
      </c>
      <c r="X133" s="363" t="s">
        <v>719</v>
      </c>
      <c r="Y133" s="363"/>
      <c r="Z133" s="363"/>
      <c r="AA133" s="363"/>
      <c r="AB133" s="363"/>
      <c r="AC133" s="363"/>
      <c r="AD133" s="363"/>
      <c r="AE133" s="363" t="s">
        <v>281</v>
      </c>
      <c r="AF133" s="380" t="s">
        <v>97</v>
      </c>
      <c r="AG133" s="380"/>
      <c r="AH133" s="363"/>
    </row>
    <row r="134" spans="2:34" ht="14.4" hidden="1" x14ac:dyDescent="0.3">
      <c r="B134" s="380" t="s">
        <v>14</v>
      </c>
      <c r="C134" s="409" t="s">
        <v>716</v>
      </c>
      <c r="D134" s="386" t="s">
        <v>447</v>
      </c>
      <c r="E134" s="380" t="s">
        <v>724</v>
      </c>
      <c r="F134" s="753">
        <v>45751</v>
      </c>
      <c r="G134" s="380" t="s">
        <v>643</v>
      </c>
      <c r="H134" s="380">
        <v>1</v>
      </c>
      <c r="I134" s="388">
        <v>57078</v>
      </c>
      <c r="J134" s="380">
        <v>3</v>
      </c>
      <c r="K134" s="389">
        <f t="shared" si="5"/>
        <v>19026</v>
      </c>
      <c r="L134" s="387">
        <v>45748</v>
      </c>
      <c r="M134" s="387">
        <v>46112</v>
      </c>
      <c r="N134" s="680"/>
      <c r="O134" s="680"/>
      <c r="P134" s="363" t="s">
        <v>19</v>
      </c>
      <c r="Q134" s="380" t="s">
        <v>3</v>
      </c>
      <c r="R134" s="380"/>
      <c r="S134" s="390" t="s">
        <v>357</v>
      </c>
      <c r="T134" s="363" t="s">
        <v>725</v>
      </c>
      <c r="U134" s="390" t="s">
        <v>665</v>
      </c>
      <c r="V134" s="363" t="s">
        <v>718</v>
      </c>
      <c r="W134" s="390" t="s">
        <v>361</v>
      </c>
      <c r="X134" s="363" t="s">
        <v>726</v>
      </c>
      <c r="Y134" s="363"/>
      <c r="Z134" s="363"/>
      <c r="AA134" s="363"/>
      <c r="AB134" s="363"/>
      <c r="AC134" s="363"/>
      <c r="AD134" s="363"/>
      <c r="AE134" s="363" t="s">
        <v>281</v>
      </c>
      <c r="AF134" s="380" t="s">
        <v>97</v>
      </c>
      <c r="AG134" s="380"/>
      <c r="AH134" s="363"/>
    </row>
    <row r="135" spans="2:34" ht="14.4" hidden="1" x14ac:dyDescent="0.3">
      <c r="B135" s="380" t="s">
        <v>14</v>
      </c>
      <c r="C135" s="412" t="s">
        <v>727</v>
      </c>
      <c r="D135" s="413" t="s">
        <v>447</v>
      </c>
      <c r="E135" s="416">
        <v>4100030249</v>
      </c>
      <c r="F135" s="757">
        <v>45726</v>
      </c>
      <c r="G135" s="407" t="s">
        <v>703</v>
      </c>
      <c r="H135" s="380">
        <v>1</v>
      </c>
      <c r="I135" s="388">
        <v>476000</v>
      </c>
      <c r="J135" s="380">
        <v>3</v>
      </c>
      <c r="K135" s="389">
        <f t="shared" si="5"/>
        <v>158666.66666666666</v>
      </c>
      <c r="L135" s="387">
        <v>45726</v>
      </c>
      <c r="M135" s="387">
        <v>46090</v>
      </c>
      <c r="N135" s="680"/>
      <c r="O135" s="680"/>
      <c r="P135" s="363" t="s">
        <v>19</v>
      </c>
      <c r="Q135" s="380" t="s">
        <v>3</v>
      </c>
      <c r="R135" s="380"/>
      <c r="S135" s="390" t="s">
        <v>728</v>
      </c>
      <c r="T135" s="363" t="s">
        <v>225</v>
      </c>
      <c r="U135" s="390" t="s">
        <v>729</v>
      </c>
      <c r="V135" s="363" t="s">
        <v>730</v>
      </c>
      <c r="W135" s="390" t="s">
        <v>731</v>
      </c>
      <c r="X135" s="363" t="s">
        <v>732</v>
      </c>
      <c r="Y135" s="363"/>
      <c r="Z135" s="363"/>
      <c r="AA135" s="363"/>
      <c r="AB135" s="363"/>
      <c r="AC135" s="363"/>
      <c r="AD135" s="363"/>
      <c r="AE135" s="363" t="s">
        <v>281</v>
      </c>
      <c r="AF135" s="380" t="s">
        <v>97</v>
      </c>
      <c r="AG135" s="380" t="s">
        <v>494</v>
      </c>
      <c r="AH135" s="363" t="s">
        <v>733</v>
      </c>
    </row>
    <row r="136" spans="2:34" ht="14.4" x14ac:dyDescent="0.3">
      <c r="B136" s="380" t="s">
        <v>14</v>
      </c>
      <c r="C136" s="409" t="s">
        <v>734</v>
      </c>
      <c r="D136" s="386" t="s">
        <v>323</v>
      </c>
      <c r="E136" s="419">
        <v>101265544</v>
      </c>
      <c r="F136" s="753">
        <v>45716</v>
      </c>
      <c r="G136" s="380" t="s">
        <v>643</v>
      </c>
      <c r="H136" s="380"/>
      <c r="I136" s="388">
        <v>329600</v>
      </c>
      <c r="J136" s="380">
        <v>3</v>
      </c>
      <c r="K136" s="389">
        <f t="shared" si="5"/>
        <v>109866.66666666667</v>
      </c>
      <c r="L136" s="387">
        <v>45778</v>
      </c>
      <c r="M136" s="387">
        <v>46142</v>
      </c>
      <c r="N136" s="680"/>
      <c r="O136" s="680"/>
      <c r="P136" s="363" t="s">
        <v>520</v>
      </c>
      <c r="Q136" s="380" t="s">
        <v>5</v>
      </c>
      <c r="R136" s="380"/>
      <c r="S136" s="390" t="s">
        <v>343</v>
      </c>
      <c r="T136" s="363" t="s">
        <v>344</v>
      </c>
      <c r="U136" s="390" t="s">
        <v>345</v>
      </c>
      <c r="V136" s="363" t="s">
        <v>493</v>
      </c>
      <c r="W136" s="390" t="s">
        <v>347</v>
      </c>
      <c r="X136" s="363" t="s">
        <v>735</v>
      </c>
      <c r="Y136" s="363"/>
      <c r="Z136" s="363"/>
      <c r="AA136" s="363"/>
      <c r="AB136" s="363"/>
      <c r="AC136" s="363"/>
      <c r="AD136" s="363"/>
      <c r="AE136" s="363" t="s">
        <v>96</v>
      </c>
      <c r="AF136" s="380" t="s">
        <v>97</v>
      </c>
      <c r="AG136" s="380" t="s">
        <v>494</v>
      </c>
      <c r="AH136" s="363" t="s">
        <v>736</v>
      </c>
    </row>
    <row r="137" spans="2:34" ht="14.4" x14ac:dyDescent="0.3">
      <c r="B137" s="380" t="s">
        <v>14</v>
      </c>
      <c r="C137" s="409" t="s">
        <v>734</v>
      </c>
      <c r="D137" s="386" t="s">
        <v>323</v>
      </c>
      <c r="E137" s="724">
        <v>101265544</v>
      </c>
      <c r="F137" s="753">
        <v>45716</v>
      </c>
      <c r="G137" s="380" t="s">
        <v>643</v>
      </c>
      <c r="H137" s="380">
        <v>4</v>
      </c>
      <c r="I137" s="388">
        <v>339488.07</v>
      </c>
      <c r="J137" s="380">
        <v>3</v>
      </c>
      <c r="K137" s="389">
        <f>I137/J137</f>
        <v>113162.69</v>
      </c>
      <c r="L137" s="387">
        <v>46143</v>
      </c>
      <c r="M137" s="387">
        <v>46507</v>
      </c>
      <c r="N137" s="680">
        <v>155047</v>
      </c>
      <c r="O137" s="680">
        <v>4644</v>
      </c>
      <c r="P137" s="363" t="s">
        <v>520</v>
      </c>
      <c r="Q137" s="380" t="s">
        <v>5</v>
      </c>
      <c r="R137" s="380"/>
      <c r="S137" s="390" t="s">
        <v>737</v>
      </c>
      <c r="T137" s="363" t="s">
        <v>2014</v>
      </c>
      <c r="U137" s="363" t="s">
        <v>349</v>
      </c>
      <c r="V137" s="363"/>
      <c r="W137" s="363" t="s">
        <v>738</v>
      </c>
      <c r="X137" s="363"/>
      <c r="Y137" s="363"/>
      <c r="Z137" s="363"/>
      <c r="AA137" s="363"/>
      <c r="AB137" s="363"/>
      <c r="AC137" s="363"/>
      <c r="AD137" s="363"/>
      <c r="AE137" s="363" t="s">
        <v>96</v>
      </c>
      <c r="AF137" s="380" t="s">
        <v>97</v>
      </c>
      <c r="AG137" s="380" t="s">
        <v>494</v>
      </c>
      <c r="AH137" s="363" t="s">
        <v>736</v>
      </c>
    </row>
    <row r="138" spans="2:34" ht="14.4" hidden="1" x14ac:dyDescent="0.3">
      <c r="B138" s="380" t="s">
        <v>14</v>
      </c>
      <c r="C138" s="409" t="s">
        <v>739</v>
      </c>
      <c r="D138" s="386" t="s">
        <v>740</v>
      </c>
      <c r="E138" s="419">
        <v>3400014785</v>
      </c>
      <c r="F138" s="753">
        <v>45735</v>
      </c>
      <c r="G138" s="380" t="s">
        <v>643</v>
      </c>
      <c r="H138" s="380">
        <v>10</v>
      </c>
      <c r="I138" s="388">
        <v>660800</v>
      </c>
      <c r="J138" s="380">
        <v>4</v>
      </c>
      <c r="K138" s="389">
        <f t="shared" si="5"/>
        <v>165200</v>
      </c>
      <c r="L138" s="387">
        <v>45689</v>
      </c>
      <c r="M138" s="387">
        <v>46053</v>
      </c>
      <c r="N138" s="680"/>
      <c r="O138" s="680"/>
      <c r="P138" s="363" t="s">
        <v>19</v>
      </c>
      <c r="Q138" s="380" t="s">
        <v>0</v>
      </c>
      <c r="R138" s="380"/>
      <c r="S138" s="390" t="s">
        <v>264</v>
      </c>
      <c r="T138" s="363" t="s">
        <v>741</v>
      </c>
      <c r="U138" s="390" t="s">
        <v>266</v>
      </c>
      <c r="V138" s="363" t="s">
        <v>379</v>
      </c>
      <c r="W138" s="390" t="s">
        <v>267</v>
      </c>
      <c r="X138" s="363" t="s">
        <v>742</v>
      </c>
      <c r="Y138" s="390" t="s">
        <v>269</v>
      </c>
      <c r="Z138" s="363" t="s">
        <v>441</v>
      </c>
      <c r="AA138" s="363"/>
      <c r="AB138" s="363"/>
      <c r="AC138" s="363"/>
      <c r="AD138" s="363"/>
      <c r="AE138" s="363" t="s">
        <v>96</v>
      </c>
      <c r="AF138" s="380" t="s">
        <v>97</v>
      </c>
      <c r="AG138" s="380" t="s">
        <v>494</v>
      </c>
      <c r="AH138" s="363" t="s">
        <v>743</v>
      </c>
    </row>
    <row r="139" spans="2:34" ht="14.4" hidden="1" x14ac:dyDescent="0.3">
      <c r="B139" s="380" t="s">
        <v>14</v>
      </c>
      <c r="C139" s="409" t="s">
        <v>744</v>
      </c>
      <c r="D139" s="386" t="s">
        <v>176</v>
      </c>
      <c r="E139" s="419">
        <v>4500022079</v>
      </c>
      <c r="F139" s="753">
        <v>45758</v>
      </c>
      <c r="G139" s="380" t="s">
        <v>643</v>
      </c>
      <c r="H139" s="380">
        <v>1</v>
      </c>
      <c r="I139" s="388">
        <v>95545</v>
      </c>
      <c r="J139" s="380">
        <v>2</v>
      </c>
      <c r="K139" s="389">
        <f t="shared" si="5"/>
        <v>47772.5</v>
      </c>
      <c r="L139" s="387">
        <v>45704</v>
      </c>
      <c r="M139" s="387">
        <v>46068</v>
      </c>
      <c r="N139" s="680"/>
      <c r="O139" s="680"/>
      <c r="P139" s="363" t="s">
        <v>19</v>
      </c>
      <c r="Q139" s="380" t="s">
        <v>2</v>
      </c>
      <c r="R139" s="380"/>
      <c r="S139" s="390" t="s">
        <v>745</v>
      </c>
      <c r="T139" s="363" t="s">
        <v>601</v>
      </c>
      <c r="U139" s="390" t="s">
        <v>746</v>
      </c>
      <c r="V139" s="363" t="s">
        <v>747</v>
      </c>
      <c r="W139" s="363"/>
      <c r="X139" s="363"/>
      <c r="Y139" s="363"/>
      <c r="Z139" s="363"/>
      <c r="AA139" s="363"/>
      <c r="AB139" s="363"/>
      <c r="AC139" s="363"/>
      <c r="AD139" s="363"/>
      <c r="AE139" s="363" t="s">
        <v>183</v>
      </c>
      <c r="AF139" s="380" t="s">
        <v>97</v>
      </c>
      <c r="AG139" s="380">
        <v>2</v>
      </c>
      <c r="AH139" s="363" t="s">
        <v>748</v>
      </c>
    </row>
    <row r="140" spans="2:34" ht="14.4" hidden="1" x14ac:dyDescent="0.3">
      <c r="B140" s="380" t="s">
        <v>14</v>
      </c>
      <c r="C140" s="409" t="s">
        <v>527</v>
      </c>
      <c r="D140" s="423" t="s">
        <v>131</v>
      </c>
      <c r="E140" s="424">
        <v>7000880580</v>
      </c>
      <c r="F140" s="753">
        <v>45758</v>
      </c>
      <c r="G140" s="380" t="s">
        <v>643</v>
      </c>
      <c r="H140" s="380">
        <v>1</v>
      </c>
      <c r="I140" s="388">
        <v>78750</v>
      </c>
      <c r="J140" s="380">
        <v>2</v>
      </c>
      <c r="K140" s="389">
        <f t="shared" si="5"/>
        <v>39375</v>
      </c>
      <c r="L140" s="387">
        <v>45748</v>
      </c>
      <c r="M140" s="387">
        <v>46112</v>
      </c>
      <c r="N140" s="680"/>
      <c r="O140" s="680"/>
      <c r="P140" s="363" t="s">
        <v>19</v>
      </c>
      <c r="Q140" s="380" t="s">
        <v>3</v>
      </c>
      <c r="R140" s="380"/>
      <c r="S140" s="390" t="s">
        <v>463</v>
      </c>
      <c r="T140" s="363" t="s">
        <v>749</v>
      </c>
      <c r="U140" s="390" t="s">
        <v>465</v>
      </c>
      <c r="V140" s="363" t="s">
        <v>750</v>
      </c>
      <c r="W140" s="363"/>
      <c r="X140" s="363"/>
      <c r="Y140" s="363"/>
      <c r="Z140" s="363"/>
      <c r="AA140" s="363"/>
      <c r="AB140" s="363"/>
      <c r="AC140" s="363"/>
      <c r="AD140" s="363"/>
      <c r="AE140" s="363" t="s">
        <v>485</v>
      </c>
      <c r="AF140" s="380" t="s">
        <v>63</v>
      </c>
      <c r="AG140" s="380">
        <v>2</v>
      </c>
      <c r="AH140" s="363" t="s">
        <v>748</v>
      </c>
    </row>
    <row r="141" spans="2:34" ht="14.4" hidden="1" x14ac:dyDescent="0.3">
      <c r="B141" s="380" t="s">
        <v>14</v>
      </c>
      <c r="C141" s="409" t="s">
        <v>751</v>
      </c>
      <c r="D141" s="423" t="s">
        <v>752</v>
      </c>
      <c r="E141" s="419">
        <v>351002166</v>
      </c>
      <c r="F141" s="753">
        <v>45758</v>
      </c>
      <c r="G141" s="380" t="s">
        <v>643</v>
      </c>
      <c r="H141" s="380">
        <v>1</v>
      </c>
      <c r="I141" s="388">
        <v>84000</v>
      </c>
      <c r="J141" s="380">
        <v>3</v>
      </c>
      <c r="K141" s="389">
        <f t="shared" si="5"/>
        <v>28000</v>
      </c>
      <c r="L141" s="387">
        <v>45778</v>
      </c>
      <c r="M141" s="387">
        <v>46142</v>
      </c>
      <c r="N141" s="680"/>
      <c r="O141" s="680"/>
      <c r="P141" s="363" t="s">
        <v>19</v>
      </c>
      <c r="Q141" s="380" t="s">
        <v>5</v>
      </c>
      <c r="R141" s="380"/>
      <c r="S141" s="390" t="s">
        <v>343</v>
      </c>
      <c r="T141" s="363" t="s">
        <v>753</v>
      </c>
      <c r="U141" s="390" t="s">
        <v>345</v>
      </c>
      <c r="V141" s="363" t="s">
        <v>754</v>
      </c>
      <c r="W141" s="390" t="s">
        <v>347</v>
      </c>
      <c r="X141" s="363" t="s">
        <v>443</v>
      </c>
      <c r="Y141" s="363"/>
      <c r="Z141" s="363"/>
      <c r="AA141" s="363"/>
      <c r="AB141" s="363"/>
      <c r="AC141" s="363"/>
      <c r="AD141" s="363"/>
      <c r="AE141" s="363" t="s">
        <v>619</v>
      </c>
      <c r="AF141" s="380" t="s">
        <v>63</v>
      </c>
      <c r="AG141" s="380">
        <v>3</v>
      </c>
      <c r="AH141" s="363" t="s">
        <v>755</v>
      </c>
    </row>
    <row r="142" spans="2:34" ht="14.4" hidden="1" x14ac:dyDescent="0.3">
      <c r="B142" s="380" t="s">
        <v>14</v>
      </c>
      <c r="C142" s="409" t="s">
        <v>756</v>
      </c>
      <c r="D142" s="434" t="s">
        <v>757</v>
      </c>
      <c r="E142" s="419">
        <v>2265005320</v>
      </c>
      <c r="F142" s="753">
        <v>45722</v>
      </c>
      <c r="G142" s="380" t="s">
        <v>643</v>
      </c>
      <c r="H142" s="380">
        <v>2</v>
      </c>
      <c r="I142" s="388">
        <v>164160</v>
      </c>
      <c r="J142" s="380">
        <v>3</v>
      </c>
      <c r="K142" s="389">
        <f t="shared" si="5"/>
        <v>54720</v>
      </c>
      <c r="L142" s="387">
        <v>45748</v>
      </c>
      <c r="M142" s="387">
        <v>46112</v>
      </c>
      <c r="N142" s="680"/>
      <c r="O142" s="680"/>
      <c r="P142" s="363" t="s">
        <v>19</v>
      </c>
      <c r="Q142" s="380" t="s">
        <v>5</v>
      </c>
      <c r="R142" s="380"/>
      <c r="S142" s="390" t="s">
        <v>758</v>
      </c>
      <c r="T142" s="363" t="s">
        <v>759</v>
      </c>
      <c r="U142" s="390" t="s">
        <v>665</v>
      </c>
      <c r="V142" s="363" t="s">
        <v>760</v>
      </c>
      <c r="W142" s="390" t="s">
        <v>361</v>
      </c>
      <c r="X142" s="363" t="s">
        <v>455</v>
      </c>
      <c r="Y142" s="363"/>
      <c r="Z142" s="363"/>
      <c r="AA142" s="363"/>
      <c r="AB142" s="363"/>
      <c r="AC142" s="363"/>
      <c r="AD142" s="363"/>
      <c r="AE142" s="363" t="s">
        <v>507</v>
      </c>
      <c r="AF142" s="380" t="s">
        <v>63</v>
      </c>
      <c r="AG142" s="380">
        <v>3</v>
      </c>
      <c r="AH142" s="430" t="s">
        <v>761</v>
      </c>
    </row>
    <row r="143" spans="2:34" ht="14.4" hidden="1" x14ac:dyDescent="0.3">
      <c r="B143" s="380" t="s">
        <v>14</v>
      </c>
      <c r="C143" s="409" t="s">
        <v>762</v>
      </c>
      <c r="D143" s="423" t="s">
        <v>763</v>
      </c>
      <c r="E143" s="419" t="s">
        <v>764</v>
      </c>
      <c r="F143" s="753">
        <v>45761</v>
      </c>
      <c r="G143" s="380" t="s">
        <v>643</v>
      </c>
      <c r="H143" s="380">
        <v>1</v>
      </c>
      <c r="I143" s="388">
        <v>80001</v>
      </c>
      <c r="J143" s="380">
        <v>3</v>
      </c>
      <c r="K143" s="389">
        <f t="shared" si="5"/>
        <v>26667</v>
      </c>
      <c r="L143" s="387">
        <v>45748</v>
      </c>
      <c r="M143" s="387">
        <v>46112</v>
      </c>
      <c r="N143" s="680"/>
      <c r="O143" s="680"/>
      <c r="P143" s="363" t="s">
        <v>19</v>
      </c>
      <c r="Q143" s="380" t="s">
        <v>3</v>
      </c>
      <c r="R143" s="380"/>
      <c r="S143" s="390" t="s">
        <v>758</v>
      </c>
      <c r="T143" s="363" t="s">
        <v>429</v>
      </c>
      <c r="U143" s="390" t="s">
        <v>665</v>
      </c>
      <c r="V143" s="363" t="s">
        <v>765</v>
      </c>
      <c r="W143" s="390" t="s">
        <v>361</v>
      </c>
      <c r="X143" s="363" t="s">
        <v>466</v>
      </c>
      <c r="Y143" s="363"/>
      <c r="Z143" s="363"/>
      <c r="AA143" s="363"/>
      <c r="AB143" s="363"/>
      <c r="AC143" s="363"/>
      <c r="AD143" s="363"/>
      <c r="AE143" s="363" t="s">
        <v>507</v>
      </c>
      <c r="AF143" s="380" t="s">
        <v>63</v>
      </c>
      <c r="AG143" s="380">
        <v>3</v>
      </c>
      <c r="AH143" s="363" t="s">
        <v>667</v>
      </c>
    </row>
    <row r="144" spans="2:34" ht="14.4" hidden="1" x14ac:dyDescent="0.3">
      <c r="B144" s="380" t="s">
        <v>14</v>
      </c>
      <c r="C144" s="409" t="s">
        <v>766</v>
      </c>
      <c r="D144" s="386" t="s">
        <v>767</v>
      </c>
      <c r="E144" s="419" t="s">
        <v>768</v>
      </c>
      <c r="F144" s="753">
        <v>45762</v>
      </c>
      <c r="G144" s="380" t="s">
        <v>643</v>
      </c>
      <c r="H144" s="380">
        <v>2</v>
      </c>
      <c r="I144" s="388">
        <v>105600</v>
      </c>
      <c r="J144" s="380">
        <v>1</v>
      </c>
      <c r="K144" s="389">
        <f t="shared" si="5"/>
        <v>105600</v>
      </c>
      <c r="L144" s="387">
        <v>45748</v>
      </c>
      <c r="M144" s="387">
        <v>46112</v>
      </c>
      <c r="N144" s="680"/>
      <c r="O144" s="680"/>
      <c r="P144" s="363" t="s">
        <v>19</v>
      </c>
      <c r="Q144" s="380" t="s">
        <v>3</v>
      </c>
      <c r="R144" s="380"/>
      <c r="S144" s="390" t="s">
        <v>631</v>
      </c>
      <c r="T144" s="363" t="s">
        <v>769</v>
      </c>
      <c r="U144" s="363"/>
      <c r="V144" s="363"/>
      <c r="W144" s="363"/>
      <c r="X144" s="363"/>
      <c r="Y144" s="363"/>
      <c r="Z144" s="363"/>
      <c r="AA144" s="363"/>
      <c r="AB144" s="363"/>
      <c r="AC144" s="363"/>
      <c r="AD144" s="363"/>
      <c r="AE144" s="363" t="s">
        <v>485</v>
      </c>
      <c r="AF144" s="380" t="s">
        <v>63</v>
      </c>
      <c r="AG144" s="380">
        <v>2</v>
      </c>
      <c r="AH144" s="363" t="s">
        <v>770</v>
      </c>
    </row>
    <row r="145" spans="2:34" ht="14.4" hidden="1" x14ac:dyDescent="0.3">
      <c r="B145" s="380" t="s">
        <v>14</v>
      </c>
      <c r="C145" s="409" t="s">
        <v>771</v>
      </c>
      <c r="D145" s="386" t="s">
        <v>388</v>
      </c>
      <c r="E145" s="419">
        <v>6000059199</v>
      </c>
      <c r="F145" s="758">
        <v>45764</v>
      </c>
      <c r="G145" s="380" t="s">
        <v>643</v>
      </c>
      <c r="H145" s="380">
        <v>1</v>
      </c>
      <c r="I145" s="428">
        <v>66144.070000000007</v>
      </c>
      <c r="J145" s="380">
        <v>2</v>
      </c>
      <c r="K145" s="389">
        <f t="shared" si="5"/>
        <v>33072.035000000003</v>
      </c>
      <c r="L145" s="387">
        <v>45748</v>
      </c>
      <c r="M145" s="387">
        <v>46112</v>
      </c>
      <c r="N145" s="680"/>
      <c r="O145" s="680"/>
      <c r="P145" s="363" t="s">
        <v>19</v>
      </c>
      <c r="Q145" s="380" t="s">
        <v>3</v>
      </c>
      <c r="R145" s="380"/>
      <c r="S145" s="390" t="s">
        <v>463</v>
      </c>
      <c r="T145" s="363" t="s">
        <v>772</v>
      </c>
      <c r="U145" s="390" t="s">
        <v>465</v>
      </c>
      <c r="V145" s="363" t="s">
        <v>773</v>
      </c>
      <c r="W145" s="363"/>
      <c r="X145" s="363"/>
      <c r="Y145" s="363"/>
      <c r="Z145" s="363"/>
      <c r="AA145" s="363"/>
      <c r="AB145" s="363"/>
      <c r="AC145" s="363"/>
      <c r="AD145" s="363"/>
      <c r="AE145" s="363" t="s">
        <v>619</v>
      </c>
      <c r="AF145" s="380" t="s">
        <v>63</v>
      </c>
      <c r="AG145" s="380">
        <v>2</v>
      </c>
      <c r="AH145" s="363" t="s">
        <v>774</v>
      </c>
    </row>
    <row r="146" spans="2:34" ht="14.4" hidden="1" x14ac:dyDescent="0.3">
      <c r="B146" s="380" t="s">
        <v>14</v>
      </c>
      <c r="C146" s="412" t="s">
        <v>775</v>
      </c>
      <c r="D146" s="437" t="s">
        <v>776</v>
      </c>
      <c r="E146" s="438">
        <v>2710000560</v>
      </c>
      <c r="F146" s="753">
        <v>45713</v>
      </c>
      <c r="G146" s="380" t="s">
        <v>643</v>
      </c>
      <c r="H146" s="380">
        <v>2</v>
      </c>
      <c r="I146" s="388">
        <v>122000</v>
      </c>
      <c r="J146" s="380">
        <v>3</v>
      </c>
      <c r="K146" s="389">
        <f t="shared" si="5"/>
        <v>40666.666666666664</v>
      </c>
      <c r="L146" s="387">
        <v>45748</v>
      </c>
      <c r="M146" s="387">
        <v>46112</v>
      </c>
      <c r="N146" s="680"/>
      <c r="O146" s="680"/>
      <c r="P146" s="363" t="s">
        <v>19</v>
      </c>
      <c r="Q146" s="380" t="s">
        <v>3</v>
      </c>
      <c r="R146" s="380"/>
      <c r="S146" s="390" t="s">
        <v>758</v>
      </c>
      <c r="T146" s="363" t="s">
        <v>777</v>
      </c>
      <c r="U146" s="390" t="s">
        <v>665</v>
      </c>
      <c r="V146" s="363" t="s">
        <v>360</v>
      </c>
      <c r="W146" s="390" t="s">
        <v>361</v>
      </c>
      <c r="X146" s="363" t="s">
        <v>666</v>
      </c>
      <c r="Y146" s="363"/>
      <c r="Z146" s="363"/>
      <c r="AA146" s="363"/>
      <c r="AB146" s="363"/>
      <c r="AC146" s="363"/>
      <c r="AD146" s="363"/>
      <c r="AE146" s="363" t="s">
        <v>551</v>
      </c>
      <c r="AF146" s="380" t="s">
        <v>207</v>
      </c>
      <c r="AG146" s="380">
        <v>3</v>
      </c>
      <c r="AH146" s="363" t="s">
        <v>778</v>
      </c>
    </row>
    <row r="147" spans="2:34" ht="14.4" hidden="1" x14ac:dyDescent="0.3">
      <c r="B147" s="380" t="s">
        <v>14</v>
      </c>
      <c r="C147" s="409" t="s">
        <v>779</v>
      </c>
      <c r="D147" s="386" t="s">
        <v>53</v>
      </c>
      <c r="E147" s="408">
        <v>2500235067</v>
      </c>
      <c r="F147" s="753">
        <v>45764</v>
      </c>
      <c r="G147" s="380" t="s">
        <v>643</v>
      </c>
      <c r="H147" s="380">
        <v>3</v>
      </c>
      <c r="I147" s="388">
        <v>282816</v>
      </c>
      <c r="J147" s="380">
        <v>3</v>
      </c>
      <c r="K147" s="389">
        <f t="shared" si="5"/>
        <v>94272</v>
      </c>
      <c r="L147" s="387">
        <v>45748</v>
      </c>
      <c r="M147" s="387">
        <v>46112</v>
      </c>
      <c r="N147" s="680"/>
      <c r="O147" s="680"/>
      <c r="P147" s="363" t="s">
        <v>19</v>
      </c>
      <c r="Q147" s="380" t="s">
        <v>5</v>
      </c>
      <c r="R147" s="380"/>
      <c r="S147" s="390" t="s">
        <v>758</v>
      </c>
      <c r="T147" s="363" t="s">
        <v>780</v>
      </c>
      <c r="U147" s="390" t="s">
        <v>665</v>
      </c>
      <c r="V147" s="363" t="s">
        <v>781</v>
      </c>
      <c r="W147" s="390" t="s">
        <v>361</v>
      </c>
      <c r="X147" s="363" t="s">
        <v>782</v>
      </c>
      <c r="Y147" s="363"/>
      <c r="Z147" s="363"/>
      <c r="AA147" s="363"/>
      <c r="AB147" s="363"/>
      <c r="AC147" s="363"/>
      <c r="AD147" s="363"/>
      <c r="AE147" s="363" t="s">
        <v>619</v>
      </c>
      <c r="AF147" s="380" t="s">
        <v>63</v>
      </c>
      <c r="AG147" s="380">
        <v>3</v>
      </c>
      <c r="AH147" s="363" t="s">
        <v>667</v>
      </c>
    </row>
    <row r="148" spans="2:34" ht="14.4" hidden="1" x14ac:dyDescent="0.3">
      <c r="B148" s="380" t="s">
        <v>14</v>
      </c>
      <c r="C148" s="412" t="s">
        <v>789</v>
      </c>
      <c r="D148" s="413" t="s">
        <v>790</v>
      </c>
      <c r="E148" s="426">
        <v>8480219192</v>
      </c>
      <c r="F148" s="757">
        <v>45756</v>
      </c>
      <c r="G148" s="380" t="s">
        <v>643</v>
      </c>
      <c r="H148" s="380">
        <v>1</v>
      </c>
      <c r="I148" s="388">
        <v>76440</v>
      </c>
      <c r="J148" s="380">
        <v>3</v>
      </c>
      <c r="K148" s="389">
        <f t="shared" si="5"/>
        <v>25480</v>
      </c>
      <c r="L148" s="387">
        <v>45748</v>
      </c>
      <c r="M148" s="387">
        <v>46112</v>
      </c>
      <c r="N148" s="680"/>
      <c r="O148" s="680"/>
      <c r="P148" s="363" t="s">
        <v>19</v>
      </c>
      <c r="Q148" s="380" t="s">
        <v>3</v>
      </c>
      <c r="R148" s="380"/>
      <c r="S148" s="390" t="s">
        <v>357</v>
      </c>
      <c r="T148" s="363" t="s">
        <v>225</v>
      </c>
      <c r="U148" s="390" t="s">
        <v>665</v>
      </c>
      <c r="V148" s="363" t="s">
        <v>791</v>
      </c>
      <c r="W148" s="390" t="s">
        <v>361</v>
      </c>
      <c r="X148" s="363" t="s">
        <v>792</v>
      </c>
      <c r="Y148" s="363"/>
      <c r="Z148" s="363"/>
      <c r="AA148" s="363"/>
      <c r="AB148" s="363"/>
      <c r="AC148" s="363"/>
      <c r="AD148" s="363"/>
      <c r="AE148" s="363" t="s">
        <v>281</v>
      </c>
      <c r="AF148" s="380" t="s">
        <v>97</v>
      </c>
      <c r="AG148" s="380">
        <v>3</v>
      </c>
      <c r="AH148" s="363" t="s">
        <v>793</v>
      </c>
    </row>
    <row r="149" spans="2:34" ht="14.4" x14ac:dyDescent="0.3">
      <c r="B149" s="380" t="s">
        <v>14</v>
      </c>
      <c r="C149" s="363" t="s">
        <v>195</v>
      </c>
      <c r="D149" s="386" t="s">
        <v>196</v>
      </c>
      <c r="E149" s="393" t="s">
        <v>197</v>
      </c>
      <c r="F149" s="753">
        <v>45210</v>
      </c>
      <c r="G149" s="380" t="s">
        <v>55</v>
      </c>
      <c r="H149" s="380">
        <v>13</v>
      </c>
      <c r="I149" s="388">
        <v>741000</v>
      </c>
      <c r="J149" s="380">
        <v>4</v>
      </c>
      <c r="K149" s="389">
        <f t="shared" si="5"/>
        <v>185250</v>
      </c>
      <c r="L149" s="387">
        <v>45934</v>
      </c>
      <c r="M149" s="387">
        <v>46298</v>
      </c>
      <c r="N149" s="680"/>
      <c r="O149" s="680"/>
      <c r="P149" s="363" t="s">
        <v>520</v>
      </c>
      <c r="Q149" s="380" t="s">
        <v>5</v>
      </c>
      <c r="R149" s="380"/>
      <c r="S149" s="390" t="s">
        <v>794</v>
      </c>
      <c r="T149" s="363" t="s">
        <v>687</v>
      </c>
      <c r="U149" s="394" t="s">
        <v>795</v>
      </c>
      <c r="V149" s="363" t="s">
        <v>666</v>
      </c>
      <c r="W149" s="390" t="s">
        <v>796</v>
      </c>
      <c r="X149" s="363" t="s">
        <v>1940</v>
      </c>
      <c r="Y149" s="363" t="s">
        <v>797</v>
      </c>
      <c r="Z149" s="363"/>
      <c r="AA149" s="363"/>
      <c r="AB149" s="363"/>
      <c r="AC149" s="363"/>
      <c r="AD149" s="363"/>
      <c r="AE149" s="363" t="s">
        <v>551</v>
      </c>
      <c r="AF149" s="380" t="s">
        <v>207</v>
      </c>
      <c r="AG149" s="380">
        <v>3</v>
      </c>
      <c r="AH149" s="363"/>
    </row>
    <row r="150" spans="2:34" ht="14.4" hidden="1" x14ac:dyDescent="0.3">
      <c r="B150" s="380" t="s">
        <v>14</v>
      </c>
      <c r="C150" s="409" t="s">
        <v>756</v>
      </c>
      <c r="D150" s="434" t="s">
        <v>757</v>
      </c>
      <c r="E150" s="380">
        <v>2265005504</v>
      </c>
      <c r="F150" s="753">
        <v>45754</v>
      </c>
      <c r="G150" s="380" t="s">
        <v>55</v>
      </c>
      <c r="H150" s="380">
        <v>13</v>
      </c>
      <c r="I150" s="388">
        <v>1067040</v>
      </c>
      <c r="J150" s="380">
        <v>3</v>
      </c>
      <c r="K150" s="389">
        <f t="shared" si="5"/>
        <v>355680</v>
      </c>
      <c r="L150" s="387">
        <v>45748</v>
      </c>
      <c r="M150" s="387">
        <v>46112</v>
      </c>
      <c r="N150" s="680"/>
      <c r="O150" s="680"/>
      <c r="P150" s="363" t="s">
        <v>19</v>
      </c>
      <c r="Q150" s="380" t="s">
        <v>5</v>
      </c>
      <c r="R150" s="380"/>
      <c r="S150" s="390" t="s">
        <v>357</v>
      </c>
      <c r="T150" s="363" t="s">
        <v>777</v>
      </c>
      <c r="U150" s="390" t="s">
        <v>665</v>
      </c>
      <c r="V150" s="363" t="s">
        <v>289</v>
      </c>
      <c r="W150" s="390" t="s">
        <v>361</v>
      </c>
      <c r="X150" s="363" t="s">
        <v>798</v>
      </c>
      <c r="Y150" s="363"/>
      <c r="Z150" s="363"/>
      <c r="AA150" s="363"/>
      <c r="AB150" s="363"/>
      <c r="AC150" s="363"/>
      <c r="AD150" s="363"/>
      <c r="AE150" s="363" t="s">
        <v>507</v>
      </c>
      <c r="AF150" s="380" t="s">
        <v>63</v>
      </c>
      <c r="AG150" s="380">
        <v>3</v>
      </c>
      <c r="AH150" s="363" t="s">
        <v>799</v>
      </c>
    </row>
    <row r="151" spans="2:34" ht="14.4" hidden="1" x14ac:dyDescent="0.3">
      <c r="B151" s="380" t="s">
        <v>14</v>
      </c>
      <c r="C151" s="409" t="s">
        <v>800</v>
      </c>
      <c r="D151" s="423" t="s">
        <v>801</v>
      </c>
      <c r="E151" s="380">
        <v>3102500128</v>
      </c>
      <c r="F151" s="753">
        <v>45765</v>
      </c>
      <c r="G151" s="380" t="s">
        <v>55</v>
      </c>
      <c r="H151" s="380">
        <v>6</v>
      </c>
      <c r="I151" s="388">
        <v>468000</v>
      </c>
      <c r="J151" s="380">
        <v>2</v>
      </c>
      <c r="K151" s="389">
        <f t="shared" si="5"/>
        <v>234000</v>
      </c>
      <c r="L151" s="387">
        <v>45748</v>
      </c>
      <c r="M151" s="387">
        <v>46112</v>
      </c>
      <c r="N151" s="680"/>
      <c r="O151" s="680"/>
      <c r="P151" s="363" t="s">
        <v>19</v>
      </c>
      <c r="Q151" s="380" t="s">
        <v>3</v>
      </c>
      <c r="R151" s="380"/>
      <c r="S151" s="390" t="s">
        <v>463</v>
      </c>
      <c r="T151" s="363" t="s">
        <v>802</v>
      </c>
      <c r="U151" s="390" t="s">
        <v>465</v>
      </c>
      <c r="V151" s="363" t="s">
        <v>803</v>
      </c>
      <c r="W151" s="363"/>
      <c r="X151" s="363"/>
      <c r="Y151" s="363"/>
      <c r="Z151" s="363"/>
      <c r="AA151" s="363"/>
      <c r="AB151" s="363"/>
      <c r="AC151" s="363"/>
      <c r="AD151" s="363"/>
      <c r="AE151" s="363" t="s">
        <v>485</v>
      </c>
      <c r="AF151" s="380" t="s">
        <v>63</v>
      </c>
      <c r="AG151" s="380">
        <v>2</v>
      </c>
      <c r="AH151" s="363" t="s">
        <v>804</v>
      </c>
    </row>
    <row r="152" spans="2:34" ht="14.4" hidden="1" x14ac:dyDescent="0.3">
      <c r="B152" s="380" t="s">
        <v>14</v>
      </c>
      <c r="C152" s="409" t="s">
        <v>805</v>
      </c>
      <c r="D152" s="423" t="s">
        <v>86</v>
      </c>
      <c r="E152" s="408">
        <v>7500114971</v>
      </c>
      <c r="F152" s="753">
        <v>45763</v>
      </c>
      <c r="G152" s="380" t="s">
        <v>55</v>
      </c>
      <c r="H152" s="380">
        <v>1</v>
      </c>
      <c r="I152" s="388">
        <v>82000</v>
      </c>
      <c r="J152" s="380">
        <v>3</v>
      </c>
      <c r="K152" s="389">
        <f t="shared" si="5"/>
        <v>27333.333333333332</v>
      </c>
      <c r="L152" s="387">
        <v>45748</v>
      </c>
      <c r="M152" s="387">
        <v>46112</v>
      </c>
      <c r="N152" s="680"/>
      <c r="O152" s="680"/>
      <c r="P152" s="363" t="s">
        <v>19</v>
      </c>
      <c r="Q152" s="380" t="s">
        <v>3</v>
      </c>
      <c r="R152" s="380"/>
      <c r="S152" s="390" t="s">
        <v>357</v>
      </c>
      <c r="T152" s="363" t="s">
        <v>806</v>
      </c>
      <c r="U152" s="390" t="s">
        <v>665</v>
      </c>
      <c r="V152" s="363" t="s">
        <v>807</v>
      </c>
      <c r="W152" s="390" t="s">
        <v>361</v>
      </c>
      <c r="X152" s="363" t="s">
        <v>808</v>
      </c>
      <c r="Y152" s="363"/>
      <c r="Z152" s="363"/>
      <c r="AA152" s="363"/>
      <c r="AB152" s="363"/>
      <c r="AC152" s="363"/>
      <c r="AD152" s="363"/>
      <c r="AE152" s="363" t="s">
        <v>96</v>
      </c>
      <c r="AF152" s="380" t="s">
        <v>97</v>
      </c>
      <c r="AG152" s="380" t="s">
        <v>494</v>
      </c>
      <c r="AH152" s="363" t="s">
        <v>667</v>
      </c>
    </row>
    <row r="153" spans="2:34" ht="14.4" hidden="1" x14ac:dyDescent="0.3">
      <c r="B153" s="380" t="s">
        <v>14</v>
      </c>
      <c r="C153" s="409" t="s">
        <v>809</v>
      </c>
      <c r="D153" s="423" t="s">
        <v>629</v>
      </c>
      <c r="E153" s="408" t="s">
        <v>810</v>
      </c>
      <c r="F153" s="753">
        <v>45770</v>
      </c>
      <c r="G153" s="380" t="s">
        <v>55</v>
      </c>
      <c r="H153" s="380">
        <v>5</v>
      </c>
      <c r="I153" s="388">
        <v>341250</v>
      </c>
      <c r="J153" s="380">
        <v>2</v>
      </c>
      <c r="K153" s="389">
        <f t="shared" si="5"/>
        <v>170625</v>
      </c>
      <c r="L153" s="387">
        <v>45748</v>
      </c>
      <c r="M153" s="387">
        <v>46112</v>
      </c>
      <c r="N153" s="680"/>
      <c r="O153" s="680"/>
      <c r="P153" s="363" t="s">
        <v>19</v>
      </c>
      <c r="Q153" s="380" t="s">
        <v>3</v>
      </c>
      <c r="R153" s="380"/>
      <c r="S153" s="390" t="s">
        <v>463</v>
      </c>
      <c r="T153" s="363" t="s">
        <v>811</v>
      </c>
      <c r="U153" s="390" t="s">
        <v>465</v>
      </c>
      <c r="V153" s="363" t="s">
        <v>320</v>
      </c>
      <c r="W153" s="363"/>
      <c r="X153" s="363"/>
      <c r="Y153" s="363"/>
      <c r="Z153" s="363"/>
      <c r="AA153" s="363"/>
      <c r="AB153" s="363"/>
      <c r="AC153" s="363"/>
      <c r="AD153" s="363"/>
      <c r="AE153" s="363" t="s">
        <v>485</v>
      </c>
      <c r="AF153" s="380" t="s">
        <v>97</v>
      </c>
      <c r="AG153" s="380">
        <v>3</v>
      </c>
      <c r="AH153" s="363" t="s">
        <v>667</v>
      </c>
    </row>
    <row r="154" spans="2:34" ht="14.4" hidden="1" x14ac:dyDescent="0.3">
      <c r="B154" s="380" t="s">
        <v>14</v>
      </c>
      <c r="C154" s="409" t="s">
        <v>800</v>
      </c>
      <c r="D154" s="423" t="s">
        <v>812</v>
      </c>
      <c r="E154" s="408">
        <v>2102500018</v>
      </c>
      <c r="F154" s="753">
        <v>45749</v>
      </c>
      <c r="G154" s="380" t="s">
        <v>55</v>
      </c>
      <c r="H154" s="380">
        <v>4</v>
      </c>
      <c r="I154" s="388">
        <v>332800</v>
      </c>
      <c r="J154" s="380">
        <v>2</v>
      </c>
      <c r="K154" s="389">
        <f t="shared" si="5"/>
        <v>166400</v>
      </c>
      <c r="L154" s="387">
        <v>45748</v>
      </c>
      <c r="M154" s="387">
        <v>46112</v>
      </c>
      <c r="N154" s="680"/>
      <c r="O154" s="680"/>
      <c r="P154" s="363" t="s">
        <v>19</v>
      </c>
      <c r="Q154" s="380" t="s">
        <v>3</v>
      </c>
      <c r="R154" s="380"/>
      <c r="S154" s="390" t="s">
        <v>463</v>
      </c>
      <c r="T154" s="363" t="s">
        <v>813</v>
      </c>
      <c r="U154" s="390" t="s">
        <v>465</v>
      </c>
      <c r="V154" s="363" t="s">
        <v>814</v>
      </c>
      <c r="W154" s="363"/>
      <c r="X154" s="363"/>
      <c r="Y154" s="363"/>
      <c r="Z154" s="363"/>
      <c r="AA154" s="363"/>
      <c r="AB154" s="363"/>
      <c r="AC154" s="363"/>
      <c r="AD154" s="363"/>
      <c r="AE154" s="363" t="s">
        <v>485</v>
      </c>
      <c r="AF154" s="380" t="s">
        <v>63</v>
      </c>
      <c r="AG154" s="380">
        <v>2</v>
      </c>
      <c r="AH154" s="363" t="s">
        <v>667</v>
      </c>
    </row>
    <row r="155" spans="2:34" ht="14.4" hidden="1" x14ac:dyDescent="0.3">
      <c r="B155" s="380" t="s">
        <v>14</v>
      </c>
      <c r="C155" s="409" t="s">
        <v>800</v>
      </c>
      <c r="D155" s="423" t="s">
        <v>812</v>
      </c>
      <c r="E155" s="408">
        <v>2102500206</v>
      </c>
      <c r="F155" s="753">
        <v>45758</v>
      </c>
      <c r="G155" s="380" t="s">
        <v>55</v>
      </c>
      <c r="H155" s="380">
        <v>4</v>
      </c>
      <c r="I155" s="388">
        <v>270400</v>
      </c>
      <c r="J155" s="380">
        <v>2</v>
      </c>
      <c r="K155" s="389">
        <f t="shared" si="5"/>
        <v>135200</v>
      </c>
      <c r="L155" s="387">
        <v>45748</v>
      </c>
      <c r="M155" s="387">
        <v>46112</v>
      </c>
      <c r="N155" s="680"/>
      <c r="O155" s="680"/>
      <c r="P155" s="363" t="s">
        <v>19</v>
      </c>
      <c r="Q155" s="380" t="s">
        <v>3</v>
      </c>
      <c r="R155" s="380"/>
      <c r="S155" s="390" t="s">
        <v>463</v>
      </c>
      <c r="T155" s="363" t="s">
        <v>815</v>
      </c>
      <c r="U155" s="390" t="s">
        <v>465</v>
      </c>
      <c r="V155" s="363" t="s">
        <v>816</v>
      </c>
      <c r="W155" s="363"/>
      <c r="X155" s="363"/>
      <c r="Y155" s="363"/>
      <c r="Z155" s="363"/>
      <c r="AA155" s="363"/>
      <c r="AB155" s="363"/>
      <c r="AC155" s="363"/>
      <c r="AD155" s="363"/>
      <c r="AE155" s="363" t="s">
        <v>485</v>
      </c>
      <c r="AF155" s="380" t="s">
        <v>63</v>
      </c>
      <c r="AG155" s="380">
        <v>2</v>
      </c>
      <c r="AH155" s="363" t="s">
        <v>667</v>
      </c>
    </row>
    <row r="156" spans="2:34" ht="14.4" hidden="1" x14ac:dyDescent="0.3">
      <c r="B156" s="380" t="s">
        <v>14</v>
      </c>
      <c r="C156" s="409" t="s">
        <v>817</v>
      </c>
      <c r="D156" s="423" t="s">
        <v>818</v>
      </c>
      <c r="E156" s="397">
        <v>242500783</v>
      </c>
      <c r="F156" s="753">
        <v>45756</v>
      </c>
      <c r="G156" s="380" t="s">
        <v>55</v>
      </c>
      <c r="H156" s="380">
        <v>3</v>
      </c>
      <c r="I156" s="388">
        <v>344997</v>
      </c>
      <c r="J156" s="380">
        <v>2</v>
      </c>
      <c r="K156" s="389">
        <f t="shared" si="5"/>
        <v>172498.5</v>
      </c>
      <c r="L156" s="387">
        <v>45778</v>
      </c>
      <c r="M156" s="387">
        <v>46142</v>
      </c>
      <c r="N156" s="680"/>
      <c r="O156" s="680"/>
      <c r="P156" s="363" t="s">
        <v>19</v>
      </c>
      <c r="Q156" s="380" t="s">
        <v>5</v>
      </c>
      <c r="R156" s="380"/>
      <c r="S156" s="390" t="s">
        <v>328</v>
      </c>
      <c r="T156" s="363" t="s">
        <v>819</v>
      </c>
      <c r="U156" s="390" t="s">
        <v>330</v>
      </c>
      <c r="V156" s="363" t="s">
        <v>820</v>
      </c>
      <c r="W156" s="363"/>
      <c r="X156" s="363"/>
      <c r="Y156" s="363"/>
      <c r="Z156" s="363"/>
      <c r="AA156" s="363"/>
      <c r="AB156" s="363"/>
      <c r="AC156" s="363"/>
      <c r="AD156" s="363"/>
      <c r="AE156" s="363" t="s">
        <v>281</v>
      </c>
      <c r="AF156" s="380" t="s">
        <v>97</v>
      </c>
      <c r="AG156" s="380" t="s">
        <v>494</v>
      </c>
      <c r="AH156" s="363" t="s">
        <v>821</v>
      </c>
    </row>
    <row r="157" spans="2:34" ht="14.4" hidden="1" x14ac:dyDescent="0.3">
      <c r="B157" s="380" t="s">
        <v>14</v>
      </c>
      <c r="C157" s="443" t="s">
        <v>822</v>
      </c>
      <c r="D157" s="444" t="s">
        <v>823</v>
      </c>
      <c r="E157" s="438" t="s">
        <v>824</v>
      </c>
      <c r="F157" s="757">
        <v>45772</v>
      </c>
      <c r="G157" s="380" t="s">
        <v>55</v>
      </c>
      <c r="H157" s="380">
        <v>1</v>
      </c>
      <c r="I157" s="388">
        <v>98500</v>
      </c>
      <c r="J157" s="380">
        <v>2</v>
      </c>
      <c r="K157" s="389">
        <f t="shared" si="5"/>
        <v>49250</v>
      </c>
      <c r="L157" s="387">
        <v>45763</v>
      </c>
      <c r="M157" s="387">
        <v>46127</v>
      </c>
      <c r="N157" s="680"/>
      <c r="O157" s="680"/>
      <c r="P157" s="363" t="s">
        <v>19</v>
      </c>
      <c r="Q157" s="380" t="s">
        <v>5</v>
      </c>
      <c r="R157" s="380" t="s">
        <v>1</v>
      </c>
      <c r="S157" s="390" t="s">
        <v>825</v>
      </c>
      <c r="T157" s="363" t="s">
        <v>826</v>
      </c>
      <c r="U157" s="390" t="s">
        <v>827</v>
      </c>
      <c r="V157" s="363" t="s">
        <v>828</v>
      </c>
      <c r="W157" s="363"/>
      <c r="X157" s="363"/>
      <c r="Y157" s="363"/>
      <c r="Z157" s="363"/>
      <c r="AA157" s="363"/>
      <c r="AB157" s="363"/>
      <c r="AC157" s="363"/>
      <c r="AD157" s="363"/>
      <c r="AE157" s="363" t="s">
        <v>183</v>
      </c>
      <c r="AF157" s="380" t="s">
        <v>97</v>
      </c>
      <c r="AG157" s="380">
        <v>2</v>
      </c>
      <c r="AH157" s="363" t="s">
        <v>829</v>
      </c>
    </row>
    <row r="158" spans="2:34" ht="14.4" hidden="1" x14ac:dyDescent="0.3">
      <c r="B158" s="380" t="s">
        <v>14</v>
      </c>
      <c r="C158" s="430" t="s">
        <v>830</v>
      </c>
      <c r="D158" s="445" t="s">
        <v>831</v>
      </c>
      <c r="E158" s="408">
        <v>3500120284</v>
      </c>
      <c r="F158" s="753">
        <v>45756</v>
      </c>
      <c r="G158" s="380" t="s">
        <v>55</v>
      </c>
      <c r="H158" s="380">
        <v>1</v>
      </c>
      <c r="I158" s="388">
        <v>120000</v>
      </c>
      <c r="J158" s="380">
        <v>3</v>
      </c>
      <c r="K158" s="389">
        <f t="shared" si="5"/>
        <v>40000</v>
      </c>
      <c r="L158" s="387">
        <v>45689</v>
      </c>
      <c r="M158" s="387">
        <v>46053</v>
      </c>
      <c r="N158" s="680"/>
      <c r="O158" s="680"/>
      <c r="P158" s="363" t="s">
        <v>19</v>
      </c>
      <c r="Q158" s="380" t="s">
        <v>0</v>
      </c>
      <c r="R158" s="380"/>
      <c r="S158" s="390" t="s">
        <v>832</v>
      </c>
      <c r="T158" s="363" t="s">
        <v>833</v>
      </c>
      <c r="U158" s="390" t="s">
        <v>81</v>
      </c>
      <c r="V158" s="363" t="s">
        <v>287</v>
      </c>
      <c r="W158" s="390" t="s">
        <v>83</v>
      </c>
      <c r="X158" s="363" t="s">
        <v>395</v>
      </c>
      <c r="Y158" s="363"/>
      <c r="Z158" s="363"/>
      <c r="AA158" s="363"/>
      <c r="AB158" s="363"/>
      <c r="AC158" s="363"/>
      <c r="AD158" s="363"/>
      <c r="AE158" s="363" t="s">
        <v>834</v>
      </c>
      <c r="AF158" s="380" t="s">
        <v>207</v>
      </c>
      <c r="AG158" s="380">
        <v>3</v>
      </c>
      <c r="AH158" s="363" t="s">
        <v>835</v>
      </c>
    </row>
    <row r="159" spans="2:34" ht="14.4" hidden="1" x14ac:dyDescent="0.3">
      <c r="B159" s="380" t="s">
        <v>14</v>
      </c>
      <c r="C159" s="430" t="s">
        <v>836</v>
      </c>
      <c r="D159" s="445" t="s">
        <v>629</v>
      </c>
      <c r="E159" s="408" t="s">
        <v>837</v>
      </c>
      <c r="F159" s="753">
        <v>45773</v>
      </c>
      <c r="G159" s="380" t="s">
        <v>55</v>
      </c>
      <c r="H159" s="380">
        <v>2</v>
      </c>
      <c r="I159" s="388">
        <v>168000</v>
      </c>
      <c r="J159" s="380">
        <v>2</v>
      </c>
      <c r="K159" s="389">
        <f t="shared" si="5"/>
        <v>84000</v>
      </c>
      <c r="L159" s="387">
        <v>45748</v>
      </c>
      <c r="M159" s="387">
        <v>46112</v>
      </c>
      <c r="N159" s="680"/>
      <c r="O159" s="680"/>
      <c r="P159" s="363" t="s">
        <v>19</v>
      </c>
      <c r="Q159" s="380" t="s">
        <v>3</v>
      </c>
      <c r="R159" s="380"/>
      <c r="S159" s="390" t="s">
        <v>838</v>
      </c>
      <c r="T159" s="363" t="s">
        <v>344</v>
      </c>
      <c r="U159" s="390" t="s">
        <v>465</v>
      </c>
      <c r="V159" s="363" t="s">
        <v>839</v>
      </c>
      <c r="W159" s="363"/>
      <c r="X159" s="363"/>
      <c r="Y159" s="363"/>
      <c r="Z159" s="363"/>
      <c r="AA159" s="363"/>
      <c r="AB159" s="363"/>
      <c r="AC159" s="363"/>
      <c r="AD159" s="363"/>
      <c r="AE159" s="363" t="s">
        <v>485</v>
      </c>
      <c r="AF159" s="380" t="s">
        <v>63</v>
      </c>
      <c r="AG159" s="380">
        <v>2</v>
      </c>
      <c r="AH159" s="363" t="s">
        <v>799</v>
      </c>
    </row>
    <row r="160" spans="2:34" ht="14.4" hidden="1" x14ac:dyDescent="0.3">
      <c r="B160" s="380" t="s">
        <v>14</v>
      </c>
      <c r="C160" s="430" t="s">
        <v>840</v>
      </c>
      <c r="D160" s="445" t="s">
        <v>841</v>
      </c>
      <c r="E160" s="408" t="s">
        <v>842</v>
      </c>
      <c r="F160" s="753">
        <v>45768</v>
      </c>
      <c r="G160" s="380" t="s">
        <v>55</v>
      </c>
      <c r="H160" s="380">
        <v>3</v>
      </c>
      <c r="I160" s="388">
        <v>202500</v>
      </c>
      <c r="J160" s="380">
        <v>3</v>
      </c>
      <c r="K160" s="389">
        <f t="shared" ref="K160:K167" si="6">I160/J160</f>
        <v>67500</v>
      </c>
      <c r="L160" s="387">
        <v>45748</v>
      </c>
      <c r="M160" s="387">
        <v>46112</v>
      </c>
      <c r="N160" s="680"/>
      <c r="O160" s="680"/>
      <c r="P160" s="363" t="s">
        <v>19</v>
      </c>
      <c r="Q160" s="380" t="s">
        <v>3</v>
      </c>
      <c r="R160" s="380"/>
      <c r="S160" s="390" t="s">
        <v>758</v>
      </c>
      <c r="T160" s="363" t="s">
        <v>843</v>
      </c>
      <c r="U160" s="390" t="s">
        <v>665</v>
      </c>
      <c r="V160" s="363" t="s">
        <v>791</v>
      </c>
      <c r="W160" s="390" t="s">
        <v>361</v>
      </c>
      <c r="X160" s="363" t="s">
        <v>844</v>
      </c>
      <c r="Y160" s="363"/>
      <c r="Z160" s="363"/>
      <c r="AA160" s="363"/>
      <c r="AB160" s="363"/>
      <c r="AC160" s="363"/>
      <c r="AD160" s="363"/>
      <c r="AE160" s="363" t="s">
        <v>485</v>
      </c>
      <c r="AF160" s="380" t="s">
        <v>63</v>
      </c>
      <c r="AG160" s="380">
        <v>2</v>
      </c>
      <c r="AH160" s="363" t="s">
        <v>657</v>
      </c>
    </row>
    <row r="161" spans="2:34" ht="14.4" hidden="1" x14ac:dyDescent="0.3">
      <c r="B161" s="380" t="s">
        <v>14</v>
      </c>
      <c r="C161" s="430" t="s">
        <v>850</v>
      </c>
      <c r="D161" s="445" t="s">
        <v>388</v>
      </c>
      <c r="E161" s="408">
        <v>5000132738</v>
      </c>
      <c r="F161" s="753">
        <v>45769</v>
      </c>
      <c r="G161" s="380" t="s">
        <v>55</v>
      </c>
      <c r="H161" s="380">
        <v>1</v>
      </c>
      <c r="I161" s="388">
        <v>83000</v>
      </c>
      <c r="J161" s="380">
        <v>2</v>
      </c>
      <c r="K161" s="389">
        <f t="shared" si="6"/>
        <v>41500</v>
      </c>
      <c r="L161" s="387">
        <v>45748</v>
      </c>
      <c r="M161" s="387">
        <v>46112</v>
      </c>
      <c r="N161" s="680"/>
      <c r="O161" s="680"/>
      <c r="P161" s="363" t="s">
        <v>19</v>
      </c>
      <c r="Q161" s="380" t="s">
        <v>3</v>
      </c>
      <c r="R161" s="380" t="s">
        <v>1</v>
      </c>
      <c r="S161" s="390" t="s">
        <v>838</v>
      </c>
      <c r="T161" s="363" t="s">
        <v>379</v>
      </c>
      <c r="U161" s="390" t="s">
        <v>465</v>
      </c>
      <c r="V161" s="363" t="s">
        <v>851</v>
      </c>
      <c r="W161" s="363"/>
      <c r="X161" s="363"/>
      <c r="Y161" s="363"/>
      <c r="Z161" s="363"/>
      <c r="AA161" s="363"/>
      <c r="AB161" s="363"/>
      <c r="AC161" s="363"/>
      <c r="AD161" s="363"/>
      <c r="AE161" s="363" t="s">
        <v>619</v>
      </c>
      <c r="AF161" s="380" t="s">
        <v>63</v>
      </c>
      <c r="AG161" s="380">
        <v>3</v>
      </c>
      <c r="AH161" s="446">
        <v>1</v>
      </c>
    </row>
    <row r="162" spans="2:34" ht="14.4" hidden="1" x14ac:dyDescent="0.3">
      <c r="B162" s="380" t="s">
        <v>14</v>
      </c>
      <c r="C162" s="430" t="s">
        <v>775</v>
      </c>
      <c r="D162" s="445" t="s">
        <v>852</v>
      </c>
      <c r="E162" s="408">
        <v>2710000809</v>
      </c>
      <c r="F162" s="753">
        <v>45763</v>
      </c>
      <c r="G162" s="380" t="s">
        <v>55</v>
      </c>
      <c r="H162" s="380">
        <v>2</v>
      </c>
      <c r="I162" s="388">
        <v>170000</v>
      </c>
      <c r="J162" s="380">
        <v>3</v>
      </c>
      <c r="K162" s="389">
        <f t="shared" si="6"/>
        <v>56666.666666666664</v>
      </c>
      <c r="L162" s="387">
        <v>45748</v>
      </c>
      <c r="M162" s="387">
        <v>46112</v>
      </c>
      <c r="N162" s="680"/>
      <c r="O162" s="680"/>
      <c r="P162" s="363" t="s">
        <v>19</v>
      </c>
      <c r="Q162" s="380" t="s">
        <v>3</v>
      </c>
      <c r="R162" s="380"/>
      <c r="S162" s="390" t="s">
        <v>758</v>
      </c>
      <c r="T162" s="363" t="s">
        <v>853</v>
      </c>
      <c r="U162" s="390" t="s">
        <v>665</v>
      </c>
      <c r="V162" s="363" t="s">
        <v>854</v>
      </c>
      <c r="W162" s="390" t="s">
        <v>361</v>
      </c>
      <c r="X162" s="363" t="s">
        <v>855</v>
      </c>
      <c r="Y162" s="363"/>
      <c r="Z162" s="363"/>
      <c r="AA162" s="363"/>
      <c r="AB162" s="363"/>
      <c r="AC162" s="363"/>
      <c r="AD162" s="363"/>
      <c r="AE162" s="363" t="s">
        <v>551</v>
      </c>
      <c r="AF162" s="380" t="s">
        <v>207</v>
      </c>
      <c r="AG162" s="380">
        <v>3</v>
      </c>
      <c r="AH162" s="446" t="s">
        <v>856</v>
      </c>
    </row>
    <row r="163" spans="2:34" ht="14.4" hidden="1" x14ac:dyDescent="0.3">
      <c r="B163" s="380" t="s">
        <v>14</v>
      </c>
      <c r="C163" s="363" t="s">
        <v>857</v>
      </c>
      <c r="D163" s="386" t="s">
        <v>858</v>
      </c>
      <c r="E163" s="419" t="s">
        <v>859</v>
      </c>
      <c r="F163" s="753">
        <v>45747</v>
      </c>
      <c r="G163" s="380" t="s">
        <v>55</v>
      </c>
      <c r="H163" s="380">
        <v>2</v>
      </c>
      <c r="I163" s="388">
        <v>370000</v>
      </c>
      <c r="J163" s="380">
        <v>4</v>
      </c>
      <c r="K163" s="389">
        <f t="shared" si="6"/>
        <v>92500</v>
      </c>
      <c r="L163" s="387">
        <v>45748</v>
      </c>
      <c r="M163" s="387">
        <v>46112</v>
      </c>
      <c r="N163" s="680"/>
      <c r="O163" s="680"/>
      <c r="P163" s="363" t="s">
        <v>19</v>
      </c>
      <c r="Q163" s="380" t="s">
        <v>3</v>
      </c>
      <c r="R163" s="380"/>
      <c r="S163" s="390" t="s">
        <v>391</v>
      </c>
      <c r="T163" s="363" t="s">
        <v>860</v>
      </c>
      <c r="U163" s="390" t="s">
        <v>168</v>
      </c>
      <c r="V163" s="363" t="s">
        <v>505</v>
      </c>
      <c r="W163" s="390" t="s">
        <v>228</v>
      </c>
      <c r="X163" s="363" t="s">
        <v>417</v>
      </c>
      <c r="Y163" s="363" t="s">
        <v>396</v>
      </c>
      <c r="Z163" s="363"/>
      <c r="AA163" s="363"/>
      <c r="AB163" s="363"/>
      <c r="AC163" s="363"/>
      <c r="AD163" s="363"/>
      <c r="AE163" s="363" t="s">
        <v>551</v>
      </c>
      <c r="AF163" s="380" t="s">
        <v>207</v>
      </c>
      <c r="AG163" s="380" t="s">
        <v>861</v>
      </c>
      <c r="AH163" s="363" t="s">
        <v>862</v>
      </c>
    </row>
    <row r="164" spans="2:34" ht="14.4" hidden="1" x14ac:dyDescent="0.3">
      <c r="B164" s="380" t="s">
        <v>14</v>
      </c>
      <c r="C164" s="409" t="s">
        <v>863</v>
      </c>
      <c r="D164" s="423" t="s">
        <v>864</v>
      </c>
      <c r="E164" s="424">
        <v>4504578229</v>
      </c>
      <c r="F164" s="753">
        <v>45779</v>
      </c>
      <c r="G164" s="380" t="s">
        <v>55</v>
      </c>
      <c r="H164" s="380">
        <v>1</v>
      </c>
      <c r="I164" s="388">
        <v>67000</v>
      </c>
      <c r="J164" s="380">
        <v>2</v>
      </c>
      <c r="K164" s="389">
        <f t="shared" si="6"/>
        <v>33500</v>
      </c>
      <c r="L164" s="387">
        <v>45839</v>
      </c>
      <c r="M164" s="387">
        <v>46203</v>
      </c>
      <c r="N164" s="680"/>
      <c r="O164" s="680"/>
      <c r="P164" s="363" t="s">
        <v>19</v>
      </c>
      <c r="Q164" s="380" t="s">
        <v>9</v>
      </c>
      <c r="R164" s="380"/>
      <c r="S164" s="390" t="s">
        <v>483</v>
      </c>
      <c r="T164" s="363" t="s">
        <v>865</v>
      </c>
      <c r="U164" s="390" t="s">
        <v>607</v>
      </c>
      <c r="V164" s="363" t="s">
        <v>1850</v>
      </c>
      <c r="W164" s="363"/>
      <c r="X164" s="363"/>
      <c r="Y164" s="363"/>
      <c r="Z164" s="363"/>
      <c r="AA164" s="363"/>
      <c r="AB164" s="363"/>
      <c r="AC164" s="363"/>
      <c r="AD164" s="363"/>
      <c r="AE164" s="363" t="s">
        <v>507</v>
      </c>
      <c r="AF164" s="380" t="s">
        <v>63</v>
      </c>
      <c r="AG164" s="380">
        <v>2</v>
      </c>
      <c r="AH164" s="363" t="s">
        <v>743</v>
      </c>
    </row>
    <row r="165" spans="2:34" ht="14.4" hidden="1" x14ac:dyDescent="0.3">
      <c r="B165" s="380" t="s">
        <v>14</v>
      </c>
      <c r="C165" s="412" t="s">
        <v>508</v>
      </c>
      <c r="D165" s="437" t="s">
        <v>866</v>
      </c>
      <c r="E165" s="438" t="s">
        <v>867</v>
      </c>
      <c r="F165" s="757">
        <v>45777</v>
      </c>
      <c r="G165" s="380" t="s">
        <v>55</v>
      </c>
      <c r="H165" s="380">
        <v>2</v>
      </c>
      <c r="I165" s="388">
        <v>178000</v>
      </c>
      <c r="J165" s="380">
        <v>3</v>
      </c>
      <c r="K165" s="389">
        <f t="shared" si="6"/>
        <v>59333.333333333336</v>
      </c>
      <c r="L165" s="387">
        <v>45778</v>
      </c>
      <c r="M165" s="387">
        <v>46142</v>
      </c>
      <c r="N165" s="680"/>
      <c r="O165" s="680"/>
      <c r="P165" s="363" t="s">
        <v>19</v>
      </c>
      <c r="Q165" s="380" t="s">
        <v>5</v>
      </c>
      <c r="R165" s="380"/>
      <c r="S165" s="390" t="s">
        <v>343</v>
      </c>
      <c r="T165" s="363" t="s">
        <v>868</v>
      </c>
      <c r="U165" s="390" t="s">
        <v>345</v>
      </c>
      <c r="V165" s="390" t="s">
        <v>673</v>
      </c>
      <c r="W165" s="390" t="s">
        <v>347</v>
      </c>
      <c r="X165" s="363" t="s">
        <v>869</v>
      </c>
      <c r="Y165" s="363"/>
      <c r="Z165" s="363"/>
      <c r="AA165" s="363"/>
      <c r="AB165" s="363"/>
      <c r="AC165" s="363"/>
      <c r="AD165" s="363"/>
      <c r="AE165" s="363" t="s">
        <v>96</v>
      </c>
      <c r="AF165" s="380" t="s">
        <v>97</v>
      </c>
      <c r="AG165" s="380" t="s">
        <v>494</v>
      </c>
      <c r="AH165" s="431" t="s">
        <v>870</v>
      </c>
    </row>
    <row r="166" spans="2:34" ht="14.4" hidden="1" x14ac:dyDescent="0.3">
      <c r="B166" s="380" t="s">
        <v>14</v>
      </c>
      <c r="C166" s="412" t="s">
        <v>508</v>
      </c>
      <c r="D166" s="437" t="s">
        <v>866</v>
      </c>
      <c r="E166" s="438" t="s">
        <v>871</v>
      </c>
      <c r="F166" s="757">
        <v>45777</v>
      </c>
      <c r="G166" s="380" t="s">
        <v>55</v>
      </c>
      <c r="H166" s="380">
        <v>2</v>
      </c>
      <c r="I166" s="388">
        <v>178000</v>
      </c>
      <c r="J166" s="380">
        <v>3</v>
      </c>
      <c r="K166" s="389">
        <f t="shared" si="6"/>
        <v>59333.333333333336</v>
      </c>
      <c r="L166" s="387">
        <v>45778</v>
      </c>
      <c r="M166" s="387">
        <v>46142</v>
      </c>
      <c r="N166" s="680"/>
      <c r="O166" s="680"/>
      <c r="P166" s="363" t="s">
        <v>19</v>
      </c>
      <c r="Q166" s="380" t="s">
        <v>5</v>
      </c>
      <c r="R166" s="380"/>
      <c r="S166" s="390" t="s">
        <v>343</v>
      </c>
      <c r="T166" s="363" t="s">
        <v>872</v>
      </c>
      <c r="U166" s="390" t="s">
        <v>345</v>
      </c>
      <c r="V166" s="363" t="s">
        <v>873</v>
      </c>
      <c r="W166" s="390" t="s">
        <v>347</v>
      </c>
      <c r="X166" s="363" t="s">
        <v>874</v>
      </c>
      <c r="Y166" s="363"/>
      <c r="Z166" s="363"/>
      <c r="AA166" s="363"/>
      <c r="AB166" s="363"/>
      <c r="AC166" s="363"/>
      <c r="AD166" s="363"/>
      <c r="AE166" s="363" t="s">
        <v>96</v>
      </c>
      <c r="AF166" s="380" t="s">
        <v>97</v>
      </c>
      <c r="AG166" s="380" t="s">
        <v>494</v>
      </c>
      <c r="AH166" s="431" t="s">
        <v>870</v>
      </c>
    </row>
    <row r="167" spans="2:34" ht="14.4" hidden="1" x14ac:dyDescent="0.3">
      <c r="B167" s="380" t="s">
        <v>14</v>
      </c>
      <c r="C167" s="423" t="s">
        <v>875</v>
      </c>
      <c r="D167" s="423" t="s">
        <v>876</v>
      </c>
      <c r="E167" s="408" t="s">
        <v>877</v>
      </c>
      <c r="F167" s="753">
        <v>45772</v>
      </c>
      <c r="G167" s="380" t="s">
        <v>55</v>
      </c>
      <c r="H167" s="380">
        <v>3</v>
      </c>
      <c r="I167" s="388">
        <v>435000</v>
      </c>
      <c r="J167" s="380">
        <v>3</v>
      </c>
      <c r="K167" s="389">
        <f t="shared" si="6"/>
        <v>145000</v>
      </c>
      <c r="L167" s="387">
        <v>45770</v>
      </c>
      <c r="M167" s="387">
        <v>46134</v>
      </c>
      <c r="N167" s="680"/>
      <c r="O167" s="680"/>
      <c r="P167" s="363" t="s">
        <v>19</v>
      </c>
      <c r="Q167" s="380" t="s">
        <v>5</v>
      </c>
      <c r="R167" s="380" t="s">
        <v>1</v>
      </c>
      <c r="S167" s="390" t="s">
        <v>878</v>
      </c>
      <c r="T167" s="363" t="s">
        <v>108</v>
      </c>
      <c r="U167" s="390" t="s">
        <v>879</v>
      </c>
      <c r="V167" s="363" t="s">
        <v>880</v>
      </c>
      <c r="W167" s="390" t="s">
        <v>881</v>
      </c>
      <c r="X167" s="363" t="s">
        <v>882</v>
      </c>
      <c r="Y167" s="363"/>
      <c r="Z167" s="363"/>
      <c r="AA167" s="363"/>
      <c r="AB167" s="363"/>
      <c r="AC167" s="363"/>
      <c r="AD167" s="363"/>
      <c r="AE167" s="363" t="s">
        <v>281</v>
      </c>
      <c r="AF167" s="380" t="s">
        <v>97</v>
      </c>
      <c r="AG167" s="380">
        <v>3</v>
      </c>
      <c r="AH167" s="363" t="s">
        <v>883</v>
      </c>
    </row>
    <row r="168" spans="2:34" ht="14.4" hidden="1" x14ac:dyDescent="0.3">
      <c r="B168" s="380" t="s">
        <v>14</v>
      </c>
      <c r="C168" s="437" t="s">
        <v>614</v>
      </c>
      <c r="D168" s="437" t="s">
        <v>884</v>
      </c>
      <c r="E168" s="447" t="s">
        <v>885</v>
      </c>
      <c r="F168" s="753">
        <v>45782</v>
      </c>
      <c r="G168" s="380" t="s">
        <v>55</v>
      </c>
      <c r="H168" s="380">
        <v>1</v>
      </c>
      <c r="I168" s="388">
        <v>76440</v>
      </c>
      <c r="J168" s="380">
        <v>3</v>
      </c>
      <c r="K168" s="389"/>
      <c r="L168" s="387">
        <v>45809</v>
      </c>
      <c r="M168" s="387">
        <v>46173</v>
      </c>
      <c r="N168" s="680"/>
      <c r="O168" s="680"/>
      <c r="P168" s="363" t="s">
        <v>19</v>
      </c>
      <c r="Q168" s="380" t="s">
        <v>6</v>
      </c>
      <c r="R168" s="380"/>
      <c r="S168" s="390" t="s">
        <v>81</v>
      </c>
      <c r="T168" s="363" t="s">
        <v>886</v>
      </c>
      <c r="U168" s="422" t="s">
        <v>83</v>
      </c>
      <c r="V168" s="363" t="s">
        <v>1716</v>
      </c>
      <c r="W168" s="422" t="s">
        <v>887</v>
      </c>
      <c r="X168" s="363" t="s">
        <v>1716</v>
      </c>
      <c r="Y168" s="363"/>
      <c r="Z168" s="363"/>
      <c r="AA168" s="363"/>
      <c r="AB168" s="363"/>
      <c r="AC168" s="363"/>
      <c r="AD168" s="363"/>
      <c r="AE168" s="363" t="s">
        <v>281</v>
      </c>
      <c r="AF168" s="380" t="s">
        <v>97</v>
      </c>
      <c r="AG168" s="380">
        <v>3</v>
      </c>
      <c r="AH168" s="363" t="s">
        <v>888</v>
      </c>
    </row>
    <row r="169" spans="2:34" ht="14.4" hidden="1" x14ac:dyDescent="0.3">
      <c r="B169" s="380" t="s">
        <v>14</v>
      </c>
      <c r="C169" s="409" t="s">
        <v>889</v>
      </c>
      <c r="D169" s="423" t="s">
        <v>890</v>
      </c>
      <c r="E169" s="419">
        <v>4500008676</v>
      </c>
      <c r="F169" s="753">
        <v>45734</v>
      </c>
      <c r="G169" s="380" t="s">
        <v>55</v>
      </c>
      <c r="H169" s="380">
        <v>2</v>
      </c>
      <c r="I169" s="388">
        <v>191000</v>
      </c>
      <c r="J169" s="380">
        <v>2</v>
      </c>
      <c r="K169" s="389">
        <f t="shared" ref="K169:K193" si="7">I169/J169</f>
        <v>95500</v>
      </c>
      <c r="L169" s="387">
        <v>45689</v>
      </c>
      <c r="M169" s="387">
        <v>46053</v>
      </c>
      <c r="N169" s="680"/>
      <c r="O169" s="680"/>
      <c r="P169" s="363" t="s">
        <v>19</v>
      </c>
      <c r="Q169" s="380" t="s">
        <v>0</v>
      </c>
      <c r="R169" s="380" t="s">
        <v>1</v>
      </c>
      <c r="S169" s="390" t="s">
        <v>422</v>
      </c>
      <c r="T169" s="363" t="s">
        <v>413</v>
      </c>
      <c r="U169" s="390" t="s">
        <v>424</v>
      </c>
      <c r="V169" s="363" t="s">
        <v>707</v>
      </c>
      <c r="W169" s="363"/>
      <c r="X169" s="363"/>
      <c r="Y169" s="363"/>
      <c r="Z169" s="363"/>
      <c r="AA169" s="363"/>
      <c r="AB169" s="363"/>
      <c r="AC169" s="363"/>
      <c r="AD169" s="363"/>
      <c r="AE169" s="363" t="s">
        <v>183</v>
      </c>
      <c r="AF169" s="380" t="s">
        <v>97</v>
      </c>
      <c r="AG169" s="380">
        <v>2</v>
      </c>
      <c r="AH169" s="446">
        <v>1</v>
      </c>
    </row>
    <row r="170" spans="2:34" ht="14.4" x14ac:dyDescent="0.3">
      <c r="B170" s="380" t="s">
        <v>14</v>
      </c>
      <c r="C170" s="409" t="s">
        <v>195</v>
      </c>
      <c r="D170" s="423" t="s">
        <v>447</v>
      </c>
      <c r="E170" s="380" t="s">
        <v>891</v>
      </c>
      <c r="F170" s="753">
        <v>45789</v>
      </c>
      <c r="G170" s="380" t="s">
        <v>55</v>
      </c>
      <c r="H170" s="380"/>
      <c r="I170" s="388">
        <v>179550</v>
      </c>
      <c r="J170" s="380">
        <v>4</v>
      </c>
      <c r="K170" s="389">
        <f t="shared" si="7"/>
        <v>44887.5</v>
      </c>
      <c r="L170" s="387">
        <v>45778</v>
      </c>
      <c r="M170" s="387">
        <v>46142</v>
      </c>
      <c r="N170" s="680"/>
      <c r="O170" s="680"/>
      <c r="P170" s="363" t="s">
        <v>520</v>
      </c>
      <c r="Q170" s="380" t="s">
        <v>6</v>
      </c>
      <c r="R170" s="380"/>
      <c r="S170" s="390" t="s">
        <v>266</v>
      </c>
      <c r="T170" s="363" t="s">
        <v>806</v>
      </c>
      <c r="U170" s="390" t="s">
        <v>892</v>
      </c>
      <c r="V170" s="363" t="s">
        <v>723</v>
      </c>
      <c r="W170" s="390" t="s">
        <v>269</v>
      </c>
      <c r="X170" s="363" t="s">
        <v>171</v>
      </c>
      <c r="Y170" s="390" t="s">
        <v>442</v>
      </c>
      <c r="Z170" s="363" t="s">
        <v>882</v>
      </c>
      <c r="AA170" s="363"/>
      <c r="AB170" s="363"/>
      <c r="AC170" s="363"/>
      <c r="AD170" s="363"/>
      <c r="AE170" s="363" t="s">
        <v>96</v>
      </c>
      <c r="AF170" s="380" t="s">
        <v>97</v>
      </c>
      <c r="AG170" s="380" t="s">
        <v>494</v>
      </c>
      <c r="AH170" s="363" t="s">
        <v>667</v>
      </c>
    </row>
    <row r="171" spans="2:34" ht="14.4" x14ac:dyDescent="0.3">
      <c r="B171" s="380" t="s">
        <v>14</v>
      </c>
      <c r="C171" s="409" t="s">
        <v>195</v>
      </c>
      <c r="D171" s="423" t="s">
        <v>447</v>
      </c>
      <c r="E171" s="380" t="s">
        <v>891</v>
      </c>
      <c r="F171" s="753">
        <v>45789</v>
      </c>
      <c r="G171" s="380" t="s">
        <v>55</v>
      </c>
      <c r="H171" s="380"/>
      <c r="I171" s="388">
        <v>188535</v>
      </c>
      <c r="J171" s="380">
        <v>4</v>
      </c>
      <c r="K171" s="389">
        <f t="shared" si="7"/>
        <v>47133.75</v>
      </c>
      <c r="L171" s="387">
        <v>46143</v>
      </c>
      <c r="M171" s="387">
        <v>46507</v>
      </c>
      <c r="N171" s="680"/>
      <c r="O171" s="680"/>
      <c r="P171" s="363" t="s">
        <v>520</v>
      </c>
      <c r="Q171" s="380" t="s">
        <v>6</v>
      </c>
      <c r="R171" s="380"/>
      <c r="S171" s="390" t="s">
        <v>444</v>
      </c>
      <c r="T171" s="363" t="s">
        <v>1941</v>
      </c>
      <c r="U171" s="363" t="s">
        <v>445</v>
      </c>
      <c r="V171" s="363"/>
      <c r="W171" s="381" t="s">
        <v>456</v>
      </c>
      <c r="X171" s="363"/>
      <c r="Y171" s="363" t="s">
        <v>457</v>
      </c>
      <c r="Z171" s="363"/>
      <c r="AA171" s="363"/>
      <c r="AB171" s="363"/>
      <c r="AC171" s="363"/>
      <c r="AD171" s="363"/>
      <c r="AE171" s="363" t="s">
        <v>96</v>
      </c>
      <c r="AF171" s="380" t="s">
        <v>97</v>
      </c>
      <c r="AG171" s="380"/>
      <c r="AH171" s="363"/>
    </row>
    <row r="172" spans="2:34" ht="14.4" x14ac:dyDescent="0.3">
      <c r="B172" s="380" t="s">
        <v>14</v>
      </c>
      <c r="C172" s="409" t="s">
        <v>195</v>
      </c>
      <c r="D172" s="423" t="s">
        <v>447</v>
      </c>
      <c r="E172" s="380" t="s">
        <v>891</v>
      </c>
      <c r="F172" s="753">
        <v>45789</v>
      </c>
      <c r="G172" s="380" t="s">
        <v>55</v>
      </c>
      <c r="H172" s="380">
        <v>3</v>
      </c>
      <c r="I172" s="388">
        <v>197955</v>
      </c>
      <c r="J172" s="380">
        <v>4</v>
      </c>
      <c r="K172" s="389">
        <f t="shared" si="7"/>
        <v>49488.75</v>
      </c>
      <c r="L172" s="387">
        <v>46508</v>
      </c>
      <c r="M172" s="387">
        <v>46873</v>
      </c>
      <c r="N172" s="680"/>
      <c r="O172" s="680"/>
      <c r="P172" s="363" t="s">
        <v>520</v>
      </c>
      <c r="Q172" s="380" t="s">
        <v>6</v>
      </c>
      <c r="R172" s="380"/>
      <c r="S172" s="363" t="s">
        <v>458</v>
      </c>
      <c r="T172" s="363"/>
      <c r="U172" s="363" t="s">
        <v>459</v>
      </c>
      <c r="V172" s="363"/>
      <c r="W172" s="363" t="s">
        <v>893</v>
      </c>
      <c r="X172" s="363"/>
      <c r="Y172" s="363" t="s">
        <v>894</v>
      </c>
      <c r="Z172" s="363"/>
      <c r="AA172" s="363"/>
      <c r="AB172" s="363"/>
      <c r="AC172" s="363"/>
      <c r="AD172" s="363"/>
      <c r="AE172" s="363" t="s">
        <v>96</v>
      </c>
      <c r="AF172" s="380" t="s">
        <v>97</v>
      </c>
      <c r="AG172" s="380"/>
      <c r="AH172" s="363"/>
    </row>
    <row r="173" spans="2:34" ht="14.4" hidden="1" x14ac:dyDescent="0.3">
      <c r="B173" s="380" t="s">
        <v>14</v>
      </c>
      <c r="C173" s="363" t="s">
        <v>895</v>
      </c>
      <c r="D173" s="386" t="s">
        <v>896</v>
      </c>
      <c r="E173" s="380" t="s">
        <v>897</v>
      </c>
      <c r="F173" s="753">
        <v>45789</v>
      </c>
      <c r="G173" s="380" t="s">
        <v>55</v>
      </c>
      <c r="H173" s="380">
        <v>1</v>
      </c>
      <c r="I173" s="388">
        <v>90000</v>
      </c>
      <c r="J173" s="380">
        <v>2</v>
      </c>
      <c r="K173" s="389">
        <f t="shared" si="7"/>
        <v>45000</v>
      </c>
      <c r="L173" s="387">
        <v>45748</v>
      </c>
      <c r="M173" s="387">
        <v>46112</v>
      </c>
      <c r="N173" s="680"/>
      <c r="O173" s="680"/>
      <c r="P173" s="363" t="s">
        <v>19</v>
      </c>
      <c r="Q173" s="380" t="s">
        <v>3</v>
      </c>
      <c r="R173" s="380"/>
      <c r="S173" s="390" t="s">
        <v>463</v>
      </c>
      <c r="T173" s="363" t="s">
        <v>898</v>
      </c>
      <c r="U173" s="390" t="s">
        <v>465</v>
      </c>
      <c r="V173" s="363" t="s">
        <v>899</v>
      </c>
      <c r="W173" s="363"/>
      <c r="X173" s="363"/>
      <c r="Y173" s="363"/>
      <c r="Z173" s="363"/>
      <c r="AA173" s="363"/>
      <c r="AB173" s="363"/>
      <c r="AC173" s="363"/>
      <c r="AD173" s="363"/>
      <c r="AE173" s="363" t="s">
        <v>96</v>
      </c>
      <c r="AF173" s="380" t="s">
        <v>97</v>
      </c>
      <c r="AG173" s="380">
        <v>3</v>
      </c>
      <c r="AH173" s="363" t="s">
        <v>774</v>
      </c>
    </row>
    <row r="174" spans="2:34" ht="14.4" hidden="1" x14ac:dyDescent="0.3">
      <c r="B174" s="380" t="s">
        <v>14</v>
      </c>
      <c r="C174" s="409" t="s">
        <v>775</v>
      </c>
      <c r="D174" s="423" t="s">
        <v>900</v>
      </c>
      <c r="E174" s="408">
        <v>2710000789</v>
      </c>
      <c r="F174" s="753">
        <v>45762</v>
      </c>
      <c r="G174" s="380" t="s">
        <v>55</v>
      </c>
      <c r="H174" s="380">
        <v>4</v>
      </c>
      <c r="I174" s="388">
        <v>320000</v>
      </c>
      <c r="J174" s="380">
        <v>3</v>
      </c>
      <c r="K174" s="389">
        <f t="shared" si="7"/>
        <v>106666.66666666667</v>
      </c>
      <c r="L174" s="387">
        <v>45748</v>
      </c>
      <c r="M174" s="387">
        <v>46112</v>
      </c>
      <c r="N174" s="680"/>
      <c r="O174" s="680"/>
      <c r="P174" s="363" t="s">
        <v>19</v>
      </c>
      <c r="Q174" s="380" t="s">
        <v>3</v>
      </c>
      <c r="R174" s="380"/>
      <c r="S174" s="390" t="s">
        <v>758</v>
      </c>
      <c r="T174" s="363" t="s">
        <v>504</v>
      </c>
      <c r="U174" s="390" t="s">
        <v>901</v>
      </c>
      <c r="V174" s="363" t="s">
        <v>902</v>
      </c>
      <c r="W174" s="390" t="s">
        <v>361</v>
      </c>
      <c r="X174" s="363" t="s">
        <v>903</v>
      </c>
      <c r="Y174" s="363"/>
      <c r="Z174" s="363"/>
      <c r="AA174" s="363"/>
      <c r="AB174" s="363"/>
      <c r="AC174" s="363"/>
      <c r="AD174" s="363"/>
      <c r="AE174" s="363" t="s">
        <v>551</v>
      </c>
      <c r="AF174" s="380" t="s">
        <v>207</v>
      </c>
      <c r="AG174" s="380">
        <v>3</v>
      </c>
      <c r="AH174" s="431" t="s">
        <v>904</v>
      </c>
    </row>
    <row r="175" spans="2:34" ht="14.4" hidden="1" x14ac:dyDescent="0.3">
      <c r="B175" s="380" t="s">
        <v>14</v>
      </c>
      <c r="C175" s="409" t="s">
        <v>905</v>
      </c>
      <c r="D175" s="423" t="s">
        <v>906</v>
      </c>
      <c r="E175" s="408">
        <v>1100033763</v>
      </c>
      <c r="F175" s="445" t="s">
        <v>907</v>
      </c>
      <c r="G175" s="380" t="s">
        <v>55</v>
      </c>
      <c r="H175" s="380">
        <v>4</v>
      </c>
      <c r="I175" s="388">
        <v>280000</v>
      </c>
      <c r="J175" s="380">
        <v>2</v>
      </c>
      <c r="K175" s="389">
        <f t="shared" si="7"/>
        <v>140000</v>
      </c>
      <c r="L175" s="387">
        <v>45809</v>
      </c>
      <c r="M175" s="387">
        <v>46173</v>
      </c>
      <c r="N175" s="680"/>
      <c r="O175" s="680"/>
      <c r="P175" s="363" t="s">
        <v>19</v>
      </c>
      <c r="Q175" s="380" t="s">
        <v>6</v>
      </c>
      <c r="R175" s="380"/>
      <c r="S175" s="390" t="s">
        <v>125</v>
      </c>
      <c r="T175" s="363" t="s">
        <v>908</v>
      </c>
      <c r="U175" s="390" t="s">
        <v>127</v>
      </c>
      <c r="V175" s="363" t="s">
        <v>909</v>
      </c>
      <c r="W175" s="363"/>
      <c r="X175" s="363"/>
      <c r="Y175" s="363"/>
      <c r="Z175" s="363"/>
      <c r="AA175" s="363"/>
      <c r="AB175" s="363"/>
      <c r="AC175" s="363"/>
      <c r="AD175" s="363"/>
      <c r="AE175" s="363" t="s">
        <v>551</v>
      </c>
      <c r="AF175" s="380" t="s">
        <v>207</v>
      </c>
      <c r="AG175" s="380">
        <v>3</v>
      </c>
      <c r="AH175" s="363" t="s">
        <v>667</v>
      </c>
    </row>
    <row r="176" spans="2:34" ht="14.4" hidden="1" x14ac:dyDescent="0.3">
      <c r="B176" s="380" t="s">
        <v>14</v>
      </c>
      <c r="C176" s="412" t="s">
        <v>628</v>
      </c>
      <c r="D176" s="437" t="s">
        <v>910</v>
      </c>
      <c r="E176" s="438" t="s">
        <v>911</v>
      </c>
      <c r="F176" s="757">
        <v>45792</v>
      </c>
      <c r="G176" s="380" t="s">
        <v>55</v>
      </c>
      <c r="H176" s="380">
        <v>3</v>
      </c>
      <c r="I176" s="388">
        <v>156000</v>
      </c>
      <c r="J176" s="380">
        <v>1</v>
      </c>
      <c r="K176" s="389">
        <f t="shared" si="7"/>
        <v>156000</v>
      </c>
      <c r="L176" s="387">
        <v>45748</v>
      </c>
      <c r="M176" s="387">
        <v>46112</v>
      </c>
      <c r="N176" s="680"/>
      <c r="O176" s="680"/>
      <c r="P176" s="363" t="s">
        <v>19</v>
      </c>
      <c r="Q176" s="380" t="s">
        <v>3</v>
      </c>
      <c r="R176" s="380"/>
      <c r="S176" s="390" t="s">
        <v>631</v>
      </c>
      <c r="T176" s="363" t="s">
        <v>909</v>
      </c>
      <c r="U176" s="363"/>
      <c r="V176" s="363"/>
      <c r="W176" s="363"/>
      <c r="X176" s="363"/>
      <c r="Y176" s="363"/>
      <c r="Z176" s="363"/>
      <c r="AA176" s="363"/>
      <c r="AB176" s="363"/>
      <c r="AC176" s="363"/>
      <c r="AD176" s="363"/>
      <c r="AE176" s="363" t="s">
        <v>485</v>
      </c>
      <c r="AF176" s="380" t="s">
        <v>63</v>
      </c>
      <c r="AG176" s="380">
        <v>2</v>
      </c>
      <c r="AH176" s="363" t="s">
        <v>912</v>
      </c>
    </row>
    <row r="177" spans="2:34" ht="14.4" hidden="1" x14ac:dyDescent="0.3">
      <c r="B177" s="380" t="s">
        <v>14</v>
      </c>
      <c r="C177" s="412" t="s">
        <v>508</v>
      </c>
      <c r="D177" s="437" t="s">
        <v>866</v>
      </c>
      <c r="E177" s="438" t="s">
        <v>913</v>
      </c>
      <c r="F177" s="757">
        <v>45779</v>
      </c>
      <c r="G177" s="380" t="s">
        <v>55</v>
      </c>
      <c r="H177" s="380">
        <v>2</v>
      </c>
      <c r="I177" s="388">
        <v>178000</v>
      </c>
      <c r="J177" s="380">
        <v>3</v>
      </c>
      <c r="K177" s="389">
        <f t="shared" si="7"/>
        <v>59333.333333333336</v>
      </c>
      <c r="L177" s="387">
        <v>45792</v>
      </c>
      <c r="M177" s="387">
        <v>46156</v>
      </c>
      <c r="N177" s="680"/>
      <c r="O177" s="680"/>
      <c r="P177" s="363" t="s">
        <v>19</v>
      </c>
      <c r="Q177" s="380" t="s">
        <v>6</v>
      </c>
      <c r="R177" s="380"/>
      <c r="S177" s="390" t="s">
        <v>914</v>
      </c>
      <c r="T177" s="363" t="s">
        <v>915</v>
      </c>
      <c r="U177" s="390" t="s">
        <v>916</v>
      </c>
      <c r="V177" s="363" t="s">
        <v>917</v>
      </c>
      <c r="W177" s="390" t="s">
        <v>918</v>
      </c>
      <c r="X177" s="363" t="s">
        <v>919</v>
      </c>
      <c r="Y177" s="363"/>
      <c r="Z177" s="363"/>
      <c r="AA177" s="363"/>
      <c r="AB177" s="363"/>
      <c r="AC177" s="363"/>
      <c r="AD177" s="363"/>
      <c r="AE177" s="363" t="s">
        <v>96</v>
      </c>
      <c r="AF177" s="380" t="s">
        <v>97</v>
      </c>
      <c r="AG177" s="380" t="s">
        <v>494</v>
      </c>
      <c r="AH177" s="363" t="s">
        <v>920</v>
      </c>
    </row>
    <row r="178" spans="2:34" ht="14.4" x14ac:dyDescent="0.3">
      <c r="B178" s="380" t="s">
        <v>14</v>
      </c>
      <c r="C178" s="409" t="s">
        <v>921</v>
      </c>
      <c r="D178" s="445" t="s">
        <v>922</v>
      </c>
      <c r="E178" s="408">
        <v>4510868028</v>
      </c>
      <c r="F178" s="753">
        <v>45797</v>
      </c>
      <c r="G178" s="380" t="s">
        <v>55</v>
      </c>
      <c r="H178" s="380"/>
      <c r="I178" s="388">
        <v>340000</v>
      </c>
      <c r="J178" s="380">
        <v>3</v>
      </c>
      <c r="K178" s="389">
        <f t="shared" si="7"/>
        <v>113333.33333333333</v>
      </c>
      <c r="L178" s="387">
        <v>45778</v>
      </c>
      <c r="M178" s="387">
        <v>46142</v>
      </c>
      <c r="N178" s="680"/>
      <c r="O178" s="680"/>
      <c r="P178" s="363" t="s">
        <v>520</v>
      </c>
      <c r="Q178" s="380" t="s">
        <v>6</v>
      </c>
      <c r="R178" s="380" t="s">
        <v>1</v>
      </c>
      <c r="S178" s="390" t="s">
        <v>343</v>
      </c>
      <c r="T178" s="363" t="s">
        <v>923</v>
      </c>
      <c r="U178" s="390" t="s">
        <v>345</v>
      </c>
      <c r="V178" s="363" t="s">
        <v>687</v>
      </c>
      <c r="W178" s="390" t="s">
        <v>347</v>
      </c>
      <c r="X178" s="363" t="s">
        <v>924</v>
      </c>
      <c r="Y178" s="363"/>
      <c r="Z178" s="363"/>
      <c r="AA178" s="363"/>
      <c r="AB178" s="363"/>
      <c r="AC178" s="363"/>
      <c r="AD178" s="363"/>
      <c r="AE178" s="363" t="s">
        <v>507</v>
      </c>
      <c r="AF178" s="380" t="s">
        <v>63</v>
      </c>
      <c r="AG178" s="380">
        <v>3</v>
      </c>
      <c r="AH178" s="363" t="s">
        <v>925</v>
      </c>
    </row>
    <row r="179" spans="2:34" ht="14.4" x14ac:dyDescent="0.3">
      <c r="B179" s="380" t="s">
        <v>14</v>
      </c>
      <c r="C179" s="409" t="s">
        <v>921</v>
      </c>
      <c r="D179" s="445" t="s">
        <v>922</v>
      </c>
      <c r="E179" s="731">
        <v>4510868028</v>
      </c>
      <c r="F179" s="753">
        <v>45797</v>
      </c>
      <c r="G179" s="380" t="s">
        <v>55</v>
      </c>
      <c r="H179" s="380">
        <v>4</v>
      </c>
      <c r="I179" s="388">
        <v>340000</v>
      </c>
      <c r="J179" s="380">
        <v>3</v>
      </c>
      <c r="K179" s="389">
        <f t="shared" si="7"/>
        <v>113333.33333333333</v>
      </c>
      <c r="L179" s="387">
        <v>46143</v>
      </c>
      <c r="M179" s="387">
        <v>46507</v>
      </c>
      <c r="N179" s="680">
        <v>155411</v>
      </c>
      <c r="O179" s="680">
        <v>4704</v>
      </c>
      <c r="P179" s="363" t="s">
        <v>520</v>
      </c>
      <c r="Q179" s="380" t="s">
        <v>6</v>
      </c>
      <c r="R179" s="380" t="s">
        <v>1</v>
      </c>
      <c r="S179" s="390" t="s">
        <v>348</v>
      </c>
      <c r="T179" s="363" t="s">
        <v>2019</v>
      </c>
      <c r="U179" s="363" t="s">
        <v>349</v>
      </c>
      <c r="V179" s="363"/>
      <c r="W179" s="363" t="s">
        <v>738</v>
      </c>
      <c r="X179" s="363"/>
      <c r="Y179" s="363"/>
      <c r="Z179" s="363"/>
      <c r="AA179" s="363"/>
      <c r="AB179" s="363"/>
      <c r="AC179" s="363"/>
      <c r="AD179" s="363"/>
      <c r="AE179" s="363" t="s">
        <v>507</v>
      </c>
      <c r="AF179" s="380" t="s">
        <v>63</v>
      </c>
      <c r="AG179" s="380">
        <v>3</v>
      </c>
      <c r="AH179" s="363"/>
    </row>
    <row r="180" spans="2:34" ht="14.4" hidden="1" x14ac:dyDescent="0.3">
      <c r="B180" s="380" t="s">
        <v>14</v>
      </c>
      <c r="C180" s="409" t="s">
        <v>926</v>
      </c>
      <c r="D180" s="434" t="s">
        <v>151</v>
      </c>
      <c r="E180" s="380" t="s">
        <v>927</v>
      </c>
      <c r="F180" s="753">
        <v>45798</v>
      </c>
      <c r="G180" s="380" t="s">
        <v>55</v>
      </c>
      <c r="H180" s="380">
        <v>1</v>
      </c>
      <c r="I180" s="388">
        <v>78000</v>
      </c>
      <c r="J180" s="380">
        <v>3</v>
      </c>
      <c r="K180" s="389">
        <f t="shared" si="7"/>
        <v>26000</v>
      </c>
      <c r="L180" s="387">
        <v>45809</v>
      </c>
      <c r="M180" s="387">
        <v>46173</v>
      </c>
      <c r="N180" s="680"/>
      <c r="O180" s="680"/>
      <c r="P180" s="363" t="s">
        <v>19</v>
      </c>
      <c r="Q180" s="380" t="s">
        <v>6</v>
      </c>
      <c r="R180" s="380"/>
      <c r="S180" s="390" t="s">
        <v>81</v>
      </c>
      <c r="T180" s="363" t="s">
        <v>928</v>
      </c>
      <c r="U180" s="390" t="s">
        <v>83</v>
      </c>
      <c r="V180" s="363" t="s">
        <v>929</v>
      </c>
      <c r="W180" s="390" t="s">
        <v>404</v>
      </c>
      <c r="X180" s="363" t="s">
        <v>930</v>
      </c>
      <c r="Y180" s="363"/>
      <c r="Z180" s="363"/>
      <c r="AA180" s="363"/>
      <c r="AB180" s="363"/>
      <c r="AC180" s="363"/>
      <c r="AD180" s="363"/>
      <c r="AE180" s="363" t="s">
        <v>507</v>
      </c>
      <c r="AF180" s="380" t="s">
        <v>63</v>
      </c>
      <c r="AG180" s="380">
        <v>3</v>
      </c>
      <c r="AH180" s="363" t="s">
        <v>931</v>
      </c>
    </row>
    <row r="181" spans="2:34" ht="14.4" hidden="1" x14ac:dyDescent="0.3">
      <c r="B181" s="380" t="s">
        <v>14</v>
      </c>
      <c r="C181" s="409" t="s">
        <v>926</v>
      </c>
      <c r="D181" s="434" t="s">
        <v>932</v>
      </c>
      <c r="E181" s="419" t="s">
        <v>933</v>
      </c>
      <c r="F181" s="753">
        <v>45798</v>
      </c>
      <c r="G181" s="380" t="s">
        <v>55</v>
      </c>
      <c r="H181" s="380">
        <v>1</v>
      </c>
      <c r="I181" s="388">
        <v>78000</v>
      </c>
      <c r="J181" s="380">
        <v>3</v>
      </c>
      <c r="K181" s="389">
        <f t="shared" si="7"/>
        <v>26000</v>
      </c>
      <c r="L181" s="387">
        <v>45748</v>
      </c>
      <c r="M181" s="387">
        <v>46112</v>
      </c>
      <c r="N181" s="680"/>
      <c r="O181" s="680"/>
      <c r="P181" s="363" t="s">
        <v>19</v>
      </c>
      <c r="Q181" s="380" t="s">
        <v>3</v>
      </c>
      <c r="R181" s="380"/>
      <c r="S181" s="390" t="s">
        <v>357</v>
      </c>
      <c r="T181" s="363" t="s">
        <v>934</v>
      </c>
      <c r="U181" s="390" t="s">
        <v>665</v>
      </c>
      <c r="V181" s="363" t="s">
        <v>929</v>
      </c>
      <c r="W181" s="390" t="s">
        <v>361</v>
      </c>
      <c r="X181" s="363" t="s">
        <v>732</v>
      </c>
      <c r="Y181" s="363"/>
      <c r="Z181" s="363"/>
      <c r="AA181" s="363"/>
      <c r="AB181" s="363"/>
      <c r="AC181" s="363"/>
      <c r="AD181" s="363"/>
      <c r="AE181" s="363" t="s">
        <v>507</v>
      </c>
      <c r="AF181" s="380" t="s">
        <v>63</v>
      </c>
      <c r="AG181" s="380">
        <v>3</v>
      </c>
      <c r="AH181" s="363" t="s">
        <v>931</v>
      </c>
    </row>
    <row r="182" spans="2:34" ht="14.4" hidden="1" x14ac:dyDescent="0.3">
      <c r="B182" s="380" t="s">
        <v>14</v>
      </c>
      <c r="C182" s="412" t="s">
        <v>935</v>
      </c>
      <c r="D182" s="437" t="s">
        <v>176</v>
      </c>
      <c r="E182" s="438" t="s">
        <v>936</v>
      </c>
      <c r="F182" s="757">
        <v>45794</v>
      </c>
      <c r="G182" s="380" t="s">
        <v>55</v>
      </c>
      <c r="H182" s="380">
        <v>1</v>
      </c>
      <c r="I182" s="388">
        <v>94500</v>
      </c>
      <c r="J182" s="380">
        <v>2</v>
      </c>
      <c r="K182" s="389"/>
      <c r="L182" s="387">
        <v>45753</v>
      </c>
      <c r="M182" s="387">
        <v>46117</v>
      </c>
      <c r="N182" s="680"/>
      <c r="O182" s="680"/>
      <c r="P182" s="363" t="s">
        <v>19</v>
      </c>
      <c r="Q182" s="380" t="s">
        <v>5</v>
      </c>
      <c r="R182" s="380" t="s">
        <v>1</v>
      </c>
      <c r="S182" s="390" t="s">
        <v>937</v>
      </c>
      <c r="T182" s="363" t="s">
        <v>807</v>
      </c>
      <c r="U182" s="390" t="s">
        <v>938</v>
      </c>
      <c r="V182" s="363" t="s">
        <v>939</v>
      </c>
      <c r="W182" s="363"/>
      <c r="X182" s="363"/>
      <c r="Y182" s="363"/>
      <c r="Z182" s="363"/>
      <c r="AA182" s="363"/>
      <c r="AB182" s="363"/>
      <c r="AC182" s="363"/>
      <c r="AD182" s="363"/>
      <c r="AE182" s="363" t="s">
        <v>183</v>
      </c>
      <c r="AF182" s="380" t="s">
        <v>97</v>
      </c>
      <c r="AG182" s="380">
        <v>2</v>
      </c>
      <c r="AH182" s="363" t="s">
        <v>861</v>
      </c>
    </row>
    <row r="183" spans="2:34" ht="14.4" hidden="1" x14ac:dyDescent="0.3">
      <c r="B183" s="380" t="s">
        <v>14</v>
      </c>
      <c r="C183" s="409" t="s">
        <v>130</v>
      </c>
      <c r="D183" s="423" t="s">
        <v>940</v>
      </c>
      <c r="E183" s="419">
        <v>6800046962</v>
      </c>
      <c r="F183" s="753">
        <v>45786</v>
      </c>
      <c r="G183" s="380" t="s">
        <v>55</v>
      </c>
      <c r="H183" s="380">
        <v>1</v>
      </c>
      <c r="I183" s="388">
        <v>85000</v>
      </c>
      <c r="J183" s="380">
        <v>3</v>
      </c>
      <c r="K183" s="389">
        <f t="shared" si="7"/>
        <v>28333.333333333332</v>
      </c>
      <c r="L183" s="387">
        <v>45753</v>
      </c>
      <c r="M183" s="387">
        <v>46117</v>
      </c>
      <c r="N183" s="680"/>
      <c r="O183" s="680"/>
      <c r="P183" s="363" t="s">
        <v>19</v>
      </c>
      <c r="Q183" s="380" t="s">
        <v>5</v>
      </c>
      <c r="R183" s="380" t="s">
        <v>1</v>
      </c>
      <c r="S183" s="390" t="s">
        <v>941</v>
      </c>
      <c r="T183" s="363" t="s">
        <v>942</v>
      </c>
      <c r="U183" s="390" t="s">
        <v>943</v>
      </c>
      <c r="V183" s="363" t="s">
        <v>944</v>
      </c>
      <c r="W183" s="390" t="s">
        <v>945</v>
      </c>
      <c r="X183" s="363" t="s">
        <v>946</v>
      </c>
      <c r="Y183" s="363"/>
      <c r="Z183" s="363"/>
      <c r="AA183" s="363"/>
      <c r="AB183" s="363"/>
      <c r="AC183" s="363"/>
      <c r="AD183" s="363"/>
      <c r="AE183" s="363" t="s">
        <v>183</v>
      </c>
      <c r="AF183" s="380" t="s">
        <v>97</v>
      </c>
      <c r="AG183" s="380">
        <v>2</v>
      </c>
      <c r="AH183" s="363" t="s">
        <v>947</v>
      </c>
    </row>
    <row r="184" spans="2:34" ht="14.4" hidden="1" x14ac:dyDescent="0.3">
      <c r="B184" s="380" t="s">
        <v>14</v>
      </c>
      <c r="C184" s="409" t="s">
        <v>130</v>
      </c>
      <c r="D184" s="423" t="s">
        <v>940</v>
      </c>
      <c r="E184" s="419">
        <v>6800046959</v>
      </c>
      <c r="F184" s="753"/>
      <c r="G184" s="380" t="s">
        <v>55</v>
      </c>
      <c r="H184" s="380">
        <v>5</v>
      </c>
      <c r="I184" s="388">
        <v>425000</v>
      </c>
      <c r="J184" s="380">
        <v>3</v>
      </c>
      <c r="K184" s="389">
        <f t="shared" si="7"/>
        <v>141666.66666666666</v>
      </c>
      <c r="L184" s="387">
        <v>45753</v>
      </c>
      <c r="M184" s="387">
        <v>46117</v>
      </c>
      <c r="N184" s="680"/>
      <c r="O184" s="680"/>
      <c r="P184" s="363" t="s">
        <v>19</v>
      </c>
      <c r="Q184" s="380" t="s">
        <v>5</v>
      </c>
      <c r="R184" s="380" t="s">
        <v>1</v>
      </c>
      <c r="S184" s="390" t="s">
        <v>941</v>
      </c>
      <c r="T184" s="363" t="s">
        <v>942</v>
      </c>
      <c r="U184" s="390" t="s">
        <v>943</v>
      </c>
      <c r="V184" s="363" t="s">
        <v>944</v>
      </c>
      <c r="W184" s="390" t="s">
        <v>945</v>
      </c>
      <c r="X184" s="363" t="s">
        <v>946</v>
      </c>
      <c r="Y184" s="363"/>
      <c r="Z184" s="363"/>
      <c r="AA184" s="363"/>
      <c r="AB184" s="363"/>
      <c r="AC184" s="363"/>
      <c r="AD184" s="363"/>
      <c r="AE184" s="363" t="s">
        <v>183</v>
      </c>
      <c r="AF184" s="380" t="s">
        <v>97</v>
      </c>
      <c r="AG184" s="380">
        <v>2</v>
      </c>
      <c r="AH184" s="363" t="s">
        <v>947</v>
      </c>
    </row>
    <row r="185" spans="2:34" ht="14.4" hidden="1" x14ac:dyDescent="0.3">
      <c r="B185" s="380" t="s">
        <v>14</v>
      </c>
      <c r="C185" s="409" t="s">
        <v>948</v>
      </c>
      <c r="D185" s="423" t="s">
        <v>949</v>
      </c>
      <c r="E185" s="380">
        <v>916184</v>
      </c>
      <c r="F185" s="753">
        <v>45722</v>
      </c>
      <c r="G185" s="380" t="s">
        <v>55</v>
      </c>
      <c r="H185" s="380">
        <v>4</v>
      </c>
      <c r="I185" s="388">
        <v>297920</v>
      </c>
      <c r="J185" s="380">
        <v>4</v>
      </c>
      <c r="K185" s="389">
        <f t="shared" si="7"/>
        <v>74480</v>
      </c>
      <c r="L185" s="387">
        <v>45778</v>
      </c>
      <c r="M185" s="387">
        <v>46142</v>
      </c>
      <c r="N185" s="680"/>
      <c r="O185" s="680"/>
      <c r="P185" s="363" t="s">
        <v>19</v>
      </c>
      <c r="Q185" s="380" t="s">
        <v>5</v>
      </c>
      <c r="R185" s="380"/>
      <c r="S185" s="390" t="s">
        <v>266</v>
      </c>
      <c r="T185" s="363" t="s">
        <v>676</v>
      </c>
      <c r="U185" s="390" t="s">
        <v>267</v>
      </c>
      <c r="V185" s="363" t="s">
        <v>492</v>
      </c>
      <c r="W185" s="390" t="s">
        <v>269</v>
      </c>
      <c r="X185" s="363" t="s">
        <v>709</v>
      </c>
      <c r="Y185" s="390" t="s">
        <v>442</v>
      </c>
      <c r="Z185" s="363" t="s">
        <v>820</v>
      </c>
      <c r="AA185" s="363"/>
      <c r="AB185" s="363"/>
      <c r="AC185" s="363"/>
      <c r="AD185" s="363"/>
      <c r="AE185" s="363" t="s">
        <v>551</v>
      </c>
      <c r="AF185" s="380" t="s">
        <v>207</v>
      </c>
      <c r="AG185" s="380">
        <v>3</v>
      </c>
      <c r="AH185" s="363" t="s">
        <v>736</v>
      </c>
    </row>
    <row r="186" spans="2:34" ht="14.4" hidden="1" x14ac:dyDescent="0.3">
      <c r="B186" s="380" t="s">
        <v>14</v>
      </c>
      <c r="C186" s="409" t="s">
        <v>663</v>
      </c>
      <c r="D186" s="434" t="s">
        <v>950</v>
      </c>
      <c r="E186" s="380">
        <v>4507494931</v>
      </c>
      <c r="F186" s="753">
        <v>45771</v>
      </c>
      <c r="G186" s="380" t="s">
        <v>55</v>
      </c>
      <c r="H186" s="380">
        <v>6</v>
      </c>
      <c r="I186" s="388">
        <v>371999.98</v>
      </c>
      <c r="J186" s="380">
        <v>3</v>
      </c>
      <c r="K186" s="389">
        <f t="shared" si="7"/>
        <v>123999.99333333333</v>
      </c>
      <c r="L186" s="387">
        <v>45748</v>
      </c>
      <c r="M186" s="387">
        <v>46112</v>
      </c>
      <c r="N186" s="680"/>
      <c r="O186" s="680"/>
      <c r="P186" s="363" t="s">
        <v>19</v>
      </c>
      <c r="Q186" s="380" t="s">
        <v>3</v>
      </c>
      <c r="R186" s="380"/>
      <c r="S186" s="390" t="s">
        <v>357</v>
      </c>
      <c r="T186" s="363" t="s">
        <v>951</v>
      </c>
      <c r="U186" s="390" t="s">
        <v>665</v>
      </c>
      <c r="V186" s="363" t="s">
        <v>707</v>
      </c>
      <c r="W186" s="390" t="s">
        <v>361</v>
      </c>
      <c r="X186" s="363" t="s">
        <v>952</v>
      </c>
      <c r="Y186" s="363"/>
      <c r="Z186" s="363"/>
      <c r="AA186" s="363"/>
      <c r="AB186" s="363"/>
      <c r="AC186" s="363"/>
      <c r="AD186" s="363"/>
      <c r="AE186" s="363" t="s">
        <v>478</v>
      </c>
      <c r="AF186" s="380" t="s">
        <v>63</v>
      </c>
      <c r="AG186" s="380">
        <v>3</v>
      </c>
      <c r="AH186" s="403" t="s">
        <v>953</v>
      </c>
    </row>
    <row r="187" spans="2:34" ht="14.4" hidden="1" x14ac:dyDescent="0.3">
      <c r="B187" s="380" t="s">
        <v>14</v>
      </c>
      <c r="C187" s="409" t="s">
        <v>954</v>
      </c>
      <c r="D187" s="423" t="s">
        <v>151</v>
      </c>
      <c r="E187" s="380">
        <v>4601450532</v>
      </c>
      <c r="F187" s="753">
        <v>45796</v>
      </c>
      <c r="G187" s="380" t="s">
        <v>55</v>
      </c>
      <c r="H187" s="380">
        <v>1</v>
      </c>
      <c r="I187" s="388">
        <v>75000</v>
      </c>
      <c r="J187" s="380">
        <v>3</v>
      </c>
      <c r="K187" s="389">
        <f t="shared" si="7"/>
        <v>25000</v>
      </c>
      <c r="L187" s="387">
        <v>45748</v>
      </c>
      <c r="M187" s="387">
        <v>46112</v>
      </c>
      <c r="N187" s="680"/>
      <c r="O187" s="680"/>
      <c r="P187" s="363" t="s">
        <v>19</v>
      </c>
      <c r="Q187" s="380" t="s">
        <v>3</v>
      </c>
      <c r="R187" s="380"/>
      <c r="S187" s="390" t="s">
        <v>357</v>
      </c>
      <c r="T187" s="363" t="s">
        <v>955</v>
      </c>
      <c r="U187" s="390" t="s">
        <v>665</v>
      </c>
      <c r="V187" s="363" t="s">
        <v>956</v>
      </c>
      <c r="W187" s="390" t="s">
        <v>361</v>
      </c>
      <c r="X187" s="363" t="s">
        <v>957</v>
      </c>
      <c r="Y187" s="363"/>
      <c r="Z187" s="363"/>
      <c r="AA187" s="363"/>
      <c r="AB187" s="363"/>
      <c r="AC187" s="363"/>
      <c r="AD187" s="363"/>
      <c r="AE187" s="363" t="s">
        <v>478</v>
      </c>
      <c r="AF187" s="380" t="s">
        <v>63</v>
      </c>
      <c r="AG187" s="380">
        <v>3</v>
      </c>
      <c r="AH187" s="363" t="s">
        <v>736</v>
      </c>
    </row>
    <row r="188" spans="2:34" ht="14.4" hidden="1" x14ac:dyDescent="0.3">
      <c r="B188" s="380" t="s">
        <v>14</v>
      </c>
      <c r="C188" s="409" t="s">
        <v>905</v>
      </c>
      <c r="D188" s="423" t="s">
        <v>801</v>
      </c>
      <c r="E188" s="380">
        <v>1100033993</v>
      </c>
      <c r="F188" s="753">
        <v>45780</v>
      </c>
      <c r="G188" s="380" t="s">
        <v>55</v>
      </c>
      <c r="H188" s="380">
        <v>1</v>
      </c>
      <c r="I188" s="388">
        <v>75000</v>
      </c>
      <c r="J188" s="380">
        <v>2</v>
      </c>
      <c r="K188" s="389">
        <f t="shared" si="7"/>
        <v>37500</v>
      </c>
      <c r="L188" s="387">
        <v>45778</v>
      </c>
      <c r="M188" s="387">
        <v>46142</v>
      </c>
      <c r="N188" s="680"/>
      <c r="O188" s="680"/>
      <c r="P188" s="363" t="s">
        <v>19</v>
      </c>
      <c r="Q188" s="380" t="s">
        <v>5</v>
      </c>
      <c r="R188" s="380"/>
      <c r="S188" s="390" t="s">
        <v>328</v>
      </c>
      <c r="T188" s="363" t="s">
        <v>958</v>
      </c>
      <c r="U188" s="390" t="s">
        <v>330</v>
      </c>
      <c r="V188" s="363" t="s">
        <v>173</v>
      </c>
      <c r="W188" s="363"/>
      <c r="X188" s="363"/>
      <c r="Y188" s="363"/>
      <c r="Z188" s="363"/>
      <c r="AA188" s="363"/>
      <c r="AB188" s="363"/>
      <c r="AC188" s="363"/>
      <c r="AD188" s="363"/>
      <c r="AE188" s="363" t="s">
        <v>485</v>
      </c>
      <c r="AF188" s="380" t="s">
        <v>63</v>
      </c>
      <c r="AG188" s="380">
        <v>3</v>
      </c>
      <c r="AH188" s="363" t="s">
        <v>736</v>
      </c>
    </row>
    <row r="189" spans="2:34" ht="14.4" hidden="1" x14ac:dyDescent="0.3">
      <c r="B189" s="380" t="s">
        <v>14</v>
      </c>
      <c r="C189" s="430" t="s">
        <v>959</v>
      </c>
      <c r="D189" s="445" t="s">
        <v>151</v>
      </c>
      <c r="E189" s="419">
        <v>4521013686</v>
      </c>
      <c r="F189" s="753">
        <v>45801</v>
      </c>
      <c r="G189" s="380" t="s">
        <v>55</v>
      </c>
      <c r="H189" s="380">
        <v>1</v>
      </c>
      <c r="I189" s="388">
        <v>70000</v>
      </c>
      <c r="J189" s="380">
        <v>3</v>
      </c>
      <c r="K189" s="391">
        <f t="shared" si="7"/>
        <v>23333.333333333332</v>
      </c>
      <c r="L189" s="387">
        <v>45801</v>
      </c>
      <c r="M189" s="387">
        <v>46165</v>
      </c>
      <c r="N189" s="680"/>
      <c r="O189" s="680"/>
      <c r="P189" s="363" t="s">
        <v>19</v>
      </c>
      <c r="Q189" s="380" t="s">
        <v>9</v>
      </c>
      <c r="R189" s="380"/>
      <c r="S189" s="390" t="s">
        <v>960</v>
      </c>
      <c r="T189" s="363" t="s">
        <v>961</v>
      </c>
      <c r="U189" s="390" t="s">
        <v>962</v>
      </c>
      <c r="V189" s="363" t="s">
        <v>606</v>
      </c>
      <c r="W189" s="390" t="s">
        <v>963</v>
      </c>
      <c r="X189" s="363" t="s">
        <v>1852</v>
      </c>
      <c r="Y189" s="363"/>
      <c r="Z189" s="363"/>
      <c r="AA189" s="363"/>
      <c r="AB189" s="363"/>
      <c r="AC189" s="363"/>
      <c r="AD189" s="363"/>
      <c r="AE189" s="363" t="s">
        <v>964</v>
      </c>
      <c r="AF189" s="380" t="s">
        <v>63</v>
      </c>
      <c r="AG189" s="380">
        <v>3</v>
      </c>
      <c r="AH189" s="363" t="s">
        <v>736</v>
      </c>
    </row>
    <row r="190" spans="2:34" ht="14.4" hidden="1" x14ac:dyDescent="0.3">
      <c r="B190" s="380" t="s">
        <v>14</v>
      </c>
      <c r="C190" s="430" t="s">
        <v>965</v>
      </c>
      <c r="D190" s="445" t="s">
        <v>447</v>
      </c>
      <c r="E190" s="419">
        <v>5400057119</v>
      </c>
      <c r="F190" s="753">
        <v>45801</v>
      </c>
      <c r="G190" s="380" t="s">
        <v>55</v>
      </c>
      <c r="H190" s="380">
        <v>1</v>
      </c>
      <c r="I190" s="388">
        <v>107040</v>
      </c>
      <c r="J190" s="380">
        <v>4</v>
      </c>
      <c r="K190" s="389">
        <f t="shared" si="7"/>
        <v>26760</v>
      </c>
      <c r="L190" s="387">
        <v>45748</v>
      </c>
      <c r="M190" s="387">
        <v>46112</v>
      </c>
      <c r="N190" s="680"/>
      <c r="O190" s="680"/>
      <c r="P190" s="363" t="s">
        <v>19</v>
      </c>
      <c r="Q190" s="380" t="s">
        <v>3</v>
      </c>
      <c r="R190" s="380"/>
      <c r="S190" s="390" t="s">
        <v>391</v>
      </c>
      <c r="T190" s="363" t="s">
        <v>722</v>
      </c>
      <c r="U190" s="390" t="s">
        <v>168</v>
      </c>
      <c r="V190" s="363" t="s">
        <v>966</v>
      </c>
      <c r="W190" s="390" t="s">
        <v>228</v>
      </c>
      <c r="X190" s="363" t="s">
        <v>967</v>
      </c>
      <c r="Y190" s="390" t="s">
        <v>396</v>
      </c>
      <c r="Z190" s="363" t="s">
        <v>526</v>
      </c>
      <c r="AA190" s="363"/>
      <c r="AB190" s="363"/>
      <c r="AC190" s="363"/>
      <c r="AD190" s="363"/>
      <c r="AE190" s="363" t="s">
        <v>96</v>
      </c>
      <c r="AF190" s="380" t="s">
        <v>97</v>
      </c>
      <c r="AG190" s="380" t="s">
        <v>494</v>
      </c>
      <c r="AH190" s="430" t="s">
        <v>969</v>
      </c>
    </row>
    <row r="191" spans="2:34" ht="14.4" hidden="1" x14ac:dyDescent="0.3">
      <c r="B191" s="380" t="s">
        <v>14</v>
      </c>
      <c r="C191" s="412" t="s">
        <v>614</v>
      </c>
      <c r="D191" s="444" t="s">
        <v>970</v>
      </c>
      <c r="E191" s="425">
        <v>4500049503</v>
      </c>
      <c r="F191" s="759">
        <v>45796</v>
      </c>
      <c r="G191" s="380" t="s">
        <v>55</v>
      </c>
      <c r="H191" s="380">
        <v>2</v>
      </c>
      <c r="I191" s="388">
        <v>152880</v>
      </c>
      <c r="J191" s="380">
        <v>3</v>
      </c>
      <c r="K191" s="389">
        <f t="shared" si="7"/>
        <v>50960</v>
      </c>
      <c r="L191" s="387">
        <v>45797</v>
      </c>
      <c r="M191" s="387">
        <v>46161</v>
      </c>
      <c r="N191" s="680"/>
      <c r="O191" s="680"/>
      <c r="P191" s="363" t="s">
        <v>19</v>
      </c>
      <c r="Q191" s="380" t="s">
        <v>6</v>
      </c>
      <c r="R191" s="380"/>
      <c r="S191" s="390" t="s">
        <v>971</v>
      </c>
      <c r="T191" s="363" t="s">
        <v>439</v>
      </c>
      <c r="U191" s="390" t="s">
        <v>972</v>
      </c>
      <c r="V191" s="363" t="s">
        <v>673</v>
      </c>
      <c r="W191" s="390" t="s">
        <v>973</v>
      </c>
      <c r="X191" s="363" t="s">
        <v>782</v>
      </c>
      <c r="Y191" s="363"/>
      <c r="Z191" s="363"/>
      <c r="AA191" s="363"/>
      <c r="AB191" s="363"/>
      <c r="AC191" s="363"/>
      <c r="AD191" s="363"/>
      <c r="AE191" s="363" t="s">
        <v>281</v>
      </c>
      <c r="AF191" s="380" t="s">
        <v>97</v>
      </c>
      <c r="AG191" s="380">
        <v>3</v>
      </c>
      <c r="AH191" s="363" t="s">
        <v>974</v>
      </c>
    </row>
    <row r="192" spans="2:34" ht="14.4" hidden="1" x14ac:dyDescent="0.3">
      <c r="B192" s="380" t="s">
        <v>14</v>
      </c>
      <c r="C192" s="409" t="s">
        <v>975</v>
      </c>
      <c r="D192" s="445" t="s">
        <v>976</v>
      </c>
      <c r="E192" s="380">
        <v>6100008808</v>
      </c>
      <c r="F192" s="753">
        <v>45799</v>
      </c>
      <c r="G192" s="380" t="s">
        <v>55</v>
      </c>
      <c r="H192" s="380">
        <v>3</v>
      </c>
      <c r="I192" s="388">
        <v>360000</v>
      </c>
      <c r="J192" s="380">
        <v>3</v>
      </c>
      <c r="K192" s="389">
        <f t="shared" si="7"/>
        <v>120000</v>
      </c>
      <c r="L192" s="387">
        <v>45709</v>
      </c>
      <c r="M192" s="387">
        <v>46073</v>
      </c>
      <c r="N192" s="680"/>
      <c r="O192" s="680"/>
      <c r="P192" s="363" t="s">
        <v>19</v>
      </c>
      <c r="Q192" s="380" t="s">
        <v>2</v>
      </c>
      <c r="R192" s="380"/>
      <c r="S192" s="390" t="s">
        <v>977</v>
      </c>
      <c r="T192" s="363" t="s">
        <v>722</v>
      </c>
      <c r="U192" s="390" t="s">
        <v>978</v>
      </c>
      <c r="V192" s="363" t="s">
        <v>791</v>
      </c>
      <c r="W192" s="390" t="s">
        <v>979</v>
      </c>
      <c r="X192" s="363" t="s">
        <v>980</v>
      </c>
      <c r="Y192" s="363"/>
      <c r="Z192" s="363"/>
      <c r="AA192" s="363"/>
      <c r="AB192" s="363"/>
      <c r="AC192" s="363"/>
      <c r="AD192" s="363"/>
      <c r="AE192" s="363" t="s">
        <v>551</v>
      </c>
      <c r="AF192" s="380" t="s">
        <v>207</v>
      </c>
      <c r="AG192" s="380">
        <v>3</v>
      </c>
      <c r="AH192" s="430" t="s">
        <v>981</v>
      </c>
    </row>
    <row r="193" spans="2:34" ht="14.4" hidden="1" x14ac:dyDescent="0.3">
      <c r="B193" s="380" t="s">
        <v>14</v>
      </c>
      <c r="C193" s="409" t="s">
        <v>982</v>
      </c>
      <c r="D193" s="423" t="s">
        <v>801</v>
      </c>
      <c r="E193" s="380" t="s">
        <v>983</v>
      </c>
      <c r="F193" s="753">
        <v>45761</v>
      </c>
      <c r="G193" s="380" t="s">
        <v>55</v>
      </c>
      <c r="H193" s="380">
        <v>1</v>
      </c>
      <c r="I193" s="388">
        <v>90000</v>
      </c>
      <c r="J193" s="380">
        <v>2</v>
      </c>
      <c r="K193" s="389">
        <f t="shared" si="7"/>
        <v>45000</v>
      </c>
      <c r="L193" s="387">
        <v>45809</v>
      </c>
      <c r="M193" s="387">
        <v>46173</v>
      </c>
      <c r="N193" s="680"/>
      <c r="O193" s="680"/>
      <c r="P193" s="363" t="s">
        <v>19</v>
      </c>
      <c r="Q193" s="380" t="s">
        <v>6</v>
      </c>
      <c r="R193" s="380"/>
      <c r="S193" s="390" t="s">
        <v>125</v>
      </c>
      <c r="T193" s="363" t="s">
        <v>423</v>
      </c>
      <c r="U193" s="390" t="s">
        <v>127</v>
      </c>
      <c r="V193" s="363" t="s">
        <v>712</v>
      </c>
      <c r="W193" s="363"/>
      <c r="X193" s="363"/>
      <c r="Y193" s="363"/>
      <c r="Z193" s="363"/>
      <c r="AA193" s="363"/>
      <c r="AB193" s="363"/>
      <c r="AC193" s="363"/>
      <c r="AD193" s="363"/>
      <c r="AE193" s="363" t="s">
        <v>485</v>
      </c>
      <c r="AF193" s="380" t="s">
        <v>63</v>
      </c>
      <c r="AG193" s="380">
        <v>2</v>
      </c>
      <c r="AH193" s="363" t="s">
        <v>667</v>
      </c>
    </row>
    <row r="194" spans="2:34" ht="14.4" hidden="1" x14ac:dyDescent="0.3">
      <c r="B194" s="380" t="s">
        <v>14</v>
      </c>
      <c r="C194" s="412" t="s">
        <v>727</v>
      </c>
      <c r="D194" s="437" t="s">
        <v>984</v>
      </c>
      <c r="E194" s="438">
        <v>4100031856</v>
      </c>
      <c r="F194" s="753">
        <v>45804</v>
      </c>
      <c r="G194" s="380" t="s">
        <v>55</v>
      </c>
      <c r="H194" s="380">
        <v>4</v>
      </c>
      <c r="I194" s="388">
        <v>608328</v>
      </c>
      <c r="J194" s="380">
        <v>3</v>
      </c>
      <c r="K194" s="389"/>
      <c r="L194" s="387">
        <v>45809</v>
      </c>
      <c r="M194" s="387">
        <v>46173</v>
      </c>
      <c r="N194" s="680"/>
      <c r="O194" s="680"/>
      <c r="P194" s="363" t="s">
        <v>19</v>
      </c>
      <c r="Q194" s="380" t="s">
        <v>6</v>
      </c>
      <c r="R194" s="380"/>
      <c r="S194" s="390" t="s">
        <v>81</v>
      </c>
      <c r="T194" s="363" t="s">
        <v>637</v>
      </c>
      <c r="U194" s="390" t="s">
        <v>83</v>
      </c>
      <c r="V194" s="363" t="s">
        <v>985</v>
      </c>
      <c r="W194" s="390" t="s">
        <v>887</v>
      </c>
      <c r="X194" s="363" t="s">
        <v>986</v>
      </c>
      <c r="Y194" s="363"/>
      <c r="Z194" s="363"/>
      <c r="AA194" s="363"/>
      <c r="AB194" s="363"/>
      <c r="AC194" s="363"/>
      <c r="AD194" s="363"/>
      <c r="AE194" s="363" t="s">
        <v>281</v>
      </c>
      <c r="AF194" s="380" t="s">
        <v>97</v>
      </c>
      <c r="AG194" s="380">
        <v>3</v>
      </c>
      <c r="AH194" s="363" t="s">
        <v>774</v>
      </c>
    </row>
    <row r="195" spans="2:34" ht="14.4" hidden="1" x14ac:dyDescent="0.3">
      <c r="B195" s="380" t="s">
        <v>14</v>
      </c>
      <c r="C195" s="443" t="s">
        <v>990</v>
      </c>
      <c r="D195" s="444" t="s">
        <v>991</v>
      </c>
      <c r="E195" s="426">
        <v>115487274</v>
      </c>
      <c r="F195" s="753">
        <v>45807</v>
      </c>
      <c r="G195" s="380" t="s">
        <v>55</v>
      </c>
      <c r="H195" s="380">
        <v>3</v>
      </c>
      <c r="I195" s="388">
        <f>81600*3</f>
        <v>244800</v>
      </c>
      <c r="J195" s="380">
        <v>2</v>
      </c>
      <c r="K195" s="389"/>
      <c r="L195" s="387">
        <v>45809</v>
      </c>
      <c r="M195" s="387">
        <v>46173</v>
      </c>
      <c r="N195" s="680"/>
      <c r="O195" s="680"/>
      <c r="P195" s="363" t="s">
        <v>19</v>
      </c>
      <c r="Q195" s="380" t="s">
        <v>6</v>
      </c>
      <c r="R195" s="380"/>
      <c r="S195" s="390" t="s">
        <v>125</v>
      </c>
      <c r="T195" s="363" t="s">
        <v>289</v>
      </c>
      <c r="U195" s="390" t="s">
        <v>127</v>
      </c>
      <c r="V195" s="363" t="s">
        <v>1712</v>
      </c>
      <c r="W195" s="363"/>
      <c r="X195" s="363"/>
      <c r="Y195" s="363"/>
      <c r="Z195" s="363"/>
      <c r="AA195" s="363"/>
      <c r="AB195" s="363"/>
      <c r="AC195" s="363"/>
      <c r="AD195" s="363"/>
      <c r="AE195" s="363" t="s">
        <v>485</v>
      </c>
      <c r="AF195" s="380" t="s">
        <v>63</v>
      </c>
      <c r="AG195" s="380">
        <v>2</v>
      </c>
      <c r="AH195" s="363" t="s">
        <v>992</v>
      </c>
    </row>
    <row r="196" spans="2:34" ht="14.4" hidden="1" x14ac:dyDescent="0.3">
      <c r="B196" s="380" t="s">
        <v>14</v>
      </c>
      <c r="C196" s="443" t="s">
        <v>508</v>
      </c>
      <c r="D196" s="444" t="s">
        <v>866</v>
      </c>
      <c r="E196" s="426" t="s">
        <v>993</v>
      </c>
      <c r="F196" s="753">
        <v>45806</v>
      </c>
      <c r="G196" s="380" t="s">
        <v>55</v>
      </c>
      <c r="H196" s="380">
        <v>2</v>
      </c>
      <c r="I196" s="452">
        <v>178000</v>
      </c>
      <c r="J196" s="380">
        <v>3</v>
      </c>
      <c r="K196" s="389"/>
      <c r="L196" s="387">
        <v>45809</v>
      </c>
      <c r="M196" s="387">
        <v>46173</v>
      </c>
      <c r="N196" s="680"/>
      <c r="O196" s="680"/>
      <c r="P196" s="363" t="s">
        <v>19</v>
      </c>
      <c r="Q196" s="380" t="s">
        <v>6</v>
      </c>
      <c r="R196" s="380"/>
      <c r="S196" s="390" t="s">
        <v>81</v>
      </c>
      <c r="T196" s="363" t="s">
        <v>562</v>
      </c>
      <c r="U196" s="390" t="s">
        <v>83</v>
      </c>
      <c r="V196" s="363" t="s">
        <v>994</v>
      </c>
      <c r="W196" s="390" t="s">
        <v>404</v>
      </c>
      <c r="X196" s="363" t="s">
        <v>995</v>
      </c>
      <c r="Y196" s="363"/>
      <c r="Z196" s="363"/>
      <c r="AA196" s="363"/>
      <c r="AB196" s="363"/>
      <c r="AC196" s="363"/>
      <c r="AD196" s="363"/>
      <c r="AE196" s="363" t="s">
        <v>96</v>
      </c>
      <c r="AF196" s="380" t="s">
        <v>97</v>
      </c>
      <c r="AG196" s="380" t="s">
        <v>494</v>
      </c>
      <c r="AH196" s="453" t="s">
        <v>996</v>
      </c>
    </row>
    <row r="197" spans="2:34" ht="14.4" hidden="1" x14ac:dyDescent="0.3">
      <c r="B197" s="380" t="s">
        <v>14</v>
      </c>
      <c r="C197" s="409" t="s">
        <v>634</v>
      </c>
      <c r="D197" s="445" t="s">
        <v>997</v>
      </c>
      <c r="E197" s="419">
        <v>4500268257</v>
      </c>
      <c r="F197" s="753">
        <v>45806</v>
      </c>
      <c r="G197" s="380" t="s">
        <v>55</v>
      </c>
      <c r="H197" s="380"/>
      <c r="I197" s="388">
        <f>24875*4</f>
        <v>99500</v>
      </c>
      <c r="J197" s="380">
        <v>4</v>
      </c>
      <c r="K197" s="389">
        <f t="shared" ref="K197:K207" si="8">I197/J197</f>
        <v>24875</v>
      </c>
      <c r="L197" s="387">
        <v>45748</v>
      </c>
      <c r="M197" s="387">
        <v>46112</v>
      </c>
      <c r="N197" s="680"/>
      <c r="O197" s="680"/>
      <c r="P197" s="363" t="s">
        <v>998</v>
      </c>
      <c r="Q197" s="380" t="s">
        <v>9</v>
      </c>
      <c r="R197" s="380"/>
      <c r="S197" s="390" t="s">
        <v>391</v>
      </c>
      <c r="T197" s="363" t="s">
        <v>636</v>
      </c>
      <c r="U197" s="390" t="s">
        <v>168</v>
      </c>
      <c r="V197" s="363" t="s">
        <v>637</v>
      </c>
      <c r="W197" s="390" t="s">
        <v>228</v>
      </c>
      <c r="X197" s="363" t="s">
        <v>493</v>
      </c>
      <c r="Y197" s="390" t="s">
        <v>396</v>
      </c>
      <c r="Z197" s="363" t="s">
        <v>639</v>
      </c>
      <c r="AA197" s="363"/>
      <c r="AB197" s="363"/>
      <c r="AC197" s="363"/>
      <c r="AD197" s="363"/>
      <c r="AE197" s="363" t="s">
        <v>96</v>
      </c>
      <c r="AF197" s="380" t="s">
        <v>97</v>
      </c>
      <c r="AG197" s="380" t="s">
        <v>494</v>
      </c>
      <c r="AH197" s="363"/>
    </row>
    <row r="198" spans="2:34" ht="14.4" hidden="1" x14ac:dyDescent="0.3">
      <c r="B198" s="380" t="s">
        <v>14</v>
      </c>
      <c r="C198" s="409" t="s">
        <v>634</v>
      </c>
      <c r="D198" s="445" t="s">
        <v>997</v>
      </c>
      <c r="E198" s="419">
        <v>4500268257</v>
      </c>
      <c r="F198" s="753">
        <v>45806</v>
      </c>
      <c r="G198" s="380" t="s">
        <v>55</v>
      </c>
      <c r="H198" s="380"/>
      <c r="I198" s="388">
        <f>24875*4</f>
        <v>99500</v>
      </c>
      <c r="J198" s="380">
        <v>4</v>
      </c>
      <c r="K198" s="389">
        <f t="shared" si="8"/>
        <v>24875</v>
      </c>
      <c r="L198" s="387">
        <v>46113</v>
      </c>
      <c r="M198" s="387">
        <v>46477</v>
      </c>
      <c r="N198" s="680">
        <v>155159</v>
      </c>
      <c r="O198" s="680">
        <v>4783</v>
      </c>
      <c r="P198" s="363" t="s">
        <v>998</v>
      </c>
      <c r="Q198" s="380" t="s">
        <v>9</v>
      </c>
      <c r="R198" s="380"/>
      <c r="S198" s="390" t="s">
        <v>397</v>
      </c>
      <c r="T198" s="363" t="s">
        <v>1715</v>
      </c>
      <c r="U198" s="390" t="s">
        <v>496</v>
      </c>
      <c r="V198" s="363" t="s">
        <v>2018</v>
      </c>
      <c r="W198" s="363" t="s">
        <v>497</v>
      </c>
      <c r="X198" s="363"/>
      <c r="Y198" s="363" t="s">
        <v>498</v>
      </c>
      <c r="Z198" s="363"/>
      <c r="AA198" s="363"/>
      <c r="AB198" s="363"/>
      <c r="AC198" s="363"/>
      <c r="AD198" s="363"/>
      <c r="AE198" s="363" t="s">
        <v>96</v>
      </c>
      <c r="AF198" s="380" t="s">
        <v>97</v>
      </c>
      <c r="AG198" s="380"/>
      <c r="AH198" s="363"/>
    </row>
    <row r="199" spans="2:34" ht="14.4" hidden="1" x14ac:dyDescent="0.3">
      <c r="B199" s="380" t="s">
        <v>14</v>
      </c>
      <c r="C199" s="409" t="s">
        <v>634</v>
      </c>
      <c r="D199" s="445" t="s">
        <v>997</v>
      </c>
      <c r="E199" s="419">
        <v>4500268257</v>
      </c>
      <c r="F199" s="753">
        <v>45806</v>
      </c>
      <c r="G199" s="380" t="s">
        <v>55</v>
      </c>
      <c r="H199" s="380">
        <v>1</v>
      </c>
      <c r="I199" s="388">
        <f>24875*3</f>
        <v>74625</v>
      </c>
      <c r="J199" s="380">
        <v>3</v>
      </c>
      <c r="K199" s="389">
        <f t="shared" si="8"/>
        <v>24875</v>
      </c>
      <c r="L199" s="387">
        <v>46478</v>
      </c>
      <c r="M199" s="387">
        <v>46752</v>
      </c>
      <c r="N199" s="680"/>
      <c r="O199" s="680"/>
      <c r="P199" s="363" t="s">
        <v>998</v>
      </c>
      <c r="Q199" s="380" t="s">
        <v>9</v>
      </c>
      <c r="R199" s="380"/>
      <c r="S199" s="363" t="s">
        <v>499</v>
      </c>
      <c r="T199" s="363"/>
      <c r="U199" s="363" t="s">
        <v>500</v>
      </c>
      <c r="V199" s="363"/>
      <c r="W199" s="363" t="s">
        <v>501</v>
      </c>
      <c r="X199" s="363"/>
      <c r="Y199" s="363"/>
      <c r="Z199" s="363"/>
      <c r="AA199" s="363"/>
      <c r="AB199" s="363"/>
      <c r="AC199" s="363"/>
      <c r="AD199" s="363"/>
      <c r="AE199" s="363" t="s">
        <v>96</v>
      </c>
      <c r="AF199" s="380" t="s">
        <v>97</v>
      </c>
      <c r="AG199" s="380"/>
      <c r="AH199" s="363"/>
    </row>
    <row r="200" spans="2:34" ht="14.4" hidden="1" x14ac:dyDescent="0.3">
      <c r="B200" s="380" t="s">
        <v>14</v>
      </c>
      <c r="C200" s="409" t="s">
        <v>751</v>
      </c>
      <c r="D200" s="423" t="s">
        <v>151</v>
      </c>
      <c r="E200" s="408">
        <v>307000194</v>
      </c>
      <c r="F200" s="753">
        <v>45799</v>
      </c>
      <c r="G200" s="380" t="s">
        <v>55</v>
      </c>
      <c r="H200" s="380">
        <v>1</v>
      </c>
      <c r="I200" s="388">
        <v>124440</v>
      </c>
      <c r="J200" s="380">
        <v>4</v>
      </c>
      <c r="K200" s="389">
        <f t="shared" si="8"/>
        <v>31110</v>
      </c>
      <c r="L200" s="387">
        <v>45748</v>
      </c>
      <c r="M200" s="387">
        <v>46112</v>
      </c>
      <c r="N200" s="680"/>
      <c r="O200" s="680"/>
      <c r="P200" s="363" t="s">
        <v>19</v>
      </c>
      <c r="Q200" s="380" t="s">
        <v>3</v>
      </c>
      <c r="R200" s="380"/>
      <c r="S200" s="390" t="s">
        <v>391</v>
      </c>
      <c r="T200" s="363" t="s">
        <v>725</v>
      </c>
      <c r="U200" s="390" t="s">
        <v>168</v>
      </c>
      <c r="V200" s="363" t="s">
        <v>169</v>
      </c>
      <c r="W200" s="390" t="s">
        <v>228</v>
      </c>
      <c r="X200" s="363" t="s">
        <v>687</v>
      </c>
      <c r="Y200" s="390" t="s">
        <v>396</v>
      </c>
      <c r="Z200" s="363" t="s">
        <v>999</v>
      </c>
      <c r="AA200" s="363"/>
      <c r="AB200" s="363"/>
      <c r="AC200" s="363"/>
      <c r="AD200" s="363"/>
      <c r="AE200" s="363" t="s">
        <v>507</v>
      </c>
      <c r="AF200" s="380" t="s">
        <v>63</v>
      </c>
      <c r="AG200" s="380">
        <v>4</v>
      </c>
      <c r="AH200" s="363" t="s">
        <v>667</v>
      </c>
    </row>
    <row r="201" spans="2:34" ht="14.4" hidden="1" x14ac:dyDescent="0.3">
      <c r="B201" s="380" t="s">
        <v>14</v>
      </c>
      <c r="C201" s="409" t="s">
        <v>595</v>
      </c>
      <c r="D201" s="418" t="s">
        <v>1000</v>
      </c>
      <c r="E201" s="454">
        <v>3110015195</v>
      </c>
      <c r="F201" s="753">
        <v>45807</v>
      </c>
      <c r="G201" s="380" t="s">
        <v>55</v>
      </c>
      <c r="H201" s="380">
        <v>1</v>
      </c>
      <c r="I201" s="388">
        <v>75999.990000000005</v>
      </c>
      <c r="J201" s="380">
        <v>3</v>
      </c>
      <c r="K201" s="389">
        <f t="shared" si="8"/>
        <v>25333.33</v>
      </c>
      <c r="L201" s="387">
        <v>45778</v>
      </c>
      <c r="M201" s="387">
        <v>46142</v>
      </c>
      <c r="N201" s="680"/>
      <c r="O201" s="680"/>
      <c r="P201" s="363" t="s">
        <v>19</v>
      </c>
      <c r="Q201" s="380" t="s">
        <v>6</v>
      </c>
      <c r="R201" s="380" t="s">
        <v>437</v>
      </c>
      <c r="S201" s="390" t="s">
        <v>343</v>
      </c>
      <c r="T201" s="363" t="s">
        <v>394</v>
      </c>
      <c r="U201" s="390" t="s">
        <v>345</v>
      </c>
      <c r="V201" s="363" t="s">
        <v>1001</v>
      </c>
      <c r="W201" s="390" t="s">
        <v>347</v>
      </c>
      <c r="X201" s="363" t="s">
        <v>1717</v>
      </c>
      <c r="Y201" s="363"/>
      <c r="Z201" s="363"/>
      <c r="AA201" s="363"/>
      <c r="AB201" s="363"/>
      <c r="AC201" s="363"/>
      <c r="AD201" s="363"/>
      <c r="AE201" s="363" t="s">
        <v>507</v>
      </c>
      <c r="AF201" s="380" t="s">
        <v>63</v>
      </c>
      <c r="AG201" s="380">
        <v>3</v>
      </c>
      <c r="AH201" s="363" t="s">
        <v>799</v>
      </c>
    </row>
    <row r="202" spans="2:34" ht="14.4" hidden="1" x14ac:dyDescent="0.3">
      <c r="B202" s="380" t="s">
        <v>14</v>
      </c>
      <c r="C202" s="409" t="s">
        <v>1002</v>
      </c>
      <c r="D202" s="418" t="s">
        <v>151</v>
      </c>
      <c r="E202" s="419">
        <v>4518004947</v>
      </c>
      <c r="F202" s="753">
        <v>45812</v>
      </c>
      <c r="G202" s="380" t="s">
        <v>55</v>
      </c>
      <c r="H202" s="380">
        <v>4</v>
      </c>
      <c r="I202" s="388">
        <v>186000</v>
      </c>
      <c r="J202" s="380">
        <v>1</v>
      </c>
      <c r="K202" s="389">
        <f t="shared" si="8"/>
        <v>186000</v>
      </c>
      <c r="L202" s="387">
        <v>45748</v>
      </c>
      <c r="M202" s="387">
        <v>46112</v>
      </c>
      <c r="N202" s="680"/>
      <c r="O202" s="680"/>
      <c r="P202" s="363" t="s">
        <v>19</v>
      </c>
      <c r="Q202" s="380" t="s">
        <v>3</v>
      </c>
      <c r="R202" s="380" t="s">
        <v>437</v>
      </c>
      <c r="S202" s="390" t="s">
        <v>631</v>
      </c>
      <c r="T202" s="363" t="s">
        <v>1003</v>
      </c>
      <c r="U202" s="363"/>
      <c r="V202" s="363"/>
      <c r="W202" s="363"/>
      <c r="X202" s="363"/>
      <c r="Y202" s="363"/>
      <c r="Z202" s="363"/>
      <c r="AA202" s="363"/>
      <c r="AB202" s="363"/>
      <c r="AC202" s="363"/>
      <c r="AD202" s="363"/>
      <c r="AE202" s="363" t="s">
        <v>507</v>
      </c>
      <c r="AF202" s="380" t="s">
        <v>63</v>
      </c>
      <c r="AG202" s="380">
        <v>2</v>
      </c>
      <c r="AH202" s="363" t="s">
        <v>667</v>
      </c>
    </row>
    <row r="203" spans="2:34" ht="14.4" hidden="1" x14ac:dyDescent="0.3">
      <c r="B203" s="380" t="s">
        <v>14</v>
      </c>
      <c r="C203" s="412" t="s">
        <v>614</v>
      </c>
      <c r="D203" s="437" t="s">
        <v>970</v>
      </c>
      <c r="E203" s="426">
        <v>4500049533</v>
      </c>
      <c r="F203" s="753">
        <v>45810</v>
      </c>
      <c r="G203" s="380" t="s">
        <v>55</v>
      </c>
      <c r="H203" s="380">
        <v>2</v>
      </c>
      <c r="I203" s="388">
        <v>152880</v>
      </c>
      <c r="J203" s="380">
        <v>3</v>
      </c>
      <c r="K203" s="389">
        <f t="shared" si="8"/>
        <v>50960</v>
      </c>
      <c r="L203" s="387">
        <v>45818</v>
      </c>
      <c r="M203" s="387">
        <v>46182</v>
      </c>
      <c r="N203" s="680"/>
      <c r="O203" s="680"/>
      <c r="P203" s="363" t="s">
        <v>19</v>
      </c>
      <c r="Q203" s="380" t="s">
        <v>9</v>
      </c>
      <c r="R203" s="380"/>
      <c r="S203" s="390" t="s">
        <v>592</v>
      </c>
      <c r="T203" s="363"/>
      <c r="U203" s="390" t="s">
        <v>593</v>
      </c>
      <c r="V203" s="363" t="s">
        <v>84</v>
      </c>
      <c r="W203" s="390" t="s">
        <v>1004</v>
      </c>
      <c r="X203" s="363" t="s">
        <v>1710</v>
      </c>
      <c r="Y203" s="363"/>
      <c r="Z203" s="363"/>
      <c r="AA203" s="363"/>
      <c r="AB203" s="363"/>
      <c r="AC203" s="363"/>
      <c r="AD203" s="363"/>
      <c r="AE203" s="363" t="s">
        <v>281</v>
      </c>
      <c r="AF203" s="380" t="s">
        <v>97</v>
      </c>
      <c r="AG203" s="380">
        <v>3</v>
      </c>
      <c r="AH203" s="455" t="s">
        <v>1005</v>
      </c>
    </row>
    <row r="204" spans="2:34" ht="14.4" hidden="1" x14ac:dyDescent="0.3">
      <c r="B204" s="380" t="s">
        <v>14</v>
      </c>
      <c r="C204" s="409" t="s">
        <v>433</v>
      </c>
      <c r="D204" s="386" t="s">
        <v>388</v>
      </c>
      <c r="E204" s="419" t="s">
        <v>1006</v>
      </c>
      <c r="F204" s="753">
        <v>45804</v>
      </c>
      <c r="G204" s="380" t="s">
        <v>55</v>
      </c>
      <c r="H204" s="380">
        <v>16</v>
      </c>
      <c r="I204" s="388">
        <f>3746500
/1.18</f>
        <v>3175000</v>
      </c>
      <c r="J204" s="380">
        <v>4</v>
      </c>
      <c r="K204" s="391">
        <f t="shared" si="8"/>
        <v>793750</v>
      </c>
      <c r="L204" s="387">
        <v>45807</v>
      </c>
      <c r="M204" s="387">
        <v>46171</v>
      </c>
      <c r="N204" s="680"/>
      <c r="O204" s="680"/>
      <c r="P204" s="363" t="s">
        <v>19</v>
      </c>
      <c r="Q204" s="380" t="s">
        <v>6</v>
      </c>
      <c r="R204" s="380"/>
      <c r="S204" s="390" t="s">
        <v>286</v>
      </c>
      <c r="T204" s="363" t="s">
        <v>505</v>
      </c>
      <c r="U204" s="390" t="s">
        <v>1007</v>
      </c>
      <c r="V204" s="363" t="s">
        <v>1008</v>
      </c>
      <c r="W204" s="390" t="s">
        <v>290</v>
      </c>
      <c r="X204" s="363" t="s">
        <v>1009</v>
      </c>
      <c r="Y204" s="390" t="s">
        <v>1010</v>
      </c>
      <c r="Z204" s="363" t="s">
        <v>251</v>
      </c>
      <c r="AA204" s="363"/>
      <c r="AB204" s="363"/>
      <c r="AC204" s="363"/>
      <c r="AD204" s="363"/>
      <c r="AE204" s="363" t="s">
        <v>478</v>
      </c>
      <c r="AF204" s="380" t="s">
        <v>63</v>
      </c>
      <c r="AG204" s="380"/>
      <c r="AH204" s="363" t="s">
        <v>667</v>
      </c>
    </row>
    <row r="205" spans="2:34" ht="14.4" hidden="1" x14ac:dyDescent="0.3">
      <c r="B205" s="380" t="s">
        <v>14</v>
      </c>
      <c r="C205" s="456" t="s">
        <v>1011</v>
      </c>
      <c r="D205" s="418" t="s">
        <v>1012</v>
      </c>
      <c r="E205" s="457" t="s">
        <v>1013</v>
      </c>
      <c r="F205" s="753">
        <v>46000</v>
      </c>
      <c r="G205" s="380" t="s">
        <v>55</v>
      </c>
      <c r="H205" s="380"/>
      <c r="I205" s="388"/>
      <c r="J205" s="380"/>
      <c r="K205" s="389" t="e">
        <f t="shared" si="8"/>
        <v>#DIV/0!</v>
      </c>
      <c r="L205" s="791"/>
      <c r="M205" s="791"/>
      <c r="N205" s="680"/>
      <c r="O205" s="680"/>
      <c r="P205" s="363"/>
      <c r="Q205" s="380"/>
      <c r="R205" s="380"/>
      <c r="S205" s="363"/>
      <c r="T205" s="363"/>
      <c r="U205" s="363"/>
      <c r="V205" s="363"/>
      <c r="W205" s="363"/>
      <c r="X205" s="363"/>
      <c r="Y205" s="363"/>
      <c r="Z205" s="363"/>
      <c r="AA205" s="363"/>
      <c r="AB205" s="363"/>
      <c r="AC205" s="363"/>
      <c r="AD205" s="363"/>
      <c r="AE205" s="363" t="s">
        <v>619</v>
      </c>
      <c r="AF205" s="380" t="s">
        <v>63</v>
      </c>
      <c r="AG205" s="380"/>
      <c r="AH205" s="363"/>
    </row>
    <row r="206" spans="2:34" ht="14.4" hidden="1" x14ac:dyDescent="0.3">
      <c r="B206" s="380" t="s">
        <v>14</v>
      </c>
      <c r="C206" s="409" t="s">
        <v>1014</v>
      </c>
      <c r="D206" s="418" t="s">
        <v>151</v>
      </c>
      <c r="E206" s="419">
        <v>4500539790</v>
      </c>
      <c r="F206" s="753">
        <v>45818</v>
      </c>
      <c r="G206" s="380" t="s">
        <v>55</v>
      </c>
      <c r="H206" s="380">
        <v>2</v>
      </c>
      <c r="I206" s="388">
        <f>3*60000</f>
        <v>180000</v>
      </c>
      <c r="J206" s="380">
        <v>3</v>
      </c>
      <c r="K206" s="389">
        <f t="shared" si="8"/>
        <v>60000</v>
      </c>
      <c r="L206" s="387">
        <v>45809</v>
      </c>
      <c r="M206" s="387">
        <v>46173</v>
      </c>
      <c r="N206" s="680"/>
      <c r="O206" s="680"/>
      <c r="P206" s="363" t="s">
        <v>19</v>
      </c>
      <c r="Q206" s="380" t="s">
        <v>6</v>
      </c>
      <c r="R206" s="380"/>
      <c r="S206" s="390" t="s">
        <v>81</v>
      </c>
      <c r="T206" s="363" t="s">
        <v>1015</v>
      </c>
      <c r="U206" s="390" t="s">
        <v>83</v>
      </c>
      <c r="V206" s="363" t="s">
        <v>191</v>
      </c>
      <c r="W206" s="390" t="s">
        <v>404</v>
      </c>
      <c r="X206" s="363" t="s">
        <v>291</v>
      </c>
      <c r="Y206" s="363"/>
      <c r="Z206" s="363"/>
      <c r="AA206" s="363"/>
      <c r="AB206" s="363"/>
      <c r="AC206" s="363"/>
      <c r="AD206" s="363"/>
      <c r="AE206" s="363" t="s">
        <v>507</v>
      </c>
      <c r="AF206" s="380" t="s">
        <v>63</v>
      </c>
      <c r="AG206" s="380">
        <v>3</v>
      </c>
      <c r="AH206" s="363" t="s">
        <v>667</v>
      </c>
    </row>
    <row r="207" spans="2:34" ht="14.4" hidden="1" x14ac:dyDescent="0.3">
      <c r="B207" s="380" t="s">
        <v>14</v>
      </c>
      <c r="C207" s="429" t="s">
        <v>609</v>
      </c>
      <c r="D207" s="418" t="s">
        <v>1016</v>
      </c>
      <c r="E207" s="419">
        <v>3791227950</v>
      </c>
      <c r="F207" s="753">
        <v>45770</v>
      </c>
      <c r="G207" s="380" t="s">
        <v>55</v>
      </c>
      <c r="H207" s="380">
        <v>1</v>
      </c>
      <c r="I207" s="388">
        <v>61500</v>
      </c>
      <c r="J207" s="380">
        <v>3</v>
      </c>
      <c r="K207" s="389">
        <f t="shared" si="8"/>
        <v>20500</v>
      </c>
      <c r="L207" s="387">
        <v>45748</v>
      </c>
      <c r="M207" s="387">
        <v>46112</v>
      </c>
      <c r="N207" s="680"/>
      <c r="O207" s="680"/>
      <c r="P207" s="363" t="s">
        <v>19</v>
      </c>
      <c r="Q207" s="380" t="s">
        <v>5</v>
      </c>
      <c r="R207" s="380"/>
      <c r="S207" s="390" t="s">
        <v>357</v>
      </c>
      <c r="T207" s="363" t="s">
        <v>1017</v>
      </c>
      <c r="U207" s="390" t="s">
        <v>665</v>
      </c>
      <c r="V207" s="363" t="s">
        <v>967</v>
      </c>
      <c r="W207" s="390" t="s">
        <v>361</v>
      </c>
      <c r="X207" s="363" t="s">
        <v>455</v>
      </c>
      <c r="Y207" s="363"/>
      <c r="Z207" s="363"/>
      <c r="AA207" s="363"/>
      <c r="AB207" s="363"/>
      <c r="AC207" s="363"/>
      <c r="AD207" s="363"/>
      <c r="AE207" s="363" t="s">
        <v>619</v>
      </c>
      <c r="AF207" s="380" t="s">
        <v>63</v>
      </c>
      <c r="AG207" s="380">
        <v>3</v>
      </c>
      <c r="AH207" s="363" t="s">
        <v>667</v>
      </c>
    </row>
    <row r="208" spans="2:34" ht="14.4" hidden="1" x14ac:dyDescent="0.3">
      <c r="B208" s="380" t="s">
        <v>14</v>
      </c>
      <c r="C208" s="429" t="s">
        <v>614</v>
      </c>
      <c r="D208" s="458" t="s">
        <v>447</v>
      </c>
      <c r="E208" s="459" t="s">
        <v>1018</v>
      </c>
      <c r="F208" s="753">
        <v>45806</v>
      </c>
      <c r="G208" s="380" t="s">
        <v>55</v>
      </c>
      <c r="H208" s="380">
        <v>1</v>
      </c>
      <c r="I208" s="388">
        <v>76440</v>
      </c>
      <c r="J208" s="380">
        <v>3</v>
      </c>
      <c r="K208" s="389"/>
      <c r="L208" s="387">
        <v>45778</v>
      </c>
      <c r="M208" s="387">
        <v>46142</v>
      </c>
      <c r="N208" s="680"/>
      <c r="O208" s="680"/>
      <c r="P208" s="363" t="s">
        <v>19</v>
      </c>
      <c r="Q208" s="380" t="s">
        <v>5</v>
      </c>
      <c r="R208" s="380"/>
      <c r="S208" s="390" t="s">
        <v>343</v>
      </c>
      <c r="T208" s="363" t="s">
        <v>759</v>
      </c>
      <c r="U208" s="390" t="s">
        <v>345</v>
      </c>
      <c r="V208" s="363" t="s">
        <v>781</v>
      </c>
      <c r="W208" s="390" t="s">
        <v>347</v>
      </c>
      <c r="X208" s="363" t="s">
        <v>1019</v>
      </c>
      <c r="Y208" s="363"/>
      <c r="Z208" s="363"/>
      <c r="AA208" s="363"/>
      <c r="AB208" s="363"/>
      <c r="AC208" s="363"/>
      <c r="AD208" s="363"/>
      <c r="AE208" s="363" t="s">
        <v>281</v>
      </c>
      <c r="AF208" s="380" t="s">
        <v>97</v>
      </c>
      <c r="AG208" s="380">
        <v>3</v>
      </c>
      <c r="AH208" s="363" t="s">
        <v>1020</v>
      </c>
    </row>
    <row r="209" spans="2:34" ht="14.4" hidden="1" x14ac:dyDescent="0.3">
      <c r="B209" s="380" t="s">
        <v>14</v>
      </c>
      <c r="C209" s="460" t="s">
        <v>1021</v>
      </c>
      <c r="D209" s="461" t="s">
        <v>1022</v>
      </c>
      <c r="E209" s="426">
        <v>1421076377</v>
      </c>
      <c r="F209" s="753">
        <v>45812</v>
      </c>
      <c r="G209" s="380" t="s">
        <v>55</v>
      </c>
      <c r="H209" s="380">
        <v>1</v>
      </c>
      <c r="I209" s="388">
        <v>84480</v>
      </c>
      <c r="J209" s="380">
        <v>2</v>
      </c>
      <c r="K209" s="389">
        <f t="shared" ref="K209:K216" si="9">I209/J209</f>
        <v>42240</v>
      </c>
      <c r="L209" s="387">
        <v>45809</v>
      </c>
      <c r="M209" s="387">
        <v>46173</v>
      </c>
      <c r="N209" s="680"/>
      <c r="O209" s="680"/>
      <c r="P209" s="363" t="s">
        <v>19</v>
      </c>
      <c r="Q209" s="380" t="s">
        <v>6</v>
      </c>
      <c r="R209" s="380"/>
      <c r="S209" s="390" t="s">
        <v>125</v>
      </c>
      <c r="T209" s="363" t="s">
        <v>287</v>
      </c>
      <c r="U209" s="390" t="s">
        <v>127</v>
      </c>
      <c r="V209" s="363" t="s">
        <v>939</v>
      </c>
      <c r="W209" s="363"/>
      <c r="X209" s="363"/>
      <c r="Y209" s="363"/>
      <c r="Z209" s="363"/>
      <c r="AA209" s="363"/>
      <c r="AB209" s="363"/>
      <c r="AC209" s="363"/>
      <c r="AD209" s="363"/>
      <c r="AE209" s="363" t="s">
        <v>485</v>
      </c>
      <c r="AF209" s="380" t="s">
        <v>63</v>
      </c>
      <c r="AG209" s="380">
        <v>2</v>
      </c>
      <c r="AH209" s="363" t="s">
        <v>1023</v>
      </c>
    </row>
    <row r="210" spans="2:34" ht="14.4" hidden="1" x14ac:dyDescent="0.3">
      <c r="B210" s="380" t="s">
        <v>14</v>
      </c>
      <c r="C210" s="429" t="s">
        <v>1024</v>
      </c>
      <c r="D210" s="458" t="s">
        <v>1025</v>
      </c>
      <c r="E210" s="419">
        <v>7026010733</v>
      </c>
      <c r="F210" s="753">
        <v>45819</v>
      </c>
      <c r="G210" s="380" t="s">
        <v>55</v>
      </c>
      <c r="H210" s="380">
        <v>8</v>
      </c>
      <c r="I210" s="388">
        <v>512000</v>
      </c>
      <c r="J210" s="380">
        <v>2</v>
      </c>
      <c r="K210" s="389">
        <f t="shared" si="9"/>
        <v>256000</v>
      </c>
      <c r="L210" s="387">
        <v>45748</v>
      </c>
      <c r="M210" s="387">
        <v>46112</v>
      </c>
      <c r="N210" s="680"/>
      <c r="O210" s="680"/>
      <c r="P210" s="363" t="s">
        <v>19</v>
      </c>
      <c r="Q210" s="380" t="s">
        <v>9</v>
      </c>
      <c r="R210" s="380"/>
      <c r="S210" s="390" t="s">
        <v>463</v>
      </c>
      <c r="T210" s="363" t="s">
        <v>1026</v>
      </c>
      <c r="U210" s="390" t="s">
        <v>465</v>
      </c>
      <c r="V210" s="363" t="s">
        <v>1853</v>
      </c>
      <c r="W210" s="363"/>
      <c r="X210" s="363"/>
      <c r="Y210" s="363"/>
      <c r="Z210" s="363"/>
      <c r="AA210" s="363"/>
      <c r="AB210" s="363"/>
      <c r="AC210" s="363"/>
      <c r="AD210" s="363"/>
      <c r="AE210" s="363" t="s">
        <v>507</v>
      </c>
      <c r="AF210" s="380" t="s">
        <v>63</v>
      </c>
      <c r="AG210" s="380">
        <v>2</v>
      </c>
      <c r="AH210" s="363" t="s">
        <v>1027</v>
      </c>
    </row>
    <row r="211" spans="2:34" ht="14.4" hidden="1" x14ac:dyDescent="0.3">
      <c r="B211" s="380" t="s">
        <v>14</v>
      </c>
      <c r="C211" s="429" t="s">
        <v>658</v>
      </c>
      <c r="D211" s="458" t="s">
        <v>151</v>
      </c>
      <c r="E211" s="419">
        <v>6500007595</v>
      </c>
      <c r="F211" s="753">
        <v>45820</v>
      </c>
      <c r="G211" s="380" t="s">
        <v>55</v>
      </c>
      <c r="H211" s="380">
        <v>8</v>
      </c>
      <c r="I211" s="388">
        <v>448000</v>
      </c>
      <c r="J211" s="380">
        <v>1</v>
      </c>
      <c r="K211" s="389">
        <f t="shared" si="9"/>
        <v>448000</v>
      </c>
      <c r="L211" s="387">
        <v>45748</v>
      </c>
      <c r="M211" s="387">
        <v>46112</v>
      </c>
      <c r="N211" s="680"/>
      <c r="O211" s="680"/>
      <c r="P211" s="363" t="s">
        <v>19</v>
      </c>
      <c r="Q211" s="380" t="s">
        <v>3</v>
      </c>
      <c r="R211" s="380"/>
      <c r="S211" s="390" t="s">
        <v>631</v>
      </c>
      <c r="T211" s="363" t="s">
        <v>939</v>
      </c>
      <c r="U211" s="363"/>
      <c r="V211" s="363"/>
      <c r="W211" s="363"/>
      <c r="X211" s="363"/>
      <c r="Y211" s="363"/>
      <c r="Z211" s="363"/>
      <c r="AA211" s="363"/>
      <c r="AB211" s="363"/>
      <c r="AC211" s="363"/>
      <c r="AD211" s="363"/>
      <c r="AE211" s="363" t="s">
        <v>507</v>
      </c>
      <c r="AF211" s="380" t="s">
        <v>63</v>
      </c>
      <c r="AG211" s="380">
        <v>2</v>
      </c>
      <c r="AH211" s="363" t="s">
        <v>1028</v>
      </c>
    </row>
    <row r="212" spans="2:34" ht="14.4" hidden="1" x14ac:dyDescent="0.3">
      <c r="B212" s="380" t="s">
        <v>14</v>
      </c>
      <c r="C212" s="429" t="s">
        <v>544</v>
      </c>
      <c r="D212" s="458" t="s">
        <v>1029</v>
      </c>
      <c r="E212" s="419">
        <v>1250008989</v>
      </c>
      <c r="F212" s="753">
        <v>45798</v>
      </c>
      <c r="G212" s="380" t="s">
        <v>55</v>
      </c>
      <c r="H212" s="380">
        <v>1</v>
      </c>
      <c r="I212" s="388">
        <v>130002</v>
      </c>
      <c r="J212" s="380">
        <v>3</v>
      </c>
      <c r="K212" s="389">
        <f t="shared" si="9"/>
        <v>43334</v>
      </c>
      <c r="L212" s="387">
        <v>45778</v>
      </c>
      <c r="M212" s="387">
        <v>46142</v>
      </c>
      <c r="N212" s="680"/>
      <c r="O212" s="680"/>
      <c r="P212" s="363" t="s">
        <v>19</v>
      </c>
      <c r="Q212" s="380" t="s">
        <v>5</v>
      </c>
      <c r="R212" s="380"/>
      <c r="S212" s="390" t="s">
        <v>343</v>
      </c>
      <c r="T212" s="363" t="s">
        <v>1030</v>
      </c>
      <c r="U212" s="390" t="s">
        <v>345</v>
      </c>
      <c r="V212" s="363" t="s">
        <v>395</v>
      </c>
      <c r="W212" s="390" t="s">
        <v>347</v>
      </c>
      <c r="X212" s="363" t="s">
        <v>443</v>
      </c>
      <c r="Y212" s="363"/>
      <c r="Z212" s="363"/>
      <c r="AA212" s="363"/>
      <c r="AB212" s="363"/>
      <c r="AC212" s="363"/>
      <c r="AD212" s="363"/>
      <c r="AE212" s="363" t="s">
        <v>551</v>
      </c>
      <c r="AF212" s="380" t="s">
        <v>207</v>
      </c>
      <c r="AG212" s="380">
        <v>3</v>
      </c>
      <c r="AH212" s="363" t="s">
        <v>667</v>
      </c>
    </row>
    <row r="213" spans="2:34" ht="14.4" hidden="1" x14ac:dyDescent="0.3">
      <c r="B213" s="380" t="s">
        <v>14</v>
      </c>
      <c r="C213" s="429" t="s">
        <v>685</v>
      </c>
      <c r="D213" s="458" t="s">
        <v>1031</v>
      </c>
      <c r="E213" s="419">
        <v>4512760492</v>
      </c>
      <c r="F213" s="753">
        <v>45826</v>
      </c>
      <c r="G213" s="380" t="s">
        <v>55</v>
      </c>
      <c r="H213" s="380">
        <v>2</v>
      </c>
      <c r="I213" s="388">
        <v>92000</v>
      </c>
      <c r="J213" s="380">
        <v>3</v>
      </c>
      <c r="K213" s="391">
        <f t="shared" si="9"/>
        <v>30666.666666666668</v>
      </c>
      <c r="L213" s="387">
        <v>45809</v>
      </c>
      <c r="M213" s="387">
        <v>46173</v>
      </c>
      <c r="N213" s="680"/>
      <c r="O213" s="680"/>
      <c r="P213" s="363" t="s">
        <v>19</v>
      </c>
      <c r="Q213" s="380" t="s">
        <v>6</v>
      </c>
      <c r="R213" s="380"/>
      <c r="S213" s="390" t="s">
        <v>81</v>
      </c>
      <c r="T213" s="363" t="s">
        <v>582</v>
      </c>
      <c r="U213" s="390" t="s">
        <v>83</v>
      </c>
      <c r="V213" s="363" t="s">
        <v>432</v>
      </c>
      <c r="W213" s="390" t="s">
        <v>404</v>
      </c>
      <c r="X213" s="363" t="s">
        <v>1718</v>
      </c>
      <c r="Y213" s="363"/>
      <c r="Z213" s="363"/>
      <c r="AA213" s="363"/>
      <c r="AB213" s="363"/>
      <c r="AC213" s="363"/>
      <c r="AD213" s="363"/>
      <c r="AE213" s="363" t="s">
        <v>478</v>
      </c>
      <c r="AF213" s="380" t="s">
        <v>63</v>
      </c>
      <c r="AG213" s="380">
        <v>3</v>
      </c>
      <c r="AH213" s="363" t="s">
        <v>667</v>
      </c>
    </row>
    <row r="214" spans="2:34" ht="14.4" hidden="1" x14ac:dyDescent="0.3">
      <c r="B214" s="380" t="s">
        <v>14</v>
      </c>
      <c r="C214" s="429" t="s">
        <v>1032</v>
      </c>
      <c r="D214" s="458" t="s">
        <v>693</v>
      </c>
      <c r="E214" s="419">
        <v>3430061224</v>
      </c>
      <c r="F214" s="753">
        <v>45800</v>
      </c>
      <c r="G214" s="380" t="s">
        <v>55</v>
      </c>
      <c r="H214" s="380">
        <v>10</v>
      </c>
      <c r="I214" s="388">
        <v>582120</v>
      </c>
      <c r="J214" s="380">
        <v>3</v>
      </c>
      <c r="K214" s="389">
        <f t="shared" si="9"/>
        <v>194040</v>
      </c>
      <c r="L214" s="387">
        <v>45748</v>
      </c>
      <c r="M214" s="387">
        <v>46112</v>
      </c>
      <c r="N214" s="680"/>
      <c r="O214" s="680"/>
      <c r="P214" s="363" t="s">
        <v>19</v>
      </c>
      <c r="Q214" s="380" t="s">
        <v>5</v>
      </c>
      <c r="R214" s="380"/>
      <c r="S214" s="394" t="s">
        <v>357</v>
      </c>
      <c r="T214" s="363" t="s">
        <v>1033</v>
      </c>
      <c r="U214" s="390" t="s">
        <v>665</v>
      </c>
      <c r="V214" s="363" t="s">
        <v>1034</v>
      </c>
      <c r="W214" s="390" t="s">
        <v>361</v>
      </c>
      <c r="X214" s="363" t="s">
        <v>782</v>
      </c>
      <c r="Y214" s="363"/>
      <c r="Z214" s="363"/>
      <c r="AA214" s="363"/>
      <c r="AB214" s="363"/>
      <c r="AC214" s="363"/>
      <c r="AD214" s="363"/>
      <c r="AE214" s="363" t="s">
        <v>128</v>
      </c>
      <c r="AF214" s="380" t="s">
        <v>129</v>
      </c>
      <c r="AG214" s="380">
        <v>2</v>
      </c>
      <c r="AH214" s="430" t="s">
        <v>1035</v>
      </c>
    </row>
    <row r="215" spans="2:34" ht="14.4" hidden="1" x14ac:dyDescent="0.3">
      <c r="B215" s="380" t="s">
        <v>14</v>
      </c>
      <c r="C215" s="429" t="s">
        <v>1032</v>
      </c>
      <c r="D215" s="458" t="s">
        <v>1036</v>
      </c>
      <c r="E215" s="419">
        <v>4430017625</v>
      </c>
      <c r="F215" s="753">
        <v>45829</v>
      </c>
      <c r="G215" s="380" t="s">
        <v>55</v>
      </c>
      <c r="H215" s="380">
        <v>3</v>
      </c>
      <c r="I215" s="388">
        <v>350000</v>
      </c>
      <c r="J215" s="380">
        <v>2</v>
      </c>
      <c r="K215" s="389">
        <f t="shared" si="9"/>
        <v>175000</v>
      </c>
      <c r="L215" s="387">
        <v>45839</v>
      </c>
      <c r="M215" s="387">
        <v>46203</v>
      </c>
      <c r="N215" s="680"/>
      <c r="O215" s="680"/>
      <c r="P215" s="363" t="s">
        <v>19</v>
      </c>
      <c r="Q215" s="380" t="s">
        <v>9</v>
      </c>
      <c r="R215" s="380"/>
      <c r="S215" s="390" t="s">
        <v>483</v>
      </c>
      <c r="T215" s="363" t="s">
        <v>423</v>
      </c>
      <c r="U215" s="390" t="s">
        <v>607</v>
      </c>
      <c r="V215" s="363" t="s">
        <v>1850</v>
      </c>
      <c r="W215" s="363"/>
      <c r="X215" s="363"/>
      <c r="Y215" s="363"/>
      <c r="Z215" s="363"/>
      <c r="AA215" s="363"/>
      <c r="AB215" s="363"/>
      <c r="AC215" s="363"/>
      <c r="AD215" s="363"/>
      <c r="AE215" s="363" t="s">
        <v>834</v>
      </c>
      <c r="AF215" s="380" t="s">
        <v>207</v>
      </c>
      <c r="AG215" s="380">
        <v>2</v>
      </c>
      <c r="AH215" s="430" t="s">
        <v>1035</v>
      </c>
    </row>
    <row r="216" spans="2:34" ht="14.4" hidden="1" x14ac:dyDescent="0.3">
      <c r="B216" s="380" t="s">
        <v>14</v>
      </c>
      <c r="C216" s="423" t="s">
        <v>595</v>
      </c>
      <c r="D216" s="418" t="s">
        <v>1000</v>
      </c>
      <c r="E216" s="462">
        <v>3110015090</v>
      </c>
      <c r="F216" s="753">
        <v>45792</v>
      </c>
      <c r="G216" s="380" t="s">
        <v>55</v>
      </c>
      <c r="H216" s="380">
        <v>10</v>
      </c>
      <c r="I216" s="388">
        <v>600000</v>
      </c>
      <c r="J216" s="380">
        <v>3</v>
      </c>
      <c r="K216" s="389">
        <f t="shared" si="9"/>
        <v>200000</v>
      </c>
      <c r="L216" s="387">
        <v>45778</v>
      </c>
      <c r="M216" s="387">
        <v>46142</v>
      </c>
      <c r="N216" s="680"/>
      <c r="O216" s="680"/>
      <c r="P216" s="363" t="s">
        <v>19</v>
      </c>
      <c r="Q216" s="380" t="s">
        <v>6</v>
      </c>
      <c r="R216" s="380"/>
      <c r="S216" s="390" t="s">
        <v>343</v>
      </c>
      <c r="T216" s="363" t="s">
        <v>394</v>
      </c>
      <c r="U216" s="390" t="s">
        <v>345</v>
      </c>
      <c r="V216" s="363" t="s">
        <v>1001</v>
      </c>
      <c r="W216" s="390" t="s">
        <v>347</v>
      </c>
      <c r="X216" s="363" t="s">
        <v>114</v>
      </c>
      <c r="Y216" s="363"/>
      <c r="Z216" s="363"/>
      <c r="AA216" s="363"/>
      <c r="AB216" s="363"/>
      <c r="AC216" s="363"/>
      <c r="AD216" s="363"/>
      <c r="AE216" s="363" t="s">
        <v>507</v>
      </c>
      <c r="AF216" s="380" t="s">
        <v>63</v>
      </c>
      <c r="AG216" s="380">
        <v>3</v>
      </c>
      <c r="AH216" s="363" t="s">
        <v>1037</v>
      </c>
    </row>
    <row r="217" spans="2:34" ht="14.4" hidden="1" x14ac:dyDescent="0.3">
      <c r="B217" s="380" t="s">
        <v>14</v>
      </c>
      <c r="C217" s="412" t="s">
        <v>614</v>
      </c>
      <c r="D217" s="463" t="s">
        <v>1016</v>
      </c>
      <c r="E217" s="414" t="s">
        <v>1038</v>
      </c>
      <c r="F217" s="757">
        <v>45810</v>
      </c>
      <c r="G217" s="380" t="s">
        <v>55</v>
      </c>
      <c r="H217" s="380">
        <v>12</v>
      </c>
      <c r="I217" s="388">
        <f>76440*12</f>
        <v>917280</v>
      </c>
      <c r="J217" s="380">
        <v>3</v>
      </c>
      <c r="K217" s="389"/>
      <c r="L217" s="387">
        <v>45809</v>
      </c>
      <c r="M217" s="387">
        <v>46173</v>
      </c>
      <c r="N217" s="680"/>
      <c r="O217" s="680"/>
      <c r="P217" s="363" t="s">
        <v>19</v>
      </c>
      <c r="Q217" s="380" t="s">
        <v>9</v>
      </c>
      <c r="R217" s="380"/>
      <c r="S217" s="390" t="s">
        <v>81</v>
      </c>
      <c r="T217" s="363" t="s">
        <v>1039</v>
      </c>
      <c r="U217" s="390" t="s">
        <v>83</v>
      </c>
      <c r="V217" s="363" t="s">
        <v>441</v>
      </c>
      <c r="W217" s="390" t="s">
        <v>404</v>
      </c>
      <c r="X217" s="363" t="s">
        <v>1849</v>
      </c>
      <c r="Y217" s="363"/>
      <c r="Z217" s="363"/>
      <c r="AA217" s="363"/>
      <c r="AB217" s="363"/>
      <c r="AC217" s="363"/>
      <c r="AD217" s="363"/>
      <c r="AE217" s="363" t="s">
        <v>619</v>
      </c>
      <c r="AF217" s="380" t="s">
        <v>63</v>
      </c>
      <c r="AG217" s="380">
        <v>3</v>
      </c>
      <c r="AH217" s="431" t="s">
        <v>1040</v>
      </c>
    </row>
    <row r="218" spans="2:34" ht="14.4" hidden="1" x14ac:dyDescent="0.3">
      <c r="B218" s="380" t="s">
        <v>14</v>
      </c>
      <c r="C218" s="409" t="s">
        <v>1041</v>
      </c>
      <c r="D218" s="434" t="s">
        <v>1016</v>
      </c>
      <c r="E218" s="419">
        <v>4220019956</v>
      </c>
      <c r="F218" s="753">
        <v>45802</v>
      </c>
      <c r="G218" s="380" t="s">
        <v>55</v>
      </c>
      <c r="H218" s="380">
        <v>3</v>
      </c>
      <c r="I218" s="388">
        <v>218592</v>
      </c>
      <c r="J218" s="380">
        <v>3</v>
      </c>
      <c r="K218" s="389">
        <f>I218/J218</f>
        <v>72864</v>
      </c>
      <c r="L218" s="387">
        <v>45748</v>
      </c>
      <c r="M218" s="387">
        <v>46112</v>
      </c>
      <c r="N218" s="680"/>
      <c r="O218" s="680"/>
      <c r="P218" s="363" t="s">
        <v>19</v>
      </c>
      <c r="Q218" s="380" t="s">
        <v>3</v>
      </c>
      <c r="R218" s="380"/>
      <c r="S218" s="390" t="s">
        <v>357</v>
      </c>
      <c r="T218" s="363" t="s">
        <v>806</v>
      </c>
      <c r="U218" s="390" t="s">
        <v>665</v>
      </c>
      <c r="V218" s="363" t="s">
        <v>191</v>
      </c>
      <c r="W218" s="390" t="s">
        <v>361</v>
      </c>
      <c r="X218" s="363" t="s">
        <v>1042</v>
      </c>
      <c r="Y218" s="363"/>
      <c r="Z218" s="363"/>
      <c r="AA218" s="363"/>
      <c r="AB218" s="363"/>
      <c r="AC218" s="363"/>
      <c r="AD218" s="363"/>
      <c r="AE218" s="363" t="s">
        <v>619</v>
      </c>
      <c r="AF218" s="380" t="s">
        <v>63</v>
      </c>
      <c r="AG218" s="380">
        <v>3</v>
      </c>
      <c r="AH218" s="363" t="s">
        <v>667</v>
      </c>
    </row>
    <row r="219" spans="2:34" ht="14.4" x14ac:dyDescent="0.3">
      <c r="B219" s="380" t="s">
        <v>14</v>
      </c>
      <c r="C219" s="430" t="s">
        <v>1043</v>
      </c>
      <c r="D219" s="445" t="s">
        <v>151</v>
      </c>
      <c r="E219" s="419">
        <v>8176740</v>
      </c>
      <c r="F219" s="753">
        <v>45832</v>
      </c>
      <c r="G219" s="380" t="s">
        <v>55</v>
      </c>
      <c r="H219" s="380">
        <v>2</v>
      </c>
      <c r="I219" s="388">
        <v>155000</v>
      </c>
      <c r="J219" s="380">
        <v>3</v>
      </c>
      <c r="K219" s="389">
        <f>I219/2</f>
        <v>77500</v>
      </c>
      <c r="L219" s="387">
        <v>45901</v>
      </c>
      <c r="M219" s="387">
        <v>46265</v>
      </c>
      <c r="N219" s="680"/>
      <c r="O219" s="680"/>
      <c r="P219" s="363" t="s">
        <v>520</v>
      </c>
      <c r="Q219" s="380" t="s">
        <v>9</v>
      </c>
      <c r="R219" s="380"/>
      <c r="S219" s="390" t="s">
        <v>345</v>
      </c>
      <c r="T219" s="363" t="s">
        <v>147</v>
      </c>
      <c r="U219" s="390" t="s">
        <v>347</v>
      </c>
      <c r="V219" s="363" t="s">
        <v>1044</v>
      </c>
      <c r="W219" s="363" t="s">
        <v>348</v>
      </c>
      <c r="X219" s="363" t="s">
        <v>1045</v>
      </c>
      <c r="Y219" s="363"/>
      <c r="Z219" s="363"/>
      <c r="AA219" s="363"/>
      <c r="AB219" s="363"/>
      <c r="AC219" s="363"/>
      <c r="AD219" s="363"/>
      <c r="AE219" s="363" t="s">
        <v>478</v>
      </c>
      <c r="AF219" s="380" t="s">
        <v>63</v>
      </c>
      <c r="AG219" s="380">
        <v>3</v>
      </c>
      <c r="AH219" s="430" t="s">
        <v>1046</v>
      </c>
    </row>
    <row r="220" spans="2:34" ht="14.4" hidden="1" x14ac:dyDescent="0.3">
      <c r="B220" s="380" t="s">
        <v>14</v>
      </c>
      <c r="C220" s="412" t="s">
        <v>614</v>
      </c>
      <c r="D220" s="463" t="s">
        <v>1016</v>
      </c>
      <c r="E220" s="414" t="s">
        <v>1047</v>
      </c>
      <c r="F220" s="757">
        <v>45831</v>
      </c>
      <c r="G220" s="380" t="s">
        <v>55</v>
      </c>
      <c r="H220" s="380">
        <v>7</v>
      </c>
      <c r="I220" s="388">
        <v>535080</v>
      </c>
      <c r="J220" s="380">
        <v>3</v>
      </c>
      <c r="K220" s="389"/>
      <c r="L220" s="387">
        <v>45809</v>
      </c>
      <c r="M220" s="387">
        <v>46173</v>
      </c>
      <c r="N220" s="680"/>
      <c r="O220" s="680"/>
      <c r="P220" s="363" t="s">
        <v>19</v>
      </c>
      <c r="Q220" s="380" t="s">
        <v>9</v>
      </c>
      <c r="R220" s="380"/>
      <c r="S220" s="390" t="s">
        <v>81</v>
      </c>
      <c r="T220" s="363" t="s">
        <v>819</v>
      </c>
      <c r="U220" s="390" t="s">
        <v>83</v>
      </c>
      <c r="V220" s="363" t="s">
        <v>903</v>
      </c>
      <c r="W220" s="390" t="s">
        <v>404</v>
      </c>
      <c r="X220" s="363" t="s">
        <v>1854</v>
      </c>
      <c r="Y220" s="363"/>
      <c r="Z220" s="363"/>
      <c r="AA220" s="363"/>
      <c r="AB220" s="363"/>
      <c r="AC220" s="363"/>
      <c r="AD220" s="363"/>
      <c r="AE220" s="363" t="s">
        <v>619</v>
      </c>
      <c r="AF220" s="380" t="s">
        <v>63</v>
      </c>
      <c r="AG220" s="380">
        <v>3</v>
      </c>
      <c r="AH220" s="363" t="s">
        <v>1048</v>
      </c>
    </row>
    <row r="221" spans="2:34" ht="14.4" hidden="1" x14ac:dyDescent="0.3">
      <c r="B221" s="380" t="s">
        <v>14</v>
      </c>
      <c r="C221" s="409" t="s">
        <v>1049</v>
      </c>
      <c r="D221" s="423" t="s">
        <v>447</v>
      </c>
      <c r="E221" s="464">
        <v>3300013521</v>
      </c>
      <c r="F221" s="753">
        <v>45832</v>
      </c>
      <c r="G221" s="380" t="s">
        <v>55</v>
      </c>
      <c r="H221" s="380">
        <v>1</v>
      </c>
      <c r="I221" s="388">
        <v>109500</v>
      </c>
      <c r="J221" s="380">
        <v>4</v>
      </c>
      <c r="K221" s="389">
        <f>I221/J221</f>
        <v>27375</v>
      </c>
      <c r="L221" s="387">
        <v>45778</v>
      </c>
      <c r="M221" s="387">
        <v>46142</v>
      </c>
      <c r="N221" s="680"/>
      <c r="O221" s="680"/>
      <c r="P221" s="363" t="s">
        <v>19</v>
      </c>
      <c r="Q221" s="380" t="s">
        <v>5</v>
      </c>
      <c r="R221" s="380"/>
      <c r="S221" s="390" t="s">
        <v>266</v>
      </c>
      <c r="T221" s="363" t="s">
        <v>145</v>
      </c>
      <c r="U221" s="390" t="s">
        <v>267</v>
      </c>
      <c r="V221" s="363" t="s">
        <v>452</v>
      </c>
      <c r="W221" s="390" t="s">
        <v>269</v>
      </c>
      <c r="X221" s="363" t="s">
        <v>320</v>
      </c>
      <c r="Y221" s="390" t="s">
        <v>442</v>
      </c>
      <c r="Z221" s="363" t="s">
        <v>1050</v>
      </c>
      <c r="AA221" s="363"/>
      <c r="AB221" s="363"/>
      <c r="AC221" s="363"/>
      <c r="AD221" s="363"/>
      <c r="AE221" s="363" t="s">
        <v>281</v>
      </c>
      <c r="AF221" s="380" t="s">
        <v>97</v>
      </c>
      <c r="AG221" s="380" t="s">
        <v>494</v>
      </c>
      <c r="AH221" s="363" t="s">
        <v>667</v>
      </c>
    </row>
    <row r="222" spans="2:34" ht="14.4" hidden="1" x14ac:dyDescent="0.3">
      <c r="B222" s="380" t="s">
        <v>14</v>
      </c>
      <c r="C222" s="409" t="s">
        <v>195</v>
      </c>
      <c r="D222" s="423" t="s">
        <v>1051</v>
      </c>
      <c r="E222" s="464" t="s">
        <v>1052</v>
      </c>
      <c r="F222" s="753">
        <v>45834</v>
      </c>
      <c r="G222" s="380" t="s">
        <v>55</v>
      </c>
      <c r="H222" s="380">
        <v>6</v>
      </c>
      <c r="I222" s="388">
        <v>497859.84000000003</v>
      </c>
      <c r="J222" s="380">
        <v>3</v>
      </c>
      <c r="K222" s="389">
        <f>I222/J222</f>
        <v>165953.28</v>
      </c>
      <c r="L222" s="387">
        <v>45834</v>
      </c>
      <c r="M222" s="387">
        <v>46198</v>
      </c>
      <c r="N222" s="680"/>
      <c r="O222" s="680"/>
      <c r="P222" s="363" t="s">
        <v>19</v>
      </c>
      <c r="Q222" s="380" t="s">
        <v>9</v>
      </c>
      <c r="R222" s="380"/>
      <c r="S222" s="390" t="s">
        <v>1053</v>
      </c>
      <c r="T222" s="363" t="s">
        <v>1054</v>
      </c>
      <c r="U222" s="390" t="s">
        <v>1055</v>
      </c>
      <c r="V222" s="363" t="s">
        <v>1056</v>
      </c>
      <c r="W222" s="390" t="s">
        <v>1057</v>
      </c>
      <c r="X222" s="363" t="s">
        <v>1855</v>
      </c>
      <c r="Y222" s="363"/>
      <c r="Z222" s="363"/>
      <c r="AA222" s="363"/>
      <c r="AB222" s="363"/>
      <c r="AC222" s="363"/>
      <c r="AD222" s="363"/>
      <c r="AE222" s="363" t="s">
        <v>281</v>
      </c>
      <c r="AF222" s="380" t="s">
        <v>97</v>
      </c>
      <c r="AG222" s="380">
        <v>3</v>
      </c>
      <c r="AH222" s="363" t="s">
        <v>667</v>
      </c>
    </row>
    <row r="223" spans="2:34" ht="14.4" hidden="1" x14ac:dyDescent="0.3">
      <c r="B223" s="380" t="s">
        <v>14</v>
      </c>
      <c r="C223" s="412" t="s">
        <v>614</v>
      </c>
      <c r="D223" s="437" t="s">
        <v>447</v>
      </c>
      <c r="E223" s="465" t="s">
        <v>1058</v>
      </c>
      <c r="F223" s="753">
        <v>45821</v>
      </c>
      <c r="G223" s="380" t="s">
        <v>55</v>
      </c>
      <c r="H223" s="380">
        <v>15</v>
      </c>
      <c r="I223" s="388">
        <v>1146600</v>
      </c>
      <c r="J223" s="380">
        <v>3</v>
      </c>
      <c r="K223" s="389"/>
      <c r="L223" s="387">
        <v>45809</v>
      </c>
      <c r="M223" s="387">
        <v>46173</v>
      </c>
      <c r="N223" s="680"/>
      <c r="O223" s="680"/>
      <c r="P223" s="363" t="s">
        <v>19</v>
      </c>
      <c r="Q223" s="380" t="s">
        <v>6</v>
      </c>
      <c r="R223" s="380"/>
      <c r="S223" s="390" t="s">
        <v>81</v>
      </c>
      <c r="T223" s="363" t="s">
        <v>811</v>
      </c>
      <c r="U223" s="390" t="s">
        <v>83</v>
      </c>
      <c r="V223" s="363" t="s">
        <v>1059</v>
      </c>
      <c r="W223" s="390" t="s">
        <v>404</v>
      </c>
      <c r="X223" s="363" t="s">
        <v>688</v>
      </c>
      <c r="Y223" s="363"/>
      <c r="Z223" s="363"/>
      <c r="AA223" s="363"/>
      <c r="AB223" s="363"/>
      <c r="AC223" s="363"/>
      <c r="AD223" s="363"/>
      <c r="AE223" s="363" t="s">
        <v>281</v>
      </c>
      <c r="AF223" s="380" t="s">
        <v>97</v>
      </c>
      <c r="AG223" s="380">
        <v>3</v>
      </c>
      <c r="AH223" s="363" t="s">
        <v>1060</v>
      </c>
    </row>
    <row r="224" spans="2:34" ht="15" hidden="1" customHeight="1" x14ac:dyDescent="0.3">
      <c r="B224" s="380" t="s">
        <v>14</v>
      </c>
      <c r="C224" s="412" t="s">
        <v>789</v>
      </c>
      <c r="D224" s="437" t="s">
        <v>629</v>
      </c>
      <c r="E224" s="426">
        <v>8480224138</v>
      </c>
      <c r="F224" s="753">
        <v>45818</v>
      </c>
      <c r="G224" s="380" t="s">
        <v>55</v>
      </c>
      <c r="H224" s="380">
        <v>10</v>
      </c>
      <c r="I224" s="388">
        <v>764400</v>
      </c>
      <c r="J224" s="380">
        <v>3</v>
      </c>
      <c r="K224" s="389"/>
      <c r="L224" s="387">
        <v>45809</v>
      </c>
      <c r="M224" s="387">
        <v>46173</v>
      </c>
      <c r="N224" s="680"/>
      <c r="O224" s="680"/>
      <c r="P224" s="363" t="s">
        <v>19</v>
      </c>
      <c r="Q224" s="380" t="s">
        <v>6</v>
      </c>
      <c r="R224" s="380"/>
      <c r="S224" s="390" t="s">
        <v>81</v>
      </c>
      <c r="T224" s="363" t="s">
        <v>492</v>
      </c>
      <c r="U224" s="390" t="s">
        <v>83</v>
      </c>
      <c r="V224" s="363" t="s">
        <v>346</v>
      </c>
      <c r="W224" s="390" t="s">
        <v>404</v>
      </c>
      <c r="X224" s="363" t="s">
        <v>1719</v>
      </c>
      <c r="Y224" s="363"/>
      <c r="Z224" s="363"/>
      <c r="AA224" s="363"/>
      <c r="AB224" s="363"/>
      <c r="AC224" s="363"/>
      <c r="AD224" s="363"/>
      <c r="AE224" s="363" t="s">
        <v>485</v>
      </c>
      <c r="AF224" s="380" t="s">
        <v>63</v>
      </c>
      <c r="AG224" s="380">
        <v>3</v>
      </c>
      <c r="AH224" s="363" t="s">
        <v>1060</v>
      </c>
    </row>
    <row r="225" spans="2:34" ht="14.4" hidden="1" x14ac:dyDescent="0.3">
      <c r="B225" s="380" t="s">
        <v>14</v>
      </c>
      <c r="C225" s="409" t="s">
        <v>1061</v>
      </c>
      <c r="D225" s="423" t="s">
        <v>841</v>
      </c>
      <c r="E225" s="464">
        <v>326050136</v>
      </c>
      <c r="F225" s="753">
        <v>45831</v>
      </c>
      <c r="G225" s="380" t="s">
        <v>55</v>
      </c>
      <c r="H225" s="380">
        <v>1</v>
      </c>
      <c r="I225" s="388">
        <v>90000</v>
      </c>
      <c r="J225" s="380">
        <v>3</v>
      </c>
      <c r="K225" s="389">
        <f t="shared" ref="K225:K232" si="10">I225/J225</f>
        <v>30000</v>
      </c>
      <c r="L225" s="387">
        <v>45809</v>
      </c>
      <c r="M225" s="387">
        <v>46173</v>
      </c>
      <c r="N225" s="680"/>
      <c r="O225" s="680"/>
      <c r="P225" s="363" t="s">
        <v>19</v>
      </c>
      <c r="Q225" s="380" t="s">
        <v>6</v>
      </c>
      <c r="R225" s="380" t="s">
        <v>1</v>
      </c>
      <c r="S225" s="390" t="s">
        <v>81</v>
      </c>
      <c r="T225" s="363" t="s">
        <v>431</v>
      </c>
      <c r="U225" s="390" t="s">
        <v>83</v>
      </c>
      <c r="V225" s="363" t="s">
        <v>765</v>
      </c>
      <c r="W225" s="390" t="s">
        <v>404</v>
      </c>
      <c r="X225" s="363" t="s">
        <v>820</v>
      </c>
      <c r="Y225" s="363"/>
      <c r="Z225" s="363"/>
      <c r="AA225" s="363"/>
      <c r="AB225" s="363"/>
      <c r="AC225" s="363"/>
      <c r="AD225" s="363"/>
      <c r="AE225" s="363" t="s">
        <v>485</v>
      </c>
      <c r="AF225" s="380" t="s">
        <v>63</v>
      </c>
      <c r="AG225" s="380">
        <v>3</v>
      </c>
      <c r="AH225" s="363" t="s">
        <v>667</v>
      </c>
    </row>
    <row r="226" spans="2:34" ht="14.4" hidden="1" x14ac:dyDescent="0.3">
      <c r="B226" s="380" t="s">
        <v>14</v>
      </c>
      <c r="C226" s="409" t="s">
        <v>1062</v>
      </c>
      <c r="D226" s="434" t="s">
        <v>388</v>
      </c>
      <c r="E226" s="419">
        <v>3006483602</v>
      </c>
      <c r="F226" s="753">
        <v>45840</v>
      </c>
      <c r="G226" s="380" t="s">
        <v>55</v>
      </c>
      <c r="H226" s="380">
        <v>1</v>
      </c>
      <c r="I226" s="388">
        <v>87500</v>
      </c>
      <c r="J226" s="380">
        <v>2</v>
      </c>
      <c r="K226" s="389">
        <f t="shared" si="10"/>
        <v>43750</v>
      </c>
      <c r="L226" s="387">
        <v>45839</v>
      </c>
      <c r="M226" s="797">
        <v>46203</v>
      </c>
      <c r="N226" s="682"/>
      <c r="O226" s="682"/>
      <c r="P226" s="363" t="s">
        <v>19</v>
      </c>
      <c r="Q226" s="380" t="s">
        <v>9</v>
      </c>
      <c r="R226" s="380"/>
      <c r="S226" s="390" t="s">
        <v>483</v>
      </c>
      <c r="T226" s="363" t="s">
        <v>709</v>
      </c>
      <c r="U226" s="390" t="s">
        <v>607</v>
      </c>
      <c r="V226" s="363" t="s">
        <v>1856</v>
      </c>
      <c r="W226" s="363"/>
      <c r="X226" s="363"/>
      <c r="Y226" s="363"/>
      <c r="Z226" s="363"/>
      <c r="AA226" s="363"/>
      <c r="AB226" s="363"/>
      <c r="AC226" s="363"/>
      <c r="AD226" s="363"/>
      <c r="AE226" s="363" t="s">
        <v>619</v>
      </c>
      <c r="AF226" s="380" t="s">
        <v>63</v>
      </c>
      <c r="AG226" s="380">
        <v>2</v>
      </c>
      <c r="AH226" s="363" t="s">
        <v>799</v>
      </c>
    </row>
    <row r="227" spans="2:34" ht="14.4" hidden="1" x14ac:dyDescent="0.3">
      <c r="B227" s="380" t="s">
        <v>14</v>
      </c>
      <c r="C227" s="430" t="s">
        <v>1063</v>
      </c>
      <c r="D227" s="445" t="s">
        <v>151</v>
      </c>
      <c r="E227" s="419" t="s">
        <v>1064</v>
      </c>
      <c r="F227" s="753">
        <v>45723</v>
      </c>
      <c r="G227" s="380" t="s">
        <v>55</v>
      </c>
      <c r="H227" s="380">
        <v>4</v>
      </c>
      <c r="I227" s="388">
        <v>340000</v>
      </c>
      <c r="J227" s="380">
        <v>3</v>
      </c>
      <c r="K227" s="389">
        <f t="shared" si="10"/>
        <v>113333.33333333333</v>
      </c>
      <c r="L227" s="387">
        <v>45839</v>
      </c>
      <c r="M227" s="797">
        <v>46203</v>
      </c>
      <c r="N227" s="682">
        <v>154516</v>
      </c>
      <c r="O227" s="682">
        <v>4897</v>
      </c>
      <c r="P227" s="363" t="s">
        <v>19</v>
      </c>
      <c r="Q227" s="380" t="s">
        <v>9</v>
      </c>
      <c r="R227" s="380" t="s">
        <v>1</v>
      </c>
      <c r="S227" s="390" t="s">
        <v>190</v>
      </c>
      <c r="T227" s="363" t="s">
        <v>886</v>
      </c>
      <c r="U227" s="390" t="s">
        <v>192</v>
      </c>
      <c r="V227" s="363" t="s">
        <v>1065</v>
      </c>
      <c r="W227" s="390" t="s">
        <v>194</v>
      </c>
      <c r="X227" s="363" t="s">
        <v>1515</v>
      </c>
      <c r="Y227" s="363"/>
      <c r="Z227" s="363"/>
      <c r="AA227" s="363"/>
      <c r="AB227" s="363"/>
      <c r="AC227" s="363"/>
      <c r="AD227" s="363"/>
      <c r="AE227" s="363" t="s">
        <v>507</v>
      </c>
      <c r="AF227" s="380" t="s">
        <v>63</v>
      </c>
      <c r="AG227" s="380">
        <v>3</v>
      </c>
      <c r="AH227" s="363" t="s">
        <v>1066</v>
      </c>
    </row>
    <row r="228" spans="2:34" ht="14.4" hidden="1" x14ac:dyDescent="0.3">
      <c r="B228" s="380" t="s">
        <v>14</v>
      </c>
      <c r="C228" s="412" t="s">
        <v>614</v>
      </c>
      <c r="D228" s="444" t="s">
        <v>447</v>
      </c>
      <c r="E228" s="467" t="s">
        <v>1067</v>
      </c>
      <c r="F228" s="753">
        <v>45827</v>
      </c>
      <c r="G228" s="380" t="s">
        <v>55</v>
      </c>
      <c r="H228" s="380">
        <v>1</v>
      </c>
      <c r="I228" s="388">
        <v>76440</v>
      </c>
      <c r="J228" s="380">
        <v>3</v>
      </c>
      <c r="K228" s="389">
        <f t="shared" si="10"/>
        <v>25480</v>
      </c>
      <c r="L228" s="387">
        <v>45809</v>
      </c>
      <c r="M228" s="797">
        <v>46173</v>
      </c>
      <c r="N228" s="682"/>
      <c r="O228" s="682"/>
      <c r="P228" s="363" t="s">
        <v>19</v>
      </c>
      <c r="Q228" s="380" t="s">
        <v>6</v>
      </c>
      <c r="R228" s="380"/>
      <c r="S228" s="394" t="s">
        <v>81</v>
      </c>
      <c r="T228" s="363" t="s">
        <v>431</v>
      </c>
      <c r="U228" s="390" t="s">
        <v>83</v>
      </c>
      <c r="V228" s="363" t="s">
        <v>1059</v>
      </c>
      <c r="W228" s="390" t="s">
        <v>887</v>
      </c>
      <c r="X228" s="363" t="s">
        <v>712</v>
      </c>
      <c r="Y228" s="363"/>
      <c r="Z228" s="363"/>
      <c r="AA228" s="363"/>
      <c r="AB228" s="363"/>
      <c r="AC228" s="363"/>
      <c r="AD228" s="363"/>
      <c r="AE228" s="363" t="s">
        <v>281</v>
      </c>
      <c r="AF228" s="380" t="s">
        <v>97</v>
      </c>
      <c r="AG228" s="380">
        <v>3</v>
      </c>
      <c r="AH228" s="363" t="s">
        <v>1068</v>
      </c>
    </row>
    <row r="229" spans="2:34" ht="14.4" hidden="1" x14ac:dyDescent="0.3">
      <c r="B229" s="380" t="s">
        <v>14</v>
      </c>
      <c r="C229" s="409" t="s">
        <v>1069</v>
      </c>
      <c r="D229" s="445" t="s">
        <v>151</v>
      </c>
      <c r="E229" s="419">
        <v>4400012768</v>
      </c>
      <c r="F229" s="753">
        <v>45845</v>
      </c>
      <c r="G229" s="380" t="s">
        <v>55</v>
      </c>
      <c r="H229" s="380">
        <v>1</v>
      </c>
      <c r="I229" s="388">
        <v>46000</v>
      </c>
      <c r="J229" s="380">
        <v>3</v>
      </c>
      <c r="K229" s="389">
        <f t="shared" si="10"/>
        <v>15333.333333333334</v>
      </c>
      <c r="L229" s="387">
        <v>45839</v>
      </c>
      <c r="M229" s="387">
        <v>46203</v>
      </c>
      <c r="N229" s="680"/>
      <c r="O229" s="680"/>
      <c r="P229" s="363" t="s">
        <v>19</v>
      </c>
      <c r="Q229" s="380" t="s">
        <v>9</v>
      </c>
      <c r="R229" s="380"/>
      <c r="S229" s="390" t="s">
        <v>190</v>
      </c>
      <c r="T229" s="363" t="s">
        <v>611</v>
      </c>
      <c r="U229" s="390" t="s">
        <v>192</v>
      </c>
      <c r="V229" s="363" t="s">
        <v>430</v>
      </c>
      <c r="W229" s="390" t="s">
        <v>194</v>
      </c>
      <c r="X229" s="363" t="s">
        <v>1712</v>
      </c>
      <c r="Y229" s="363"/>
      <c r="Z229" s="363"/>
      <c r="AA229" s="363"/>
      <c r="AB229" s="363"/>
      <c r="AC229" s="363"/>
      <c r="AD229" s="363"/>
      <c r="AE229" s="363" t="s">
        <v>478</v>
      </c>
      <c r="AF229" s="380" t="s">
        <v>63</v>
      </c>
      <c r="AG229" s="380">
        <v>5</v>
      </c>
      <c r="AH229" s="363" t="s">
        <v>667</v>
      </c>
    </row>
    <row r="230" spans="2:34" ht="14.4" hidden="1" x14ac:dyDescent="0.3">
      <c r="B230" s="380" t="s">
        <v>14</v>
      </c>
      <c r="C230" s="409" t="s">
        <v>954</v>
      </c>
      <c r="D230" s="423" t="s">
        <v>1070</v>
      </c>
      <c r="E230" s="419">
        <v>4601465628</v>
      </c>
      <c r="F230" s="753">
        <v>45845</v>
      </c>
      <c r="G230" s="380" t="s">
        <v>55</v>
      </c>
      <c r="H230" s="380">
        <v>1</v>
      </c>
      <c r="I230" s="388">
        <v>85000</v>
      </c>
      <c r="J230" s="380">
        <v>1</v>
      </c>
      <c r="K230" s="389">
        <f t="shared" si="10"/>
        <v>85000</v>
      </c>
      <c r="L230" s="387">
        <v>45839</v>
      </c>
      <c r="M230" s="387">
        <v>46203</v>
      </c>
      <c r="N230" s="680"/>
      <c r="O230" s="680"/>
      <c r="P230" s="363" t="s">
        <v>19</v>
      </c>
      <c r="Q230" s="380" t="s">
        <v>9</v>
      </c>
      <c r="R230" s="380"/>
      <c r="S230" s="390" t="s">
        <v>1071</v>
      </c>
      <c r="T230" s="363" t="s">
        <v>618</v>
      </c>
      <c r="U230" s="363"/>
      <c r="V230" s="363"/>
      <c r="W230" s="363"/>
      <c r="X230" s="363"/>
      <c r="Y230" s="363"/>
      <c r="Z230" s="363"/>
      <c r="AA230" s="363"/>
      <c r="AB230" s="363"/>
      <c r="AC230" s="363"/>
      <c r="AD230" s="363"/>
      <c r="AE230" s="363" t="s">
        <v>478</v>
      </c>
      <c r="AF230" s="380" t="s">
        <v>63</v>
      </c>
      <c r="AG230" s="380">
        <v>3</v>
      </c>
      <c r="AH230" s="363" t="s">
        <v>667</v>
      </c>
    </row>
    <row r="231" spans="2:34" ht="14.4" hidden="1" x14ac:dyDescent="0.3">
      <c r="B231" s="380" t="s">
        <v>14</v>
      </c>
      <c r="C231" s="409" t="s">
        <v>954</v>
      </c>
      <c r="D231" s="423" t="s">
        <v>1072</v>
      </c>
      <c r="E231" s="419">
        <v>4601465566</v>
      </c>
      <c r="F231" s="753">
        <v>45845</v>
      </c>
      <c r="G231" s="380" t="s">
        <v>55</v>
      </c>
      <c r="H231" s="380">
        <v>1</v>
      </c>
      <c r="I231" s="388">
        <v>85000</v>
      </c>
      <c r="J231" s="380">
        <v>1</v>
      </c>
      <c r="K231" s="389">
        <f t="shared" si="10"/>
        <v>85000</v>
      </c>
      <c r="L231" s="387">
        <v>45839</v>
      </c>
      <c r="M231" s="387">
        <v>46203</v>
      </c>
      <c r="N231" s="680"/>
      <c r="O231" s="680"/>
      <c r="P231" s="363" t="s">
        <v>19</v>
      </c>
      <c r="Q231" s="380" t="s">
        <v>9</v>
      </c>
      <c r="R231" s="380"/>
      <c r="S231" s="390" t="s">
        <v>1071</v>
      </c>
      <c r="T231" s="363" t="s">
        <v>618</v>
      </c>
      <c r="U231" s="363"/>
      <c r="V231" s="363"/>
      <c r="W231" s="363"/>
      <c r="X231" s="363"/>
      <c r="Y231" s="363"/>
      <c r="Z231" s="363"/>
      <c r="AA231" s="363"/>
      <c r="AB231" s="363"/>
      <c r="AC231" s="363"/>
      <c r="AD231" s="363"/>
      <c r="AE231" s="363" t="s">
        <v>478</v>
      </c>
      <c r="AF231" s="380" t="s">
        <v>63</v>
      </c>
      <c r="AG231" s="380">
        <v>3</v>
      </c>
      <c r="AH231" s="363" t="s">
        <v>667</v>
      </c>
    </row>
    <row r="232" spans="2:34" ht="14.4" x14ac:dyDescent="0.3">
      <c r="B232" s="380" t="s">
        <v>14</v>
      </c>
      <c r="C232" s="409" t="s">
        <v>1073</v>
      </c>
      <c r="D232" s="423" t="s">
        <v>1074</v>
      </c>
      <c r="E232" s="468">
        <v>440000458</v>
      </c>
      <c r="F232" s="753">
        <v>45834</v>
      </c>
      <c r="G232" s="380" t="s">
        <v>55</v>
      </c>
      <c r="H232" s="380"/>
      <c r="I232" s="452">
        <v>243000</v>
      </c>
      <c r="J232" s="380">
        <v>2</v>
      </c>
      <c r="K232" s="389">
        <f t="shared" si="10"/>
        <v>121500</v>
      </c>
      <c r="L232" s="387">
        <v>45839</v>
      </c>
      <c r="M232" s="387">
        <v>46022</v>
      </c>
      <c r="N232" s="680"/>
      <c r="O232" s="680"/>
      <c r="P232" s="363" t="s">
        <v>520</v>
      </c>
      <c r="Q232" s="380" t="s">
        <v>11</v>
      </c>
      <c r="R232" s="380" t="s">
        <v>1</v>
      </c>
      <c r="S232" s="390" t="s">
        <v>168</v>
      </c>
      <c r="T232" s="363" t="s">
        <v>505</v>
      </c>
      <c r="U232" s="390" t="s">
        <v>228</v>
      </c>
      <c r="V232" s="363" t="s">
        <v>1075</v>
      </c>
      <c r="W232" s="363"/>
      <c r="X232" s="363"/>
      <c r="Y232" s="363"/>
      <c r="Z232" s="363"/>
      <c r="AA232" s="363"/>
      <c r="AB232" s="363"/>
      <c r="AC232" s="363"/>
      <c r="AD232" s="363"/>
      <c r="AE232" s="363" t="s">
        <v>551</v>
      </c>
      <c r="AF232" s="380" t="s">
        <v>207</v>
      </c>
      <c r="AG232" s="380">
        <v>2</v>
      </c>
      <c r="AH232" s="363" t="s">
        <v>1076</v>
      </c>
    </row>
    <row r="233" spans="2:34" ht="14.4" x14ac:dyDescent="0.3">
      <c r="B233" s="380" t="s">
        <v>14</v>
      </c>
      <c r="C233" s="409" t="s">
        <v>1073</v>
      </c>
      <c r="D233" s="423" t="s">
        <v>1074</v>
      </c>
      <c r="E233" s="468">
        <v>440000458</v>
      </c>
      <c r="F233" s="753">
        <v>45834</v>
      </c>
      <c r="G233" s="380" t="s">
        <v>55</v>
      </c>
      <c r="H233" s="380"/>
      <c r="I233" s="452">
        <v>518700</v>
      </c>
      <c r="J233" s="380">
        <v>3</v>
      </c>
      <c r="K233" s="389">
        <f>I233/2</f>
        <v>259350</v>
      </c>
      <c r="L233" s="387">
        <v>46023</v>
      </c>
      <c r="M233" s="387">
        <v>46387</v>
      </c>
      <c r="N233" s="680"/>
      <c r="O233" s="680"/>
      <c r="P233" s="363" t="s">
        <v>520</v>
      </c>
      <c r="Q233" s="380" t="s">
        <v>11</v>
      </c>
      <c r="R233" s="380" t="s">
        <v>1</v>
      </c>
      <c r="S233" s="390" t="s">
        <v>347</v>
      </c>
      <c r="T233" s="363" t="s">
        <v>1056</v>
      </c>
      <c r="U233" s="390" t="s">
        <v>348</v>
      </c>
      <c r="V233" s="363" t="s">
        <v>1942</v>
      </c>
      <c r="W233" s="363" t="s">
        <v>349</v>
      </c>
      <c r="X233" s="363"/>
      <c r="Y233" s="363"/>
      <c r="Z233" s="363"/>
      <c r="AA233" s="363"/>
      <c r="AB233" s="363"/>
      <c r="AC233" s="363"/>
      <c r="AD233" s="363"/>
      <c r="AE233" s="363" t="s">
        <v>551</v>
      </c>
      <c r="AF233" s="380" t="s">
        <v>207</v>
      </c>
      <c r="AG233" s="380">
        <v>3</v>
      </c>
      <c r="AH233" s="363" t="s">
        <v>1076</v>
      </c>
    </row>
    <row r="234" spans="2:34" ht="14.4" x14ac:dyDescent="0.3">
      <c r="B234" s="380" t="s">
        <v>14</v>
      </c>
      <c r="C234" s="409" t="s">
        <v>1073</v>
      </c>
      <c r="D234" s="423" t="s">
        <v>1074</v>
      </c>
      <c r="E234" s="468">
        <v>440000458</v>
      </c>
      <c r="F234" s="753">
        <v>45834</v>
      </c>
      <c r="G234" s="380" t="s">
        <v>55</v>
      </c>
      <c r="H234" s="380">
        <v>3</v>
      </c>
      <c r="I234" s="452">
        <v>518700</v>
      </c>
      <c r="J234" s="380">
        <v>3</v>
      </c>
      <c r="K234" s="389">
        <f>I234/2</f>
        <v>259350</v>
      </c>
      <c r="L234" s="387">
        <v>46388</v>
      </c>
      <c r="M234" s="387">
        <v>46752</v>
      </c>
      <c r="N234" s="680"/>
      <c r="O234" s="680"/>
      <c r="P234" s="363" t="s">
        <v>520</v>
      </c>
      <c r="Q234" s="380" t="s">
        <v>11</v>
      </c>
      <c r="R234" s="380" t="s">
        <v>1</v>
      </c>
      <c r="S234" s="363" t="s">
        <v>738</v>
      </c>
      <c r="T234" s="363"/>
      <c r="U234" s="363" t="s">
        <v>1077</v>
      </c>
      <c r="V234" s="363" t="s">
        <v>1659</v>
      </c>
      <c r="W234" s="363" t="s">
        <v>1078</v>
      </c>
      <c r="X234" s="363"/>
      <c r="Y234" s="363"/>
      <c r="Z234" s="363"/>
      <c r="AA234" s="363"/>
      <c r="AB234" s="363"/>
      <c r="AC234" s="363"/>
      <c r="AD234" s="363"/>
      <c r="AE234" s="363" t="s">
        <v>551</v>
      </c>
      <c r="AF234" s="380" t="s">
        <v>207</v>
      </c>
      <c r="AG234" s="380">
        <v>3</v>
      </c>
      <c r="AH234" s="363" t="s">
        <v>1076</v>
      </c>
    </row>
    <row r="235" spans="2:34" ht="14.4" hidden="1" x14ac:dyDescent="0.3">
      <c r="B235" s="380" t="s">
        <v>14</v>
      </c>
      <c r="C235" s="409" t="s">
        <v>775</v>
      </c>
      <c r="D235" s="423" t="s">
        <v>1079</v>
      </c>
      <c r="E235" s="419">
        <v>2700033067</v>
      </c>
      <c r="F235" s="753">
        <v>45848</v>
      </c>
      <c r="G235" s="380" t="s">
        <v>55</v>
      </c>
      <c r="H235" s="380">
        <v>2</v>
      </c>
      <c r="I235" s="388">
        <v>160000</v>
      </c>
      <c r="J235" s="380">
        <v>3</v>
      </c>
      <c r="K235" s="389">
        <f>I235/J235</f>
        <v>53333.333333333336</v>
      </c>
      <c r="L235" s="387">
        <v>45870</v>
      </c>
      <c r="M235" s="387">
        <v>46234</v>
      </c>
      <c r="N235" s="680"/>
      <c r="O235" s="680"/>
      <c r="P235" s="363" t="s">
        <v>19</v>
      </c>
      <c r="Q235" s="380" t="s">
        <v>11</v>
      </c>
      <c r="R235" s="380"/>
      <c r="S235" s="390" t="s">
        <v>665</v>
      </c>
      <c r="T235" s="363" t="s">
        <v>966</v>
      </c>
      <c r="U235" s="390" t="s">
        <v>361</v>
      </c>
      <c r="V235" s="363" t="s">
        <v>193</v>
      </c>
      <c r="W235" s="390" t="s">
        <v>1080</v>
      </c>
      <c r="X235" s="363" t="s">
        <v>1858</v>
      </c>
      <c r="Y235" s="363"/>
      <c r="Z235" s="363"/>
      <c r="AA235" s="363"/>
      <c r="AB235" s="363"/>
      <c r="AC235" s="363"/>
      <c r="AD235" s="363"/>
      <c r="AE235" s="363" t="s">
        <v>551</v>
      </c>
      <c r="AF235" s="380" t="s">
        <v>207</v>
      </c>
      <c r="AG235" s="380">
        <v>3</v>
      </c>
      <c r="AH235" s="446">
        <v>1</v>
      </c>
    </row>
    <row r="236" spans="2:34" ht="15" hidden="1" customHeight="1" x14ac:dyDescent="0.3">
      <c r="B236" s="380" t="s">
        <v>14</v>
      </c>
      <c r="C236" s="409" t="s">
        <v>195</v>
      </c>
      <c r="D236" s="423" t="s">
        <v>447</v>
      </c>
      <c r="E236" s="464" t="s">
        <v>1081</v>
      </c>
      <c r="F236" s="753">
        <v>45852</v>
      </c>
      <c r="G236" s="380" t="s">
        <v>55</v>
      </c>
      <c r="H236" s="380">
        <v>1</v>
      </c>
      <c r="I236" s="388">
        <v>65500</v>
      </c>
      <c r="J236" s="380">
        <v>4</v>
      </c>
      <c r="K236" s="389">
        <f>I236/J236</f>
        <v>16375</v>
      </c>
      <c r="L236" s="387">
        <v>45853</v>
      </c>
      <c r="M236" s="387">
        <v>46217</v>
      </c>
      <c r="N236" s="680"/>
      <c r="O236" s="680"/>
      <c r="P236" s="363" t="s">
        <v>19</v>
      </c>
      <c r="Q236" s="380" t="s">
        <v>11</v>
      </c>
      <c r="R236" s="380"/>
      <c r="S236" s="390" t="s">
        <v>1082</v>
      </c>
      <c r="T236" s="363" t="s">
        <v>623</v>
      </c>
      <c r="U236" s="390" t="s">
        <v>1083</v>
      </c>
      <c r="V236" s="363" t="s">
        <v>865</v>
      </c>
      <c r="W236" s="390" t="s">
        <v>1084</v>
      </c>
      <c r="X236" s="363" t="s">
        <v>1085</v>
      </c>
      <c r="Y236" s="390" t="s">
        <v>1086</v>
      </c>
      <c r="Z236" s="363" t="s">
        <v>1943</v>
      </c>
      <c r="AA236" s="363"/>
      <c r="AB236" s="363"/>
      <c r="AC236" s="363"/>
      <c r="AD236" s="363"/>
      <c r="AE236" s="363" t="s">
        <v>96</v>
      </c>
      <c r="AF236" s="380" t="s">
        <v>97</v>
      </c>
      <c r="AG236" s="380" t="s">
        <v>494</v>
      </c>
      <c r="AH236" s="363" t="s">
        <v>667</v>
      </c>
    </row>
    <row r="237" spans="2:34" ht="14.4" hidden="1" x14ac:dyDescent="0.3">
      <c r="B237" s="380" t="s">
        <v>14</v>
      </c>
      <c r="C237" s="409" t="s">
        <v>1087</v>
      </c>
      <c r="D237" s="423" t="s">
        <v>1088</v>
      </c>
      <c r="E237" s="464" t="s">
        <v>1089</v>
      </c>
      <c r="F237" s="753">
        <v>45854</v>
      </c>
      <c r="G237" s="380" t="s">
        <v>55</v>
      </c>
      <c r="H237" s="380">
        <v>2</v>
      </c>
      <c r="I237" s="388">
        <v>240000</v>
      </c>
      <c r="J237" s="380">
        <v>3</v>
      </c>
      <c r="K237" s="389">
        <f>I237/J237</f>
        <v>80000</v>
      </c>
      <c r="L237" s="387">
        <v>45870</v>
      </c>
      <c r="M237" s="387">
        <v>46234</v>
      </c>
      <c r="N237" s="680"/>
      <c r="O237" s="680"/>
      <c r="P237" s="363" t="s">
        <v>19</v>
      </c>
      <c r="Q237" s="380" t="s">
        <v>11</v>
      </c>
      <c r="R237" s="380"/>
      <c r="S237" s="390" t="s">
        <v>665</v>
      </c>
      <c r="T237" s="363" t="s">
        <v>1003</v>
      </c>
      <c r="U237" s="390" t="s">
        <v>361</v>
      </c>
      <c r="V237" s="363" t="s">
        <v>844</v>
      </c>
      <c r="W237" s="390" t="s">
        <v>1080</v>
      </c>
      <c r="X237" s="363" t="s">
        <v>1944</v>
      </c>
      <c r="Y237" s="363"/>
      <c r="Z237" s="363"/>
      <c r="AA237" s="363"/>
      <c r="AB237" s="363"/>
      <c r="AC237" s="363"/>
      <c r="AD237" s="363"/>
      <c r="AE237" s="363" t="s">
        <v>96</v>
      </c>
      <c r="AF237" s="380" t="s">
        <v>97</v>
      </c>
      <c r="AG237" s="380">
        <v>4</v>
      </c>
      <c r="AH237" s="363" t="s">
        <v>667</v>
      </c>
    </row>
    <row r="238" spans="2:34" ht="14.4" hidden="1" x14ac:dyDescent="0.3">
      <c r="B238" s="380" t="s">
        <v>14</v>
      </c>
      <c r="C238" s="409" t="s">
        <v>845</v>
      </c>
      <c r="D238" s="423" t="s">
        <v>846</v>
      </c>
      <c r="E238" s="464">
        <v>901968953</v>
      </c>
      <c r="F238" s="753">
        <v>45804</v>
      </c>
      <c r="G238" s="380" t="s">
        <v>55</v>
      </c>
      <c r="H238" s="380">
        <v>1</v>
      </c>
      <c r="I238" s="388">
        <v>98000</v>
      </c>
      <c r="J238" s="380">
        <v>3</v>
      </c>
      <c r="K238" s="389">
        <f>98000/2</f>
        <v>49000</v>
      </c>
      <c r="L238" s="387">
        <v>45848</v>
      </c>
      <c r="M238" s="387">
        <v>46212</v>
      </c>
      <c r="N238" s="680"/>
      <c r="O238" s="680"/>
      <c r="P238" s="363" t="s">
        <v>19</v>
      </c>
      <c r="Q238" s="380" t="s">
        <v>11</v>
      </c>
      <c r="R238" s="380"/>
      <c r="S238" s="390" t="s">
        <v>729</v>
      </c>
      <c r="T238" s="363" t="s">
        <v>1090</v>
      </c>
      <c r="U238" s="390" t="s">
        <v>731</v>
      </c>
      <c r="V238" s="363" t="s">
        <v>1091</v>
      </c>
      <c r="W238" s="390" t="s">
        <v>1092</v>
      </c>
      <c r="X238" s="363" t="s">
        <v>1093</v>
      </c>
      <c r="Y238" s="363"/>
      <c r="Z238" s="363"/>
      <c r="AA238" s="363"/>
      <c r="AB238" s="363"/>
      <c r="AC238" s="363"/>
      <c r="AD238" s="363"/>
      <c r="AE238" s="363" t="s">
        <v>834</v>
      </c>
      <c r="AF238" s="380" t="s">
        <v>207</v>
      </c>
      <c r="AG238" s="380">
        <v>3</v>
      </c>
      <c r="AH238" s="363" t="s">
        <v>1094</v>
      </c>
    </row>
    <row r="239" spans="2:34" ht="14.4" hidden="1" x14ac:dyDescent="0.3">
      <c r="B239" s="380" t="s">
        <v>14</v>
      </c>
      <c r="C239" s="409" t="s">
        <v>1095</v>
      </c>
      <c r="D239" s="423" t="s">
        <v>1016</v>
      </c>
      <c r="E239" s="464">
        <v>9709257840</v>
      </c>
      <c r="F239" s="753">
        <v>45854</v>
      </c>
      <c r="G239" s="380" t="s">
        <v>55</v>
      </c>
      <c r="H239" s="380">
        <v>13</v>
      </c>
      <c r="I239" s="388">
        <v>949819</v>
      </c>
      <c r="J239" s="380">
        <v>4</v>
      </c>
      <c r="K239" s="389">
        <f t="shared" ref="K239:K250" si="11">I239/J239</f>
        <v>237454.75</v>
      </c>
      <c r="L239" s="387">
        <v>45839</v>
      </c>
      <c r="M239" s="387">
        <v>46203</v>
      </c>
      <c r="N239" s="680"/>
      <c r="O239" s="680"/>
      <c r="P239" s="363" t="s">
        <v>19</v>
      </c>
      <c r="Q239" s="380" t="s">
        <v>9</v>
      </c>
      <c r="R239" s="380"/>
      <c r="S239" s="390" t="s">
        <v>168</v>
      </c>
      <c r="T239" s="363" t="s">
        <v>1096</v>
      </c>
      <c r="U239" s="394" t="s">
        <v>228</v>
      </c>
      <c r="V239" s="363" t="s">
        <v>1097</v>
      </c>
      <c r="W239" s="390" t="s">
        <v>396</v>
      </c>
      <c r="X239" s="363" t="s">
        <v>454</v>
      </c>
      <c r="Y239" s="390" t="s">
        <v>397</v>
      </c>
      <c r="Z239" s="363" t="s">
        <v>556</v>
      </c>
      <c r="AA239" s="363"/>
      <c r="AB239" s="363"/>
      <c r="AC239" s="363"/>
      <c r="AD239" s="363"/>
      <c r="AE239" s="363" t="s">
        <v>619</v>
      </c>
      <c r="AF239" s="380" t="s">
        <v>63</v>
      </c>
      <c r="AG239" s="380">
        <v>4</v>
      </c>
      <c r="AH239" s="430" t="s">
        <v>1098</v>
      </c>
    </row>
    <row r="240" spans="2:34" ht="14.4" hidden="1" x14ac:dyDescent="0.3">
      <c r="B240" s="380" t="s">
        <v>14</v>
      </c>
      <c r="C240" s="409" t="s">
        <v>595</v>
      </c>
      <c r="D240" s="418" t="s">
        <v>1012</v>
      </c>
      <c r="E240" s="454" t="s">
        <v>1099</v>
      </c>
      <c r="F240" s="753">
        <v>45843</v>
      </c>
      <c r="G240" s="380" t="s">
        <v>55</v>
      </c>
      <c r="H240" s="380">
        <v>1</v>
      </c>
      <c r="I240" s="388">
        <v>93312</v>
      </c>
      <c r="J240" s="380">
        <v>3</v>
      </c>
      <c r="K240" s="389">
        <f t="shared" si="11"/>
        <v>31104</v>
      </c>
      <c r="L240" s="387">
        <v>45870</v>
      </c>
      <c r="M240" s="387">
        <v>46234</v>
      </c>
      <c r="N240" s="680">
        <v>154699</v>
      </c>
      <c r="O240" s="680">
        <v>4627</v>
      </c>
      <c r="P240" s="363" t="s">
        <v>19</v>
      </c>
      <c r="Q240" s="380" t="s">
        <v>11</v>
      </c>
      <c r="R240" s="380"/>
      <c r="S240" s="390" t="s">
        <v>665</v>
      </c>
      <c r="T240" s="363" t="s">
        <v>1091</v>
      </c>
      <c r="U240" s="390" t="s">
        <v>361</v>
      </c>
      <c r="V240" s="363" t="s">
        <v>1100</v>
      </c>
      <c r="W240" s="390" t="s">
        <v>1080</v>
      </c>
      <c r="X240" s="363" t="s">
        <v>1945</v>
      </c>
      <c r="Y240" s="363"/>
      <c r="Z240" s="363"/>
      <c r="AA240" s="363"/>
      <c r="AB240" s="363"/>
      <c r="AC240" s="363"/>
      <c r="AD240" s="363"/>
      <c r="AE240" s="363" t="s">
        <v>619</v>
      </c>
      <c r="AF240" s="380" t="s">
        <v>63</v>
      </c>
      <c r="AG240" s="380">
        <v>3</v>
      </c>
      <c r="AH240" s="363" t="s">
        <v>799</v>
      </c>
    </row>
    <row r="241" spans="1:34" ht="15" hidden="1" customHeight="1" x14ac:dyDescent="0.3">
      <c r="B241" s="380" t="s">
        <v>14</v>
      </c>
      <c r="C241" s="409" t="s">
        <v>1101</v>
      </c>
      <c r="D241" s="434" t="s">
        <v>1012</v>
      </c>
      <c r="E241" s="419" t="s">
        <v>1102</v>
      </c>
      <c r="F241" s="753">
        <v>45846</v>
      </c>
      <c r="G241" s="380" t="s">
        <v>55</v>
      </c>
      <c r="H241" s="380">
        <v>7</v>
      </c>
      <c r="I241" s="388">
        <v>455000</v>
      </c>
      <c r="J241" s="380">
        <v>2</v>
      </c>
      <c r="K241" s="391">
        <f t="shared" si="11"/>
        <v>227500</v>
      </c>
      <c r="L241" s="387">
        <v>45809</v>
      </c>
      <c r="M241" s="387">
        <v>46173</v>
      </c>
      <c r="N241" s="680"/>
      <c r="O241" s="680"/>
      <c r="P241" s="363" t="s">
        <v>19</v>
      </c>
      <c r="Q241" s="380" t="s">
        <v>9</v>
      </c>
      <c r="R241" s="380"/>
      <c r="S241" s="390" t="s">
        <v>125</v>
      </c>
      <c r="T241" s="363" t="s">
        <v>807</v>
      </c>
      <c r="U241" s="390" t="s">
        <v>127</v>
      </c>
      <c r="V241" s="363" t="s">
        <v>1852</v>
      </c>
      <c r="W241" s="363"/>
      <c r="X241" s="363"/>
      <c r="Y241" s="363"/>
      <c r="Z241" s="363"/>
      <c r="AA241" s="363"/>
      <c r="AB241" s="363"/>
      <c r="AC241" s="363"/>
      <c r="AD241" s="363"/>
      <c r="AE241" s="363" t="s">
        <v>619</v>
      </c>
      <c r="AF241" s="380" t="s">
        <v>63</v>
      </c>
      <c r="AG241" s="380">
        <v>2</v>
      </c>
      <c r="AH241" s="363" t="s">
        <v>667</v>
      </c>
    </row>
    <row r="242" spans="1:34" ht="15" hidden="1" customHeight="1" x14ac:dyDescent="0.3">
      <c r="B242" s="380" t="s">
        <v>14</v>
      </c>
      <c r="C242" s="434" t="s">
        <v>1103</v>
      </c>
      <c r="D242" s="434" t="s">
        <v>1088</v>
      </c>
      <c r="E242" s="419" t="s">
        <v>1104</v>
      </c>
      <c r="F242" s="753">
        <v>45855</v>
      </c>
      <c r="G242" s="380" t="s">
        <v>55</v>
      </c>
      <c r="H242" s="380">
        <v>1</v>
      </c>
      <c r="I242" s="388">
        <v>62000</v>
      </c>
      <c r="J242" s="380">
        <v>4</v>
      </c>
      <c r="K242" s="389">
        <f t="shared" si="11"/>
        <v>15500</v>
      </c>
      <c r="L242" s="387">
        <v>45870</v>
      </c>
      <c r="M242" s="387">
        <v>46234</v>
      </c>
      <c r="N242" s="680">
        <v>154605</v>
      </c>
      <c r="O242" s="680"/>
      <c r="P242" s="363" t="s">
        <v>19</v>
      </c>
      <c r="Q242" s="380" t="s">
        <v>11</v>
      </c>
      <c r="R242" s="380"/>
      <c r="S242" s="390" t="s">
        <v>267</v>
      </c>
      <c r="T242" s="363" t="s">
        <v>623</v>
      </c>
      <c r="U242" s="390" t="s">
        <v>269</v>
      </c>
      <c r="V242" s="363" t="s">
        <v>1105</v>
      </c>
      <c r="W242" s="390" t="s">
        <v>442</v>
      </c>
      <c r="X242" s="363" t="s">
        <v>782</v>
      </c>
      <c r="Y242" s="390" t="s">
        <v>444</v>
      </c>
      <c r="Z242" s="363" t="s">
        <v>1946</v>
      </c>
      <c r="AA242" s="363"/>
      <c r="AB242" s="363"/>
      <c r="AC242" s="363"/>
      <c r="AD242" s="363"/>
      <c r="AE242" s="363" t="s">
        <v>96</v>
      </c>
      <c r="AF242" s="380" t="s">
        <v>97</v>
      </c>
      <c r="AG242" s="380" t="s">
        <v>494</v>
      </c>
      <c r="AH242" s="363" t="s">
        <v>667</v>
      </c>
    </row>
    <row r="243" spans="1:34" ht="15" customHeight="1" x14ac:dyDescent="0.3">
      <c r="B243" s="380" t="s">
        <v>14</v>
      </c>
      <c r="C243" s="409" t="s">
        <v>1106</v>
      </c>
      <c r="D243" s="423" t="s">
        <v>1107</v>
      </c>
      <c r="E243" s="419">
        <v>4502348009</v>
      </c>
      <c r="F243" s="753">
        <v>45853</v>
      </c>
      <c r="G243" s="380" t="s">
        <v>55</v>
      </c>
      <c r="H243" s="380"/>
      <c r="I243" s="388">
        <f>432000/3</f>
        <v>144000</v>
      </c>
      <c r="J243" s="380">
        <v>3</v>
      </c>
      <c r="K243" s="389">
        <f t="shared" si="11"/>
        <v>48000</v>
      </c>
      <c r="L243" s="387">
        <v>45748</v>
      </c>
      <c r="M243" s="387">
        <v>46112</v>
      </c>
      <c r="N243" s="680"/>
      <c r="O243" s="680"/>
      <c r="P243" s="363" t="s">
        <v>520</v>
      </c>
      <c r="Q243" s="380" t="s">
        <v>11</v>
      </c>
      <c r="R243" s="380"/>
      <c r="S243" s="390" t="s">
        <v>357</v>
      </c>
      <c r="T243" s="363" t="s">
        <v>811</v>
      </c>
      <c r="U243" s="390" t="s">
        <v>901</v>
      </c>
      <c r="V243" s="363" t="s">
        <v>1091</v>
      </c>
      <c r="W243" s="390" t="s">
        <v>361</v>
      </c>
      <c r="X243" s="363" t="s">
        <v>1100</v>
      </c>
      <c r="Y243" s="363"/>
      <c r="Z243" s="363"/>
      <c r="AA243" s="363"/>
      <c r="AB243" s="363"/>
      <c r="AC243" s="363"/>
      <c r="AD243" s="363"/>
      <c r="AE243" s="363" t="s">
        <v>478</v>
      </c>
      <c r="AF243" s="380" t="s">
        <v>63</v>
      </c>
      <c r="AG243" s="380">
        <v>5</v>
      </c>
      <c r="AH243" s="363" t="s">
        <v>667</v>
      </c>
    </row>
    <row r="244" spans="1:34" ht="15" customHeight="1" x14ac:dyDescent="0.3">
      <c r="B244" s="380" t="s">
        <v>14</v>
      </c>
      <c r="C244" s="409" t="s">
        <v>1106</v>
      </c>
      <c r="D244" s="423" t="s">
        <v>1107</v>
      </c>
      <c r="E244" s="419">
        <v>4502348009</v>
      </c>
      <c r="F244" s="753">
        <v>45853</v>
      </c>
      <c r="G244" s="380" t="s">
        <v>55</v>
      </c>
      <c r="H244" s="380"/>
      <c r="I244" s="388">
        <f>432000/3</f>
        <v>144000</v>
      </c>
      <c r="J244" s="380">
        <v>3</v>
      </c>
      <c r="K244" s="389">
        <f t="shared" si="11"/>
        <v>48000</v>
      </c>
      <c r="L244" s="387">
        <v>46113</v>
      </c>
      <c r="M244" s="387">
        <v>46477</v>
      </c>
      <c r="N244" s="680"/>
      <c r="O244" s="680"/>
      <c r="P244" s="363" t="s">
        <v>520</v>
      </c>
      <c r="Q244" s="380" t="s">
        <v>11</v>
      </c>
      <c r="R244" s="380"/>
      <c r="S244" s="390" t="s">
        <v>1080</v>
      </c>
      <c r="T244" s="363" t="s">
        <v>1947</v>
      </c>
      <c r="U244" s="363" t="s">
        <v>1108</v>
      </c>
      <c r="V244" s="363"/>
      <c r="W244" s="363" t="s">
        <v>1109</v>
      </c>
      <c r="X244" s="363"/>
      <c r="Y244" s="363"/>
      <c r="Z244" s="363"/>
      <c r="AA244" s="363"/>
      <c r="AB244" s="363"/>
      <c r="AC244" s="363"/>
      <c r="AD244" s="363"/>
      <c r="AE244" s="363" t="s">
        <v>478</v>
      </c>
      <c r="AF244" s="380" t="s">
        <v>63</v>
      </c>
      <c r="AG244" s="380">
        <v>5</v>
      </c>
      <c r="AH244" s="363" t="s">
        <v>667</v>
      </c>
    </row>
    <row r="245" spans="1:34" ht="15" customHeight="1" x14ac:dyDescent="0.3">
      <c r="B245" s="380" t="s">
        <v>14</v>
      </c>
      <c r="C245" s="409" t="s">
        <v>1106</v>
      </c>
      <c r="D245" s="423" t="s">
        <v>1107</v>
      </c>
      <c r="E245" s="419">
        <v>4502348009</v>
      </c>
      <c r="F245" s="753">
        <v>45853</v>
      </c>
      <c r="G245" s="380" t="s">
        <v>55</v>
      </c>
      <c r="H245" s="380">
        <v>2</v>
      </c>
      <c r="I245" s="417">
        <f>432000/3</f>
        <v>144000</v>
      </c>
      <c r="J245" s="380">
        <v>3</v>
      </c>
      <c r="K245" s="389">
        <f t="shared" si="11"/>
        <v>48000</v>
      </c>
      <c r="L245" s="387">
        <v>46478</v>
      </c>
      <c r="M245" s="387">
        <v>46843</v>
      </c>
      <c r="N245" s="680"/>
      <c r="O245" s="680"/>
      <c r="P245" s="363" t="s">
        <v>520</v>
      </c>
      <c r="Q245" s="380" t="s">
        <v>11</v>
      </c>
      <c r="R245" s="380"/>
      <c r="S245" s="363" t="s">
        <v>1110</v>
      </c>
      <c r="T245" s="363"/>
      <c r="U245" s="363" t="s">
        <v>1111</v>
      </c>
      <c r="V245" s="363"/>
      <c r="W245" s="363" t="s">
        <v>1112</v>
      </c>
      <c r="X245" s="363"/>
      <c r="Y245" s="363"/>
      <c r="Z245" s="363"/>
      <c r="AA245" s="363"/>
      <c r="AB245" s="363"/>
      <c r="AC245" s="363"/>
      <c r="AD245" s="363"/>
      <c r="AE245" s="363" t="s">
        <v>478</v>
      </c>
      <c r="AF245" s="380" t="s">
        <v>63</v>
      </c>
      <c r="AG245" s="380">
        <v>5</v>
      </c>
      <c r="AH245" s="363" t="s">
        <v>667</v>
      </c>
    </row>
    <row r="246" spans="1:34" ht="15" hidden="1" customHeight="1" x14ac:dyDescent="0.3">
      <c r="B246" s="380" t="s">
        <v>14</v>
      </c>
      <c r="C246" s="409" t="s">
        <v>1113</v>
      </c>
      <c r="D246" s="423" t="s">
        <v>1114</v>
      </c>
      <c r="E246" s="464">
        <v>700005514</v>
      </c>
      <c r="F246" s="753">
        <v>45800</v>
      </c>
      <c r="G246" s="380" t="s">
        <v>55</v>
      </c>
      <c r="H246" s="380">
        <v>2</v>
      </c>
      <c r="I246" s="388">
        <v>175970</v>
      </c>
      <c r="J246" s="380">
        <v>3</v>
      </c>
      <c r="K246" s="389">
        <f>I246/2</f>
        <v>87985</v>
      </c>
      <c r="L246" s="387">
        <v>45748</v>
      </c>
      <c r="M246" s="387">
        <v>46112</v>
      </c>
      <c r="N246" s="680"/>
      <c r="O246" s="680"/>
      <c r="P246" s="363" t="s">
        <v>19</v>
      </c>
      <c r="Q246" s="380" t="s">
        <v>3</v>
      </c>
      <c r="R246" s="380"/>
      <c r="S246" s="390" t="s">
        <v>357</v>
      </c>
      <c r="T246" s="363" t="s">
        <v>451</v>
      </c>
      <c r="U246" s="390" t="s">
        <v>665</v>
      </c>
      <c r="V246" s="363" t="s">
        <v>848</v>
      </c>
      <c r="W246" s="390" t="s">
        <v>361</v>
      </c>
      <c r="X246" s="363" t="s">
        <v>1115</v>
      </c>
      <c r="Y246" s="363"/>
      <c r="Z246" s="363"/>
      <c r="AA246" s="363"/>
      <c r="AB246" s="363"/>
      <c r="AC246" s="363"/>
      <c r="AD246" s="363"/>
      <c r="AE246" s="363" t="s">
        <v>183</v>
      </c>
      <c r="AF246" s="380" t="s">
        <v>97</v>
      </c>
      <c r="AG246" s="380">
        <v>1</v>
      </c>
      <c r="AH246" s="363" t="s">
        <v>1116</v>
      </c>
    </row>
    <row r="247" spans="1:34" ht="15" customHeight="1" x14ac:dyDescent="0.3">
      <c r="A247" s="469"/>
      <c r="B247" s="380" t="s">
        <v>14</v>
      </c>
      <c r="C247" s="409" t="s">
        <v>1117</v>
      </c>
      <c r="D247" s="423" t="s">
        <v>1118</v>
      </c>
      <c r="E247" s="419">
        <v>8200197699</v>
      </c>
      <c r="F247" s="753">
        <v>45855</v>
      </c>
      <c r="G247" s="380" t="s">
        <v>55</v>
      </c>
      <c r="H247" s="380"/>
      <c r="I247" s="388">
        <v>91060</v>
      </c>
      <c r="J247" s="380">
        <v>2</v>
      </c>
      <c r="K247" s="389">
        <f t="shared" si="11"/>
        <v>45530</v>
      </c>
      <c r="L247" s="387">
        <v>45839</v>
      </c>
      <c r="M247" s="387">
        <v>46203</v>
      </c>
      <c r="N247" s="680">
        <v>154916</v>
      </c>
      <c r="O247" s="680">
        <v>4535</v>
      </c>
      <c r="P247" s="363" t="s">
        <v>520</v>
      </c>
      <c r="Q247" s="380" t="s">
        <v>11</v>
      </c>
      <c r="R247" s="380"/>
      <c r="S247" s="390" t="s">
        <v>483</v>
      </c>
      <c r="T247" s="363" t="s">
        <v>1009</v>
      </c>
      <c r="U247" s="390" t="s">
        <v>607</v>
      </c>
      <c r="V247" s="363" t="s">
        <v>1937</v>
      </c>
      <c r="W247" s="363"/>
      <c r="X247" s="363"/>
      <c r="Y247" s="363"/>
      <c r="Z247" s="363"/>
      <c r="AA247" s="363"/>
      <c r="AB247" s="363"/>
      <c r="AC247" s="363"/>
      <c r="AD247" s="363"/>
      <c r="AE247" s="363" t="s">
        <v>128</v>
      </c>
      <c r="AF247" s="380" t="s">
        <v>129</v>
      </c>
      <c r="AG247" s="380">
        <v>2</v>
      </c>
      <c r="AH247" s="363" t="s">
        <v>667</v>
      </c>
    </row>
    <row r="248" spans="1:34" ht="15" customHeight="1" x14ac:dyDescent="0.3">
      <c r="A248" s="469"/>
      <c r="B248" s="380" t="s">
        <v>14</v>
      </c>
      <c r="C248" s="409" t="s">
        <v>1117</v>
      </c>
      <c r="D248" s="423" t="s">
        <v>1118</v>
      </c>
      <c r="E248" s="419">
        <v>8200197699</v>
      </c>
      <c r="F248" s="753">
        <v>45855</v>
      </c>
      <c r="G248" s="380" t="s">
        <v>55</v>
      </c>
      <c r="H248" s="380">
        <v>1</v>
      </c>
      <c r="I248" s="388">
        <v>91060</v>
      </c>
      <c r="J248" s="380">
        <v>2</v>
      </c>
      <c r="K248" s="389">
        <f t="shared" si="11"/>
        <v>45530</v>
      </c>
      <c r="L248" s="387">
        <v>46204</v>
      </c>
      <c r="M248" s="387">
        <v>46568</v>
      </c>
      <c r="N248" s="680"/>
      <c r="O248" s="680"/>
      <c r="P248" s="363" t="s">
        <v>520</v>
      </c>
      <c r="Q248" s="380" t="s">
        <v>11</v>
      </c>
      <c r="R248" s="380"/>
      <c r="S248" s="363" t="s">
        <v>608</v>
      </c>
      <c r="T248" s="363"/>
      <c r="U248" s="363" t="s">
        <v>1119</v>
      </c>
      <c r="V248" s="363"/>
      <c r="W248" s="363"/>
      <c r="X248" s="363"/>
      <c r="Y248" s="363"/>
      <c r="Z248" s="363"/>
      <c r="AA248" s="363"/>
      <c r="AB248" s="363"/>
      <c r="AC248" s="363"/>
      <c r="AD248" s="363"/>
      <c r="AE248" s="363" t="s">
        <v>128</v>
      </c>
      <c r="AF248" s="380" t="s">
        <v>129</v>
      </c>
      <c r="AG248" s="380">
        <v>2</v>
      </c>
      <c r="AH248" s="363" t="s">
        <v>667</v>
      </c>
    </row>
    <row r="249" spans="1:34" ht="15" hidden="1" customHeight="1" x14ac:dyDescent="0.3">
      <c r="B249" s="380" t="s">
        <v>14</v>
      </c>
      <c r="C249" s="363" t="s">
        <v>1120</v>
      </c>
      <c r="D249" s="423" t="s">
        <v>447</v>
      </c>
      <c r="E249" s="419">
        <v>5891136624</v>
      </c>
      <c r="F249" s="753">
        <v>45856</v>
      </c>
      <c r="G249" s="380" t="s">
        <v>55</v>
      </c>
      <c r="H249" s="380">
        <v>3</v>
      </c>
      <c r="I249" s="388">
        <v>307691.73</v>
      </c>
      <c r="J249" s="380">
        <v>3</v>
      </c>
      <c r="K249" s="389">
        <f t="shared" si="11"/>
        <v>102563.90999999999</v>
      </c>
      <c r="L249" s="387">
        <v>45870</v>
      </c>
      <c r="M249" s="387">
        <v>46234</v>
      </c>
      <c r="N249" s="680">
        <v>154684</v>
      </c>
      <c r="O249" s="680">
        <v>4604</v>
      </c>
      <c r="P249" s="363" t="s">
        <v>19</v>
      </c>
      <c r="Q249" s="380" t="s">
        <v>11</v>
      </c>
      <c r="R249" s="380"/>
      <c r="S249" s="390" t="s">
        <v>665</v>
      </c>
      <c r="T249" s="363" t="s">
        <v>229</v>
      </c>
      <c r="U249" s="390" t="s">
        <v>361</v>
      </c>
      <c r="V249" s="363" t="s">
        <v>495</v>
      </c>
      <c r="W249" s="390" t="s">
        <v>1080</v>
      </c>
      <c r="X249" s="363" t="s">
        <v>1948</v>
      </c>
      <c r="Y249" s="363"/>
      <c r="Z249" s="363"/>
      <c r="AA249" s="363"/>
      <c r="AB249" s="363"/>
      <c r="AC249" s="363"/>
      <c r="AD249" s="363"/>
      <c r="AE249" s="363" t="s">
        <v>96</v>
      </c>
      <c r="AF249" s="380" t="s">
        <v>97</v>
      </c>
      <c r="AG249" s="380" t="s">
        <v>494</v>
      </c>
      <c r="AH249" s="363" t="s">
        <v>1121</v>
      </c>
    </row>
    <row r="250" spans="1:34" ht="15" hidden="1" customHeight="1" x14ac:dyDescent="0.3">
      <c r="B250" s="380" t="s">
        <v>14</v>
      </c>
      <c r="C250" s="412" t="s">
        <v>845</v>
      </c>
      <c r="D250" s="437" t="s">
        <v>846</v>
      </c>
      <c r="E250" s="426">
        <v>901971263</v>
      </c>
      <c r="F250" s="757">
        <v>45856</v>
      </c>
      <c r="G250" s="425" t="s">
        <v>55</v>
      </c>
      <c r="H250" s="380">
        <v>2</v>
      </c>
      <c r="I250" s="388">
        <v>196000</v>
      </c>
      <c r="J250" s="380">
        <v>3</v>
      </c>
      <c r="K250" s="389">
        <f t="shared" si="11"/>
        <v>65333.333333333336</v>
      </c>
      <c r="L250" s="387">
        <v>45848</v>
      </c>
      <c r="M250" s="387">
        <v>46212</v>
      </c>
      <c r="N250" s="680"/>
      <c r="O250" s="680"/>
      <c r="P250" s="363" t="s">
        <v>19</v>
      </c>
      <c r="Q250" s="380" t="s">
        <v>11</v>
      </c>
      <c r="R250" s="380"/>
      <c r="S250" s="390" t="s">
        <v>729</v>
      </c>
      <c r="T250" s="363" t="s">
        <v>777</v>
      </c>
      <c r="U250" s="390" t="s">
        <v>731</v>
      </c>
      <c r="V250" s="363" t="s">
        <v>1122</v>
      </c>
      <c r="W250" s="390" t="s">
        <v>1092</v>
      </c>
      <c r="X250" s="363" t="s">
        <v>828</v>
      </c>
      <c r="Y250" s="363"/>
      <c r="Z250" s="363"/>
      <c r="AA250" s="363"/>
      <c r="AB250" s="363"/>
      <c r="AC250" s="363"/>
      <c r="AD250" s="363"/>
      <c r="AE250" s="363" t="s">
        <v>834</v>
      </c>
      <c r="AF250" s="380" t="s">
        <v>207</v>
      </c>
      <c r="AG250" s="380">
        <v>6</v>
      </c>
      <c r="AH250" s="363" t="s">
        <v>1123</v>
      </c>
    </row>
    <row r="251" spans="1:34" ht="15" hidden="1" customHeight="1" x14ac:dyDescent="0.3">
      <c r="B251" s="380" t="s">
        <v>14</v>
      </c>
      <c r="C251" s="463" t="s">
        <v>614</v>
      </c>
      <c r="D251" s="463" t="s">
        <v>1016</v>
      </c>
      <c r="E251" s="470" t="s">
        <v>1124</v>
      </c>
      <c r="F251" s="757">
        <v>45849</v>
      </c>
      <c r="G251" s="380" t="s">
        <v>55</v>
      </c>
      <c r="H251" s="380">
        <v>1</v>
      </c>
      <c r="I251" s="388">
        <v>76440</v>
      </c>
      <c r="J251" s="380">
        <v>3</v>
      </c>
      <c r="K251" s="389"/>
      <c r="L251" s="387">
        <v>45809</v>
      </c>
      <c r="M251" s="387">
        <v>46173</v>
      </c>
      <c r="N251" s="680"/>
      <c r="O251" s="680"/>
      <c r="P251" s="363" t="s">
        <v>19</v>
      </c>
      <c r="Q251" s="380" t="s">
        <v>6</v>
      </c>
      <c r="R251" s="380"/>
      <c r="S251" s="390" t="s">
        <v>1125</v>
      </c>
      <c r="T251" s="363" t="s">
        <v>1126</v>
      </c>
      <c r="U251" s="390" t="s">
        <v>83</v>
      </c>
      <c r="V251" s="363" t="s">
        <v>270</v>
      </c>
      <c r="W251" s="390" t="s">
        <v>404</v>
      </c>
      <c r="X251" s="363" t="s">
        <v>1711</v>
      </c>
      <c r="Y251" s="363"/>
      <c r="Z251" s="363"/>
      <c r="AA251" s="363"/>
      <c r="AB251" s="363"/>
      <c r="AC251" s="363"/>
      <c r="AD251" s="363"/>
      <c r="AE251" s="363" t="s">
        <v>619</v>
      </c>
      <c r="AF251" s="380" t="s">
        <v>63</v>
      </c>
      <c r="AG251" s="380">
        <v>3</v>
      </c>
      <c r="AH251" s="363" t="s">
        <v>1127</v>
      </c>
    </row>
    <row r="252" spans="1:34" ht="15" hidden="1" customHeight="1" x14ac:dyDescent="0.3">
      <c r="B252" s="380" t="s">
        <v>14</v>
      </c>
      <c r="C252" s="418" t="s">
        <v>1128</v>
      </c>
      <c r="D252" s="418" t="s">
        <v>1129</v>
      </c>
      <c r="E252" s="471">
        <v>4503060756</v>
      </c>
      <c r="F252" s="753">
        <v>45853</v>
      </c>
      <c r="G252" s="380" t="s">
        <v>55</v>
      </c>
      <c r="H252" s="380">
        <v>4</v>
      </c>
      <c r="I252" s="388">
        <v>271864</v>
      </c>
      <c r="J252" s="380">
        <v>4</v>
      </c>
      <c r="K252" s="391">
        <f>I252/J252</f>
        <v>67966</v>
      </c>
      <c r="L252" s="387">
        <v>45809</v>
      </c>
      <c r="M252" s="387">
        <v>46173</v>
      </c>
      <c r="N252" s="680"/>
      <c r="O252" s="680"/>
      <c r="P252" s="363" t="s">
        <v>19</v>
      </c>
      <c r="Q252" s="380" t="s">
        <v>6</v>
      </c>
      <c r="R252" s="380"/>
      <c r="S252" s="390" t="s">
        <v>1130</v>
      </c>
      <c r="T252" s="363" t="s">
        <v>611</v>
      </c>
      <c r="U252" s="390" t="s">
        <v>1131</v>
      </c>
      <c r="V252" s="363" t="s">
        <v>1132</v>
      </c>
      <c r="W252" s="390" t="s">
        <v>1133</v>
      </c>
      <c r="X252" s="363" t="s">
        <v>403</v>
      </c>
      <c r="Y252" s="390" t="s">
        <v>1134</v>
      </c>
      <c r="Z252" s="363" t="s">
        <v>1720</v>
      </c>
      <c r="AA252" s="363"/>
      <c r="AB252" s="363"/>
      <c r="AC252" s="363"/>
      <c r="AD252" s="363"/>
      <c r="AE252" s="363" t="s">
        <v>281</v>
      </c>
      <c r="AF252" s="380" t="s">
        <v>97</v>
      </c>
      <c r="AG252" s="380" t="s">
        <v>494</v>
      </c>
      <c r="AH252" s="363" t="s">
        <v>1135</v>
      </c>
    </row>
    <row r="253" spans="1:34" ht="15" hidden="1" customHeight="1" x14ac:dyDescent="0.3">
      <c r="B253" s="380" t="s">
        <v>14</v>
      </c>
      <c r="C253" s="409" t="s">
        <v>975</v>
      </c>
      <c r="D253" s="423" t="s">
        <v>1136</v>
      </c>
      <c r="E253" s="419">
        <v>6100009693</v>
      </c>
      <c r="F253" s="753">
        <v>45849</v>
      </c>
      <c r="G253" s="380" t="s">
        <v>55</v>
      </c>
      <c r="H253" s="380">
        <v>2</v>
      </c>
      <c r="I253" s="388">
        <v>240000</v>
      </c>
      <c r="J253" s="380">
        <v>3</v>
      </c>
      <c r="K253" s="389">
        <f>I253/2</f>
        <v>120000</v>
      </c>
      <c r="L253" s="387">
        <v>45870</v>
      </c>
      <c r="M253" s="387">
        <v>46234</v>
      </c>
      <c r="N253" s="680"/>
      <c r="O253" s="680"/>
      <c r="P253" s="363" t="s">
        <v>19</v>
      </c>
      <c r="Q253" s="380" t="s">
        <v>11</v>
      </c>
      <c r="R253" s="380"/>
      <c r="S253" s="390" t="s">
        <v>665</v>
      </c>
      <c r="T253" s="363" t="s">
        <v>464</v>
      </c>
      <c r="U253" s="390" t="s">
        <v>361</v>
      </c>
      <c r="V253" s="363" t="s">
        <v>750</v>
      </c>
      <c r="W253" s="390" t="s">
        <v>1080</v>
      </c>
      <c r="X253" s="363" t="s">
        <v>1843</v>
      </c>
      <c r="Y253" s="363"/>
      <c r="Z253" s="363"/>
      <c r="AA253" s="363"/>
      <c r="AB253" s="363"/>
      <c r="AC253" s="363"/>
      <c r="AD253" s="363"/>
      <c r="AE253" s="363" t="s">
        <v>551</v>
      </c>
      <c r="AF253" s="380" t="s">
        <v>207</v>
      </c>
      <c r="AG253" s="380">
        <v>3</v>
      </c>
      <c r="AH253" s="430" t="s">
        <v>981</v>
      </c>
    </row>
    <row r="254" spans="1:34" ht="15" hidden="1" customHeight="1" x14ac:dyDescent="0.3">
      <c r="B254" s="380" t="s">
        <v>14</v>
      </c>
      <c r="C254" s="409" t="s">
        <v>195</v>
      </c>
      <c r="D254" s="418" t="s">
        <v>1137</v>
      </c>
      <c r="E254" s="472" t="s">
        <v>1138</v>
      </c>
      <c r="F254" s="753">
        <v>45854</v>
      </c>
      <c r="G254" s="380" t="s">
        <v>55</v>
      </c>
      <c r="H254" s="380">
        <v>9</v>
      </c>
      <c r="I254" s="388">
        <f>58000*9</f>
        <v>522000</v>
      </c>
      <c r="J254" s="380">
        <v>4</v>
      </c>
      <c r="K254" s="389">
        <f t="shared" ref="K254:K270" si="12">I254/J254</f>
        <v>130500</v>
      </c>
      <c r="L254" s="387">
        <v>45762</v>
      </c>
      <c r="M254" s="387">
        <v>46156</v>
      </c>
      <c r="N254" s="680"/>
      <c r="O254" s="680"/>
      <c r="P254" s="363" t="s">
        <v>19</v>
      </c>
      <c r="Q254" s="380" t="s">
        <v>5</v>
      </c>
      <c r="R254" s="380"/>
      <c r="S254" s="390" t="s">
        <v>1139</v>
      </c>
      <c r="T254" s="363" t="s">
        <v>1140</v>
      </c>
      <c r="U254" s="390" t="s">
        <v>1082</v>
      </c>
      <c r="V254" s="363" t="s">
        <v>1054</v>
      </c>
      <c r="W254" s="390" t="s">
        <v>1083</v>
      </c>
      <c r="X254" s="363" t="s">
        <v>1122</v>
      </c>
      <c r="Y254" s="390" t="s">
        <v>1084</v>
      </c>
      <c r="Z254" s="363" t="s">
        <v>1141</v>
      </c>
      <c r="AA254" s="363"/>
      <c r="AB254" s="363"/>
      <c r="AC254" s="363"/>
      <c r="AD254" s="363"/>
      <c r="AE254" s="363" t="s">
        <v>478</v>
      </c>
      <c r="AF254" s="380" t="s">
        <v>63</v>
      </c>
      <c r="AG254" s="380">
        <v>3</v>
      </c>
      <c r="AH254" s="363" t="s">
        <v>657</v>
      </c>
    </row>
    <row r="255" spans="1:34" ht="15" customHeight="1" x14ac:dyDescent="0.3">
      <c r="B255" s="380" t="s">
        <v>14</v>
      </c>
      <c r="C255" s="409" t="s">
        <v>195</v>
      </c>
      <c r="D255" s="418" t="s">
        <v>388</v>
      </c>
      <c r="E255" s="419" t="s">
        <v>1142</v>
      </c>
      <c r="F255" s="753">
        <v>45862</v>
      </c>
      <c r="G255" s="380" t="s">
        <v>55</v>
      </c>
      <c r="H255" s="380"/>
      <c r="I255" s="388">
        <f>439992/2</f>
        <v>219996</v>
      </c>
      <c r="J255" s="380">
        <v>3</v>
      </c>
      <c r="K255" s="389">
        <f t="shared" si="12"/>
        <v>73332</v>
      </c>
      <c r="L255" s="387">
        <v>45862</v>
      </c>
      <c r="M255" s="387">
        <v>46226</v>
      </c>
      <c r="N255" s="680">
        <v>154585</v>
      </c>
      <c r="O255" s="680">
        <v>4618</v>
      </c>
      <c r="P255" s="363" t="s">
        <v>520</v>
      </c>
      <c r="Q255" s="380" t="s">
        <v>11</v>
      </c>
      <c r="R255" s="380"/>
      <c r="S255" s="390" t="s">
        <v>1143</v>
      </c>
      <c r="T255" s="363" t="s">
        <v>1144</v>
      </c>
      <c r="U255" s="390" t="s">
        <v>1145</v>
      </c>
      <c r="V255" s="363" t="s">
        <v>1146</v>
      </c>
      <c r="W255" s="390" t="s">
        <v>1147</v>
      </c>
      <c r="X255" s="363" t="s">
        <v>1936</v>
      </c>
      <c r="Y255" s="363"/>
      <c r="Z255" s="363"/>
      <c r="AA255" s="363"/>
      <c r="AB255" s="363"/>
      <c r="AC255" s="363"/>
      <c r="AD255" s="363"/>
      <c r="AE255" s="363" t="s">
        <v>478</v>
      </c>
      <c r="AF255" s="380" t="s">
        <v>63</v>
      </c>
      <c r="AG255" s="380">
        <v>3</v>
      </c>
      <c r="AH255" s="363" t="s">
        <v>657</v>
      </c>
    </row>
    <row r="256" spans="1:34" ht="15" customHeight="1" x14ac:dyDescent="0.3">
      <c r="B256" s="380" t="s">
        <v>14</v>
      </c>
      <c r="C256" s="409" t="s">
        <v>195</v>
      </c>
      <c r="D256" s="418" t="s">
        <v>388</v>
      </c>
      <c r="E256" s="419" t="s">
        <v>1142</v>
      </c>
      <c r="F256" s="753">
        <v>45862</v>
      </c>
      <c r="G256" s="380" t="s">
        <v>55</v>
      </c>
      <c r="H256" s="380">
        <v>4</v>
      </c>
      <c r="I256" s="388">
        <f>439992/2</f>
        <v>219996</v>
      </c>
      <c r="J256" s="380">
        <v>3</v>
      </c>
      <c r="K256" s="389">
        <f t="shared" si="12"/>
        <v>73332</v>
      </c>
      <c r="L256" s="387">
        <v>46227</v>
      </c>
      <c r="M256" s="387">
        <v>46591</v>
      </c>
      <c r="N256" s="680"/>
      <c r="O256" s="680"/>
      <c r="P256" s="363" t="s">
        <v>520</v>
      </c>
      <c r="Q256" s="380" t="s">
        <v>11</v>
      </c>
      <c r="R256" s="380"/>
      <c r="S256" s="363" t="s">
        <v>1148</v>
      </c>
      <c r="T256" s="363"/>
      <c r="U256" s="363" t="s">
        <v>1149</v>
      </c>
      <c r="V256" s="363"/>
      <c r="W256" s="363" t="s">
        <v>1150</v>
      </c>
      <c r="X256" s="363"/>
      <c r="Y256" s="363"/>
      <c r="Z256" s="363"/>
      <c r="AA256" s="363"/>
      <c r="AB256" s="363"/>
      <c r="AC256" s="363"/>
      <c r="AD256" s="363"/>
      <c r="AE256" s="363" t="s">
        <v>478</v>
      </c>
      <c r="AF256" s="380" t="s">
        <v>63</v>
      </c>
      <c r="AG256" s="380">
        <v>3</v>
      </c>
      <c r="AH256" s="363" t="s">
        <v>657</v>
      </c>
    </row>
    <row r="257" spans="2:34" ht="15" hidden="1" customHeight="1" x14ac:dyDescent="0.3">
      <c r="B257" s="380" t="s">
        <v>14</v>
      </c>
      <c r="C257" s="409" t="s">
        <v>1151</v>
      </c>
      <c r="D257" s="418" t="s">
        <v>151</v>
      </c>
      <c r="E257" s="419">
        <v>4512862106</v>
      </c>
      <c r="F257" s="753">
        <v>45852</v>
      </c>
      <c r="G257" s="380" t="s">
        <v>55</v>
      </c>
      <c r="H257" s="380">
        <v>10</v>
      </c>
      <c r="I257" s="388">
        <v>460000</v>
      </c>
      <c r="J257" s="380">
        <v>3</v>
      </c>
      <c r="K257" s="391">
        <f t="shared" si="12"/>
        <v>153333.33333333334</v>
      </c>
      <c r="L257" s="387">
        <v>45809</v>
      </c>
      <c r="M257" s="387">
        <v>46173</v>
      </c>
      <c r="N257" s="680"/>
      <c r="O257" s="680"/>
      <c r="P257" s="363" t="s">
        <v>19</v>
      </c>
      <c r="Q257" s="380" t="s">
        <v>9</v>
      </c>
      <c r="R257" s="380"/>
      <c r="S257" s="390" t="s">
        <v>81</v>
      </c>
      <c r="T257" s="363" t="s">
        <v>898</v>
      </c>
      <c r="U257" s="390" t="s">
        <v>83</v>
      </c>
      <c r="V257" s="363" t="s">
        <v>320</v>
      </c>
      <c r="W257" s="390" t="s">
        <v>404</v>
      </c>
      <c r="X257" s="363" t="s">
        <v>1844</v>
      </c>
      <c r="Y257" s="363"/>
      <c r="Z257" s="363"/>
      <c r="AA257" s="363"/>
      <c r="AB257" s="363"/>
      <c r="AC257" s="363"/>
      <c r="AD257" s="363"/>
      <c r="AE257" s="363" t="s">
        <v>1152</v>
      </c>
      <c r="AF257" s="380" t="s">
        <v>63</v>
      </c>
      <c r="AG257" s="380">
        <v>3</v>
      </c>
      <c r="AH257" s="363" t="s">
        <v>667</v>
      </c>
    </row>
    <row r="258" spans="2:34" ht="15" hidden="1" customHeight="1" x14ac:dyDescent="0.3">
      <c r="B258" s="380" t="s">
        <v>14</v>
      </c>
      <c r="C258" s="409" t="s">
        <v>975</v>
      </c>
      <c r="D258" s="423" t="s">
        <v>1153</v>
      </c>
      <c r="E258" s="419">
        <v>6100009808</v>
      </c>
      <c r="F258" s="753">
        <v>45855</v>
      </c>
      <c r="G258" s="380" t="s">
        <v>55</v>
      </c>
      <c r="H258" s="380">
        <v>2</v>
      </c>
      <c r="I258" s="388">
        <v>240000</v>
      </c>
      <c r="J258" s="380">
        <v>3</v>
      </c>
      <c r="K258" s="389">
        <f t="shared" si="12"/>
        <v>80000</v>
      </c>
      <c r="L258" s="387">
        <v>45870</v>
      </c>
      <c r="M258" s="387">
        <v>46234</v>
      </c>
      <c r="N258" s="680"/>
      <c r="O258" s="680"/>
      <c r="P258" s="363" t="s">
        <v>19</v>
      </c>
      <c r="Q258" s="380" t="s">
        <v>11</v>
      </c>
      <c r="R258" s="380"/>
      <c r="S258" s="390" t="s">
        <v>1154</v>
      </c>
      <c r="T258" s="363" t="s">
        <v>169</v>
      </c>
      <c r="U258" s="390" t="s">
        <v>361</v>
      </c>
      <c r="V258" s="363" t="s">
        <v>639</v>
      </c>
      <c r="W258" s="390" t="s">
        <v>1080</v>
      </c>
      <c r="X258" s="363" t="s">
        <v>1856</v>
      </c>
      <c r="Y258" s="363"/>
      <c r="Z258" s="363"/>
      <c r="AA258" s="363"/>
      <c r="AB258" s="363"/>
      <c r="AC258" s="363"/>
      <c r="AD258" s="363"/>
      <c r="AE258" s="363" t="s">
        <v>551</v>
      </c>
      <c r="AF258" s="380" t="s">
        <v>207</v>
      </c>
      <c r="AG258" s="380">
        <v>3</v>
      </c>
      <c r="AH258" s="363" t="s">
        <v>26</v>
      </c>
    </row>
    <row r="259" spans="2:34" ht="15" hidden="1" customHeight="1" x14ac:dyDescent="0.3">
      <c r="B259" s="380" t="s">
        <v>14</v>
      </c>
      <c r="C259" s="409" t="s">
        <v>1155</v>
      </c>
      <c r="D259" s="423" t="s">
        <v>151</v>
      </c>
      <c r="E259" s="419">
        <v>4300495205</v>
      </c>
      <c r="F259" s="753">
        <v>45848</v>
      </c>
      <c r="G259" s="380" t="s">
        <v>55</v>
      </c>
      <c r="H259" s="380">
        <v>4</v>
      </c>
      <c r="I259" s="388">
        <v>295998</v>
      </c>
      <c r="J259" s="380">
        <v>3</v>
      </c>
      <c r="K259" s="389">
        <f t="shared" si="12"/>
        <v>98666</v>
      </c>
      <c r="L259" s="387">
        <v>45778</v>
      </c>
      <c r="M259" s="387">
        <v>46142</v>
      </c>
      <c r="N259" s="680"/>
      <c r="O259" s="680"/>
      <c r="P259" s="363" t="s">
        <v>19</v>
      </c>
      <c r="Q259" s="380" t="s">
        <v>5</v>
      </c>
      <c r="R259" s="380"/>
      <c r="S259" s="390" t="s">
        <v>343</v>
      </c>
      <c r="T259" s="363" t="s">
        <v>753</v>
      </c>
      <c r="U259" s="390" t="s">
        <v>345</v>
      </c>
      <c r="V259" s="363" t="s">
        <v>1001</v>
      </c>
      <c r="W259" s="390" t="s">
        <v>347</v>
      </c>
      <c r="X259" s="363" t="s">
        <v>1044</v>
      </c>
      <c r="Y259" s="363"/>
      <c r="Z259" s="363"/>
      <c r="AA259" s="363"/>
      <c r="AB259" s="363"/>
      <c r="AC259" s="363"/>
      <c r="AD259" s="363"/>
      <c r="AE259" s="363" t="s">
        <v>507</v>
      </c>
      <c r="AF259" s="380" t="s">
        <v>63</v>
      </c>
      <c r="AG259" s="380">
        <v>3</v>
      </c>
      <c r="AH259" s="363" t="s">
        <v>667</v>
      </c>
    </row>
    <row r="260" spans="2:34" ht="15" hidden="1" customHeight="1" x14ac:dyDescent="0.3">
      <c r="B260" s="380" t="s">
        <v>14</v>
      </c>
      <c r="C260" s="363" t="s">
        <v>1156</v>
      </c>
      <c r="D260" s="434" t="s">
        <v>151</v>
      </c>
      <c r="E260" s="468" t="s">
        <v>1157</v>
      </c>
      <c r="F260" s="753">
        <v>45866</v>
      </c>
      <c r="G260" s="380" t="s">
        <v>55</v>
      </c>
      <c r="H260" s="380">
        <v>3</v>
      </c>
      <c r="I260" s="388">
        <v>75000</v>
      </c>
      <c r="J260" s="380">
        <v>3</v>
      </c>
      <c r="K260" s="389">
        <f t="shared" si="12"/>
        <v>25000</v>
      </c>
      <c r="L260" s="387">
        <v>45870</v>
      </c>
      <c r="M260" s="387">
        <v>46234</v>
      </c>
      <c r="N260" s="680"/>
      <c r="O260" s="680"/>
      <c r="P260" s="363" t="s">
        <v>19</v>
      </c>
      <c r="Q260" s="380" t="s">
        <v>11</v>
      </c>
      <c r="R260" s="380"/>
      <c r="S260" s="390" t="s">
        <v>665</v>
      </c>
      <c r="T260" s="363" t="s">
        <v>360</v>
      </c>
      <c r="U260" s="390" t="s">
        <v>361</v>
      </c>
      <c r="V260" s="363" t="s">
        <v>874</v>
      </c>
      <c r="W260" s="390" t="s">
        <v>1080</v>
      </c>
      <c r="X260" s="363" t="s">
        <v>1843</v>
      </c>
      <c r="Y260" s="363"/>
      <c r="Z260" s="363"/>
      <c r="AA260" s="363"/>
      <c r="AB260" s="363"/>
      <c r="AC260" s="363"/>
      <c r="AD260" s="363"/>
      <c r="AE260" s="363" t="s">
        <v>478</v>
      </c>
      <c r="AF260" s="380" t="s">
        <v>63</v>
      </c>
      <c r="AG260" s="380">
        <v>3</v>
      </c>
      <c r="AH260" s="363" t="s">
        <v>667</v>
      </c>
    </row>
    <row r="261" spans="2:34" ht="15" hidden="1" customHeight="1" x14ac:dyDescent="0.3">
      <c r="B261" s="380" t="s">
        <v>14</v>
      </c>
      <c r="C261" s="473" t="s">
        <v>150</v>
      </c>
      <c r="D261" s="434" t="s">
        <v>447</v>
      </c>
      <c r="E261" s="419">
        <v>4200342890</v>
      </c>
      <c r="F261" s="753">
        <v>45817</v>
      </c>
      <c r="G261" s="380" t="s">
        <v>55</v>
      </c>
      <c r="H261" s="380">
        <v>3</v>
      </c>
      <c r="I261" s="388">
        <v>180000</v>
      </c>
      <c r="J261" s="380">
        <v>2</v>
      </c>
      <c r="K261" s="389">
        <f t="shared" si="12"/>
        <v>90000</v>
      </c>
      <c r="L261" s="387">
        <v>45839</v>
      </c>
      <c r="M261" s="387">
        <v>46203</v>
      </c>
      <c r="N261" s="680"/>
      <c r="O261" s="680"/>
      <c r="P261" s="363" t="s">
        <v>19</v>
      </c>
      <c r="Q261" s="380" t="s">
        <v>9</v>
      </c>
      <c r="R261" s="380"/>
      <c r="S261" s="390" t="s">
        <v>483</v>
      </c>
      <c r="T261" s="363" t="s">
        <v>588</v>
      </c>
      <c r="U261" s="390" t="s">
        <v>607</v>
      </c>
      <c r="V261" s="363" t="s">
        <v>1852</v>
      </c>
      <c r="W261" s="363"/>
      <c r="X261" s="363"/>
      <c r="Y261" s="363"/>
      <c r="Z261" s="363"/>
      <c r="AA261" s="363"/>
      <c r="AB261" s="363"/>
      <c r="AC261" s="363"/>
      <c r="AD261" s="363"/>
      <c r="AE261" s="363" t="s">
        <v>96</v>
      </c>
      <c r="AF261" s="380" t="s">
        <v>97</v>
      </c>
      <c r="AG261" s="380" t="s">
        <v>494</v>
      </c>
      <c r="AH261" s="363" t="s">
        <v>667</v>
      </c>
    </row>
    <row r="262" spans="2:34" ht="15" hidden="1" customHeight="1" x14ac:dyDescent="0.3">
      <c r="B262" s="380" t="s">
        <v>14</v>
      </c>
      <c r="C262" s="434" t="s">
        <v>1158</v>
      </c>
      <c r="D262" s="434" t="s">
        <v>1159</v>
      </c>
      <c r="E262" s="419">
        <v>1600034060</v>
      </c>
      <c r="F262" s="753">
        <v>45867</v>
      </c>
      <c r="G262" s="380" t="s">
        <v>55</v>
      </c>
      <c r="H262" s="380">
        <v>2</v>
      </c>
      <c r="I262" s="388">
        <v>159080</v>
      </c>
      <c r="J262" s="380">
        <v>2</v>
      </c>
      <c r="K262" s="389">
        <f t="shared" si="12"/>
        <v>79540</v>
      </c>
      <c r="L262" s="387">
        <v>45839</v>
      </c>
      <c r="M262" s="387">
        <v>46203</v>
      </c>
      <c r="N262" s="680"/>
      <c r="O262" s="680"/>
      <c r="P262" s="363" t="s">
        <v>19</v>
      </c>
      <c r="Q262" s="380" t="s">
        <v>11</v>
      </c>
      <c r="R262" s="380"/>
      <c r="S262" s="390" t="s">
        <v>483</v>
      </c>
      <c r="T262" s="363" t="s">
        <v>1034</v>
      </c>
      <c r="U262" s="390" t="s">
        <v>607</v>
      </c>
      <c r="V262" s="363" t="s">
        <v>1949</v>
      </c>
      <c r="W262" s="363"/>
      <c r="X262" s="363"/>
      <c r="Y262" s="363"/>
      <c r="Z262" s="363"/>
      <c r="AA262" s="363"/>
      <c r="AB262" s="363"/>
      <c r="AC262" s="363"/>
      <c r="AD262" s="363"/>
      <c r="AE262" s="363" t="s">
        <v>478</v>
      </c>
      <c r="AF262" s="380" t="s">
        <v>63</v>
      </c>
      <c r="AG262" s="380">
        <v>3</v>
      </c>
      <c r="AH262" s="363" t="s">
        <v>667</v>
      </c>
    </row>
    <row r="263" spans="2:34" ht="15" hidden="1" customHeight="1" x14ac:dyDescent="0.3">
      <c r="B263" s="380" t="s">
        <v>14</v>
      </c>
      <c r="C263" s="409" t="s">
        <v>1160</v>
      </c>
      <c r="D263" s="434" t="s">
        <v>151</v>
      </c>
      <c r="E263" s="380" t="s">
        <v>1161</v>
      </c>
      <c r="F263" s="753">
        <v>45852</v>
      </c>
      <c r="G263" s="380" t="s">
        <v>55</v>
      </c>
      <c r="H263" s="380">
        <v>2</v>
      </c>
      <c r="I263" s="388">
        <v>156000</v>
      </c>
      <c r="J263" s="380">
        <v>3</v>
      </c>
      <c r="K263" s="389">
        <f t="shared" si="12"/>
        <v>52000</v>
      </c>
      <c r="L263" s="387">
        <v>45839</v>
      </c>
      <c r="M263" s="387">
        <v>46203</v>
      </c>
      <c r="N263" s="680"/>
      <c r="O263" s="680"/>
      <c r="P263" s="363" t="s">
        <v>19</v>
      </c>
      <c r="Q263" s="380" t="s">
        <v>9</v>
      </c>
      <c r="R263" s="380"/>
      <c r="S263" s="390" t="s">
        <v>190</v>
      </c>
      <c r="T263" s="363" t="s">
        <v>791</v>
      </c>
      <c r="U263" s="390" t="s">
        <v>192</v>
      </c>
      <c r="V263" s="363" t="s">
        <v>1162</v>
      </c>
      <c r="W263" s="390" t="s">
        <v>1163</v>
      </c>
      <c r="X263" s="363" t="s">
        <v>1844</v>
      </c>
      <c r="Y263" s="363"/>
      <c r="Z263" s="363"/>
      <c r="AA263" s="363"/>
      <c r="AB263" s="363"/>
      <c r="AC263" s="363"/>
      <c r="AD263" s="363"/>
      <c r="AE263" s="363" t="s">
        <v>478</v>
      </c>
      <c r="AF263" s="380" t="s">
        <v>63</v>
      </c>
      <c r="AG263" s="380">
        <v>3</v>
      </c>
      <c r="AH263" s="363" t="s">
        <v>667</v>
      </c>
    </row>
    <row r="264" spans="2:34" ht="15" hidden="1" customHeight="1" x14ac:dyDescent="0.3">
      <c r="B264" s="380" t="s">
        <v>14</v>
      </c>
      <c r="C264" s="409" t="s">
        <v>954</v>
      </c>
      <c r="D264" s="423" t="s">
        <v>1164</v>
      </c>
      <c r="E264" s="805">
        <v>4601465639</v>
      </c>
      <c r="F264" s="753">
        <v>45845</v>
      </c>
      <c r="G264" s="380" t="s">
        <v>55</v>
      </c>
      <c r="H264" s="380">
        <v>1</v>
      </c>
      <c r="I264" s="388">
        <v>85000</v>
      </c>
      <c r="J264" s="380">
        <v>1</v>
      </c>
      <c r="K264" s="389">
        <f t="shared" si="12"/>
        <v>85000</v>
      </c>
      <c r="L264" s="387">
        <v>45839</v>
      </c>
      <c r="M264" s="387">
        <v>46203</v>
      </c>
      <c r="N264" s="680"/>
      <c r="O264" s="680"/>
      <c r="P264" s="363" t="s">
        <v>19</v>
      </c>
      <c r="Q264" s="380" t="s">
        <v>9</v>
      </c>
      <c r="R264" s="380"/>
      <c r="S264" s="390" t="s">
        <v>1071</v>
      </c>
      <c r="T264" s="363" t="s">
        <v>618</v>
      </c>
      <c r="U264" s="363"/>
      <c r="V264" s="363"/>
      <c r="W264" s="363"/>
      <c r="X264" s="363"/>
      <c r="Y264" s="363"/>
      <c r="Z264" s="363"/>
      <c r="AA264" s="363"/>
      <c r="AB264" s="363"/>
      <c r="AC264" s="363"/>
      <c r="AD264" s="363"/>
      <c r="AE264" s="363" t="s">
        <v>478</v>
      </c>
      <c r="AF264" s="380" t="s">
        <v>63</v>
      </c>
      <c r="AG264" s="380">
        <v>3</v>
      </c>
      <c r="AH264" s="363" t="s">
        <v>667</v>
      </c>
    </row>
    <row r="265" spans="2:34" ht="15" hidden="1" customHeight="1" x14ac:dyDescent="0.3">
      <c r="B265" s="380" t="s">
        <v>14</v>
      </c>
      <c r="C265" s="409" t="s">
        <v>756</v>
      </c>
      <c r="D265" s="423" t="s">
        <v>757</v>
      </c>
      <c r="E265" s="419">
        <v>2265006145</v>
      </c>
      <c r="F265" s="753">
        <v>45868</v>
      </c>
      <c r="G265" s="380" t="s">
        <v>55</v>
      </c>
      <c r="H265" s="380">
        <v>2</v>
      </c>
      <c r="I265" s="388">
        <v>164160</v>
      </c>
      <c r="J265" s="380">
        <v>3</v>
      </c>
      <c r="K265" s="389">
        <f t="shared" si="12"/>
        <v>54720</v>
      </c>
      <c r="L265" s="387">
        <v>45748</v>
      </c>
      <c r="M265" s="387">
        <v>46112</v>
      </c>
      <c r="N265" s="680"/>
      <c r="O265" s="680"/>
      <c r="P265" s="363" t="s">
        <v>19</v>
      </c>
      <c r="Q265" s="380" t="s">
        <v>5</v>
      </c>
      <c r="R265" s="380"/>
      <c r="S265" s="390" t="s">
        <v>357</v>
      </c>
      <c r="T265" s="363" t="s">
        <v>872</v>
      </c>
      <c r="U265" s="390" t="s">
        <v>665</v>
      </c>
      <c r="V265" s="363" t="s">
        <v>967</v>
      </c>
      <c r="W265" s="390" t="s">
        <v>361</v>
      </c>
      <c r="X265" s="363" t="s">
        <v>882</v>
      </c>
      <c r="Y265" s="363"/>
      <c r="Z265" s="363"/>
      <c r="AA265" s="363"/>
      <c r="AB265" s="363"/>
      <c r="AC265" s="363"/>
      <c r="AD265" s="363"/>
      <c r="AE265" s="363" t="s">
        <v>507</v>
      </c>
      <c r="AF265" s="380" t="s">
        <v>63</v>
      </c>
      <c r="AG265" s="380">
        <v>3</v>
      </c>
      <c r="AH265" s="363" t="s">
        <v>799</v>
      </c>
    </row>
    <row r="266" spans="2:34" ht="15" hidden="1" customHeight="1" x14ac:dyDescent="0.3">
      <c r="B266" s="380" t="s">
        <v>14</v>
      </c>
      <c r="C266" s="409" t="s">
        <v>195</v>
      </c>
      <c r="D266" s="423" t="s">
        <v>447</v>
      </c>
      <c r="E266" s="464" t="s">
        <v>1165</v>
      </c>
      <c r="F266" s="753">
        <v>45864</v>
      </c>
      <c r="G266" s="380" t="s">
        <v>55</v>
      </c>
      <c r="H266" s="380">
        <v>8</v>
      </c>
      <c r="I266" s="388">
        <v>513520</v>
      </c>
      <c r="J266" s="380">
        <v>4</v>
      </c>
      <c r="K266" s="389">
        <f t="shared" si="12"/>
        <v>128380</v>
      </c>
      <c r="L266" s="387">
        <v>45877</v>
      </c>
      <c r="M266" s="387">
        <v>46241</v>
      </c>
      <c r="N266" s="680">
        <v>154580</v>
      </c>
      <c r="O266" s="680">
        <v>4724</v>
      </c>
      <c r="P266" s="363" t="s">
        <v>19</v>
      </c>
      <c r="Q266" s="380" t="s">
        <v>13</v>
      </c>
      <c r="R266" s="380"/>
      <c r="S266" s="390" t="s">
        <v>1166</v>
      </c>
      <c r="T266" s="363" t="s">
        <v>707</v>
      </c>
      <c r="U266" s="390" t="s">
        <v>1167</v>
      </c>
      <c r="V266" s="363" t="s">
        <v>653</v>
      </c>
      <c r="W266" s="390" t="s">
        <v>1168</v>
      </c>
      <c r="X266" s="363" t="s">
        <v>1169</v>
      </c>
      <c r="Y266" s="390" t="s">
        <v>1170</v>
      </c>
      <c r="Z266" s="363" t="s">
        <v>2020</v>
      </c>
      <c r="AA266" s="363"/>
      <c r="AB266" s="363"/>
      <c r="AC266" s="363"/>
      <c r="AD266" s="363"/>
      <c r="AE266" s="363" t="s">
        <v>96</v>
      </c>
      <c r="AF266" s="380" t="s">
        <v>97</v>
      </c>
      <c r="AG266" s="380" t="s">
        <v>494</v>
      </c>
      <c r="AH266" s="363" t="s">
        <v>667</v>
      </c>
    </row>
    <row r="267" spans="2:34" ht="15" hidden="1" customHeight="1" x14ac:dyDescent="0.3">
      <c r="B267" s="380" t="s">
        <v>14</v>
      </c>
      <c r="C267" s="409" t="s">
        <v>1172</v>
      </c>
      <c r="D267" s="423" t="s">
        <v>1016</v>
      </c>
      <c r="E267" s="419">
        <v>7100090208</v>
      </c>
      <c r="F267" s="753">
        <v>45874</v>
      </c>
      <c r="G267" s="380" t="s">
        <v>55</v>
      </c>
      <c r="H267" s="380">
        <v>1</v>
      </c>
      <c r="I267" s="388">
        <v>81000</v>
      </c>
      <c r="J267" s="380">
        <v>3</v>
      </c>
      <c r="K267" s="389">
        <f t="shared" si="12"/>
        <v>27000</v>
      </c>
      <c r="L267" s="387">
        <v>45839</v>
      </c>
      <c r="M267" s="387">
        <v>46203</v>
      </c>
      <c r="N267" s="680"/>
      <c r="O267" s="680"/>
      <c r="P267" s="363" t="s">
        <v>19</v>
      </c>
      <c r="Q267" s="380" t="s">
        <v>9</v>
      </c>
      <c r="R267" s="380"/>
      <c r="S267" s="390" t="s">
        <v>190</v>
      </c>
      <c r="T267" s="363" t="s">
        <v>760</v>
      </c>
      <c r="U267" s="390" t="s">
        <v>192</v>
      </c>
      <c r="V267" s="363" t="s">
        <v>1173</v>
      </c>
      <c r="W267" s="390" t="s">
        <v>194</v>
      </c>
      <c r="X267" s="363" t="s">
        <v>1855</v>
      </c>
      <c r="Y267" s="363"/>
      <c r="Z267" s="363"/>
      <c r="AA267" s="363"/>
      <c r="AB267" s="363"/>
      <c r="AC267" s="363"/>
      <c r="AD267" s="363"/>
      <c r="AE267" s="363" t="s">
        <v>619</v>
      </c>
      <c r="AF267" s="380" t="s">
        <v>63</v>
      </c>
      <c r="AG267" s="380">
        <v>3</v>
      </c>
      <c r="AH267" s="363" t="s">
        <v>667</v>
      </c>
    </row>
    <row r="268" spans="2:34" ht="15" hidden="1" customHeight="1" x14ac:dyDescent="0.3">
      <c r="B268" s="380" t="s">
        <v>14</v>
      </c>
      <c r="C268" s="409" t="s">
        <v>1174</v>
      </c>
      <c r="D268" s="423" t="s">
        <v>447</v>
      </c>
      <c r="E268" s="397" t="s">
        <v>1175</v>
      </c>
      <c r="F268" s="753">
        <v>45869</v>
      </c>
      <c r="G268" s="380" t="s">
        <v>55</v>
      </c>
      <c r="H268" s="380">
        <v>4</v>
      </c>
      <c r="I268" s="388">
        <v>236252</v>
      </c>
      <c r="J268" s="380">
        <v>3</v>
      </c>
      <c r="K268" s="389">
        <f t="shared" si="12"/>
        <v>78750.666666666672</v>
      </c>
      <c r="L268" s="387">
        <v>45853</v>
      </c>
      <c r="M268" s="387">
        <v>46217</v>
      </c>
      <c r="N268" s="680"/>
      <c r="O268" s="680"/>
      <c r="P268" s="363" t="s">
        <v>19</v>
      </c>
      <c r="Q268" s="380" t="s">
        <v>11</v>
      </c>
      <c r="R268" s="380"/>
      <c r="S268" s="390" t="s">
        <v>1176</v>
      </c>
      <c r="T268" s="363" t="s">
        <v>1177</v>
      </c>
      <c r="U268" s="390" t="s">
        <v>1178</v>
      </c>
      <c r="V268" s="363" t="s">
        <v>1179</v>
      </c>
      <c r="W268" s="390" t="s">
        <v>1180</v>
      </c>
      <c r="X268" s="363" t="s">
        <v>1843</v>
      </c>
      <c r="Y268" s="363"/>
      <c r="Z268" s="363"/>
      <c r="AA268" s="363"/>
      <c r="AB268" s="363"/>
      <c r="AC268" s="363"/>
      <c r="AD268" s="363"/>
      <c r="AE268" s="363" t="s">
        <v>281</v>
      </c>
      <c r="AF268" s="380" t="s">
        <v>97</v>
      </c>
      <c r="AG268" s="380">
        <v>3</v>
      </c>
      <c r="AH268" s="363" t="s">
        <v>667</v>
      </c>
    </row>
    <row r="269" spans="2:34" ht="15" hidden="1" customHeight="1" x14ac:dyDescent="0.3">
      <c r="B269" s="380" t="s">
        <v>14</v>
      </c>
      <c r="C269" s="409" t="s">
        <v>195</v>
      </c>
      <c r="D269" s="423" t="s">
        <v>447</v>
      </c>
      <c r="E269" s="397" t="s">
        <v>1181</v>
      </c>
      <c r="F269" s="753">
        <v>45868</v>
      </c>
      <c r="G269" s="380" t="s">
        <v>55</v>
      </c>
      <c r="H269" s="380">
        <v>1</v>
      </c>
      <c r="I269" s="388">
        <v>61000</v>
      </c>
      <c r="J269" s="380">
        <v>4</v>
      </c>
      <c r="K269" s="389">
        <f t="shared" si="12"/>
        <v>15250</v>
      </c>
      <c r="L269" s="387">
        <v>45874</v>
      </c>
      <c r="M269" s="387">
        <v>46238</v>
      </c>
      <c r="N269" s="680">
        <v>154682</v>
      </c>
      <c r="O269" s="680">
        <v>4713</v>
      </c>
      <c r="P269" s="363" t="s">
        <v>19</v>
      </c>
      <c r="Q269" s="380" t="s">
        <v>13</v>
      </c>
      <c r="R269" s="380"/>
      <c r="S269" s="390" t="s">
        <v>1182</v>
      </c>
      <c r="T269" s="363" t="s">
        <v>110</v>
      </c>
      <c r="U269" s="390" t="s">
        <v>1183</v>
      </c>
      <c r="V269" s="363" t="s">
        <v>270</v>
      </c>
      <c r="W269" s="390" t="s">
        <v>1184</v>
      </c>
      <c r="X269" s="363" t="s">
        <v>443</v>
      </c>
      <c r="Y269" s="390" t="s">
        <v>1185</v>
      </c>
      <c r="Z269" s="363" t="s">
        <v>1950</v>
      </c>
      <c r="AA269" s="363"/>
      <c r="AB269" s="363"/>
      <c r="AC269" s="363"/>
      <c r="AD269" s="363"/>
      <c r="AE269" s="363" t="s">
        <v>96</v>
      </c>
      <c r="AF269" s="380" t="s">
        <v>97</v>
      </c>
      <c r="AG269" s="380" t="s">
        <v>494</v>
      </c>
      <c r="AH269" s="363" t="s">
        <v>667</v>
      </c>
    </row>
    <row r="270" spans="2:34" ht="15" customHeight="1" x14ac:dyDescent="0.3">
      <c r="B270" s="380" t="s">
        <v>14</v>
      </c>
      <c r="C270" s="474" t="s">
        <v>1186</v>
      </c>
      <c r="D270" s="423" t="s">
        <v>841</v>
      </c>
      <c r="E270" s="464">
        <v>470072615</v>
      </c>
      <c r="F270" s="753">
        <v>45864</v>
      </c>
      <c r="G270" s="380" t="s">
        <v>55</v>
      </c>
      <c r="H270" s="380"/>
      <c r="I270" s="388">
        <v>40000</v>
      </c>
      <c r="J270" s="380">
        <v>2</v>
      </c>
      <c r="K270" s="389">
        <f t="shared" si="12"/>
        <v>20000</v>
      </c>
      <c r="L270" s="387">
        <v>45839</v>
      </c>
      <c r="M270" s="387">
        <v>46203</v>
      </c>
      <c r="N270" s="680"/>
      <c r="O270" s="680"/>
      <c r="P270" s="363" t="s">
        <v>520</v>
      </c>
      <c r="Q270" s="380" t="s">
        <v>13</v>
      </c>
      <c r="R270" s="380" t="s">
        <v>1</v>
      </c>
      <c r="S270" s="390" t="s">
        <v>483</v>
      </c>
      <c r="T270" s="363" t="s">
        <v>1187</v>
      </c>
      <c r="U270" s="363" t="s">
        <v>607</v>
      </c>
      <c r="V270" s="363"/>
      <c r="W270" s="363"/>
      <c r="X270" s="363"/>
      <c r="Y270" s="363"/>
      <c r="Z270" s="363"/>
      <c r="AA270" s="363"/>
      <c r="AB270" s="363"/>
      <c r="AC270" s="363"/>
      <c r="AD270" s="363"/>
      <c r="AE270" s="363" t="s">
        <v>1188</v>
      </c>
      <c r="AF270" s="380" t="s">
        <v>63</v>
      </c>
      <c r="AG270" s="380"/>
      <c r="AH270" s="363"/>
    </row>
    <row r="271" spans="2:34" ht="15" customHeight="1" x14ac:dyDescent="0.3">
      <c r="B271" s="380" t="s">
        <v>14</v>
      </c>
      <c r="C271" s="412" t="s">
        <v>508</v>
      </c>
      <c r="D271" s="437" t="s">
        <v>866</v>
      </c>
      <c r="E271" s="475" t="s">
        <v>1189</v>
      </c>
      <c r="F271" s="757">
        <v>45873</v>
      </c>
      <c r="G271" s="380" t="s">
        <v>55</v>
      </c>
      <c r="H271" s="380">
        <v>2</v>
      </c>
      <c r="I271" s="388">
        <f>89000*2</f>
        <v>178000</v>
      </c>
      <c r="J271" s="380">
        <v>3</v>
      </c>
      <c r="K271" s="389">
        <f>I271/2</f>
        <v>89000</v>
      </c>
      <c r="L271" s="387">
        <v>45878</v>
      </c>
      <c r="M271" s="387">
        <v>46242</v>
      </c>
      <c r="N271" s="680"/>
      <c r="O271" s="680"/>
      <c r="P271" s="363" t="s">
        <v>520</v>
      </c>
      <c r="Q271" s="380" t="s">
        <v>13</v>
      </c>
      <c r="R271" s="380"/>
      <c r="S271" s="390" t="s">
        <v>1190</v>
      </c>
      <c r="T271" s="363" t="s">
        <v>1191</v>
      </c>
      <c r="U271" s="390" t="s">
        <v>1192</v>
      </c>
      <c r="V271" s="363" t="s">
        <v>656</v>
      </c>
      <c r="W271" s="736" t="s">
        <v>1193</v>
      </c>
      <c r="X271" s="363" t="s">
        <v>2021</v>
      </c>
      <c r="Y271" s="363"/>
      <c r="Z271" s="363"/>
      <c r="AA271" s="363"/>
      <c r="AB271" s="363"/>
      <c r="AC271" s="363"/>
      <c r="AD271" s="363"/>
      <c r="AE271" s="363" t="s">
        <v>96</v>
      </c>
      <c r="AF271" s="380" t="s">
        <v>97</v>
      </c>
      <c r="AG271" s="380" t="s">
        <v>494</v>
      </c>
      <c r="AH271" s="453" t="s">
        <v>1194</v>
      </c>
    </row>
    <row r="272" spans="2:34" ht="15" hidden="1" customHeight="1" x14ac:dyDescent="0.3">
      <c r="B272" s="380" t="s">
        <v>14</v>
      </c>
      <c r="C272" s="409" t="s">
        <v>1195</v>
      </c>
      <c r="D272" s="423" t="s">
        <v>1196</v>
      </c>
      <c r="E272" s="472">
        <v>4601464540</v>
      </c>
      <c r="F272" s="753">
        <v>45841</v>
      </c>
      <c r="G272" s="380" t="s">
        <v>55</v>
      </c>
      <c r="H272" s="380">
        <v>2</v>
      </c>
      <c r="I272" s="388">
        <f>81900*2</f>
        <v>163800</v>
      </c>
      <c r="J272" s="380">
        <v>3</v>
      </c>
      <c r="K272" s="389">
        <f t="shared" ref="K272:K280" si="13">I272/J272</f>
        <v>54600</v>
      </c>
      <c r="L272" s="387">
        <v>45748</v>
      </c>
      <c r="M272" s="387">
        <v>46112</v>
      </c>
      <c r="N272" s="680"/>
      <c r="O272" s="680"/>
      <c r="P272" s="363" t="s">
        <v>19</v>
      </c>
      <c r="Q272" s="380" t="s">
        <v>3</v>
      </c>
      <c r="R272" s="380"/>
      <c r="S272" s="390" t="s">
        <v>357</v>
      </c>
      <c r="T272" s="363" t="s">
        <v>1197</v>
      </c>
      <c r="U272" s="390" t="s">
        <v>665</v>
      </c>
      <c r="V272" s="363" t="s">
        <v>1198</v>
      </c>
      <c r="W272" s="390" t="s">
        <v>361</v>
      </c>
      <c r="X272" s="363" t="s">
        <v>899</v>
      </c>
      <c r="Y272" s="363"/>
      <c r="Z272" s="363"/>
      <c r="AA272" s="363"/>
      <c r="AB272" s="363"/>
      <c r="AC272" s="363"/>
      <c r="AD272" s="363"/>
      <c r="AE272" s="363" t="s">
        <v>478</v>
      </c>
      <c r="AF272" s="380" t="s">
        <v>63</v>
      </c>
      <c r="AG272" s="380">
        <v>3</v>
      </c>
      <c r="AH272" s="363" t="s">
        <v>667</v>
      </c>
    </row>
    <row r="273" spans="2:34" ht="15" hidden="1" customHeight="1" x14ac:dyDescent="0.3">
      <c r="B273" s="380" t="s">
        <v>14</v>
      </c>
      <c r="C273" s="409" t="s">
        <v>1199</v>
      </c>
      <c r="D273" s="434" t="s">
        <v>151</v>
      </c>
      <c r="E273" s="380">
        <v>66981</v>
      </c>
      <c r="F273" s="753">
        <v>45881</v>
      </c>
      <c r="G273" s="380" t="s">
        <v>55</v>
      </c>
      <c r="H273" s="380">
        <v>2</v>
      </c>
      <c r="I273" s="388">
        <v>130000</v>
      </c>
      <c r="J273" s="380">
        <v>2</v>
      </c>
      <c r="K273" s="389">
        <f t="shared" si="13"/>
        <v>65000</v>
      </c>
      <c r="L273" s="387">
        <v>45839</v>
      </c>
      <c r="M273" s="387">
        <v>46203</v>
      </c>
      <c r="N273" s="680"/>
      <c r="O273" s="680"/>
      <c r="P273" s="363" t="s">
        <v>19</v>
      </c>
      <c r="Q273" s="380" t="s">
        <v>11</v>
      </c>
      <c r="R273" s="380"/>
      <c r="S273" s="390" t="s">
        <v>483</v>
      </c>
      <c r="T273" s="363" t="s">
        <v>1034</v>
      </c>
      <c r="U273" s="390" t="s">
        <v>607</v>
      </c>
      <c r="V273" s="363" t="s">
        <v>1951</v>
      </c>
      <c r="W273" s="363"/>
      <c r="X273" s="363"/>
      <c r="Y273" s="363"/>
      <c r="Z273" s="363"/>
      <c r="AA273" s="363"/>
      <c r="AB273" s="363"/>
      <c r="AC273" s="363"/>
      <c r="AD273" s="363"/>
      <c r="AE273" s="363" t="s">
        <v>478</v>
      </c>
      <c r="AF273" s="380" t="s">
        <v>63</v>
      </c>
      <c r="AG273" s="380">
        <v>3</v>
      </c>
      <c r="AH273" s="363" t="s">
        <v>667</v>
      </c>
    </row>
    <row r="274" spans="2:34" ht="15" hidden="1" customHeight="1" x14ac:dyDescent="0.3">
      <c r="B274" s="380" t="s">
        <v>14</v>
      </c>
      <c r="C274" s="409" t="s">
        <v>663</v>
      </c>
      <c r="D274" s="423" t="s">
        <v>1016</v>
      </c>
      <c r="E274" s="419">
        <v>4507651363</v>
      </c>
      <c r="F274" s="753">
        <v>45883</v>
      </c>
      <c r="G274" s="380" t="s">
        <v>55</v>
      </c>
      <c r="H274" s="380">
        <v>5</v>
      </c>
      <c r="I274" s="388">
        <f>462000-77000</f>
        <v>385000</v>
      </c>
      <c r="J274" s="380">
        <v>3</v>
      </c>
      <c r="K274" s="389">
        <f t="shared" si="13"/>
        <v>128333.33333333333</v>
      </c>
      <c r="L274" s="387">
        <v>45839</v>
      </c>
      <c r="M274" s="387">
        <v>46203</v>
      </c>
      <c r="N274" s="680"/>
      <c r="O274" s="680"/>
      <c r="P274" s="363" t="s">
        <v>19</v>
      </c>
      <c r="Q274" s="380" t="s">
        <v>9</v>
      </c>
      <c r="R274" s="380"/>
      <c r="S274" s="390" t="s">
        <v>190</v>
      </c>
      <c r="T274" s="363" t="s">
        <v>1026</v>
      </c>
      <c r="U274" s="390" t="s">
        <v>192</v>
      </c>
      <c r="V274" s="363" t="s">
        <v>193</v>
      </c>
      <c r="W274" s="390" t="s">
        <v>1200</v>
      </c>
      <c r="X274" s="363" t="s">
        <v>1843</v>
      </c>
      <c r="Y274" s="363"/>
      <c r="Z274" s="363"/>
      <c r="AA274" s="363"/>
      <c r="AB274" s="363"/>
      <c r="AC274" s="363"/>
      <c r="AD274" s="363"/>
      <c r="AE274" s="363" t="s">
        <v>619</v>
      </c>
      <c r="AF274" s="380" t="s">
        <v>63</v>
      </c>
      <c r="AG274" s="380">
        <v>3</v>
      </c>
      <c r="AH274" s="363" t="s">
        <v>667</v>
      </c>
    </row>
    <row r="275" spans="2:34" ht="15" hidden="1" customHeight="1" x14ac:dyDescent="0.3">
      <c r="B275" s="380" t="s">
        <v>14</v>
      </c>
      <c r="C275" s="409" t="s">
        <v>663</v>
      </c>
      <c r="D275" s="423" t="s">
        <v>1016</v>
      </c>
      <c r="E275" s="419">
        <v>4507651363</v>
      </c>
      <c r="F275" s="753">
        <v>45883</v>
      </c>
      <c r="G275" s="380" t="s">
        <v>55</v>
      </c>
      <c r="H275" s="380">
        <v>1</v>
      </c>
      <c r="I275" s="388">
        <v>77000</v>
      </c>
      <c r="J275" s="380">
        <v>2</v>
      </c>
      <c r="K275" s="389">
        <f t="shared" si="13"/>
        <v>38500</v>
      </c>
      <c r="L275" s="387">
        <v>45839</v>
      </c>
      <c r="M275" s="387">
        <v>46203</v>
      </c>
      <c r="N275" s="680"/>
      <c r="O275" s="680"/>
      <c r="P275" s="363" t="s">
        <v>19</v>
      </c>
      <c r="Q275" s="380" t="s">
        <v>9</v>
      </c>
      <c r="R275" s="380"/>
      <c r="S275" s="390" t="s">
        <v>483</v>
      </c>
      <c r="T275" s="363" t="s">
        <v>1026</v>
      </c>
      <c r="U275" s="390" t="s">
        <v>607</v>
      </c>
      <c r="V275" s="363" t="s">
        <v>193</v>
      </c>
      <c r="W275" s="363"/>
      <c r="X275" s="363"/>
      <c r="Y275" s="363"/>
      <c r="Z275" s="363"/>
      <c r="AA275" s="363"/>
      <c r="AB275" s="363"/>
      <c r="AC275" s="363"/>
      <c r="AD275" s="363"/>
      <c r="AE275" s="363" t="s">
        <v>619</v>
      </c>
      <c r="AF275" s="380" t="s">
        <v>63</v>
      </c>
      <c r="AG275" s="380">
        <v>3</v>
      </c>
      <c r="AH275" s="363" t="s">
        <v>667</v>
      </c>
    </row>
    <row r="276" spans="2:34" ht="15" hidden="1" customHeight="1" x14ac:dyDescent="0.3">
      <c r="B276" s="380" t="s">
        <v>14</v>
      </c>
      <c r="C276" s="409" t="s">
        <v>655</v>
      </c>
      <c r="D276" s="423" t="s">
        <v>151</v>
      </c>
      <c r="E276" s="464">
        <v>2009800</v>
      </c>
      <c r="F276" s="753">
        <v>45874</v>
      </c>
      <c r="G276" s="380" t="s">
        <v>2022</v>
      </c>
      <c r="H276" s="380"/>
      <c r="I276" s="388">
        <v>40000</v>
      </c>
      <c r="J276" s="380">
        <v>2</v>
      </c>
      <c r="K276" s="389"/>
      <c r="L276" s="387">
        <v>45874</v>
      </c>
      <c r="M276" s="387">
        <v>46238</v>
      </c>
      <c r="N276" s="680"/>
      <c r="O276" s="680"/>
      <c r="P276" s="363" t="s">
        <v>19</v>
      </c>
      <c r="Q276" s="380" t="s">
        <v>13</v>
      </c>
      <c r="R276" s="380" t="s">
        <v>1</v>
      </c>
      <c r="S276" s="390" t="s">
        <v>1201</v>
      </c>
      <c r="T276" s="363" t="s">
        <v>556</v>
      </c>
      <c r="U276" s="749" t="s">
        <v>1202</v>
      </c>
      <c r="V276" s="363" t="s">
        <v>2023</v>
      </c>
      <c r="W276" s="363"/>
      <c r="X276" s="363"/>
      <c r="Y276" s="363"/>
      <c r="Z276" s="363"/>
      <c r="AA276" s="363"/>
      <c r="AB276" s="363"/>
      <c r="AC276" s="363"/>
      <c r="AD276" s="363"/>
      <c r="AE276" s="363" t="s">
        <v>1188</v>
      </c>
      <c r="AF276" s="380" t="s">
        <v>63</v>
      </c>
      <c r="AG276" s="380"/>
      <c r="AH276" s="363"/>
    </row>
    <row r="277" spans="2:34" ht="15" hidden="1" customHeight="1" x14ac:dyDescent="0.3">
      <c r="B277" s="380" t="s">
        <v>14</v>
      </c>
      <c r="C277" s="409" t="s">
        <v>1203</v>
      </c>
      <c r="D277" s="423" t="s">
        <v>997</v>
      </c>
      <c r="E277" s="464" t="s">
        <v>1204</v>
      </c>
      <c r="F277" s="753">
        <v>45882</v>
      </c>
      <c r="G277" s="380" t="s">
        <v>55</v>
      </c>
      <c r="H277" s="380">
        <v>1</v>
      </c>
      <c r="I277" s="388">
        <v>84000</v>
      </c>
      <c r="J277" s="380">
        <v>3</v>
      </c>
      <c r="K277" s="389">
        <f t="shared" si="13"/>
        <v>28000</v>
      </c>
      <c r="L277" s="387">
        <v>45839</v>
      </c>
      <c r="M277" s="387">
        <v>46203</v>
      </c>
      <c r="N277" s="680"/>
      <c r="O277" s="680"/>
      <c r="P277" s="363" t="s">
        <v>19</v>
      </c>
      <c r="Q277" s="380" t="s">
        <v>9</v>
      </c>
      <c r="R277" s="380"/>
      <c r="S277" s="390" t="s">
        <v>190</v>
      </c>
      <c r="T277" s="363" t="s">
        <v>807</v>
      </c>
      <c r="U277" s="390" t="s">
        <v>192</v>
      </c>
      <c r="V277" s="363" t="s">
        <v>1205</v>
      </c>
      <c r="W277" s="390" t="s">
        <v>1200</v>
      </c>
      <c r="X277" s="363" t="s">
        <v>1721</v>
      </c>
      <c r="Y277" s="363"/>
      <c r="Z277" s="363"/>
      <c r="AA277" s="363"/>
      <c r="AB277" s="363"/>
      <c r="AC277" s="363"/>
      <c r="AD277" s="363"/>
      <c r="AE277" s="363" t="s">
        <v>96</v>
      </c>
      <c r="AF277" s="380" t="s">
        <v>97</v>
      </c>
      <c r="AG277" s="380" t="s">
        <v>494</v>
      </c>
      <c r="AH277" s="363" t="s">
        <v>667</v>
      </c>
    </row>
    <row r="278" spans="2:34" ht="15" hidden="1" customHeight="1" x14ac:dyDescent="0.3">
      <c r="B278" s="380" t="s">
        <v>14</v>
      </c>
      <c r="C278" s="409" t="s">
        <v>1206</v>
      </c>
      <c r="D278" s="423" t="s">
        <v>1207</v>
      </c>
      <c r="E278" s="419">
        <v>401230020</v>
      </c>
      <c r="F278" s="753">
        <v>45878</v>
      </c>
      <c r="G278" s="380" t="s">
        <v>55</v>
      </c>
      <c r="H278" s="380">
        <v>1</v>
      </c>
      <c r="I278" s="388">
        <v>76000</v>
      </c>
      <c r="J278" s="380">
        <v>2</v>
      </c>
      <c r="K278" s="389">
        <f t="shared" si="13"/>
        <v>38000</v>
      </c>
      <c r="L278" s="387">
        <v>45839</v>
      </c>
      <c r="M278" s="387">
        <v>46203</v>
      </c>
      <c r="N278" s="680"/>
      <c r="O278" s="680"/>
      <c r="P278" s="363" t="s">
        <v>19</v>
      </c>
      <c r="Q278" s="380" t="s">
        <v>9</v>
      </c>
      <c r="R278" s="380"/>
      <c r="S278" s="390" t="s">
        <v>483</v>
      </c>
      <c r="T278" s="363" t="s">
        <v>1208</v>
      </c>
      <c r="U278" s="390" t="s">
        <v>607</v>
      </c>
      <c r="V278" s="363" t="s">
        <v>1844</v>
      </c>
      <c r="W278" s="363"/>
      <c r="X278" s="363"/>
      <c r="Y278" s="363"/>
      <c r="Z278" s="363"/>
      <c r="AA278" s="363"/>
      <c r="AB278" s="363"/>
      <c r="AC278" s="363"/>
      <c r="AD278" s="363"/>
      <c r="AE278" s="363" t="s">
        <v>96</v>
      </c>
      <c r="AF278" s="380" t="s">
        <v>97</v>
      </c>
      <c r="AG278" s="380"/>
      <c r="AH278" s="363" t="s">
        <v>667</v>
      </c>
    </row>
    <row r="279" spans="2:34" ht="15" hidden="1" customHeight="1" x14ac:dyDescent="0.3">
      <c r="B279" s="380" t="s">
        <v>14</v>
      </c>
      <c r="C279" s="409" t="s">
        <v>1206</v>
      </c>
      <c r="D279" s="423" t="s">
        <v>1207</v>
      </c>
      <c r="E279" s="419">
        <v>401230026</v>
      </c>
      <c r="F279" s="753">
        <v>45878</v>
      </c>
      <c r="G279" s="380" t="s">
        <v>55</v>
      </c>
      <c r="H279" s="380">
        <v>4</v>
      </c>
      <c r="I279" s="388">
        <f>76000*4</f>
        <v>304000</v>
      </c>
      <c r="J279" s="380">
        <v>2</v>
      </c>
      <c r="K279" s="389">
        <f t="shared" si="13"/>
        <v>152000</v>
      </c>
      <c r="L279" s="387">
        <v>45839</v>
      </c>
      <c r="M279" s="387">
        <v>46203</v>
      </c>
      <c r="N279" s="680"/>
      <c r="O279" s="680"/>
      <c r="P279" s="363" t="s">
        <v>19</v>
      </c>
      <c r="Q279" s="380" t="s">
        <v>9</v>
      </c>
      <c r="R279" s="380"/>
      <c r="S279" s="390" t="s">
        <v>483</v>
      </c>
      <c r="T279" s="363" t="s">
        <v>147</v>
      </c>
      <c r="U279" s="390" t="s">
        <v>607</v>
      </c>
      <c r="V279" s="363" t="s">
        <v>1850</v>
      </c>
      <c r="W279" s="363"/>
      <c r="X279" s="363"/>
      <c r="Y279" s="363"/>
      <c r="Z279" s="363"/>
      <c r="AA279" s="363"/>
      <c r="AB279" s="363"/>
      <c r="AC279" s="363"/>
      <c r="AD279" s="363"/>
      <c r="AE279" s="363" t="s">
        <v>96</v>
      </c>
      <c r="AF279" s="380" t="s">
        <v>97</v>
      </c>
      <c r="AG279" s="380"/>
      <c r="AH279" s="363" t="s">
        <v>667</v>
      </c>
    </row>
    <row r="280" spans="2:34" ht="15" hidden="1" customHeight="1" x14ac:dyDescent="0.3">
      <c r="B280" s="380" t="s">
        <v>14</v>
      </c>
      <c r="C280" s="430" t="s">
        <v>1211</v>
      </c>
      <c r="D280" s="445" t="s">
        <v>906</v>
      </c>
      <c r="E280" s="419">
        <v>4800001110</v>
      </c>
      <c r="F280" s="753">
        <v>45887</v>
      </c>
      <c r="G280" s="407" t="s">
        <v>703</v>
      </c>
      <c r="H280" s="380">
        <v>1</v>
      </c>
      <c r="I280" s="388">
        <v>356250</v>
      </c>
      <c r="J280" s="380">
        <v>3</v>
      </c>
      <c r="K280" s="389">
        <f t="shared" si="13"/>
        <v>118750</v>
      </c>
      <c r="L280" s="387">
        <v>45958</v>
      </c>
      <c r="M280" s="387">
        <v>46322</v>
      </c>
      <c r="N280" s="680">
        <v>154838</v>
      </c>
      <c r="O280" s="680">
        <v>4728</v>
      </c>
      <c r="P280" s="363" t="s">
        <v>19</v>
      </c>
      <c r="Q280" s="380" t="s">
        <v>1285</v>
      </c>
      <c r="R280" s="380"/>
      <c r="S280" s="390" t="s">
        <v>1212</v>
      </c>
      <c r="T280" s="363" t="s">
        <v>653</v>
      </c>
      <c r="U280" s="390" t="s">
        <v>1213</v>
      </c>
      <c r="V280" s="363" t="s">
        <v>1722</v>
      </c>
      <c r="W280" s="390" t="s">
        <v>1214</v>
      </c>
      <c r="X280" s="363" t="s">
        <v>2024</v>
      </c>
      <c r="Y280" s="363"/>
      <c r="Z280" s="363"/>
      <c r="AA280" s="363"/>
      <c r="AB280" s="363"/>
      <c r="AC280" s="363"/>
      <c r="AD280" s="363"/>
      <c r="AE280" s="363" t="s">
        <v>834</v>
      </c>
      <c r="AF280" s="380" t="s">
        <v>207</v>
      </c>
      <c r="AG280" s="380" t="s">
        <v>494</v>
      </c>
      <c r="AH280" s="363" t="s">
        <v>1215</v>
      </c>
    </row>
    <row r="281" spans="2:34" ht="15" hidden="1" customHeight="1" x14ac:dyDescent="0.3">
      <c r="B281" s="380" t="s">
        <v>14</v>
      </c>
      <c r="C281" s="443" t="s">
        <v>1216</v>
      </c>
      <c r="D281" s="444" t="s">
        <v>176</v>
      </c>
      <c r="E281" s="426">
        <v>1500003169</v>
      </c>
      <c r="F281" s="757">
        <v>45860</v>
      </c>
      <c r="G281" s="380" t="s">
        <v>55</v>
      </c>
      <c r="H281" s="380">
        <v>1</v>
      </c>
      <c r="I281" s="388">
        <v>98900</v>
      </c>
      <c r="J281" s="380">
        <v>3</v>
      </c>
      <c r="K281" s="389"/>
      <c r="L281" s="387">
        <v>45853</v>
      </c>
      <c r="M281" s="387">
        <v>46217</v>
      </c>
      <c r="N281" s="680"/>
      <c r="O281" s="680"/>
      <c r="P281" s="363" t="s">
        <v>19</v>
      </c>
      <c r="Q281" s="380" t="s">
        <v>11</v>
      </c>
      <c r="R281" s="380" t="s">
        <v>1</v>
      </c>
      <c r="S281" s="390" t="s">
        <v>1176</v>
      </c>
      <c r="T281" s="363" t="s">
        <v>1217</v>
      </c>
      <c r="U281" s="390" t="s">
        <v>1178</v>
      </c>
      <c r="V281" s="363" t="s">
        <v>1100</v>
      </c>
      <c r="W281" s="390" t="s">
        <v>1180</v>
      </c>
      <c r="X281" s="363" t="s">
        <v>1715</v>
      </c>
      <c r="Y281" s="363"/>
      <c r="Z281" s="363"/>
      <c r="AA281" s="363"/>
      <c r="AB281" s="363"/>
      <c r="AC281" s="363"/>
      <c r="AD281" s="363"/>
      <c r="AE281" s="363" t="s">
        <v>183</v>
      </c>
      <c r="AF281" s="380" t="s">
        <v>97</v>
      </c>
      <c r="AG281" s="380">
        <v>2</v>
      </c>
      <c r="AH281" s="363" t="s">
        <v>1218</v>
      </c>
    </row>
    <row r="282" spans="2:34" ht="15" hidden="1" customHeight="1" x14ac:dyDescent="0.3">
      <c r="B282" s="380" t="s">
        <v>14</v>
      </c>
      <c r="C282" s="443" t="s">
        <v>779</v>
      </c>
      <c r="D282" s="444" t="s">
        <v>558</v>
      </c>
      <c r="E282" s="426">
        <v>2500252147</v>
      </c>
      <c r="F282" s="753">
        <v>45883</v>
      </c>
      <c r="G282" s="380" t="s">
        <v>55</v>
      </c>
      <c r="H282" s="380">
        <v>1</v>
      </c>
      <c r="I282" s="388">
        <v>148435</v>
      </c>
      <c r="J282" s="380">
        <v>3</v>
      </c>
      <c r="K282" s="389">
        <f t="shared" ref="K282:K316" si="14">I282/J282</f>
        <v>49478.333333333336</v>
      </c>
      <c r="L282" s="387">
        <v>45870</v>
      </c>
      <c r="M282" s="387">
        <v>46234</v>
      </c>
      <c r="N282" s="680"/>
      <c r="O282" s="680"/>
      <c r="P282" s="363" t="s">
        <v>19</v>
      </c>
      <c r="Q282" s="380" t="s">
        <v>11</v>
      </c>
      <c r="R282" s="380" t="s">
        <v>1</v>
      </c>
      <c r="S282" s="390" t="s">
        <v>665</v>
      </c>
      <c r="T282" s="363" t="s">
        <v>1219</v>
      </c>
      <c r="U282" s="390" t="s">
        <v>361</v>
      </c>
      <c r="V282" s="363" t="s">
        <v>597</v>
      </c>
      <c r="W282" s="390" t="s">
        <v>1080</v>
      </c>
      <c r="X282" s="363" t="s">
        <v>1947</v>
      </c>
      <c r="Y282" s="363"/>
      <c r="Z282" s="363"/>
      <c r="AA282" s="363"/>
      <c r="AB282" s="363"/>
      <c r="AC282" s="363"/>
      <c r="AD282" s="363"/>
      <c r="AE282" s="363" t="s">
        <v>281</v>
      </c>
      <c r="AF282" s="380" t="s">
        <v>97</v>
      </c>
      <c r="AG282" s="380">
        <v>3</v>
      </c>
      <c r="AH282" s="446">
        <v>1</v>
      </c>
    </row>
    <row r="283" spans="2:34" ht="15" hidden="1" customHeight="1" x14ac:dyDescent="0.3">
      <c r="B283" s="380" t="s">
        <v>14</v>
      </c>
      <c r="C283" s="430" t="s">
        <v>1172</v>
      </c>
      <c r="D283" s="445" t="s">
        <v>1016</v>
      </c>
      <c r="E283" s="419">
        <v>7100081242</v>
      </c>
      <c r="F283" s="753">
        <v>45895</v>
      </c>
      <c r="G283" s="380" t="s">
        <v>55</v>
      </c>
      <c r="H283" s="380">
        <v>1</v>
      </c>
      <c r="I283" s="388">
        <v>81000</v>
      </c>
      <c r="J283" s="380">
        <v>3</v>
      </c>
      <c r="K283" s="391">
        <f t="shared" si="14"/>
        <v>27000</v>
      </c>
      <c r="L283" s="387">
        <v>45809</v>
      </c>
      <c r="M283" s="387">
        <v>46173</v>
      </c>
      <c r="N283" s="680"/>
      <c r="O283" s="680"/>
      <c r="P283" s="363" t="s">
        <v>19</v>
      </c>
      <c r="Q283" s="380" t="s">
        <v>9</v>
      </c>
      <c r="R283" s="380"/>
      <c r="S283" s="390" t="s">
        <v>81</v>
      </c>
      <c r="T283" s="363" t="s">
        <v>82</v>
      </c>
      <c r="U283" s="390" t="s">
        <v>83</v>
      </c>
      <c r="V283" s="363" t="s">
        <v>1056</v>
      </c>
      <c r="W283" s="390" t="s">
        <v>404</v>
      </c>
      <c r="X283" s="363" t="s">
        <v>1847</v>
      </c>
      <c r="Y283" s="363"/>
      <c r="Z283" s="363"/>
      <c r="AA283" s="363"/>
      <c r="AB283" s="363"/>
      <c r="AC283" s="363"/>
      <c r="AD283" s="363"/>
      <c r="AE283" s="363" t="s">
        <v>1220</v>
      </c>
      <c r="AF283" s="380" t="s">
        <v>63</v>
      </c>
      <c r="AG283" s="380">
        <v>3</v>
      </c>
      <c r="AH283" s="363" t="s">
        <v>667</v>
      </c>
    </row>
    <row r="284" spans="2:34" ht="15" hidden="1" customHeight="1" x14ac:dyDescent="0.3">
      <c r="B284" s="380" t="s">
        <v>14</v>
      </c>
      <c r="C284" s="409" t="s">
        <v>1221</v>
      </c>
      <c r="D284" s="423" t="s">
        <v>1159</v>
      </c>
      <c r="E284" s="419">
        <v>3300005366</v>
      </c>
      <c r="F284" s="753">
        <v>45881</v>
      </c>
      <c r="G284" s="380" t="s">
        <v>55</v>
      </c>
      <c r="H284" s="380">
        <v>7</v>
      </c>
      <c r="I284" s="388">
        <v>418222</v>
      </c>
      <c r="J284" s="380">
        <v>2</v>
      </c>
      <c r="K284" s="389">
        <f t="shared" si="14"/>
        <v>209111</v>
      </c>
      <c r="L284" s="387">
        <v>45870</v>
      </c>
      <c r="M284" s="387">
        <v>46234</v>
      </c>
      <c r="N284" s="680">
        <v>154596</v>
      </c>
      <c r="O284" s="680">
        <v>4683</v>
      </c>
      <c r="P284" s="363" t="s">
        <v>19</v>
      </c>
      <c r="Q284" s="380" t="s">
        <v>13</v>
      </c>
      <c r="R284" s="380"/>
      <c r="S284" s="390" t="s">
        <v>424</v>
      </c>
      <c r="T284" s="363" t="s">
        <v>443</v>
      </c>
      <c r="U284" s="390" t="s">
        <v>426</v>
      </c>
      <c r="V284" s="363" t="s">
        <v>2025</v>
      </c>
      <c r="W284" s="363"/>
      <c r="X284" s="363"/>
      <c r="Y284" s="363"/>
      <c r="Z284" s="363"/>
      <c r="AA284" s="363"/>
      <c r="AB284" s="363"/>
      <c r="AC284" s="363"/>
      <c r="AD284" s="363"/>
      <c r="AE284" s="363" t="s">
        <v>507</v>
      </c>
      <c r="AF284" s="380" t="s">
        <v>63</v>
      </c>
      <c r="AG284" s="380">
        <v>2</v>
      </c>
      <c r="AH284" s="363" t="s">
        <v>667</v>
      </c>
    </row>
    <row r="285" spans="2:34" ht="15" hidden="1" customHeight="1" x14ac:dyDescent="0.3">
      <c r="B285" s="380" t="s">
        <v>14</v>
      </c>
      <c r="C285" s="409" t="s">
        <v>1222</v>
      </c>
      <c r="D285" s="423" t="s">
        <v>1223</v>
      </c>
      <c r="E285" s="464" t="s">
        <v>1224</v>
      </c>
      <c r="F285" s="753">
        <v>45897</v>
      </c>
      <c r="G285" s="380" t="s">
        <v>55</v>
      </c>
      <c r="H285" s="380">
        <v>1</v>
      </c>
      <c r="I285" s="388">
        <v>85500</v>
      </c>
      <c r="J285" s="380">
        <v>3</v>
      </c>
      <c r="K285" s="389">
        <f t="shared" si="14"/>
        <v>28500</v>
      </c>
      <c r="L285" s="387">
        <v>45748</v>
      </c>
      <c r="M285" s="387">
        <v>46112</v>
      </c>
      <c r="N285" s="680"/>
      <c r="O285" s="680"/>
      <c r="P285" s="363" t="s">
        <v>19</v>
      </c>
      <c r="Q285" s="380" t="s">
        <v>5</v>
      </c>
      <c r="R285" s="380"/>
      <c r="S285" s="390" t="s">
        <v>357</v>
      </c>
      <c r="T285" s="363" t="s">
        <v>753</v>
      </c>
      <c r="U285" s="390" t="s">
        <v>665</v>
      </c>
      <c r="V285" s="363" t="s">
        <v>944</v>
      </c>
      <c r="W285" s="390" t="s">
        <v>361</v>
      </c>
      <c r="X285" s="363" t="s">
        <v>556</v>
      </c>
      <c r="Y285" s="363"/>
      <c r="Z285" s="363"/>
      <c r="AA285" s="363"/>
      <c r="AB285" s="363"/>
      <c r="AC285" s="363"/>
      <c r="AD285" s="363"/>
      <c r="AE285" s="363" t="s">
        <v>507</v>
      </c>
      <c r="AF285" s="380" t="s">
        <v>63</v>
      </c>
      <c r="AG285" s="380">
        <v>3</v>
      </c>
      <c r="AH285" s="363" t="s">
        <v>667</v>
      </c>
    </row>
    <row r="286" spans="2:34" ht="15" hidden="1" customHeight="1" x14ac:dyDescent="0.3">
      <c r="B286" s="380" t="s">
        <v>14</v>
      </c>
      <c r="C286" s="423" t="s">
        <v>1225</v>
      </c>
      <c r="D286" s="434" t="s">
        <v>1031</v>
      </c>
      <c r="E286" s="419">
        <v>4513032914</v>
      </c>
      <c r="F286" s="753">
        <v>45895</v>
      </c>
      <c r="G286" s="380" t="s">
        <v>55</v>
      </c>
      <c r="H286" s="380">
        <v>11</v>
      </c>
      <c r="I286" s="388">
        <v>506000</v>
      </c>
      <c r="J286" s="380">
        <v>3</v>
      </c>
      <c r="K286" s="389">
        <f t="shared" si="14"/>
        <v>168666.66666666666</v>
      </c>
      <c r="L286" s="387">
        <v>45870</v>
      </c>
      <c r="M286" s="387">
        <v>46234</v>
      </c>
      <c r="N286" s="680">
        <v>154587</v>
      </c>
      <c r="O286" s="680">
        <v>4695</v>
      </c>
      <c r="P286" s="363" t="s">
        <v>19</v>
      </c>
      <c r="Q286" s="380" t="s">
        <v>13</v>
      </c>
      <c r="R286" s="380"/>
      <c r="S286" s="390" t="s">
        <v>665</v>
      </c>
      <c r="T286" s="363" t="s">
        <v>1217</v>
      </c>
      <c r="U286" s="390" t="s">
        <v>361</v>
      </c>
      <c r="V286" s="363" t="s">
        <v>1226</v>
      </c>
      <c r="W286" s="390" t="s">
        <v>1080</v>
      </c>
      <c r="X286" s="363" t="s">
        <v>2026</v>
      </c>
      <c r="Y286" s="363"/>
      <c r="Z286" s="363"/>
      <c r="AA286" s="363"/>
      <c r="AB286" s="363"/>
      <c r="AC286" s="363"/>
      <c r="AD286" s="363"/>
      <c r="AE286" s="363" t="s">
        <v>478</v>
      </c>
      <c r="AF286" s="380" t="s">
        <v>63</v>
      </c>
      <c r="AG286" s="380">
        <v>5</v>
      </c>
      <c r="AH286" s="363" t="s">
        <v>667</v>
      </c>
    </row>
    <row r="287" spans="2:34" ht="15" hidden="1" customHeight="1" x14ac:dyDescent="0.3">
      <c r="B287" s="380" t="s">
        <v>14</v>
      </c>
      <c r="C287" s="423" t="s">
        <v>663</v>
      </c>
      <c r="D287" s="434" t="s">
        <v>1227</v>
      </c>
      <c r="E287" s="419">
        <v>4507666140</v>
      </c>
      <c r="F287" s="753">
        <v>45895</v>
      </c>
      <c r="G287" s="380" t="s">
        <v>55</v>
      </c>
      <c r="H287" s="380">
        <v>6</v>
      </c>
      <c r="I287" s="388">
        <v>540000</v>
      </c>
      <c r="J287" s="380">
        <v>3</v>
      </c>
      <c r="K287" s="389">
        <f t="shared" si="14"/>
        <v>180000</v>
      </c>
      <c r="L287" s="387">
        <v>45839</v>
      </c>
      <c r="M287" s="387">
        <v>46203</v>
      </c>
      <c r="N287" s="680"/>
      <c r="O287" s="680"/>
      <c r="P287" s="363" t="s">
        <v>19</v>
      </c>
      <c r="Q287" s="380" t="s">
        <v>11</v>
      </c>
      <c r="R287" s="380"/>
      <c r="S287" s="390" t="s">
        <v>190</v>
      </c>
      <c r="T287" s="363" t="s">
        <v>707</v>
      </c>
      <c r="U287" s="390" t="s">
        <v>192</v>
      </c>
      <c r="V287" s="363" t="s">
        <v>1228</v>
      </c>
      <c r="W287" s="390" t="s">
        <v>194</v>
      </c>
      <c r="X287" s="363" t="s">
        <v>1952</v>
      </c>
      <c r="Y287" s="363"/>
      <c r="Z287" s="363"/>
      <c r="AA287" s="363"/>
      <c r="AB287" s="363"/>
      <c r="AC287" s="363"/>
      <c r="AD287" s="363"/>
      <c r="AE287" s="363" t="s">
        <v>478</v>
      </c>
      <c r="AF287" s="380" t="s">
        <v>63</v>
      </c>
      <c r="AG287" s="380">
        <v>3</v>
      </c>
      <c r="AH287" s="363" t="s">
        <v>667</v>
      </c>
    </row>
    <row r="288" spans="2:34" ht="15" hidden="1" customHeight="1" x14ac:dyDescent="0.3">
      <c r="B288" s="380" t="s">
        <v>14</v>
      </c>
      <c r="C288" s="423" t="s">
        <v>1229</v>
      </c>
      <c r="D288" s="423" t="s">
        <v>1230</v>
      </c>
      <c r="E288" s="419">
        <v>5500011884</v>
      </c>
      <c r="F288" s="753">
        <v>45898</v>
      </c>
      <c r="G288" s="380" t="s">
        <v>55</v>
      </c>
      <c r="H288" s="380">
        <v>1</v>
      </c>
      <c r="I288" s="388">
        <v>84000</v>
      </c>
      <c r="J288" s="380">
        <v>3</v>
      </c>
      <c r="K288" s="389">
        <f t="shared" si="14"/>
        <v>28000</v>
      </c>
      <c r="L288" s="387">
        <v>45901</v>
      </c>
      <c r="M288" s="387">
        <v>46265</v>
      </c>
      <c r="N288" s="680"/>
      <c r="O288" s="680"/>
      <c r="P288" s="363" t="s">
        <v>19</v>
      </c>
      <c r="Q288" s="380" t="s">
        <v>13</v>
      </c>
      <c r="R288" s="380"/>
      <c r="S288" s="390" t="s">
        <v>345</v>
      </c>
      <c r="T288" s="363" t="s">
        <v>673</v>
      </c>
      <c r="U288" s="390" t="s">
        <v>347</v>
      </c>
      <c r="V288" s="363" t="s">
        <v>1232</v>
      </c>
      <c r="W288" s="390" t="s">
        <v>348</v>
      </c>
      <c r="X288" s="363" t="s">
        <v>2027</v>
      </c>
      <c r="Y288" s="363"/>
      <c r="Z288" s="363"/>
      <c r="AA288" s="363"/>
      <c r="AB288" s="363"/>
      <c r="AC288" s="363"/>
      <c r="AD288" s="363"/>
      <c r="AE288" s="363" t="s">
        <v>96</v>
      </c>
      <c r="AF288" s="380" t="s">
        <v>97</v>
      </c>
      <c r="AG288" s="380">
        <v>2</v>
      </c>
      <c r="AH288" s="363" t="s">
        <v>667</v>
      </c>
    </row>
    <row r="289" spans="2:34" ht="15" hidden="1" customHeight="1" x14ac:dyDescent="0.3">
      <c r="B289" s="380" t="s">
        <v>14</v>
      </c>
      <c r="C289" s="429" t="s">
        <v>1233</v>
      </c>
      <c r="D289" s="434" t="s">
        <v>131</v>
      </c>
      <c r="E289" s="419" t="s">
        <v>1234</v>
      </c>
      <c r="F289" s="753">
        <v>45901</v>
      </c>
      <c r="G289" s="380" t="s">
        <v>55</v>
      </c>
      <c r="H289" s="380">
        <v>1</v>
      </c>
      <c r="I289" s="388">
        <v>84000</v>
      </c>
      <c r="J289" s="380">
        <v>2</v>
      </c>
      <c r="K289" s="389">
        <f t="shared" si="14"/>
        <v>42000</v>
      </c>
      <c r="L289" s="387">
        <v>45901</v>
      </c>
      <c r="M289" s="387">
        <v>46265</v>
      </c>
      <c r="N289" s="680">
        <v>154617</v>
      </c>
      <c r="O289" s="680">
        <v>4237</v>
      </c>
      <c r="P289" s="363" t="s">
        <v>19</v>
      </c>
      <c r="Q289" s="380" t="s">
        <v>13</v>
      </c>
      <c r="R289" s="380"/>
      <c r="S289" s="390" t="s">
        <v>625</v>
      </c>
      <c r="T289" s="363" t="s">
        <v>854</v>
      </c>
      <c r="U289" s="390" t="s">
        <v>1235</v>
      </c>
      <c r="V289" s="363" t="s">
        <v>2028</v>
      </c>
      <c r="W289" s="363"/>
      <c r="X289" s="363"/>
      <c r="Y289" s="363"/>
      <c r="Z289" s="363"/>
      <c r="AA289" s="363"/>
      <c r="AB289" s="363"/>
      <c r="AC289" s="363"/>
      <c r="AD289" s="363"/>
      <c r="AE289" s="363" t="s">
        <v>485</v>
      </c>
      <c r="AF289" s="380" t="s">
        <v>63</v>
      </c>
      <c r="AG289" s="380">
        <v>2</v>
      </c>
      <c r="AH289" s="386" t="s">
        <v>657</v>
      </c>
    </row>
    <row r="290" spans="2:34" ht="15" hidden="1" customHeight="1" x14ac:dyDescent="0.3">
      <c r="B290" s="380" t="s">
        <v>14</v>
      </c>
      <c r="C290" s="430" t="s">
        <v>1236</v>
      </c>
      <c r="D290" s="445" t="s">
        <v>1237</v>
      </c>
      <c r="E290" s="419">
        <v>4503803719</v>
      </c>
      <c r="F290" s="753">
        <v>45890</v>
      </c>
      <c r="G290" s="380" t="s">
        <v>55</v>
      </c>
      <c r="H290" s="380">
        <v>1</v>
      </c>
      <c r="I290" s="388">
        <v>75000</v>
      </c>
      <c r="J290" s="380">
        <v>3</v>
      </c>
      <c r="K290" s="389">
        <f t="shared" si="14"/>
        <v>25000</v>
      </c>
      <c r="L290" s="387">
        <v>45870</v>
      </c>
      <c r="M290" s="387">
        <v>46234</v>
      </c>
      <c r="N290" s="680">
        <v>154726</v>
      </c>
      <c r="O290" s="680">
        <v>4678</v>
      </c>
      <c r="P290" s="363" t="s">
        <v>19</v>
      </c>
      <c r="Q290" s="380" t="s">
        <v>13</v>
      </c>
      <c r="R290" s="380"/>
      <c r="S290" s="390" t="s">
        <v>665</v>
      </c>
      <c r="T290" s="363" t="s">
        <v>1238</v>
      </c>
      <c r="U290" s="390" t="s">
        <v>361</v>
      </c>
      <c r="V290" s="363" t="s">
        <v>1239</v>
      </c>
      <c r="W290" s="390" t="s">
        <v>1080</v>
      </c>
      <c r="X290" s="363" t="s">
        <v>2020</v>
      </c>
      <c r="Y290" s="363"/>
      <c r="Z290" s="363"/>
      <c r="AA290" s="363"/>
      <c r="AB290" s="363"/>
      <c r="AC290" s="363"/>
      <c r="AD290" s="363"/>
      <c r="AE290" s="363" t="s">
        <v>478</v>
      </c>
      <c r="AF290" s="380" t="s">
        <v>63</v>
      </c>
      <c r="AG290" s="380">
        <v>2</v>
      </c>
      <c r="AH290" s="386" t="s">
        <v>657</v>
      </c>
    </row>
    <row r="291" spans="2:34" ht="15" hidden="1" customHeight="1" x14ac:dyDescent="0.3">
      <c r="B291" s="380" t="s">
        <v>14</v>
      </c>
      <c r="C291" s="430" t="s">
        <v>1240</v>
      </c>
      <c r="D291" s="445" t="s">
        <v>1241</v>
      </c>
      <c r="E291" s="419" t="s">
        <v>1242</v>
      </c>
      <c r="F291" s="753">
        <v>45905</v>
      </c>
      <c r="G291" s="380" t="s">
        <v>55</v>
      </c>
      <c r="H291" s="380">
        <v>1</v>
      </c>
      <c r="I291" s="388">
        <v>60400</v>
      </c>
      <c r="J291" s="380">
        <v>2</v>
      </c>
      <c r="K291" s="389">
        <f t="shared" si="14"/>
        <v>30200</v>
      </c>
      <c r="L291" s="387">
        <v>45901</v>
      </c>
      <c r="M291" s="387">
        <v>46265</v>
      </c>
      <c r="N291" s="680"/>
      <c r="O291" s="680"/>
      <c r="P291" s="363" t="s">
        <v>19</v>
      </c>
      <c r="Q291" s="380" t="s">
        <v>13</v>
      </c>
      <c r="R291" s="380"/>
      <c r="S291" s="390" t="s">
        <v>625</v>
      </c>
      <c r="T291" s="363" t="s">
        <v>171</v>
      </c>
      <c r="U291" s="390" t="s">
        <v>1235</v>
      </c>
      <c r="V291" s="363" t="s">
        <v>2029</v>
      </c>
      <c r="W291" s="363"/>
      <c r="X291" s="363"/>
      <c r="Y291" s="363"/>
      <c r="Z291" s="363"/>
      <c r="AA291" s="363"/>
      <c r="AB291" s="363"/>
      <c r="AC291" s="363"/>
      <c r="AD291" s="363"/>
      <c r="AE291" s="363" t="s">
        <v>485</v>
      </c>
      <c r="AF291" s="380" t="s">
        <v>63</v>
      </c>
      <c r="AG291" s="380">
        <v>2</v>
      </c>
      <c r="AH291" s="386" t="s">
        <v>657</v>
      </c>
    </row>
    <row r="292" spans="2:34" ht="15" customHeight="1" x14ac:dyDescent="0.3">
      <c r="B292" s="380" t="s">
        <v>14</v>
      </c>
      <c r="C292" s="430" t="s">
        <v>195</v>
      </c>
      <c r="D292" s="445" t="s">
        <v>558</v>
      </c>
      <c r="E292" s="380" t="s">
        <v>1243</v>
      </c>
      <c r="F292" s="753">
        <v>45901</v>
      </c>
      <c r="G292" s="380" t="s">
        <v>55</v>
      </c>
      <c r="H292" s="380"/>
      <c r="I292" s="388">
        <f>1459883.52/2</f>
        <v>729941.76</v>
      </c>
      <c r="J292" s="380">
        <v>4</v>
      </c>
      <c r="K292" s="389">
        <f t="shared" si="14"/>
        <v>182485.44</v>
      </c>
      <c r="L292" s="387">
        <v>45901</v>
      </c>
      <c r="M292" s="387">
        <v>46265</v>
      </c>
      <c r="N292" s="680">
        <v>154576</v>
      </c>
      <c r="O292" s="680">
        <v>4778</v>
      </c>
      <c r="P292" s="363" t="s">
        <v>520</v>
      </c>
      <c r="Q292" s="380" t="s">
        <v>1231</v>
      </c>
      <c r="R292" s="380"/>
      <c r="S292" s="390" t="s">
        <v>1131</v>
      </c>
      <c r="T292" s="363" t="s">
        <v>1091</v>
      </c>
      <c r="U292" s="390" t="s">
        <v>1133</v>
      </c>
      <c r="V292" s="363" t="s">
        <v>291</v>
      </c>
      <c r="W292" s="390" t="s">
        <v>1134</v>
      </c>
      <c r="X292" s="363" t="s">
        <v>1711</v>
      </c>
      <c r="Y292" s="390" t="s">
        <v>1244</v>
      </c>
      <c r="Z292" s="363" t="s">
        <v>2030</v>
      </c>
      <c r="AA292" s="363"/>
      <c r="AB292" s="363"/>
      <c r="AC292" s="363"/>
      <c r="AD292" s="363"/>
      <c r="AE292" s="363" t="s">
        <v>281</v>
      </c>
      <c r="AF292" s="380" t="s">
        <v>97</v>
      </c>
      <c r="AG292" s="380" t="s">
        <v>494</v>
      </c>
      <c r="AH292" s="386" t="s">
        <v>657</v>
      </c>
    </row>
    <row r="293" spans="2:34" ht="15" customHeight="1" x14ac:dyDescent="0.3">
      <c r="B293" s="380" t="s">
        <v>14</v>
      </c>
      <c r="C293" s="430" t="s">
        <v>195</v>
      </c>
      <c r="D293" s="445" t="s">
        <v>558</v>
      </c>
      <c r="E293" s="542" t="s">
        <v>1243</v>
      </c>
      <c r="F293" s="753">
        <v>45901</v>
      </c>
      <c r="G293" s="380" t="s">
        <v>55</v>
      </c>
      <c r="H293" s="380">
        <v>9</v>
      </c>
      <c r="I293" s="388">
        <f>1459883.52/2</f>
        <v>729941.76</v>
      </c>
      <c r="J293" s="380">
        <v>4</v>
      </c>
      <c r="K293" s="389">
        <f t="shared" si="14"/>
        <v>182485.44</v>
      </c>
      <c r="L293" s="387">
        <v>46266</v>
      </c>
      <c r="M293" s="387">
        <v>46630</v>
      </c>
      <c r="N293" s="680">
        <v>155036</v>
      </c>
      <c r="O293" s="680"/>
      <c r="P293" s="363" t="s">
        <v>520</v>
      </c>
      <c r="Q293" s="380" t="s">
        <v>1231</v>
      </c>
      <c r="R293" s="380"/>
      <c r="S293" s="363" t="s">
        <v>1245</v>
      </c>
      <c r="T293" s="363"/>
      <c r="U293" s="363" t="s">
        <v>1246</v>
      </c>
      <c r="V293" s="363"/>
      <c r="W293" s="363" t="s">
        <v>1247</v>
      </c>
      <c r="X293" s="363"/>
      <c r="Y293" s="363" t="s">
        <v>1248</v>
      </c>
      <c r="Z293" s="363"/>
      <c r="AA293" s="363"/>
      <c r="AB293" s="363"/>
      <c r="AC293" s="363"/>
      <c r="AD293" s="363"/>
      <c r="AE293" s="363" t="s">
        <v>281</v>
      </c>
      <c r="AF293" s="380" t="s">
        <v>97</v>
      </c>
      <c r="AG293" s="380" t="s">
        <v>494</v>
      </c>
      <c r="AH293" s="386" t="s">
        <v>657</v>
      </c>
    </row>
    <row r="294" spans="2:34" ht="15" hidden="1" customHeight="1" x14ac:dyDescent="0.3">
      <c r="B294" s="380" t="s">
        <v>14</v>
      </c>
      <c r="C294" s="430" t="s">
        <v>1249</v>
      </c>
      <c r="D294" s="445" t="s">
        <v>151</v>
      </c>
      <c r="E294" s="419">
        <v>4509091008</v>
      </c>
      <c r="F294" s="753">
        <v>45909</v>
      </c>
      <c r="G294" s="380" t="s">
        <v>55</v>
      </c>
      <c r="H294" s="380"/>
      <c r="I294" s="388">
        <f>172000/2</f>
        <v>86000</v>
      </c>
      <c r="J294" s="380">
        <v>2</v>
      </c>
      <c r="K294" s="389">
        <f t="shared" si="14"/>
        <v>43000</v>
      </c>
      <c r="L294" s="387">
        <v>45870</v>
      </c>
      <c r="M294" s="387">
        <v>46234</v>
      </c>
      <c r="N294" s="680">
        <v>154830</v>
      </c>
      <c r="O294" s="680">
        <v>4479</v>
      </c>
      <c r="P294" s="363" t="s">
        <v>998</v>
      </c>
      <c r="Q294" s="380" t="s">
        <v>1231</v>
      </c>
      <c r="R294" s="380" t="s">
        <v>1</v>
      </c>
      <c r="S294" s="390" t="s">
        <v>424</v>
      </c>
      <c r="T294" s="363" t="s">
        <v>432</v>
      </c>
      <c r="U294" s="390" t="s">
        <v>426</v>
      </c>
      <c r="V294" s="363" t="s">
        <v>1936</v>
      </c>
      <c r="W294" s="363"/>
      <c r="X294" s="363"/>
      <c r="Y294" s="363"/>
      <c r="Z294" s="363"/>
      <c r="AA294" s="363"/>
      <c r="AB294" s="363"/>
      <c r="AC294" s="363"/>
      <c r="AD294" s="363"/>
      <c r="AE294" s="363" t="s">
        <v>478</v>
      </c>
      <c r="AF294" s="380" t="s">
        <v>63</v>
      </c>
      <c r="AG294" s="380">
        <v>3</v>
      </c>
      <c r="AH294" s="363" t="s">
        <v>1250</v>
      </c>
    </row>
    <row r="295" spans="2:34" ht="15" hidden="1" customHeight="1" x14ac:dyDescent="0.3">
      <c r="B295" s="380" t="s">
        <v>14</v>
      </c>
      <c r="C295" s="430" t="s">
        <v>1249</v>
      </c>
      <c r="D295" s="445" t="s">
        <v>151</v>
      </c>
      <c r="E295" s="419">
        <v>4509091008</v>
      </c>
      <c r="F295" s="753">
        <v>45909</v>
      </c>
      <c r="G295" s="380" t="s">
        <v>55</v>
      </c>
      <c r="H295" s="380">
        <v>1</v>
      </c>
      <c r="I295" s="388">
        <f>172000/2</f>
        <v>86000</v>
      </c>
      <c r="J295" s="380">
        <v>2</v>
      </c>
      <c r="K295" s="389">
        <f t="shared" si="14"/>
        <v>43000</v>
      </c>
      <c r="L295" s="387">
        <v>46235</v>
      </c>
      <c r="M295" s="387">
        <v>46599</v>
      </c>
      <c r="N295" s="680"/>
      <c r="O295" s="680"/>
      <c r="P295" s="363" t="s">
        <v>998</v>
      </c>
      <c r="Q295" s="380" t="s">
        <v>1231</v>
      </c>
      <c r="R295" s="380" t="s">
        <v>1</v>
      </c>
      <c r="S295" s="363" t="s">
        <v>427</v>
      </c>
      <c r="T295" s="363"/>
      <c r="U295" s="363" t="s">
        <v>428</v>
      </c>
      <c r="V295" s="363"/>
      <c r="W295" s="363"/>
      <c r="X295" s="363"/>
      <c r="Y295" s="363"/>
      <c r="Z295" s="363"/>
      <c r="AA295" s="363"/>
      <c r="AB295" s="363"/>
      <c r="AC295" s="363"/>
      <c r="AD295" s="363"/>
      <c r="AE295" s="363" t="s">
        <v>478</v>
      </c>
      <c r="AF295" s="380" t="s">
        <v>63</v>
      </c>
      <c r="AG295" s="380">
        <v>3</v>
      </c>
      <c r="AH295" s="363" t="s">
        <v>1250</v>
      </c>
    </row>
    <row r="296" spans="2:34" ht="15" hidden="1" customHeight="1" x14ac:dyDescent="0.3">
      <c r="B296" s="380" t="s">
        <v>14</v>
      </c>
      <c r="C296" s="430" t="s">
        <v>1002</v>
      </c>
      <c r="D296" s="445" t="s">
        <v>151</v>
      </c>
      <c r="E296" s="419">
        <v>4501010798</v>
      </c>
      <c r="F296" s="753">
        <v>45868</v>
      </c>
      <c r="G296" s="380" t="s">
        <v>55</v>
      </c>
      <c r="H296" s="380">
        <v>1</v>
      </c>
      <c r="I296" s="388">
        <v>90000</v>
      </c>
      <c r="J296" s="380">
        <v>3</v>
      </c>
      <c r="K296" s="389">
        <f t="shared" si="14"/>
        <v>30000</v>
      </c>
      <c r="L296" s="387">
        <v>45748</v>
      </c>
      <c r="M296" s="387">
        <v>46112</v>
      </c>
      <c r="N296" s="680"/>
      <c r="O296" s="680"/>
      <c r="P296" s="363" t="s">
        <v>19</v>
      </c>
      <c r="Q296" s="380" t="s">
        <v>3</v>
      </c>
      <c r="R296" s="380"/>
      <c r="S296" s="390" t="s">
        <v>357</v>
      </c>
      <c r="T296" s="363" t="s">
        <v>898</v>
      </c>
      <c r="U296" s="390" t="s">
        <v>665</v>
      </c>
      <c r="V296" s="363" t="s">
        <v>1251</v>
      </c>
      <c r="W296" s="390" t="s">
        <v>361</v>
      </c>
      <c r="X296" s="363" t="s">
        <v>1252</v>
      </c>
      <c r="Y296" s="363"/>
      <c r="Z296" s="363"/>
      <c r="AA296" s="363"/>
      <c r="AB296" s="363"/>
      <c r="AC296" s="363"/>
      <c r="AD296" s="363"/>
      <c r="AE296" s="363" t="s">
        <v>478</v>
      </c>
      <c r="AF296" s="380" t="s">
        <v>63</v>
      </c>
      <c r="AG296" s="380">
        <v>3</v>
      </c>
      <c r="AH296" s="363" t="s">
        <v>1253</v>
      </c>
    </row>
    <row r="297" spans="2:34" ht="15" hidden="1" customHeight="1" x14ac:dyDescent="0.3">
      <c r="B297" s="380" t="s">
        <v>14</v>
      </c>
      <c r="C297" s="409" t="s">
        <v>527</v>
      </c>
      <c r="D297" s="423" t="s">
        <v>151</v>
      </c>
      <c r="E297" s="419" t="s">
        <v>1254</v>
      </c>
      <c r="F297" s="753">
        <v>45916</v>
      </c>
      <c r="G297" s="380" t="s">
        <v>55</v>
      </c>
      <c r="H297" s="380">
        <v>3</v>
      </c>
      <c r="I297" s="388">
        <v>266976</v>
      </c>
      <c r="J297" s="380">
        <v>3</v>
      </c>
      <c r="K297" s="389">
        <f t="shared" si="14"/>
        <v>88992</v>
      </c>
      <c r="L297" s="387">
        <v>45901</v>
      </c>
      <c r="M297" s="387">
        <v>46265</v>
      </c>
      <c r="N297" s="680">
        <v>154661</v>
      </c>
      <c r="O297" s="680">
        <v>4804</v>
      </c>
      <c r="P297" s="363" t="s">
        <v>19</v>
      </c>
      <c r="Q297" s="380" t="s">
        <v>13</v>
      </c>
      <c r="R297" s="380"/>
      <c r="S297" s="390" t="s">
        <v>345</v>
      </c>
      <c r="T297" s="363" t="s">
        <v>985</v>
      </c>
      <c r="U297" s="390" t="s">
        <v>347</v>
      </c>
      <c r="V297" s="363" t="s">
        <v>1859</v>
      </c>
      <c r="W297" s="390" t="s">
        <v>348</v>
      </c>
      <c r="X297" s="363" t="s">
        <v>2031</v>
      </c>
      <c r="Y297" s="363"/>
      <c r="Z297" s="363"/>
      <c r="AA297" s="363"/>
      <c r="AB297" s="363"/>
      <c r="AC297" s="363"/>
      <c r="AD297" s="363"/>
      <c r="AE297" s="363" t="s">
        <v>507</v>
      </c>
      <c r="AF297" s="380" t="s">
        <v>63</v>
      </c>
      <c r="AG297" s="380">
        <v>3</v>
      </c>
      <c r="AH297" s="430" t="s">
        <v>1255</v>
      </c>
    </row>
    <row r="298" spans="2:34" ht="15" hidden="1" customHeight="1" x14ac:dyDescent="0.3">
      <c r="B298" s="380" t="s">
        <v>14</v>
      </c>
      <c r="C298" s="430" t="s">
        <v>685</v>
      </c>
      <c r="D298" s="445" t="s">
        <v>151</v>
      </c>
      <c r="E298" s="419">
        <v>4513115639</v>
      </c>
      <c r="F298" s="753">
        <v>45915</v>
      </c>
      <c r="G298" s="380" t="s">
        <v>55</v>
      </c>
      <c r="H298" s="380">
        <v>1</v>
      </c>
      <c r="I298" s="388">
        <v>46000</v>
      </c>
      <c r="J298" s="380">
        <v>3</v>
      </c>
      <c r="K298" s="389">
        <f t="shared" si="14"/>
        <v>15333.333333333334</v>
      </c>
      <c r="L298" s="387">
        <v>45870</v>
      </c>
      <c r="M298" s="387">
        <v>46234</v>
      </c>
      <c r="N298" s="680">
        <v>154543</v>
      </c>
      <c r="O298" s="680">
        <v>4687</v>
      </c>
      <c r="P298" s="363" t="s">
        <v>19</v>
      </c>
      <c r="Q298" s="380" t="s">
        <v>11</v>
      </c>
      <c r="R298" s="380"/>
      <c r="S298" s="390" t="s">
        <v>901</v>
      </c>
      <c r="T298" s="363" t="s">
        <v>1256</v>
      </c>
      <c r="U298" s="390" t="s">
        <v>361</v>
      </c>
      <c r="V298" s="363" t="s">
        <v>688</v>
      </c>
      <c r="W298" s="390" t="s">
        <v>1257</v>
      </c>
      <c r="X298" s="363" t="s">
        <v>1953</v>
      </c>
      <c r="Y298" s="363"/>
      <c r="Z298" s="363"/>
      <c r="AA298" s="363"/>
      <c r="AB298" s="363"/>
      <c r="AC298" s="363"/>
      <c r="AD298" s="363"/>
      <c r="AE298" s="363" t="s">
        <v>478</v>
      </c>
      <c r="AF298" s="380" t="s">
        <v>63</v>
      </c>
      <c r="AG298" s="380">
        <v>5</v>
      </c>
      <c r="AH298" s="363" t="s">
        <v>667</v>
      </c>
    </row>
    <row r="299" spans="2:34" ht="15" customHeight="1" x14ac:dyDescent="0.3">
      <c r="B299" s="380" t="s">
        <v>14</v>
      </c>
      <c r="C299" s="409" t="s">
        <v>1095</v>
      </c>
      <c r="D299" s="434" t="s">
        <v>1258</v>
      </c>
      <c r="E299" s="419">
        <v>9709372716</v>
      </c>
      <c r="F299" s="753">
        <v>45916</v>
      </c>
      <c r="G299" s="380" t="s">
        <v>55</v>
      </c>
      <c r="H299" s="380"/>
      <c r="I299" s="388">
        <f>480000/3</f>
        <v>160000</v>
      </c>
      <c r="J299" s="380">
        <v>4</v>
      </c>
      <c r="K299" s="389">
        <f t="shared" si="14"/>
        <v>40000</v>
      </c>
      <c r="L299" s="387">
        <v>45870</v>
      </c>
      <c r="M299" s="387">
        <v>46234</v>
      </c>
      <c r="N299" s="680">
        <v>154689</v>
      </c>
      <c r="O299" s="680">
        <v>4752</v>
      </c>
      <c r="P299" s="363" t="s">
        <v>520</v>
      </c>
      <c r="Q299" s="380" t="s">
        <v>1231</v>
      </c>
      <c r="R299" s="380"/>
      <c r="S299" s="390" t="s">
        <v>267</v>
      </c>
      <c r="T299" s="363" t="s">
        <v>1003</v>
      </c>
      <c r="U299" s="390" t="s">
        <v>269</v>
      </c>
      <c r="V299" s="363" t="s">
        <v>930</v>
      </c>
      <c r="W299" s="390" t="s">
        <v>442</v>
      </c>
      <c r="X299" s="363" t="s">
        <v>1710</v>
      </c>
      <c r="Y299" s="390" t="s">
        <v>444</v>
      </c>
      <c r="Z299" s="363" t="s">
        <v>2032</v>
      </c>
      <c r="AA299" s="363"/>
      <c r="AB299" s="363"/>
      <c r="AC299" s="363"/>
      <c r="AD299" s="363"/>
      <c r="AE299" s="363" t="s">
        <v>619</v>
      </c>
      <c r="AF299" s="380" t="s">
        <v>63</v>
      </c>
      <c r="AG299" s="380">
        <v>4</v>
      </c>
      <c r="AH299" s="363" t="s">
        <v>667</v>
      </c>
    </row>
    <row r="300" spans="2:34" ht="15" customHeight="1" x14ac:dyDescent="0.3">
      <c r="B300" s="380" t="s">
        <v>14</v>
      </c>
      <c r="C300" s="409" t="s">
        <v>1095</v>
      </c>
      <c r="D300" s="434" t="s">
        <v>1258</v>
      </c>
      <c r="E300" s="419">
        <v>9709372716</v>
      </c>
      <c r="F300" s="753">
        <v>45916</v>
      </c>
      <c r="G300" s="380" t="s">
        <v>55</v>
      </c>
      <c r="H300" s="380"/>
      <c r="I300" s="388">
        <f>480000/3</f>
        <v>160000</v>
      </c>
      <c r="J300" s="380">
        <v>4</v>
      </c>
      <c r="K300" s="389">
        <f t="shared" si="14"/>
        <v>40000</v>
      </c>
      <c r="L300" s="387">
        <v>46235</v>
      </c>
      <c r="M300" s="387">
        <v>46599</v>
      </c>
      <c r="N300" s="680"/>
      <c r="O300" s="680"/>
      <c r="P300" s="363" t="s">
        <v>520</v>
      </c>
      <c r="Q300" s="380" t="s">
        <v>1231</v>
      </c>
      <c r="R300" s="380"/>
      <c r="S300" s="363" t="s">
        <v>445</v>
      </c>
      <c r="T300" s="363"/>
      <c r="U300" s="363" t="s">
        <v>456</v>
      </c>
      <c r="V300" s="363"/>
      <c r="W300" s="363" t="s">
        <v>457</v>
      </c>
      <c r="X300" s="363"/>
      <c r="Y300" s="363" t="s">
        <v>458</v>
      </c>
      <c r="Z300" s="363"/>
      <c r="AA300" s="363"/>
      <c r="AB300" s="363"/>
      <c r="AC300" s="363"/>
      <c r="AD300" s="363"/>
      <c r="AE300" s="363" t="s">
        <v>619</v>
      </c>
      <c r="AF300" s="380" t="s">
        <v>63</v>
      </c>
      <c r="AG300" s="380">
        <v>4</v>
      </c>
      <c r="AH300" s="363" t="s">
        <v>667</v>
      </c>
    </row>
    <row r="301" spans="2:34" ht="15" customHeight="1" x14ac:dyDescent="0.3">
      <c r="B301" s="380" t="s">
        <v>14</v>
      </c>
      <c r="C301" s="409" t="s">
        <v>1095</v>
      </c>
      <c r="D301" s="434" t="s">
        <v>1258</v>
      </c>
      <c r="E301" s="419">
        <v>9709372716</v>
      </c>
      <c r="F301" s="753">
        <v>45916</v>
      </c>
      <c r="G301" s="380" t="s">
        <v>55</v>
      </c>
      <c r="H301" s="380">
        <v>2</v>
      </c>
      <c r="I301" s="388">
        <f>480000/3</f>
        <v>160000</v>
      </c>
      <c r="J301" s="380">
        <v>4</v>
      </c>
      <c r="K301" s="389">
        <f t="shared" si="14"/>
        <v>40000</v>
      </c>
      <c r="L301" s="387">
        <v>46600</v>
      </c>
      <c r="M301" s="387">
        <v>46965</v>
      </c>
      <c r="N301" s="680"/>
      <c r="O301" s="680"/>
      <c r="P301" s="363" t="s">
        <v>520</v>
      </c>
      <c r="Q301" s="380" t="s">
        <v>1231</v>
      </c>
      <c r="R301" s="380"/>
      <c r="S301" s="363" t="s">
        <v>459</v>
      </c>
      <c r="T301" s="363"/>
      <c r="U301" s="363" t="s">
        <v>893</v>
      </c>
      <c r="V301" s="363"/>
      <c r="W301" s="363" t="s">
        <v>894</v>
      </c>
      <c r="X301" s="363"/>
      <c r="Y301" s="363" t="s">
        <v>1259</v>
      </c>
      <c r="Z301" s="363"/>
      <c r="AA301" s="363"/>
      <c r="AB301" s="363"/>
      <c r="AC301" s="363"/>
      <c r="AD301" s="363"/>
      <c r="AE301" s="363" t="s">
        <v>619</v>
      </c>
      <c r="AF301" s="380" t="s">
        <v>63</v>
      </c>
      <c r="AG301" s="380">
        <v>4</v>
      </c>
      <c r="AH301" s="363" t="s">
        <v>667</v>
      </c>
    </row>
    <row r="302" spans="2:34" ht="15" hidden="1" customHeight="1" x14ac:dyDescent="0.3">
      <c r="B302" s="380" t="s">
        <v>14</v>
      </c>
      <c r="C302" s="409" t="s">
        <v>775</v>
      </c>
      <c r="D302" s="423" t="s">
        <v>1260</v>
      </c>
      <c r="E302" s="464">
        <v>2710001257</v>
      </c>
      <c r="F302" s="753">
        <v>45916</v>
      </c>
      <c r="G302" s="380" t="s">
        <v>55</v>
      </c>
      <c r="H302" s="380">
        <v>2</v>
      </c>
      <c r="I302" s="388">
        <v>170000</v>
      </c>
      <c r="J302" s="380">
        <v>2</v>
      </c>
      <c r="K302" s="389">
        <f t="shared" si="14"/>
        <v>85000</v>
      </c>
      <c r="L302" s="387">
        <v>45915</v>
      </c>
      <c r="M302" s="387">
        <v>46279</v>
      </c>
      <c r="N302" s="680">
        <v>154954</v>
      </c>
      <c r="O302" s="680">
        <v>4558</v>
      </c>
      <c r="P302" s="363" t="s">
        <v>19</v>
      </c>
      <c r="Q302" s="380" t="s">
        <v>1231</v>
      </c>
      <c r="R302" s="380"/>
      <c r="S302" s="390" t="s">
        <v>1261</v>
      </c>
      <c r="T302" s="363" t="s">
        <v>1262</v>
      </c>
      <c r="U302" s="390" t="s">
        <v>1263</v>
      </c>
      <c r="V302" s="363" t="s">
        <v>2033</v>
      </c>
      <c r="W302" s="363"/>
      <c r="X302" s="363"/>
      <c r="Y302" s="363"/>
      <c r="Z302" s="363"/>
      <c r="AA302" s="363"/>
      <c r="AB302" s="363"/>
      <c r="AC302" s="363"/>
      <c r="AD302" s="363"/>
      <c r="AE302" s="363" t="s">
        <v>485</v>
      </c>
      <c r="AF302" s="380" t="s">
        <v>63</v>
      </c>
      <c r="AG302" s="380">
        <v>2</v>
      </c>
      <c r="AH302" s="430" t="s">
        <v>1264</v>
      </c>
    </row>
    <row r="303" spans="2:34" ht="15" hidden="1" customHeight="1" x14ac:dyDescent="0.3">
      <c r="B303" s="380" t="s">
        <v>14</v>
      </c>
      <c r="C303" s="409" t="s">
        <v>1172</v>
      </c>
      <c r="D303" s="423" t="s">
        <v>1016</v>
      </c>
      <c r="E303" s="419">
        <v>7100107808</v>
      </c>
      <c r="F303" s="753">
        <v>45904</v>
      </c>
      <c r="G303" s="380" t="s">
        <v>55</v>
      </c>
      <c r="H303" s="380">
        <v>1</v>
      </c>
      <c r="I303" s="388">
        <v>81000</v>
      </c>
      <c r="J303" s="380">
        <v>3</v>
      </c>
      <c r="K303" s="389">
        <f t="shared" si="14"/>
        <v>27000</v>
      </c>
      <c r="L303" s="387">
        <v>45901</v>
      </c>
      <c r="M303" s="387">
        <v>46265</v>
      </c>
      <c r="N303" s="680"/>
      <c r="O303" s="680"/>
      <c r="P303" s="363" t="s">
        <v>19</v>
      </c>
      <c r="Q303" s="380" t="s">
        <v>13</v>
      </c>
      <c r="R303" s="380"/>
      <c r="S303" s="390" t="s">
        <v>345</v>
      </c>
      <c r="T303" s="363" t="s">
        <v>582</v>
      </c>
      <c r="U303" s="390" t="s">
        <v>347</v>
      </c>
      <c r="V303" s="363" t="s">
        <v>1009</v>
      </c>
      <c r="W303" s="390" t="s">
        <v>348</v>
      </c>
      <c r="X303" s="363" t="s">
        <v>1847</v>
      </c>
      <c r="Y303" s="363"/>
      <c r="Z303" s="363"/>
      <c r="AA303" s="363"/>
      <c r="AB303" s="363"/>
      <c r="AC303" s="363"/>
      <c r="AD303" s="363"/>
      <c r="AE303" s="363" t="s">
        <v>619</v>
      </c>
      <c r="AF303" s="380" t="s">
        <v>63</v>
      </c>
      <c r="AG303" s="380">
        <v>3</v>
      </c>
      <c r="AH303" s="363" t="s">
        <v>667</v>
      </c>
    </row>
    <row r="304" spans="2:34" ht="15" hidden="1" customHeight="1" x14ac:dyDescent="0.3">
      <c r="B304" s="380" t="s">
        <v>14</v>
      </c>
      <c r="C304" s="412" t="s">
        <v>1265</v>
      </c>
      <c r="D304" s="437" t="s">
        <v>388</v>
      </c>
      <c r="E304" s="426">
        <v>3800035834</v>
      </c>
      <c r="F304" s="753">
        <v>45926</v>
      </c>
      <c r="G304" s="380" t="s">
        <v>55</v>
      </c>
      <c r="H304" s="380">
        <v>1</v>
      </c>
      <c r="I304" s="388">
        <v>58000</v>
      </c>
      <c r="J304" s="380">
        <v>2</v>
      </c>
      <c r="K304" s="389"/>
      <c r="L304" s="387">
        <v>45901</v>
      </c>
      <c r="M304" s="387">
        <v>46265</v>
      </c>
      <c r="N304" s="680"/>
      <c r="O304" s="680"/>
      <c r="P304" s="363" t="s">
        <v>19</v>
      </c>
      <c r="Q304" s="380" t="s">
        <v>1231</v>
      </c>
      <c r="R304" s="382"/>
      <c r="S304" s="390" t="s">
        <v>625</v>
      </c>
      <c r="T304" s="363" t="s">
        <v>1085</v>
      </c>
      <c r="U304" s="390" t="s">
        <v>1235</v>
      </c>
      <c r="V304" s="363" t="s">
        <v>2018</v>
      </c>
      <c r="W304" s="363"/>
      <c r="X304" s="363"/>
      <c r="Y304" s="363"/>
      <c r="Z304" s="363"/>
      <c r="AA304" s="363"/>
      <c r="AB304" s="363"/>
      <c r="AC304" s="363"/>
      <c r="AD304" s="363"/>
      <c r="AE304" s="363" t="s">
        <v>478</v>
      </c>
      <c r="AF304" s="380" t="s">
        <v>63</v>
      </c>
      <c r="AG304" s="380">
        <v>2</v>
      </c>
      <c r="AH304" s="363" t="s">
        <v>1266</v>
      </c>
    </row>
    <row r="305" spans="1:34" ht="15" customHeight="1" x14ac:dyDescent="0.3">
      <c r="B305" s="380" t="s">
        <v>14</v>
      </c>
      <c r="C305" s="409" t="s">
        <v>195</v>
      </c>
      <c r="D305" s="423" t="s">
        <v>858</v>
      </c>
      <c r="E305" s="419" t="s">
        <v>1267</v>
      </c>
      <c r="F305" s="753">
        <v>45925</v>
      </c>
      <c r="G305" s="380" t="s">
        <v>55</v>
      </c>
      <c r="H305" s="380"/>
      <c r="I305" s="388">
        <v>506340</v>
      </c>
      <c r="J305" s="380">
        <v>4</v>
      </c>
      <c r="K305" s="389">
        <f t="shared" si="14"/>
        <v>126585</v>
      </c>
      <c r="L305" s="387">
        <v>45940</v>
      </c>
      <c r="M305" s="387">
        <v>46304</v>
      </c>
      <c r="N305" s="680"/>
      <c r="O305" s="680"/>
      <c r="P305" s="363" t="s">
        <v>520</v>
      </c>
      <c r="Q305" s="380" t="s">
        <v>1231</v>
      </c>
      <c r="R305" s="476"/>
      <c r="S305" s="390" t="s">
        <v>1268</v>
      </c>
      <c r="T305" s="363" t="s">
        <v>917</v>
      </c>
      <c r="U305" s="390" t="s">
        <v>1269</v>
      </c>
      <c r="V305" s="363" t="s">
        <v>930</v>
      </c>
      <c r="W305" s="390" t="s">
        <v>1270</v>
      </c>
      <c r="X305" s="363" t="s">
        <v>1852</v>
      </c>
      <c r="Y305" s="390" t="s">
        <v>1271</v>
      </c>
      <c r="Z305" s="363" t="s">
        <v>2034</v>
      </c>
      <c r="AA305" s="363"/>
      <c r="AB305" s="363"/>
      <c r="AC305" s="363"/>
      <c r="AD305" s="363"/>
      <c r="AE305" s="363" t="s">
        <v>551</v>
      </c>
      <c r="AF305" s="380" t="s">
        <v>207</v>
      </c>
      <c r="AG305" s="380">
        <v>3</v>
      </c>
      <c r="AH305" s="363" t="s">
        <v>1272</v>
      </c>
    </row>
    <row r="306" spans="1:34" ht="15" customHeight="1" x14ac:dyDescent="0.3">
      <c r="B306" s="380" t="s">
        <v>14</v>
      </c>
      <c r="C306" s="409" t="s">
        <v>195</v>
      </c>
      <c r="D306" s="423" t="s">
        <v>858</v>
      </c>
      <c r="E306" s="419" t="s">
        <v>1267</v>
      </c>
      <c r="F306" s="753">
        <v>45925</v>
      </c>
      <c r="G306" s="380" t="s">
        <v>55</v>
      </c>
      <c r="H306" s="380">
        <v>9</v>
      </c>
      <c r="I306" s="388">
        <v>506340</v>
      </c>
      <c r="J306" s="380">
        <v>4</v>
      </c>
      <c r="K306" s="389">
        <f t="shared" si="14"/>
        <v>126585</v>
      </c>
      <c r="L306" s="387">
        <v>46305</v>
      </c>
      <c r="M306" s="387">
        <v>46669</v>
      </c>
      <c r="N306" s="680"/>
      <c r="O306" s="680"/>
      <c r="P306" s="363" t="s">
        <v>520</v>
      </c>
      <c r="Q306" s="380" t="s">
        <v>1231</v>
      </c>
      <c r="R306" s="536"/>
      <c r="S306" s="363" t="s">
        <v>1273</v>
      </c>
      <c r="T306" s="363"/>
      <c r="U306" s="363" t="s">
        <v>1274</v>
      </c>
      <c r="V306" s="363"/>
      <c r="W306" s="363" t="s">
        <v>1275</v>
      </c>
      <c r="X306" s="363"/>
      <c r="Y306" s="363" t="s">
        <v>1276</v>
      </c>
      <c r="Z306" s="363"/>
      <c r="AA306" s="363"/>
      <c r="AB306" s="363"/>
      <c r="AC306" s="363"/>
      <c r="AD306" s="363"/>
      <c r="AE306" s="363" t="s">
        <v>551</v>
      </c>
      <c r="AF306" s="380" t="s">
        <v>207</v>
      </c>
      <c r="AG306" s="380">
        <v>3</v>
      </c>
      <c r="AH306" s="363" t="s">
        <v>1272</v>
      </c>
    </row>
    <row r="307" spans="1:34" ht="15" customHeight="1" x14ac:dyDescent="0.3">
      <c r="B307" s="380" t="s">
        <v>14</v>
      </c>
      <c r="C307" s="409" t="s">
        <v>1277</v>
      </c>
      <c r="D307" s="423" t="s">
        <v>858</v>
      </c>
      <c r="E307" s="408" t="s">
        <v>1278</v>
      </c>
      <c r="F307" s="753">
        <v>45924</v>
      </c>
      <c r="G307" s="380" t="s">
        <v>55</v>
      </c>
      <c r="H307" s="380"/>
      <c r="I307" s="388">
        <v>310400</v>
      </c>
      <c r="J307" s="380">
        <v>4</v>
      </c>
      <c r="K307" s="389">
        <f t="shared" si="14"/>
        <v>77600</v>
      </c>
      <c r="L307" s="387">
        <v>45931</v>
      </c>
      <c r="M307" s="387">
        <v>46295</v>
      </c>
      <c r="N307" s="680">
        <v>154665</v>
      </c>
      <c r="O307" s="680">
        <v>4859</v>
      </c>
      <c r="P307" s="363" t="s">
        <v>520</v>
      </c>
      <c r="Q307" s="380" t="s">
        <v>1231</v>
      </c>
      <c r="R307" s="380"/>
      <c r="S307" s="390" t="s">
        <v>228</v>
      </c>
      <c r="T307" s="363" t="s">
        <v>718</v>
      </c>
      <c r="U307" s="390" t="s">
        <v>396</v>
      </c>
      <c r="V307" s="363" t="s">
        <v>1252</v>
      </c>
      <c r="W307" s="390" t="s">
        <v>397</v>
      </c>
      <c r="X307" s="363" t="s">
        <v>1849</v>
      </c>
      <c r="Y307" s="390" t="s">
        <v>496</v>
      </c>
      <c r="Z307" s="363" t="s">
        <v>2035</v>
      </c>
      <c r="AA307" s="363"/>
      <c r="AB307" s="363"/>
      <c r="AC307" s="363"/>
      <c r="AD307" s="363"/>
      <c r="AE307" s="363" t="s">
        <v>551</v>
      </c>
      <c r="AF307" s="380" t="s">
        <v>207</v>
      </c>
      <c r="AG307" s="380">
        <v>3</v>
      </c>
      <c r="AH307" s="363" t="s">
        <v>1272</v>
      </c>
    </row>
    <row r="308" spans="1:34" ht="15" customHeight="1" x14ac:dyDescent="0.3">
      <c r="B308" s="380" t="s">
        <v>14</v>
      </c>
      <c r="C308" s="409" t="s">
        <v>1277</v>
      </c>
      <c r="D308" s="423" t="s">
        <v>858</v>
      </c>
      <c r="E308" s="408" t="s">
        <v>1278</v>
      </c>
      <c r="F308" s="753">
        <v>45924</v>
      </c>
      <c r="G308" s="380" t="s">
        <v>55</v>
      </c>
      <c r="H308" s="380"/>
      <c r="I308" s="388">
        <v>310400</v>
      </c>
      <c r="J308" s="380">
        <v>4</v>
      </c>
      <c r="K308" s="389">
        <f t="shared" si="14"/>
        <v>77600</v>
      </c>
      <c r="L308" s="387">
        <v>46296</v>
      </c>
      <c r="M308" s="387">
        <v>46660</v>
      </c>
      <c r="N308" s="680"/>
      <c r="O308" s="680"/>
      <c r="P308" s="363" t="s">
        <v>520</v>
      </c>
      <c r="Q308" s="380" t="s">
        <v>1231</v>
      </c>
      <c r="R308" s="380"/>
      <c r="S308" s="363" t="s">
        <v>497</v>
      </c>
      <c r="T308" s="363"/>
      <c r="U308" s="363" t="s">
        <v>498</v>
      </c>
      <c r="V308" s="363"/>
      <c r="W308" s="363" t="s">
        <v>499</v>
      </c>
      <c r="X308" s="363"/>
      <c r="Y308" s="363" t="s">
        <v>500</v>
      </c>
      <c r="Z308" s="363"/>
      <c r="AA308" s="363"/>
      <c r="AB308" s="363"/>
      <c r="AC308" s="363"/>
      <c r="AD308" s="363"/>
      <c r="AE308" s="363" t="s">
        <v>551</v>
      </c>
      <c r="AF308" s="380" t="s">
        <v>207</v>
      </c>
      <c r="AG308" s="380">
        <v>3</v>
      </c>
      <c r="AH308" s="363" t="s">
        <v>1272</v>
      </c>
    </row>
    <row r="309" spans="1:34" ht="15" customHeight="1" x14ac:dyDescent="0.3">
      <c r="B309" s="380" t="s">
        <v>14</v>
      </c>
      <c r="C309" s="409" t="s">
        <v>1277</v>
      </c>
      <c r="D309" s="423" t="s">
        <v>858</v>
      </c>
      <c r="E309" s="408" t="s">
        <v>1278</v>
      </c>
      <c r="F309" s="753">
        <v>45924</v>
      </c>
      <c r="G309" s="380" t="s">
        <v>55</v>
      </c>
      <c r="H309" s="380">
        <v>5</v>
      </c>
      <c r="I309" s="388">
        <v>310400</v>
      </c>
      <c r="J309" s="380">
        <v>4</v>
      </c>
      <c r="K309" s="389">
        <f t="shared" si="14"/>
        <v>77600</v>
      </c>
      <c r="L309" s="387">
        <v>46661</v>
      </c>
      <c r="M309" s="387">
        <v>47026</v>
      </c>
      <c r="N309" s="680"/>
      <c r="O309" s="680"/>
      <c r="P309" s="363" t="s">
        <v>520</v>
      </c>
      <c r="Q309" s="380" t="s">
        <v>1231</v>
      </c>
      <c r="R309" s="380"/>
      <c r="S309" s="381" t="s">
        <v>501</v>
      </c>
      <c r="T309" s="363"/>
      <c r="U309" s="363" t="s">
        <v>674</v>
      </c>
      <c r="V309" s="363"/>
      <c r="W309" s="363" t="s">
        <v>1279</v>
      </c>
      <c r="X309" s="363"/>
      <c r="Y309" s="363" t="s">
        <v>1280</v>
      </c>
      <c r="Z309" s="363"/>
      <c r="AA309" s="363"/>
      <c r="AB309" s="363"/>
      <c r="AC309" s="363"/>
      <c r="AD309" s="363"/>
      <c r="AE309" s="363" t="s">
        <v>551</v>
      </c>
      <c r="AF309" s="380" t="s">
        <v>207</v>
      </c>
      <c r="AG309" s="380">
        <v>3</v>
      </c>
      <c r="AH309" s="363" t="s">
        <v>1272</v>
      </c>
    </row>
    <row r="310" spans="1:34" ht="15" hidden="1" customHeight="1" x14ac:dyDescent="0.3">
      <c r="B310" s="380" t="s">
        <v>14</v>
      </c>
      <c r="C310" s="363" t="s">
        <v>1281</v>
      </c>
      <c r="D310" s="423" t="s">
        <v>1282</v>
      </c>
      <c r="E310" s="380">
        <v>9200015089</v>
      </c>
      <c r="F310" s="753">
        <v>45912</v>
      </c>
      <c r="G310" s="380"/>
      <c r="H310" s="380"/>
      <c r="I310" s="388">
        <v>145000</v>
      </c>
      <c r="J310" s="380"/>
      <c r="K310" s="389" t="e">
        <f t="shared" si="14"/>
        <v>#DIV/0!</v>
      </c>
      <c r="L310" s="791"/>
      <c r="M310" s="791"/>
      <c r="N310" s="680"/>
      <c r="O310" s="680"/>
      <c r="P310" s="363" t="s">
        <v>998</v>
      </c>
      <c r="Q310" s="380" t="s">
        <v>1231</v>
      </c>
      <c r="R310" s="380" t="s">
        <v>1283</v>
      </c>
      <c r="S310" s="363"/>
      <c r="T310" s="363"/>
      <c r="U310" s="363"/>
      <c r="V310" s="363"/>
      <c r="W310" s="363"/>
      <c r="X310" s="363"/>
      <c r="Y310" s="363"/>
      <c r="Z310" s="363"/>
      <c r="AA310" s="363"/>
      <c r="AB310" s="363"/>
      <c r="AC310" s="363"/>
      <c r="AD310" s="363"/>
      <c r="AE310" s="363" t="s">
        <v>1188</v>
      </c>
      <c r="AF310" s="380" t="s">
        <v>97</v>
      </c>
      <c r="AG310" s="380"/>
      <c r="AH310" s="363"/>
    </row>
    <row r="311" spans="1:34" ht="15" hidden="1" customHeight="1" x14ac:dyDescent="0.3">
      <c r="B311" s="380" t="s">
        <v>14</v>
      </c>
      <c r="C311" s="409" t="s">
        <v>1103</v>
      </c>
      <c r="D311" s="423" t="s">
        <v>176</v>
      </c>
      <c r="E311" s="477" t="s">
        <v>1284</v>
      </c>
      <c r="F311" s="753">
        <v>45924</v>
      </c>
      <c r="G311" s="380" t="s">
        <v>55</v>
      </c>
      <c r="H311" s="380">
        <v>1</v>
      </c>
      <c r="I311" s="388">
        <v>90000</v>
      </c>
      <c r="J311" s="380">
        <v>3</v>
      </c>
      <c r="K311" s="389">
        <f t="shared" si="14"/>
        <v>30000</v>
      </c>
      <c r="L311" s="387">
        <v>45901</v>
      </c>
      <c r="M311" s="387">
        <v>46265</v>
      </c>
      <c r="N311" s="680"/>
      <c r="O311" s="680"/>
      <c r="P311" s="363" t="s">
        <v>19</v>
      </c>
      <c r="Q311" s="380" t="s">
        <v>13</v>
      </c>
      <c r="R311" s="380"/>
      <c r="S311" s="390" t="s">
        <v>345</v>
      </c>
      <c r="T311" s="363" t="s">
        <v>1286</v>
      </c>
      <c r="U311" s="390" t="s">
        <v>347</v>
      </c>
      <c r="V311" s="363" t="s">
        <v>1287</v>
      </c>
      <c r="W311" s="390" t="s">
        <v>348</v>
      </c>
      <c r="X311" s="363" t="s">
        <v>1954</v>
      </c>
      <c r="Y311" s="363"/>
      <c r="Z311" s="363"/>
      <c r="AA311" s="363"/>
      <c r="AB311" s="363"/>
      <c r="AC311" s="363"/>
      <c r="AD311" s="363"/>
      <c r="AE311" s="363" t="s">
        <v>183</v>
      </c>
      <c r="AF311" s="380" t="s">
        <v>97</v>
      </c>
      <c r="AG311" s="380">
        <v>2</v>
      </c>
      <c r="AH311" s="363" t="s">
        <v>1272</v>
      </c>
    </row>
    <row r="312" spans="1:34" ht="15" hidden="1" customHeight="1" x14ac:dyDescent="0.3">
      <c r="B312" s="380" t="s">
        <v>14</v>
      </c>
      <c r="C312" s="409" t="s">
        <v>1288</v>
      </c>
      <c r="D312" s="423" t="s">
        <v>1114</v>
      </c>
      <c r="E312" s="380">
        <v>4504881247</v>
      </c>
      <c r="F312" s="753">
        <v>45917</v>
      </c>
      <c r="G312" s="380" t="s">
        <v>55</v>
      </c>
      <c r="H312" s="380">
        <v>10</v>
      </c>
      <c r="I312" s="388">
        <v>850000</v>
      </c>
      <c r="J312" s="380">
        <v>4</v>
      </c>
      <c r="K312" s="389">
        <f t="shared" si="14"/>
        <v>212500</v>
      </c>
      <c r="L312" s="387">
        <v>45901</v>
      </c>
      <c r="M312" s="387">
        <v>46265</v>
      </c>
      <c r="N312" s="680">
        <v>154666</v>
      </c>
      <c r="O312" s="680"/>
      <c r="P312" s="363" t="s">
        <v>19</v>
      </c>
      <c r="Q312" s="380" t="s">
        <v>13</v>
      </c>
      <c r="R312" s="380"/>
      <c r="S312" s="390" t="s">
        <v>1131</v>
      </c>
      <c r="T312" s="363" t="s">
        <v>247</v>
      </c>
      <c r="U312" s="390" t="s">
        <v>1133</v>
      </c>
      <c r="V312" s="363" t="s">
        <v>747</v>
      </c>
      <c r="W312" s="390" t="s">
        <v>1134</v>
      </c>
      <c r="X312" s="363" t="s">
        <v>1289</v>
      </c>
      <c r="Y312" s="390" t="s">
        <v>1244</v>
      </c>
      <c r="Z312" s="363" t="s">
        <v>2036</v>
      </c>
      <c r="AA312" s="363"/>
      <c r="AB312" s="363"/>
      <c r="AC312" s="363"/>
      <c r="AD312" s="363"/>
      <c r="AE312" s="363" t="s">
        <v>183</v>
      </c>
      <c r="AF312" s="380" t="s">
        <v>97</v>
      </c>
      <c r="AG312" s="380">
        <v>4</v>
      </c>
      <c r="AH312" s="363" t="s">
        <v>1290</v>
      </c>
    </row>
    <row r="313" spans="1:34" ht="15" hidden="1" customHeight="1" x14ac:dyDescent="0.3">
      <c r="B313" s="380" t="s">
        <v>14</v>
      </c>
      <c r="C313" s="409" t="s">
        <v>1291</v>
      </c>
      <c r="D313" s="423" t="s">
        <v>176</v>
      </c>
      <c r="E313" s="380">
        <v>5600003069</v>
      </c>
      <c r="F313" s="753">
        <v>45890</v>
      </c>
      <c r="G313" s="380" t="s">
        <v>55</v>
      </c>
      <c r="H313" s="380">
        <v>1</v>
      </c>
      <c r="I313" s="388">
        <v>94500</v>
      </c>
      <c r="J313" s="380">
        <v>2</v>
      </c>
      <c r="K313" s="389">
        <f t="shared" si="14"/>
        <v>47250</v>
      </c>
      <c r="L313" s="387">
        <v>45901</v>
      </c>
      <c r="M313" s="387">
        <v>46265</v>
      </c>
      <c r="N313" s="680"/>
      <c r="O313" s="680"/>
      <c r="P313" s="363" t="s">
        <v>19</v>
      </c>
      <c r="Q313" s="380" t="s">
        <v>13</v>
      </c>
      <c r="R313" s="380" t="s">
        <v>1</v>
      </c>
      <c r="S313" s="390" t="s">
        <v>625</v>
      </c>
      <c r="T313" s="363" t="s">
        <v>1091</v>
      </c>
      <c r="U313" s="390" t="s">
        <v>1235</v>
      </c>
      <c r="V313" s="363" t="s">
        <v>1858</v>
      </c>
      <c r="W313" s="363"/>
      <c r="X313" s="363"/>
      <c r="Y313" s="363"/>
      <c r="Z313" s="363"/>
      <c r="AA313" s="363"/>
      <c r="AB313" s="363"/>
      <c r="AC313" s="363"/>
      <c r="AD313" s="363"/>
      <c r="AE313" s="363" t="s">
        <v>183</v>
      </c>
      <c r="AF313" s="380" t="s">
        <v>97</v>
      </c>
      <c r="AG313" s="380">
        <v>2</v>
      </c>
      <c r="AH313" s="363" t="s">
        <v>1292</v>
      </c>
    </row>
    <row r="314" spans="1:34" ht="15" customHeight="1" x14ac:dyDescent="0.3">
      <c r="B314" s="380" t="s">
        <v>14</v>
      </c>
      <c r="C314" s="478" t="s">
        <v>508</v>
      </c>
      <c r="D314" s="437" t="s">
        <v>866</v>
      </c>
      <c r="E314" s="425" t="s">
        <v>1293</v>
      </c>
      <c r="F314" s="757">
        <v>45926</v>
      </c>
      <c r="G314" s="380" t="s">
        <v>55</v>
      </c>
      <c r="H314" s="380">
        <v>1</v>
      </c>
      <c r="I314" s="388">
        <v>89000</v>
      </c>
      <c r="J314" s="380">
        <v>3</v>
      </c>
      <c r="K314" s="389"/>
      <c r="L314" s="387">
        <v>45931</v>
      </c>
      <c r="M314" s="387">
        <v>46295</v>
      </c>
      <c r="N314" s="680"/>
      <c r="O314" s="680"/>
      <c r="P314" s="363" t="s">
        <v>520</v>
      </c>
      <c r="Q314" s="380" t="s">
        <v>1285</v>
      </c>
      <c r="R314" s="380"/>
      <c r="S314" s="390" t="s">
        <v>83</v>
      </c>
      <c r="T314" s="363" t="s">
        <v>1294</v>
      </c>
      <c r="U314" s="390" t="s">
        <v>404</v>
      </c>
      <c r="V314" s="363" t="s">
        <v>1295</v>
      </c>
      <c r="W314" s="363" t="s">
        <v>406</v>
      </c>
      <c r="X314" s="363" t="s">
        <v>1045</v>
      </c>
      <c r="Y314" s="363"/>
      <c r="Z314" s="363"/>
      <c r="AA314" s="363"/>
      <c r="AB314" s="363"/>
      <c r="AC314" s="363"/>
      <c r="AD314" s="363"/>
      <c r="AE314" s="363" t="s">
        <v>96</v>
      </c>
      <c r="AF314" s="380" t="s">
        <v>97</v>
      </c>
      <c r="AG314" s="380" t="s">
        <v>494</v>
      </c>
      <c r="AH314" s="430" t="s">
        <v>1861</v>
      </c>
    </row>
    <row r="315" spans="1:34" ht="15" customHeight="1" x14ac:dyDescent="0.3">
      <c r="B315" s="380" t="s">
        <v>14</v>
      </c>
      <c r="C315" s="412" t="s">
        <v>1297</v>
      </c>
      <c r="D315" s="437" t="s">
        <v>1298</v>
      </c>
      <c r="E315" s="479" t="s">
        <v>1299</v>
      </c>
      <c r="F315" s="757">
        <v>45934</v>
      </c>
      <c r="G315" s="380" t="s">
        <v>55</v>
      </c>
      <c r="H315" s="380">
        <v>3</v>
      </c>
      <c r="I315" s="388">
        <v>303600</v>
      </c>
      <c r="J315" s="380">
        <v>3</v>
      </c>
      <c r="K315" s="389"/>
      <c r="L315" s="387">
        <v>45931</v>
      </c>
      <c r="M315" s="387">
        <v>46295</v>
      </c>
      <c r="N315" s="680"/>
      <c r="O315" s="680"/>
      <c r="P315" s="363" t="s">
        <v>520</v>
      </c>
      <c r="Q315" s="380" t="s">
        <v>1285</v>
      </c>
      <c r="R315" s="380"/>
      <c r="S315" s="390" t="s">
        <v>83</v>
      </c>
      <c r="T315" s="363" t="s">
        <v>417</v>
      </c>
      <c r="U315" s="390" t="s">
        <v>404</v>
      </c>
      <c r="V315" s="363" t="s">
        <v>1723</v>
      </c>
      <c r="W315" s="363" t="s">
        <v>406</v>
      </c>
      <c r="X315" s="363"/>
      <c r="Y315" s="363"/>
      <c r="Z315" s="363"/>
      <c r="AA315" s="363"/>
      <c r="AB315" s="363"/>
      <c r="AC315" s="363"/>
      <c r="AD315" s="363"/>
      <c r="AE315" s="363" t="s">
        <v>834</v>
      </c>
      <c r="AF315" s="380" t="s">
        <v>207</v>
      </c>
      <c r="AG315" s="380">
        <v>3</v>
      </c>
      <c r="AH315" s="386" t="s">
        <v>667</v>
      </c>
    </row>
    <row r="316" spans="1:34" ht="15" hidden="1" customHeight="1" x14ac:dyDescent="0.3">
      <c r="B316" s="380" t="s">
        <v>14</v>
      </c>
      <c r="C316" s="478" t="s">
        <v>1300</v>
      </c>
      <c r="D316" s="480" t="s">
        <v>841</v>
      </c>
      <c r="E316" s="481" t="s">
        <v>1301</v>
      </c>
      <c r="F316" s="757">
        <v>45937</v>
      </c>
      <c r="G316" s="380" t="s">
        <v>55</v>
      </c>
      <c r="H316" s="380">
        <v>1</v>
      </c>
      <c r="I316" s="388">
        <v>52800</v>
      </c>
      <c r="J316" s="380">
        <v>1</v>
      </c>
      <c r="K316" s="389">
        <f t="shared" si="14"/>
        <v>52800</v>
      </c>
      <c r="L316" s="387">
        <v>45931</v>
      </c>
      <c r="M316" s="387">
        <v>46295</v>
      </c>
      <c r="N316" s="680"/>
      <c r="O316" s="680"/>
      <c r="P316" s="363" t="s">
        <v>19</v>
      </c>
      <c r="Q316" s="380" t="s">
        <v>1231</v>
      </c>
      <c r="R316" s="380"/>
      <c r="S316" s="390" t="s">
        <v>1302</v>
      </c>
      <c r="T316" s="363" t="s">
        <v>2037</v>
      </c>
      <c r="U316" s="363"/>
      <c r="V316" s="363"/>
      <c r="W316" s="363"/>
      <c r="X316" s="363"/>
      <c r="Y316" s="363"/>
      <c r="Z316" s="363"/>
      <c r="AA316" s="363"/>
      <c r="AB316" s="363"/>
      <c r="AC316" s="363"/>
      <c r="AD316" s="363"/>
      <c r="AE316" s="363" t="s">
        <v>485</v>
      </c>
      <c r="AF316" s="380" t="s">
        <v>63</v>
      </c>
      <c r="AG316" s="380">
        <v>2</v>
      </c>
      <c r="AH316" s="386" t="s">
        <v>1303</v>
      </c>
    </row>
    <row r="317" spans="1:34" ht="15" hidden="1" customHeight="1" x14ac:dyDescent="0.3">
      <c r="A317" s="469"/>
      <c r="B317" s="380" t="s">
        <v>14</v>
      </c>
      <c r="C317" s="482" t="s">
        <v>1304</v>
      </c>
      <c r="D317" s="483" t="s">
        <v>906</v>
      </c>
      <c r="E317" s="468">
        <v>2400019724</v>
      </c>
      <c r="F317" s="753">
        <v>45938</v>
      </c>
      <c r="G317" s="407" t="s">
        <v>703</v>
      </c>
      <c r="H317" s="380">
        <v>1</v>
      </c>
      <c r="I317" s="388">
        <v>350000</v>
      </c>
      <c r="J317" s="380">
        <v>3</v>
      </c>
      <c r="K317" s="389">
        <f>I317/2</f>
        <v>175000</v>
      </c>
      <c r="L317" s="387">
        <v>45938</v>
      </c>
      <c r="M317" s="387">
        <v>46302</v>
      </c>
      <c r="N317" s="680"/>
      <c r="O317" s="680"/>
      <c r="P317" s="363" t="s">
        <v>19</v>
      </c>
      <c r="Q317" s="380" t="s">
        <v>1285</v>
      </c>
      <c r="R317" s="380"/>
      <c r="S317" s="390" t="s">
        <v>1305</v>
      </c>
      <c r="T317" s="363" t="s">
        <v>1306</v>
      </c>
      <c r="U317" s="390" t="s">
        <v>1307</v>
      </c>
      <c r="V317" s="363" t="s">
        <v>1308</v>
      </c>
      <c r="W317" s="390" t="s">
        <v>1309</v>
      </c>
      <c r="X317" s="363" t="s">
        <v>1940</v>
      </c>
      <c r="Y317" s="363"/>
      <c r="Z317" s="363"/>
      <c r="AA317" s="363"/>
      <c r="AB317" s="363"/>
      <c r="AC317" s="363"/>
      <c r="AD317" s="363"/>
      <c r="AE317" s="363" t="s">
        <v>834</v>
      </c>
      <c r="AF317" s="380" t="s">
        <v>207</v>
      </c>
      <c r="AG317" s="380" t="s">
        <v>1310</v>
      </c>
      <c r="AH317" s="363" t="s">
        <v>1311</v>
      </c>
    </row>
    <row r="318" spans="1:34" ht="15" hidden="1" customHeight="1" x14ac:dyDescent="0.3">
      <c r="B318" s="380" t="s">
        <v>14</v>
      </c>
      <c r="C318" s="409" t="s">
        <v>1312</v>
      </c>
      <c r="D318" s="386" t="s">
        <v>1313</v>
      </c>
      <c r="E318" s="397">
        <v>2800095345</v>
      </c>
      <c r="F318" s="753">
        <v>45947</v>
      </c>
      <c r="G318" s="380" t="s">
        <v>643</v>
      </c>
      <c r="H318" s="380">
        <v>2</v>
      </c>
      <c r="I318" s="388">
        <v>172872</v>
      </c>
      <c r="J318" s="380">
        <v>2</v>
      </c>
      <c r="K318" s="389">
        <f t="shared" ref="K318:K330" si="15">I318/J318</f>
        <v>86436</v>
      </c>
      <c r="L318" s="387">
        <v>45931</v>
      </c>
      <c r="M318" s="387">
        <v>46295</v>
      </c>
      <c r="N318" s="680">
        <v>154671</v>
      </c>
      <c r="O318" s="680">
        <v>4581</v>
      </c>
      <c r="P318" s="363" t="s">
        <v>19</v>
      </c>
      <c r="Q318" s="380" t="s">
        <v>1231</v>
      </c>
      <c r="R318" s="380"/>
      <c r="S318" s="390" t="s">
        <v>465</v>
      </c>
      <c r="T318" s="363" t="s">
        <v>1314</v>
      </c>
      <c r="U318" s="390" t="s">
        <v>467</v>
      </c>
      <c r="V318" s="363" t="s">
        <v>2038</v>
      </c>
      <c r="W318" s="363"/>
      <c r="X318" s="363"/>
      <c r="Y318" s="363"/>
      <c r="Z318" s="363"/>
      <c r="AA318" s="363"/>
      <c r="AB318" s="363"/>
      <c r="AC318" s="363"/>
      <c r="AD318" s="363"/>
      <c r="AE318" s="363" t="s">
        <v>96</v>
      </c>
      <c r="AF318" s="380" t="s">
        <v>97</v>
      </c>
      <c r="AG318" s="380">
        <v>6</v>
      </c>
      <c r="AH318" s="363" t="s">
        <v>667</v>
      </c>
    </row>
    <row r="319" spans="1:34" ht="15" hidden="1" customHeight="1" x14ac:dyDescent="0.3">
      <c r="B319" s="380" t="s">
        <v>14</v>
      </c>
      <c r="C319" s="482" t="s">
        <v>905</v>
      </c>
      <c r="D319" s="483" t="s">
        <v>545</v>
      </c>
      <c r="E319" s="468">
        <v>1100035324</v>
      </c>
      <c r="F319" s="753">
        <v>45938</v>
      </c>
      <c r="G319" s="380" t="s">
        <v>643</v>
      </c>
      <c r="H319" s="380">
        <v>2</v>
      </c>
      <c r="I319" s="388">
        <v>142500</v>
      </c>
      <c r="J319" s="380">
        <v>2</v>
      </c>
      <c r="K319" s="389">
        <f t="shared" si="15"/>
        <v>71250</v>
      </c>
      <c r="L319" s="387">
        <v>45962</v>
      </c>
      <c r="M319" s="387">
        <v>46326</v>
      </c>
      <c r="N319" s="680"/>
      <c r="O319" s="680"/>
      <c r="P319" s="363" t="s">
        <v>19</v>
      </c>
      <c r="Q319" s="380" t="s">
        <v>1285</v>
      </c>
      <c r="R319" s="380"/>
      <c r="S319" s="390" t="s">
        <v>330</v>
      </c>
      <c r="T319" s="363" t="s">
        <v>441</v>
      </c>
      <c r="U319" s="390" t="s">
        <v>1315</v>
      </c>
      <c r="V319" s="363" t="s">
        <v>1955</v>
      </c>
      <c r="W319" s="363"/>
      <c r="X319" s="363"/>
      <c r="Y319" s="363"/>
      <c r="Z319" s="363"/>
      <c r="AA319" s="363"/>
      <c r="AB319" s="363"/>
      <c r="AC319" s="363"/>
      <c r="AD319" s="363"/>
      <c r="AE319" s="363" t="s">
        <v>551</v>
      </c>
      <c r="AF319" s="380" t="s">
        <v>207</v>
      </c>
      <c r="AG319" s="380">
        <v>3</v>
      </c>
      <c r="AH319" s="363" t="s">
        <v>667</v>
      </c>
    </row>
    <row r="320" spans="1:34" ht="15" hidden="1" customHeight="1" x14ac:dyDescent="0.3">
      <c r="B320" s="380" t="s">
        <v>14</v>
      </c>
      <c r="C320" s="482" t="s">
        <v>1316</v>
      </c>
      <c r="D320" s="483" t="s">
        <v>1317</v>
      </c>
      <c r="E320" s="468" t="s">
        <v>1318</v>
      </c>
      <c r="F320" s="753">
        <v>45918</v>
      </c>
      <c r="G320" s="380" t="s">
        <v>643</v>
      </c>
      <c r="H320" s="380">
        <v>2</v>
      </c>
      <c r="I320" s="388">
        <v>160000</v>
      </c>
      <c r="J320" s="380">
        <v>2</v>
      </c>
      <c r="K320" s="389">
        <f t="shared" si="15"/>
        <v>80000</v>
      </c>
      <c r="L320" s="387">
        <v>45901</v>
      </c>
      <c r="M320" s="387">
        <v>46265</v>
      </c>
      <c r="N320" s="680"/>
      <c r="O320" s="680"/>
      <c r="P320" s="363" t="s">
        <v>19</v>
      </c>
      <c r="Q320" s="380" t="s">
        <v>13</v>
      </c>
      <c r="R320" s="380"/>
      <c r="S320" s="390" t="s">
        <v>625</v>
      </c>
      <c r="T320" s="363" t="s">
        <v>765</v>
      </c>
      <c r="U320" s="390" t="s">
        <v>1235</v>
      </c>
      <c r="V320" s="363" t="s">
        <v>1862</v>
      </c>
      <c r="W320" s="363"/>
      <c r="X320" s="363"/>
      <c r="Y320" s="363"/>
      <c r="Z320" s="363"/>
      <c r="AA320" s="363"/>
      <c r="AB320" s="363"/>
      <c r="AC320" s="363"/>
      <c r="AD320" s="363"/>
      <c r="AE320" s="363" t="s">
        <v>478</v>
      </c>
      <c r="AF320" s="380" t="s">
        <v>63</v>
      </c>
      <c r="AG320" s="380">
        <v>3</v>
      </c>
      <c r="AH320" s="363" t="s">
        <v>1319</v>
      </c>
    </row>
    <row r="321" spans="2:34" ht="15" customHeight="1" x14ac:dyDescent="0.3">
      <c r="B321" s="380" t="s">
        <v>14</v>
      </c>
      <c r="C321" s="482" t="s">
        <v>658</v>
      </c>
      <c r="D321" s="483" t="s">
        <v>1320</v>
      </c>
      <c r="E321" s="468" t="s">
        <v>1321</v>
      </c>
      <c r="F321" s="753">
        <v>45953</v>
      </c>
      <c r="G321" s="407" t="s">
        <v>703</v>
      </c>
      <c r="H321" s="380">
        <v>1</v>
      </c>
      <c r="I321" s="388">
        <v>460000</v>
      </c>
      <c r="J321" s="380">
        <v>4</v>
      </c>
      <c r="K321" s="389">
        <f t="shared" si="15"/>
        <v>115000</v>
      </c>
      <c r="L321" s="387">
        <v>45962</v>
      </c>
      <c r="M321" s="387">
        <v>46326</v>
      </c>
      <c r="N321" s="680"/>
      <c r="O321" s="680"/>
      <c r="P321" s="363" t="s">
        <v>520</v>
      </c>
      <c r="Q321" s="380" t="s">
        <v>1285</v>
      </c>
      <c r="R321" s="380"/>
      <c r="S321" s="390" t="s">
        <v>269</v>
      </c>
      <c r="T321" s="363" t="s">
        <v>653</v>
      </c>
      <c r="U321" s="390" t="s">
        <v>442</v>
      </c>
      <c r="V321" s="363" t="s">
        <v>1322</v>
      </c>
      <c r="W321" s="390" t="s">
        <v>444</v>
      </c>
      <c r="X321" s="363" t="s">
        <v>1955</v>
      </c>
      <c r="Y321" s="363" t="s">
        <v>445</v>
      </c>
      <c r="Z321" s="363"/>
      <c r="AA321" s="363"/>
      <c r="AB321" s="363"/>
      <c r="AC321" s="363"/>
      <c r="AD321" s="363"/>
      <c r="AE321" s="363" t="s">
        <v>183</v>
      </c>
      <c r="AF321" s="380" t="s">
        <v>97</v>
      </c>
      <c r="AG321" s="380" t="s">
        <v>494</v>
      </c>
      <c r="AH321" s="363" t="s">
        <v>1323</v>
      </c>
    </row>
    <row r="322" spans="2:34" ht="15" hidden="1" customHeight="1" x14ac:dyDescent="0.3">
      <c r="B322" s="380" t="s">
        <v>14</v>
      </c>
      <c r="C322" s="482" t="s">
        <v>905</v>
      </c>
      <c r="D322" s="483" t="s">
        <v>151</v>
      </c>
      <c r="E322" s="468">
        <v>1100035470</v>
      </c>
      <c r="F322" s="753">
        <v>45959</v>
      </c>
      <c r="G322" s="380" t="s">
        <v>643</v>
      </c>
      <c r="H322" s="380">
        <v>2</v>
      </c>
      <c r="I322" s="388">
        <v>134000</v>
      </c>
      <c r="J322" s="380">
        <v>2</v>
      </c>
      <c r="K322" s="389">
        <f t="shared" si="15"/>
        <v>67000</v>
      </c>
      <c r="L322" s="387">
        <v>45870</v>
      </c>
      <c r="M322" s="387">
        <v>46234</v>
      </c>
      <c r="N322" s="680"/>
      <c r="O322" s="680"/>
      <c r="P322" s="363" t="s">
        <v>19</v>
      </c>
      <c r="Q322" s="380" t="s">
        <v>11</v>
      </c>
      <c r="R322" s="380"/>
      <c r="S322" s="390" t="s">
        <v>424</v>
      </c>
      <c r="T322" s="363" t="s">
        <v>1324</v>
      </c>
      <c r="U322" s="390" t="s">
        <v>426</v>
      </c>
      <c r="V322" s="363" t="s">
        <v>1943</v>
      </c>
      <c r="W322" s="363"/>
      <c r="X322" s="363"/>
      <c r="Y322" s="363"/>
      <c r="Z322" s="363"/>
      <c r="AA322" s="363"/>
      <c r="AB322" s="363"/>
      <c r="AC322" s="363"/>
      <c r="AD322" s="363"/>
      <c r="AE322" s="363" t="s">
        <v>1325</v>
      </c>
      <c r="AF322" s="380" t="s">
        <v>63</v>
      </c>
      <c r="AG322" s="380">
        <v>3</v>
      </c>
      <c r="AH322" s="363" t="s">
        <v>667</v>
      </c>
    </row>
    <row r="323" spans="2:34" ht="15" hidden="1" customHeight="1" x14ac:dyDescent="0.3">
      <c r="B323" s="380" t="s">
        <v>14</v>
      </c>
      <c r="C323" s="409" t="s">
        <v>1326</v>
      </c>
      <c r="D323" s="423" t="s">
        <v>151</v>
      </c>
      <c r="E323" s="380">
        <v>700672062</v>
      </c>
      <c r="F323" s="753">
        <v>45957</v>
      </c>
      <c r="G323" s="380" t="s">
        <v>643</v>
      </c>
      <c r="H323" s="380">
        <v>3</v>
      </c>
      <c r="I323" s="388">
        <f>96000*3</f>
        <v>288000</v>
      </c>
      <c r="J323" s="380">
        <v>3</v>
      </c>
      <c r="K323" s="389">
        <f t="shared" si="15"/>
        <v>96000</v>
      </c>
      <c r="L323" s="387">
        <v>45870</v>
      </c>
      <c r="M323" s="387">
        <v>46234</v>
      </c>
      <c r="N323" s="680">
        <v>154674</v>
      </c>
      <c r="O323" s="680">
        <v>4659</v>
      </c>
      <c r="P323" s="363" t="s">
        <v>19</v>
      </c>
      <c r="Q323" s="380" t="s">
        <v>13</v>
      </c>
      <c r="R323" s="380"/>
      <c r="S323" s="390" t="s">
        <v>665</v>
      </c>
      <c r="T323" s="363" t="s">
        <v>73</v>
      </c>
      <c r="U323" s="390" t="s">
        <v>361</v>
      </c>
      <c r="V323" s="363" t="s">
        <v>1239</v>
      </c>
      <c r="W323" s="390" t="s">
        <v>1080</v>
      </c>
      <c r="X323" s="363" t="s">
        <v>2039</v>
      </c>
      <c r="Y323" s="363"/>
      <c r="Z323" s="363"/>
      <c r="AA323" s="363"/>
      <c r="AB323" s="363"/>
      <c r="AC323" s="363"/>
      <c r="AD323" s="363"/>
      <c r="AE323" s="363" t="s">
        <v>507</v>
      </c>
      <c r="AF323" s="380" t="s">
        <v>63</v>
      </c>
      <c r="AG323" s="380">
        <v>3</v>
      </c>
      <c r="AH323" s="363" t="s">
        <v>1327</v>
      </c>
    </row>
    <row r="324" spans="2:34" ht="15" customHeight="1" x14ac:dyDescent="0.3">
      <c r="B324" s="380" t="s">
        <v>14</v>
      </c>
      <c r="C324" s="478" t="s">
        <v>1328</v>
      </c>
      <c r="D324" s="480" t="s">
        <v>841</v>
      </c>
      <c r="E324" s="481">
        <v>470075997</v>
      </c>
      <c r="F324" s="757">
        <v>45936</v>
      </c>
      <c r="G324" s="380" t="s">
        <v>643</v>
      </c>
      <c r="H324" s="380">
        <v>2</v>
      </c>
      <c r="I324" s="388">
        <v>176000</v>
      </c>
      <c r="J324" s="380">
        <v>1</v>
      </c>
      <c r="K324" s="389">
        <f t="shared" si="15"/>
        <v>176000</v>
      </c>
      <c r="L324" s="387">
        <v>45955</v>
      </c>
      <c r="M324" s="387">
        <v>46319</v>
      </c>
      <c r="N324" s="680"/>
      <c r="O324" s="680"/>
      <c r="P324" s="363" t="s">
        <v>520</v>
      </c>
      <c r="Q324" s="380" t="s">
        <v>1285</v>
      </c>
      <c r="R324" s="380"/>
      <c r="S324" s="363" t="s">
        <v>1329</v>
      </c>
      <c r="T324" s="363"/>
      <c r="U324" s="363"/>
      <c r="V324" s="363"/>
      <c r="W324" s="363"/>
      <c r="X324" s="363"/>
      <c r="Y324" s="363"/>
      <c r="Z324" s="363"/>
      <c r="AA324" s="363"/>
      <c r="AB324" s="363"/>
      <c r="AC324" s="363"/>
      <c r="AD324" s="363"/>
      <c r="AE324" s="363" t="s">
        <v>485</v>
      </c>
      <c r="AF324" s="380" t="s">
        <v>63</v>
      </c>
      <c r="AG324" s="380">
        <v>2</v>
      </c>
      <c r="AH324" s="363" t="s">
        <v>1127</v>
      </c>
    </row>
    <row r="325" spans="2:34" ht="15" customHeight="1" x14ac:dyDescent="0.3">
      <c r="B325" s="380" t="s">
        <v>14</v>
      </c>
      <c r="C325" s="409" t="s">
        <v>1330</v>
      </c>
      <c r="D325" s="423" t="s">
        <v>1230</v>
      </c>
      <c r="E325" s="408" t="s">
        <v>1331</v>
      </c>
      <c r="F325" s="753">
        <v>45955</v>
      </c>
      <c r="G325" s="380" t="s">
        <v>643</v>
      </c>
      <c r="H325" s="380">
        <v>1</v>
      </c>
      <c r="I325" s="388">
        <v>109200</v>
      </c>
      <c r="J325" s="380">
        <v>3</v>
      </c>
      <c r="K325" s="389">
        <f t="shared" si="15"/>
        <v>36400</v>
      </c>
      <c r="L325" s="387">
        <v>45950</v>
      </c>
      <c r="M325" s="387">
        <v>46314</v>
      </c>
      <c r="N325" s="680"/>
      <c r="O325" s="680"/>
      <c r="P325" s="363" t="s">
        <v>520</v>
      </c>
      <c r="Q325" s="380" t="s">
        <v>1285</v>
      </c>
      <c r="R325" s="380"/>
      <c r="S325" s="390" t="s">
        <v>1332</v>
      </c>
      <c r="T325" s="363" t="s">
        <v>1009</v>
      </c>
      <c r="U325" s="390" t="s">
        <v>1333</v>
      </c>
      <c r="V325" s="363" t="s">
        <v>1849</v>
      </c>
      <c r="W325" s="363" t="s">
        <v>1334</v>
      </c>
      <c r="X325" s="363"/>
      <c r="Y325" s="363"/>
      <c r="Z325" s="363"/>
      <c r="AA325" s="363"/>
      <c r="AB325" s="363"/>
      <c r="AC325" s="363"/>
      <c r="AD325" s="363"/>
      <c r="AE325" s="363" t="s">
        <v>96</v>
      </c>
      <c r="AF325" s="380" t="s">
        <v>97</v>
      </c>
      <c r="AG325" s="380">
        <v>3</v>
      </c>
      <c r="AH325" s="363" t="s">
        <v>1335</v>
      </c>
    </row>
    <row r="326" spans="2:34" ht="15" hidden="1" customHeight="1" x14ac:dyDescent="0.3">
      <c r="B326" s="380" t="s">
        <v>14</v>
      </c>
      <c r="C326" s="412" t="s">
        <v>1336</v>
      </c>
      <c r="D326" s="437" t="s">
        <v>388</v>
      </c>
      <c r="E326" s="425">
        <v>3800044370</v>
      </c>
      <c r="F326" s="757">
        <v>45964</v>
      </c>
      <c r="G326" s="380" t="s">
        <v>643</v>
      </c>
      <c r="H326" s="380">
        <v>2</v>
      </c>
      <c r="I326" s="388">
        <v>148500</v>
      </c>
      <c r="J326" s="380">
        <v>2</v>
      </c>
      <c r="K326" s="389"/>
      <c r="L326" s="387">
        <v>45870</v>
      </c>
      <c r="M326" s="387">
        <v>46234</v>
      </c>
      <c r="N326" s="680"/>
      <c r="O326" s="680"/>
      <c r="P326" s="363" t="s">
        <v>19</v>
      </c>
      <c r="Q326" s="380" t="s">
        <v>11</v>
      </c>
      <c r="R326" s="380"/>
      <c r="S326" s="390" t="s">
        <v>424</v>
      </c>
      <c r="T326" s="363" t="s">
        <v>626</v>
      </c>
      <c r="U326" s="390" t="s">
        <v>426</v>
      </c>
      <c r="V326" s="363" t="s">
        <v>1855</v>
      </c>
      <c r="W326" s="363"/>
      <c r="X326" s="363"/>
      <c r="Y326" s="363"/>
      <c r="Z326" s="363"/>
      <c r="AA326" s="363"/>
      <c r="AB326" s="363"/>
      <c r="AC326" s="363"/>
      <c r="AD326" s="363"/>
      <c r="AE326" s="363" t="s">
        <v>478</v>
      </c>
      <c r="AF326" s="380" t="s">
        <v>63</v>
      </c>
      <c r="AG326" s="380">
        <v>2</v>
      </c>
      <c r="AH326" s="363" t="s">
        <v>799</v>
      </c>
    </row>
    <row r="327" spans="2:34" ht="15" customHeight="1" x14ac:dyDescent="0.3">
      <c r="B327" s="380" t="s">
        <v>14</v>
      </c>
      <c r="C327" s="430" t="s">
        <v>527</v>
      </c>
      <c r="D327" s="445" t="s">
        <v>131</v>
      </c>
      <c r="E327" s="419">
        <v>7001113889</v>
      </c>
      <c r="F327" s="753">
        <v>45964</v>
      </c>
      <c r="G327" s="380" t="s">
        <v>643</v>
      </c>
      <c r="H327" s="380">
        <v>1</v>
      </c>
      <c r="I327" s="388">
        <v>78750</v>
      </c>
      <c r="J327" s="380">
        <v>2</v>
      </c>
      <c r="K327" s="389">
        <f t="shared" si="15"/>
        <v>39375</v>
      </c>
      <c r="L327" s="387">
        <v>45962</v>
      </c>
      <c r="M327" s="387">
        <v>46326</v>
      </c>
      <c r="N327" s="680"/>
      <c r="O327" s="680"/>
      <c r="P327" s="363" t="s">
        <v>520</v>
      </c>
      <c r="Q327" s="380" t="s">
        <v>1337</v>
      </c>
      <c r="R327" s="380"/>
      <c r="S327" s="390" t="s">
        <v>330</v>
      </c>
      <c r="T327" s="363" t="s">
        <v>1338</v>
      </c>
      <c r="U327" s="363" t="s">
        <v>1339</v>
      </c>
      <c r="V327" s="363"/>
      <c r="W327" s="363"/>
      <c r="X327" s="363"/>
      <c r="Y327" s="363"/>
      <c r="Z327" s="363"/>
      <c r="AA327" s="363"/>
      <c r="AB327" s="363"/>
      <c r="AC327" s="363"/>
      <c r="AD327" s="363"/>
      <c r="AE327" s="363" t="s">
        <v>485</v>
      </c>
      <c r="AF327" s="380" t="s">
        <v>63</v>
      </c>
      <c r="AG327" s="380">
        <v>2</v>
      </c>
      <c r="AH327" s="363" t="s">
        <v>799</v>
      </c>
    </row>
    <row r="328" spans="2:34" ht="15" customHeight="1" x14ac:dyDescent="0.3">
      <c r="B328" s="380" t="s">
        <v>14</v>
      </c>
      <c r="C328" s="409" t="s">
        <v>1340</v>
      </c>
      <c r="D328" s="434" t="s">
        <v>1341</v>
      </c>
      <c r="E328" s="380">
        <v>1443021479</v>
      </c>
      <c r="F328" s="753">
        <v>45961</v>
      </c>
      <c r="G328" s="380" t="s">
        <v>643</v>
      </c>
      <c r="H328" s="380">
        <v>1</v>
      </c>
      <c r="I328" s="388">
        <v>70000</v>
      </c>
      <c r="J328" s="380">
        <v>2</v>
      </c>
      <c r="K328" s="389">
        <f t="shared" si="15"/>
        <v>35000</v>
      </c>
      <c r="L328" s="387">
        <v>45962</v>
      </c>
      <c r="M328" s="387">
        <v>46326</v>
      </c>
      <c r="N328" s="680"/>
      <c r="O328" s="680"/>
      <c r="P328" s="363" t="s">
        <v>520</v>
      </c>
      <c r="Q328" s="380" t="s">
        <v>1337</v>
      </c>
      <c r="R328" s="380"/>
      <c r="S328" s="390" t="s">
        <v>330</v>
      </c>
      <c r="T328" s="363" t="s">
        <v>1858</v>
      </c>
      <c r="U328" s="363" t="s">
        <v>1339</v>
      </c>
      <c r="V328" s="363"/>
      <c r="W328" s="363"/>
      <c r="X328" s="363"/>
      <c r="Y328" s="363"/>
      <c r="Z328" s="363"/>
      <c r="AA328" s="363"/>
      <c r="AB328" s="363"/>
      <c r="AC328" s="363"/>
      <c r="AD328" s="363"/>
      <c r="AE328" s="363" t="s">
        <v>478</v>
      </c>
      <c r="AF328" s="380" t="s">
        <v>63</v>
      </c>
      <c r="AG328" s="380">
        <v>2</v>
      </c>
      <c r="AH328" s="363" t="s">
        <v>667</v>
      </c>
    </row>
    <row r="329" spans="2:34" ht="15" customHeight="1" x14ac:dyDescent="0.3">
      <c r="B329" s="380" t="s">
        <v>14</v>
      </c>
      <c r="C329" s="409" t="s">
        <v>1340</v>
      </c>
      <c r="D329" s="434" t="s">
        <v>1341</v>
      </c>
      <c r="E329" s="380">
        <v>1443021480</v>
      </c>
      <c r="F329" s="753">
        <v>45961</v>
      </c>
      <c r="G329" s="380" t="s">
        <v>643</v>
      </c>
      <c r="H329" s="380">
        <v>1</v>
      </c>
      <c r="I329" s="388">
        <v>70000</v>
      </c>
      <c r="J329" s="380">
        <v>2</v>
      </c>
      <c r="K329" s="389">
        <f t="shared" si="15"/>
        <v>35000</v>
      </c>
      <c r="L329" s="387">
        <v>45962</v>
      </c>
      <c r="M329" s="387">
        <v>46326</v>
      </c>
      <c r="N329" s="680"/>
      <c r="O329" s="680"/>
      <c r="P329" s="363" t="s">
        <v>520</v>
      </c>
      <c r="Q329" s="380" t="s">
        <v>1337</v>
      </c>
      <c r="R329" s="380"/>
      <c r="S329" s="390" t="s">
        <v>330</v>
      </c>
      <c r="T329" s="363" t="s">
        <v>1858</v>
      </c>
      <c r="U329" s="363" t="s">
        <v>1339</v>
      </c>
      <c r="V329" s="363"/>
      <c r="W329" s="363"/>
      <c r="X329" s="363"/>
      <c r="Y329" s="363"/>
      <c r="Z329" s="363"/>
      <c r="AA329" s="363"/>
      <c r="AB329" s="363"/>
      <c r="AC329" s="363"/>
      <c r="AD329" s="363"/>
      <c r="AE329" s="363" t="s">
        <v>478</v>
      </c>
      <c r="AF329" s="380" t="s">
        <v>63</v>
      </c>
      <c r="AG329" s="380">
        <v>2</v>
      </c>
      <c r="AH329" s="363" t="s">
        <v>667</v>
      </c>
    </row>
    <row r="330" spans="2:34" ht="15" hidden="1" customHeight="1" x14ac:dyDescent="0.3">
      <c r="B330" s="380" t="s">
        <v>14</v>
      </c>
      <c r="C330" s="482" t="s">
        <v>1342</v>
      </c>
      <c r="D330" s="483" t="s">
        <v>447</v>
      </c>
      <c r="E330" s="468">
        <v>1000105113</v>
      </c>
      <c r="F330" s="753">
        <v>45961</v>
      </c>
      <c r="G330" s="380" t="s">
        <v>643</v>
      </c>
      <c r="H330" s="380">
        <v>2</v>
      </c>
      <c r="I330" s="388">
        <v>171712</v>
      </c>
      <c r="J330" s="380">
        <v>3</v>
      </c>
      <c r="K330" s="389">
        <f t="shared" si="15"/>
        <v>57237.333333333336</v>
      </c>
      <c r="L330" s="387">
        <v>45962</v>
      </c>
      <c r="M330" s="387">
        <v>46326</v>
      </c>
      <c r="N330" s="680">
        <v>154817</v>
      </c>
      <c r="O330" s="680">
        <v>4734</v>
      </c>
      <c r="P330" s="363" t="s">
        <v>19</v>
      </c>
      <c r="Q330" s="380" t="s">
        <v>1285</v>
      </c>
      <c r="R330" s="380"/>
      <c r="S330" s="390" t="s">
        <v>192</v>
      </c>
      <c r="T330" s="363" t="s">
        <v>1343</v>
      </c>
      <c r="U330" s="390" t="s">
        <v>194</v>
      </c>
      <c r="V330" s="363" t="s">
        <v>1725</v>
      </c>
      <c r="W330" s="390" t="s">
        <v>1344</v>
      </c>
      <c r="X330" s="363" t="s">
        <v>2024</v>
      </c>
      <c r="Y330" s="363"/>
      <c r="Z330" s="363"/>
      <c r="AA330" s="363"/>
      <c r="AB330" s="363"/>
      <c r="AC330" s="363"/>
      <c r="AD330" s="363"/>
      <c r="AE330" s="363" t="s">
        <v>281</v>
      </c>
      <c r="AF330" s="380" t="s">
        <v>97</v>
      </c>
      <c r="AG330" s="380">
        <v>3</v>
      </c>
      <c r="AH330" s="363" t="s">
        <v>1345</v>
      </c>
    </row>
    <row r="331" spans="2:34" ht="15" customHeight="1" x14ac:dyDescent="0.3">
      <c r="B331" s="380" t="s">
        <v>14</v>
      </c>
      <c r="C331" s="409" t="s">
        <v>1346</v>
      </c>
      <c r="D331" s="483" t="s">
        <v>447</v>
      </c>
      <c r="E331" s="397" t="s">
        <v>1347</v>
      </c>
      <c r="F331" s="753">
        <v>45960</v>
      </c>
      <c r="G331" s="380" t="s">
        <v>643</v>
      </c>
      <c r="H331" s="380">
        <v>13</v>
      </c>
      <c r="I331" s="388">
        <v>1150488</v>
      </c>
      <c r="J331" s="380">
        <v>6</v>
      </c>
      <c r="K331" s="389">
        <f>I331/3</f>
        <v>383496</v>
      </c>
      <c r="L331" s="387">
        <v>45901</v>
      </c>
      <c r="M331" s="387">
        <v>46446</v>
      </c>
      <c r="N331" s="680"/>
      <c r="O331" s="680"/>
      <c r="P331" s="363" t="s">
        <v>520</v>
      </c>
      <c r="Q331" s="380" t="s">
        <v>1337</v>
      </c>
      <c r="R331" s="380"/>
      <c r="S331" s="390" t="s">
        <v>1348</v>
      </c>
      <c r="T331" s="363" t="s">
        <v>1349</v>
      </c>
      <c r="U331" s="390" t="s">
        <v>1133</v>
      </c>
      <c r="V331" s="363" t="s">
        <v>386</v>
      </c>
      <c r="W331" s="390" t="s">
        <v>1134</v>
      </c>
      <c r="X331" s="363" t="s">
        <v>1726</v>
      </c>
      <c r="Y331" s="363" t="s">
        <v>1244</v>
      </c>
      <c r="Z331" s="363" t="s">
        <v>1350</v>
      </c>
      <c r="AA331" s="363" t="s">
        <v>1245</v>
      </c>
      <c r="AB331" s="363" t="s">
        <v>1351</v>
      </c>
      <c r="AC331" s="363" t="s">
        <v>1246</v>
      </c>
      <c r="AD331" s="363"/>
      <c r="AE331" s="363" t="s">
        <v>281</v>
      </c>
      <c r="AF331" s="380" t="s">
        <v>97</v>
      </c>
      <c r="AG331" s="380">
        <v>3</v>
      </c>
      <c r="AH331" s="363" t="s">
        <v>1352</v>
      </c>
    </row>
    <row r="332" spans="2:34" ht="15" customHeight="1" x14ac:dyDescent="0.3">
      <c r="B332" s="380" t="s">
        <v>14</v>
      </c>
      <c r="C332" s="409" t="s">
        <v>1353</v>
      </c>
      <c r="D332" s="434" t="s">
        <v>1354</v>
      </c>
      <c r="E332" s="472">
        <v>4900003846</v>
      </c>
      <c r="F332" s="753">
        <v>45966</v>
      </c>
      <c r="G332" s="380" t="s">
        <v>643</v>
      </c>
      <c r="H332" s="380">
        <v>1</v>
      </c>
      <c r="I332" s="388">
        <v>85560</v>
      </c>
      <c r="J332" s="380">
        <v>3</v>
      </c>
      <c r="K332" s="389">
        <f t="shared" ref="K332:K362" si="16">I332/J332</f>
        <v>28520</v>
      </c>
      <c r="L332" s="387">
        <v>45932</v>
      </c>
      <c r="M332" s="387">
        <v>46296</v>
      </c>
      <c r="N332" s="680"/>
      <c r="O332" s="680"/>
      <c r="P332" s="363" t="s">
        <v>520</v>
      </c>
      <c r="Q332" s="380" t="s">
        <v>1337</v>
      </c>
      <c r="R332" s="380"/>
      <c r="S332" s="390" t="s">
        <v>1355</v>
      </c>
      <c r="T332" s="363" t="s">
        <v>1105</v>
      </c>
      <c r="U332" s="390" t="s">
        <v>1356</v>
      </c>
      <c r="V332" s="363" t="s">
        <v>1863</v>
      </c>
      <c r="W332" s="363" t="s">
        <v>1357</v>
      </c>
      <c r="X332" s="363"/>
      <c r="Y332" s="363"/>
      <c r="Z332" s="363"/>
      <c r="AA332" s="363"/>
      <c r="AB332" s="363"/>
      <c r="AC332" s="363"/>
      <c r="AD332" s="363"/>
      <c r="AE332" s="363" t="s">
        <v>485</v>
      </c>
      <c r="AF332" s="380" t="s">
        <v>63</v>
      </c>
      <c r="AG332" s="380">
        <v>4</v>
      </c>
      <c r="AH332" s="363" t="s">
        <v>1358</v>
      </c>
    </row>
    <row r="333" spans="2:34" ht="15" hidden="1" customHeight="1" x14ac:dyDescent="0.3">
      <c r="B333" s="380" t="s">
        <v>14</v>
      </c>
      <c r="C333" s="482" t="s">
        <v>1359</v>
      </c>
      <c r="D333" s="483" t="s">
        <v>1360</v>
      </c>
      <c r="E333" s="468">
        <v>4500035457</v>
      </c>
      <c r="F333" s="753">
        <v>45942</v>
      </c>
      <c r="G333" s="380" t="s">
        <v>643</v>
      </c>
      <c r="H333" s="380">
        <v>1</v>
      </c>
      <c r="I333" s="388">
        <v>175000</v>
      </c>
      <c r="J333" s="380">
        <v>2</v>
      </c>
      <c r="K333" s="389">
        <f t="shared" si="16"/>
        <v>87500</v>
      </c>
      <c r="L333" s="387">
        <v>45942</v>
      </c>
      <c r="M333" s="387">
        <v>46306</v>
      </c>
      <c r="N333" s="680"/>
      <c r="O333" s="680"/>
      <c r="P333" s="363" t="s">
        <v>19</v>
      </c>
      <c r="Q333" s="380" t="s">
        <v>1285</v>
      </c>
      <c r="R333" s="380"/>
      <c r="S333" s="390" t="s">
        <v>1361</v>
      </c>
      <c r="T333" s="381" t="s">
        <v>84</v>
      </c>
      <c r="U333" s="390" t="s">
        <v>1362</v>
      </c>
      <c r="V333" s="363" t="s">
        <v>1953</v>
      </c>
      <c r="W333" s="363"/>
      <c r="X333" s="363"/>
      <c r="Y333" s="363"/>
      <c r="Z333" s="363"/>
      <c r="AA333" s="363"/>
      <c r="AB333" s="363"/>
      <c r="AC333" s="363"/>
      <c r="AD333" s="363"/>
      <c r="AE333" s="363" t="s">
        <v>128</v>
      </c>
      <c r="AF333" s="380" t="s">
        <v>129</v>
      </c>
      <c r="AG333" s="380">
        <v>2</v>
      </c>
      <c r="AH333" s="363" t="s">
        <v>1363</v>
      </c>
    </row>
    <row r="334" spans="2:34" ht="15" customHeight="1" x14ac:dyDescent="0.3">
      <c r="B334" s="380" t="s">
        <v>14</v>
      </c>
      <c r="C334" s="409" t="s">
        <v>1364</v>
      </c>
      <c r="D334" s="423" t="s">
        <v>997</v>
      </c>
      <c r="E334" s="484">
        <v>4400000465</v>
      </c>
      <c r="F334" s="753">
        <v>45974</v>
      </c>
      <c r="G334" s="380" t="s">
        <v>643</v>
      </c>
      <c r="H334" s="380">
        <v>3</v>
      </c>
      <c r="I334" s="388">
        <v>300000</v>
      </c>
      <c r="J334" s="380">
        <v>2</v>
      </c>
      <c r="K334" s="389">
        <f t="shared" si="16"/>
        <v>150000</v>
      </c>
      <c r="L334" s="387">
        <v>45962</v>
      </c>
      <c r="M334" s="387">
        <v>46326</v>
      </c>
      <c r="N334" s="680"/>
      <c r="O334" s="680"/>
      <c r="P334" s="363" t="s">
        <v>520</v>
      </c>
      <c r="Q334" s="380" t="s">
        <v>1337</v>
      </c>
      <c r="R334" s="380"/>
      <c r="S334" s="390" t="s">
        <v>330</v>
      </c>
      <c r="T334" s="363" t="s">
        <v>1044</v>
      </c>
      <c r="U334" s="363" t="s">
        <v>1339</v>
      </c>
      <c r="V334" s="363"/>
      <c r="W334" s="363"/>
      <c r="X334" s="363"/>
      <c r="Y334" s="363"/>
      <c r="Z334" s="363"/>
      <c r="AA334" s="363"/>
      <c r="AB334" s="363"/>
      <c r="AC334" s="363"/>
      <c r="AD334" s="363"/>
      <c r="AE334" s="363" t="s">
        <v>96</v>
      </c>
      <c r="AF334" s="380" t="s">
        <v>97</v>
      </c>
      <c r="AG334" s="380">
        <v>3</v>
      </c>
      <c r="AH334" s="363" t="s">
        <v>1365</v>
      </c>
    </row>
    <row r="335" spans="2:34" ht="15" customHeight="1" x14ac:dyDescent="0.3">
      <c r="B335" s="380" t="s">
        <v>14</v>
      </c>
      <c r="C335" s="409" t="s">
        <v>1011</v>
      </c>
      <c r="D335" s="418" t="s">
        <v>1012</v>
      </c>
      <c r="E335" s="419" t="s">
        <v>1366</v>
      </c>
      <c r="F335" s="753">
        <v>45974</v>
      </c>
      <c r="G335" s="380" t="s">
        <v>643</v>
      </c>
      <c r="H335" s="380">
        <v>1</v>
      </c>
      <c r="I335" s="388">
        <v>55200</v>
      </c>
      <c r="J335" s="380">
        <v>2</v>
      </c>
      <c r="K335" s="389">
        <f t="shared" si="16"/>
        <v>27600</v>
      </c>
      <c r="L335" s="387">
        <v>46023</v>
      </c>
      <c r="M335" s="387">
        <v>46387</v>
      </c>
      <c r="N335" s="680"/>
      <c r="O335" s="680"/>
      <c r="P335" s="363" t="s">
        <v>520</v>
      </c>
      <c r="Q335" s="380" t="s">
        <v>1337</v>
      </c>
      <c r="R335" s="380"/>
      <c r="S335" s="390" t="s">
        <v>607</v>
      </c>
      <c r="T335" s="363" t="s">
        <v>1859</v>
      </c>
      <c r="U335" s="363" t="s">
        <v>608</v>
      </c>
      <c r="V335" s="363"/>
      <c r="W335" s="363"/>
      <c r="X335" s="363"/>
      <c r="Y335" s="363"/>
      <c r="Z335" s="363"/>
      <c r="AA335" s="363"/>
      <c r="AB335" s="363"/>
      <c r="AC335" s="363"/>
      <c r="AD335" s="363"/>
      <c r="AE335" s="363" t="s">
        <v>619</v>
      </c>
      <c r="AF335" s="380" t="s">
        <v>63</v>
      </c>
      <c r="AG335" s="380" t="s">
        <v>1367</v>
      </c>
      <c r="AH335" s="363" t="s">
        <v>835</v>
      </c>
    </row>
    <row r="336" spans="2:34" ht="15" customHeight="1" x14ac:dyDescent="0.3">
      <c r="B336" s="380" t="s">
        <v>14</v>
      </c>
      <c r="C336" s="409" t="s">
        <v>195</v>
      </c>
      <c r="D336" s="483" t="s">
        <v>447</v>
      </c>
      <c r="E336" s="468" t="s">
        <v>1368</v>
      </c>
      <c r="F336" s="753">
        <v>45978</v>
      </c>
      <c r="G336" s="380" t="s">
        <v>643</v>
      </c>
      <c r="H336" s="380">
        <v>23</v>
      </c>
      <c r="I336" s="388">
        <v>1413120</v>
      </c>
      <c r="J336" s="380">
        <v>4</v>
      </c>
      <c r="K336" s="391">
        <f t="shared" si="16"/>
        <v>353280</v>
      </c>
      <c r="L336" s="387">
        <v>45979</v>
      </c>
      <c r="M336" s="387">
        <v>46343</v>
      </c>
      <c r="N336" s="680">
        <v>154732</v>
      </c>
      <c r="O336" s="680">
        <v>4764</v>
      </c>
      <c r="P336" s="363" t="s">
        <v>520</v>
      </c>
      <c r="Q336" s="380" t="s">
        <v>1337</v>
      </c>
      <c r="R336" s="380"/>
      <c r="S336" s="390" t="s">
        <v>1369</v>
      </c>
      <c r="T336" s="363" t="s">
        <v>441</v>
      </c>
      <c r="U336" s="390" t="s">
        <v>1370</v>
      </c>
      <c r="V336" s="363" t="s">
        <v>1723</v>
      </c>
      <c r="W336" s="390" t="s">
        <v>1371</v>
      </c>
      <c r="X336" s="363" t="s">
        <v>2014</v>
      </c>
      <c r="Y336" s="363" t="s">
        <v>1372</v>
      </c>
      <c r="Z336" s="363"/>
      <c r="AA336" s="363"/>
      <c r="AB336" s="363"/>
      <c r="AC336" s="363"/>
      <c r="AD336" s="363"/>
      <c r="AE336" s="363" t="s">
        <v>96</v>
      </c>
      <c r="AF336" s="380" t="s">
        <v>97</v>
      </c>
      <c r="AG336" s="380" t="s">
        <v>494</v>
      </c>
      <c r="AH336" s="363" t="s">
        <v>667</v>
      </c>
    </row>
    <row r="337" spans="2:34" ht="15" customHeight="1" x14ac:dyDescent="0.3">
      <c r="B337" s="380" t="s">
        <v>14</v>
      </c>
      <c r="C337" s="482" t="s">
        <v>1359</v>
      </c>
      <c r="D337" s="483" t="s">
        <v>1360</v>
      </c>
      <c r="E337" s="468">
        <v>4500035464</v>
      </c>
      <c r="F337" s="753">
        <v>45943</v>
      </c>
      <c r="G337" s="380" t="s">
        <v>643</v>
      </c>
      <c r="H337" s="380">
        <v>2</v>
      </c>
      <c r="I337" s="388">
        <v>175000</v>
      </c>
      <c r="J337" s="380">
        <v>1</v>
      </c>
      <c r="K337" s="389">
        <f t="shared" si="16"/>
        <v>175000</v>
      </c>
      <c r="L337" s="387">
        <v>45943</v>
      </c>
      <c r="M337" s="387">
        <v>46124</v>
      </c>
      <c r="N337" s="680"/>
      <c r="O337" s="680"/>
      <c r="P337" s="363" t="s">
        <v>520</v>
      </c>
      <c r="Q337" s="380" t="s">
        <v>1337</v>
      </c>
      <c r="R337" s="380"/>
      <c r="S337" s="390" t="s">
        <v>1373</v>
      </c>
      <c r="T337" s="363" t="s">
        <v>1374</v>
      </c>
      <c r="U337" s="363"/>
      <c r="V337" s="363"/>
      <c r="W337" s="363"/>
      <c r="X337" s="363"/>
      <c r="Y337" s="363"/>
      <c r="Z337" s="363"/>
      <c r="AA337" s="363"/>
      <c r="AB337" s="363"/>
      <c r="AC337" s="363"/>
      <c r="AD337" s="363"/>
      <c r="AE337" s="363" t="s">
        <v>128</v>
      </c>
      <c r="AF337" s="380" t="s">
        <v>129</v>
      </c>
      <c r="AG337" s="380">
        <v>2</v>
      </c>
      <c r="AH337" s="363" t="s">
        <v>1272</v>
      </c>
    </row>
    <row r="338" spans="2:34" ht="15" hidden="1" customHeight="1" x14ac:dyDescent="0.3">
      <c r="B338" s="380" t="s">
        <v>14</v>
      </c>
      <c r="C338" s="482" t="s">
        <v>1359</v>
      </c>
      <c r="D338" s="483" t="s">
        <v>1360</v>
      </c>
      <c r="E338" s="468">
        <v>4500035465</v>
      </c>
      <c r="F338" s="753">
        <v>45943</v>
      </c>
      <c r="G338" s="380" t="s">
        <v>643</v>
      </c>
      <c r="H338" s="380">
        <v>2</v>
      </c>
      <c r="I338" s="388">
        <v>175000</v>
      </c>
      <c r="J338" s="380">
        <v>1</v>
      </c>
      <c r="K338" s="389">
        <f t="shared" si="16"/>
        <v>175000</v>
      </c>
      <c r="L338" s="387">
        <v>46125</v>
      </c>
      <c r="M338" s="387">
        <v>46307</v>
      </c>
      <c r="N338" s="680"/>
      <c r="O338" s="680"/>
      <c r="P338" s="363" t="s">
        <v>19</v>
      </c>
      <c r="Q338" s="380" t="s">
        <v>1285</v>
      </c>
      <c r="R338" s="380"/>
      <c r="S338" s="390" t="s">
        <v>1956</v>
      </c>
      <c r="T338" s="363" t="s">
        <v>1943</v>
      </c>
      <c r="U338" s="363"/>
      <c r="V338" s="363"/>
      <c r="W338" s="363"/>
      <c r="X338" s="363"/>
      <c r="Y338" s="363"/>
      <c r="Z338" s="363"/>
      <c r="AA338" s="363"/>
      <c r="AB338" s="363"/>
      <c r="AC338" s="363"/>
      <c r="AD338" s="363"/>
      <c r="AE338" s="363" t="s">
        <v>128</v>
      </c>
      <c r="AF338" s="380" t="s">
        <v>129</v>
      </c>
      <c r="AG338" s="380">
        <v>2</v>
      </c>
      <c r="AH338" s="363" t="s">
        <v>1272</v>
      </c>
    </row>
    <row r="339" spans="2:34" ht="15" customHeight="1" x14ac:dyDescent="0.3">
      <c r="B339" s="380" t="s">
        <v>14</v>
      </c>
      <c r="C339" s="409" t="s">
        <v>1377</v>
      </c>
      <c r="D339" s="423" t="s">
        <v>151</v>
      </c>
      <c r="E339" s="419">
        <v>4500089503</v>
      </c>
      <c r="F339" s="753">
        <v>45980</v>
      </c>
      <c r="G339" s="380" t="s">
        <v>643</v>
      </c>
      <c r="H339" s="380">
        <v>1</v>
      </c>
      <c r="I339" s="388">
        <v>100008</v>
      </c>
      <c r="J339" s="380">
        <v>3</v>
      </c>
      <c r="K339" s="389">
        <f t="shared" si="16"/>
        <v>33336</v>
      </c>
      <c r="L339" s="387">
        <v>45981</v>
      </c>
      <c r="M339" s="387">
        <v>46345</v>
      </c>
      <c r="N339" s="680">
        <v>154935</v>
      </c>
      <c r="O339" s="680"/>
      <c r="P339" s="363" t="s">
        <v>520</v>
      </c>
      <c r="Q339" s="380" t="s">
        <v>1337</v>
      </c>
      <c r="R339" s="380"/>
      <c r="S339" s="390" t="s">
        <v>1378</v>
      </c>
      <c r="T339" s="363" t="s">
        <v>1162</v>
      </c>
      <c r="U339" s="390" t="s">
        <v>1379</v>
      </c>
      <c r="V339" s="363" t="s">
        <v>2013</v>
      </c>
      <c r="W339" s="363" t="s">
        <v>1380</v>
      </c>
      <c r="X339" s="363"/>
      <c r="Y339" s="363"/>
      <c r="Z339" s="363"/>
      <c r="AA339" s="363"/>
      <c r="AB339" s="363"/>
      <c r="AC339" s="363"/>
      <c r="AD339" s="363"/>
      <c r="AE339" s="363" t="s">
        <v>507</v>
      </c>
      <c r="AF339" s="380" t="s">
        <v>63</v>
      </c>
      <c r="AG339" s="380">
        <v>3</v>
      </c>
      <c r="AH339" s="363" t="s">
        <v>1272</v>
      </c>
    </row>
    <row r="340" spans="2:34" ht="15" hidden="1" customHeight="1" x14ac:dyDescent="0.3">
      <c r="B340" s="380" t="s">
        <v>14</v>
      </c>
      <c r="C340" s="482" t="s">
        <v>658</v>
      </c>
      <c r="D340" s="483" t="s">
        <v>388</v>
      </c>
      <c r="E340" s="468" t="s">
        <v>1381</v>
      </c>
      <c r="F340" s="753">
        <v>45981</v>
      </c>
      <c r="G340" s="380" t="s">
        <v>643</v>
      </c>
      <c r="H340" s="380">
        <v>3</v>
      </c>
      <c r="I340" s="388">
        <v>204000</v>
      </c>
      <c r="J340" s="380">
        <v>2</v>
      </c>
      <c r="K340" s="391">
        <f t="shared" si="16"/>
        <v>102000</v>
      </c>
      <c r="L340" s="387">
        <v>45809</v>
      </c>
      <c r="M340" s="387">
        <v>46173</v>
      </c>
      <c r="N340" s="680"/>
      <c r="O340" s="680"/>
      <c r="P340" s="363" t="s">
        <v>19</v>
      </c>
      <c r="Q340" s="380" t="s">
        <v>9</v>
      </c>
      <c r="R340" s="380"/>
      <c r="S340" s="390" t="s">
        <v>125</v>
      </c>
      <c r="T340" s="363" t="s">
        <v>346</v>
      </c>
      <c r="U340" s="390" t="s">
        <v>127</v>
      </c>
      <c r="V340" s="363" t="s">
        <v>1852</v>
      </c>
      <c r="W340" s="363"/>
      <c r="X340" s="363"/>
      <c r="Y340" s="363"/>
      <c r="Z340" s="363"/>
      <c r="AA340" s="363"/>
      <c r="AB340" s="363"/>
      <c r="AC340" s="363"/>
      <c r="AD340" s="363"/>
      <c r="AE340" s="363" t="s">
        <v>478</v>
      </c>
      <c r="AF340" s="380" t="s">
        <v>63</v>
      </c>
      <c r="AG340" s="380">
        <v>3</v>
      </c>
      <c r="AH340" s="363" t="s">
        <v>1272</v>
      </c>
    </row>
    <row r="341" spans="2:34" ht="15" customHeight="1" x14ac:dyDescent="0.3">
      <c r="B341" s="380" t="s">
        <v>14</v>
      </c>
      <c r="C341" s="443" t="s">
        <v>1382</v>
      </c>
      <c r="D341" s="444" t="s">
        <v>1383</v>
      </c>
      <c r="E341" s="426">
        <v>3100343411</v>
      </c>
      <c r="F341" s="753">
        <v>45981</v>
      </c>
      <c r="G341" s="380" t="s">
        <v>643</v>
      </c>
      <c r="H341" s="380">
        <v>1</v>
      </c>
      <c r="I341" s="388">
        <v>55000</v>
      </c>
      <c r="J341" s="380">
        <v>1</v>
      </c>
      <c r="K341" s="389">
        <f t="shared" si="16"/>
        <v>55000</v>
      </c>
      <c r="L341" s="387">
        <v>45870</v>
      </c>
      <c r="M341" s="415">
        <v>46234</v>
      </c>
      <c r="N341" s="683"/>
      <c r="O341" s="683"/>
      <c r="P341" s="363" t="s">
        <v>520</v>
      </c>
      <c r="Q341" s="387"/>
      <c r="R341" s="380"/>
      <c r="S341" s="363" t="s">
        <v>1384</v>
      </c>
      <c r="T341" s="363"/>
      <c r="U341" s="363"/>
      <c r="V341" s="363"/>
      <c r="W341" s="363"/>
      <c r="X341" s="363"/>
      <c r="Y341" s="363"/>
      <c r="Z341" s="363"/>
      <c r="AA341" s="363"/>
      <c r="AB341" s="363"/>
      <c r="AC341" s="363"/>
      <c r="AD341" s="363"/>
      <c r="AE341" s="363" t="s">
        <v>507</v>
      </c>
      <c r="AF341" s="380" t="s">
        <v>63</v>
      </c>
      <c r="AG341" s="380" t="s">
        <v>1367</v>
      </c>
      <c r="AH341" s="363" t="s">
        <v>667</v>
      </c>
    </row>
    <row r="342" spans="2:34" ht="15" customHeight="1" x14ac:dyDescent="0.3">
      <c r="B342" s="380" t="s">
        <v>14</v>
      </c>
      <c r="C342" s="482" t="s">
        <v>1385</v>
      </c>
      <c r="D342" s="483" t="s">
        <v>151</v>
      </c>
      <c r="E342" s="468">
        <v>4500088897</v>
      </c>
      <c r="F342" s="760">
        <v>45958</v>
      </c>
      <c r="G342" s="380" t="s">
        <v>643</v>
      </c>
      <c r="H342" s="380">
        <v>2</v>
      </c>
      <c r="I342" s="388">
        <v>90000</v>
      </c>
      <c r="J342" s="380">
        <v>1</v>
      </c>
      <c r="K342" s="389">
        <f t="shared" si="16"/>
        <v>90000</v>
      </c>
      <c r="L342" s="387">
        <v>45962</v>
      </c>
      <c r="M342" s="387">
        <v>46326</v>
      </c>
      <c r="N342" s="680"/>
      <c r="O342" s="680"/>
      <c r="P342" s="363" t="s">
        <v>520</v>
      </c>
      <c r="Q342" s="380" t="s">
        <v>1337</v>
      </c>
      <c r="R342" s="380"/>
      <c r="S342" s="363" t="s">
        <v>1386</v>
      </c>
      <c r="T342" s="363"/>
      <c r="U342" s="363"/>
      <c r="V342" s="363"/>
      <c r="W342" s="363"/>
      <c r="X342" s="363"/>
      <c r="Y342" s="363"/>
      <c r="Z342" s="363"/>
      <c r="AA342" s="363"/>
      <c r="AB342" s="363"/>
      <c r="AC342" s="363"/>
      <c r="AD342" s="363"/>
      <c r="AE342" s="363" t="s">
        <v>478</v>
      </c>
      <c r="AF342" s="380" t="s">
        <v>63</v>
      </c>
      <c r="AG342" s="380">
        <v>1</v>
      </c>
      <c r="AH342" s="363" t="s">
        <v>667</v>
      </c>
    </row>
    <row r="343" spans="2:34" ht="15" customHeight="1" x14ac:dyDescent="0.3">
      <c r="B343" s="380" t="s">
        <v>14</v>
      </c>
      <c r="C343" s="478" t="s">
        <v>948</v>
      </c>
      <c r="D343" s="480" t="s">
        <v>987</v>
      </c>
      <c r="E343" s="425">
        <v>946532</v>
      </c>
      <c r="F343" s="757">
        <v>45955</v>
      </c>
      <c r="G343" s="380" t="s">
        <v>643</v>
      </c>
      <c r="H343" s="380">
        <v>2</v>
      </c>
      <c r="I343" s="388">
        <v>148960</v>
      </c>
      <c r="J343" s="380">
        <v>4</v>
      </c>
      <c r="K343" s="389"/>
      <c r="L343" s="387">
        <v>45962</v>
      </c>
      <c r="M343" s="387">
        <v>46326</v>
      </c>
      <c r="N343" s="680"/>
      <c r="O343" s="680"/>
      <c r="P343" s="363" t="s">
        <v>520</v>
      </c>
      <c r="Q343" s="380"/>
      <c r="R343" s="380"/>
      <c r="S343" s="390" t="s">
        <v>269</v>
      </c>
      <c r="T343" s="363" t="s">
        <v>1387</v>
      </c>
      <c r="U343" s="390" t="s">
        <v>442</v>
      </c>
      <c r="V343" s="363" t="s">
        <v>443</v>
      </c>
      <c r="W343" s="390" t="s">
        <v>444</v>
      </c>
      <c r="X343" s="363" t="s">
        <v>1943</v>
      </c>
      <c r="Y343" s="363" t="s">
        <v>445</v>
      </c>
      <c r="Z343" s="363"/>
      <c r="AA343" s="363"/>
      <c r="AB343" s="363"/>
      <c r="AC343" s="363"/>
      <c r="AD343" s="363"/>
      <c r="AE343" s="363" t="s">
        <v>551</v>
      </c>
      <c r="AF343" s="380" t="s">
        <v>207</v>
      </c>
      <c r="AG343" s="380">
        <v>4</v>
      </c>
      <c r="AH343" s="446">
        <v>1</v>
      </c>
    </row>
    <row r="344" spans="2:34" ht="15" customHeight="1" x14ac:dyDescent="0.3">
      <c r="B344" s="380" t="s">
        <v>14</v>
      </c>
      <c r="C344" s="409" t="s">
        <v>1095</v>
      </c>
      <c r="D344" s="489" t="s">
        <v>1258</v>
      </c>
      <c r="E344" s="380">
        <v>4513730038</v>
      </c>
      <c r="F344" s="760">
        <v>45973</v>
      </c>
      <c r="G344" s="380" t="s">
        <v>643</v>
      </c>
      <c r="H344" s="380"/>
      <c r="I344" s="388">
        <v>82000</v>
      </c>
      <c r="J344" s="380">
        <v>4</v>
      </c>
      <c r="K344" s="389">
        <f t="shared" si="16"/>
        <v>20500</v>
      </c>
      <c r="L344" s="387">
        <v>45870</v>
      </c>
      <c r="M344" s="387">
        <v>46234</v>
      </c>
      <c r="N344" s="680">
        <v>154788</v>
      </c>
      <c r="O344" s="680">
        <v>4774</v>
      </c>
      <c r="P344" s="363" t="s">
        <v>520</v>
      </c>
      <c r="Q344" s="380"/>
      <c r="R344" s="380"/>
      <c r="S344" s="390" t="s">
        <v>267</v>
      </c>
      <c r="T344" s="363" t="s">
        <v>1388</v>
      </c>
      <c r="U344" s="390" t="s">
        <v>269</v>
      </c>
      <c r="V344" s="363" t="s">
        <v>270</v>
      </c>
      <c r="W344" s="390" t="s">
        <v>442</v>
      </c>
      <c r="X344" s="363" t="s">
        <v>1727</v>
      </c>
      <c r="Y344" s="390" t="s">
        <v>444</v>
      </c>
      <c r="Z344" s="363" t="s">
        <v>2040</v>
      </c>
      <c r="AA344" s="363"/>
      <c r="AB344" s="363"/>
      <c r="AC344" s="363"/>
      <c r="AD344" s="363"/>
      <c r="AE344" s="363" t="s">
        <v>619</v>
      </c>
      <c r="AF344" s="380" t="s">
        <v>63</v>
      </c>
      <c r="AG344" s="380">
        <v>4</v>
      </c>
      <c r="AH344" s="363" t="s">
        <v>667</v>
      </c>
    </row>
    <row r="345" spans="2:34" ht="15" customHeight="1" x14ac:dyDescent="0.3">
      <c r="B345" s="380" t="s">
        <v>14</v>
      </c>
      <c r="C345" s="409" t="s">
        <v>1095</v>
      </c>
      <c r="D345" s="489" t="s">
        <v>1258</v>
      </c>
      <c r="E345" s="380">
        <v>4513730038</v>
      </c>
      <c r="F345" s="760">
        <v>45973</v>
      </c>
      <c r="G345" s="380" t="s">
        <v>643</v>
      </c>
      <c r="H345" s="380"/>
      <c r="I345" s="388">
        <v>82000</v>
      </c>
      <c r="J345" s="380">
        <v>4</v>
      </c>
      <c r="K345" s="389">
        <f t="shared" si="16"/>
        <v>20500</v>
      </c>
      <c r="L345" s="387">
        <v>46235</v>
      </c>
      <c r="M345" s="387">
        <v>46599</v>
      </c>
      <c r="N345" s="680"/>
      <c r="O345" s="680"/>
      <c r="P345" s="363" t="s">
        <v>520</v>
      </c>
      <c r="Q345" s="380"/>
      <c r="R345" s="380"/>
      <c r="S345" s="363" t="s">
        <v>445</v>
      </c>
      <c r="T345" s="363"/>
      <c r="U345" s="363" t="s">
        <v>456</v>
      </c>
      <c r="V345" s="363"/>
      <c r="W345" s="363" t="s">
        <v>457</v>
      </c>
      <c r="X345" s="363"/>
      <c r="Y345" s="363" t="s">
        <v>458</v>
      </c>
      <c r="Z345" s="363"/>
      <c r="AA345" s="363"/>
      <c r="AB345" s="363"/>
      <c r="AC345" s="363"/>
      <c r="AD345" s="363"/>
      <c r="AE345" s="363" t="s">
        <v>619</v>
      </c>
      <c r="AF345" s="380" t="s">
        <v>63</v>
      </c>
      <c r="AG345" s="380">
        <v>4</v>
      </c>
      <c r="AH345" s="363" t="s">
        <v>667</v>
      </c>
    </row>
    <row r="346" spans="2:34" ht="15" customHeight="1" x14ac:dyDescent="0.3">
      <c r="B346" s="380" t="s">
        <v>14</v>
      </c>
      <c r="C346" s="409" t="s">
        <v>1095</v>
      </c>
      <c r="D346" s="489" t="s">
        <v>1258</v>
      </c>
      <c r="E346" s="380">
        <v>4513730038</v>
      </c>
      <c r="F346" s="760">
        <v>45973</v>
      </c>
      <c r="G346" s="380" t="s">
        <v>643</v>
      </c>
      <c r="H346" s="380">
        <v>1</v>
      </c>
      <c r="I346" s="388">
        <v>90200</v>
      </c>
      <c r="J346" s="380">
        <v>4</v>
      </c>
      <c r="K346" s="389">
        <f t="shared" si="16"/>
        <v>22550</v>
      </c>
      <c r="L346" s="387">
        <v>46600</v>
      </c>
      <c r="M346" s="387">
        <v>46965</v>
      </c>
      <c r="N346" s="680"/>
      <c r="O346" s="680"/>
      <c r="P346" s="363" t="s">
        <v>520</v>
      </c>
      <c r="Q346" s="380"/>
      <c r="R346" s="380"/>
      <c r="S346" s="363" t="s">
        <v>459</v>
      </c>
      <c r="T346" s="363"/>
      <c r="U346" s="363" t="s">
        <v>893</v>
      </c>
      <c r="V346" s="363"/>
      <c r="W346" s="363" t="s">
        <v>894</v>
      </c>
      <c r="X346" s="363"/>
      <c r="Y346" s="363" t="s">
        <v>1259</v>
      </c>
      <c r="Z346" s="363"/>
      <c r="AA346" s="363"/>
      <c r="AB346" s="363"/>
      <c r="AC346" s="363"/>
      <c r="AD346" s="363"/>
      <c r="AE346" s="363" t="s">
        <v>619</v>
      </c>
      <c r="AF346" s="380" t="s">
        <v>63</v>
      </c>
      <c r="AG346" s="380">
        <v>4</v>
      </c>
      <c r="AH346" s="363" t="s">
        <v>667</v>
      </c>
    </row>
    <row r="347" spans="2:34" ht="15" hidden="1" customHeight="1" x14ac:dyDescent="0.3">
      <c r="B347" s="380" t="s">
        <v>14</v>
      </c>
      <c r="C347" s="482" t="s">
        <v>1389</v>
      </c>
      <c r="D347" s="483" t="s">
        <v>1088</v>
      </c>
      <c r="E347" s="490">
        <v>132964</v>
      </c>
      <c r="F347" s="760">
        <v>45981</v>
      </c>
      <c r="G347" s="380" t="s">
        <v>643</v>
      </c>
      <c r="H347" s="380">
        <v>4</v>
      </c>
      <c r="I347" s="388">
        <v>300000</v>
      </c>
      <c r="J347" s="380">
        <v>4</v>
      </c>
      <c r="K347" s="389">
        <f t="shared" si="16"/>
        <v>75000</v>
      </c>
      <c r="L347" s="387">
        <v>45931</v>
      </c>
      <c r="M347" s="387">
        <v>46295</v>
      </c>
      <c r="N347" s="680">
        <v>154756</v>
      </c>
      <c r="O347" s="680"/>
      <c r="P347" s="363" t="s">
        <v>19</v>
      </c>
      <c r="Q347" s="380" t="s">
        <v>1231</v>
      </c>
      <c r="R347" s="380"/>
      <c r="S347" s="390" t="s">
        <v>228</v>
      </c>
      <c r="T347" s="363" t="s">
        <v>873</v>
      </c>
      <c r="U347" s="390" t="s">
        <v>396</v>
      </c>
      <c r="V347" s="363" t="s">
        <v>1093</v>
      </c>
      <c r="W347" s="390" t="s">
        <v>397</v>
      </c>
      <c r="X347" s="363" t="s">
        <v>1843</v>
      </c>
      <c r="Y347" s="390" t="s">
        <v>496</v>
      </c>
      <c r="Z347" s="363" t="s">
        <v>2037</v>
      </c>
      <c r="AA347" s="363"/>
      <c r="AB347" s="363"/>
      <c r="AC347" s="363"/>
      <c r="AD347" s="363"/>
      <c r="AE347" s="363" t="s">
        <v>96</v>
      </c>
      <c r="AF347" s="380" t="s">
        <v>97</v>
      </c>
      <c r="AG347" s="380">
        <v>4</v>
      </c>
      <c r="AH347" s="363" t="s">
        <v>667</v>
      </c>
    </row>
    <row r="348" spans="2:34" ht="15" customHeight="1" x14ac:dyDescent="0.3">
      <c r="B348" s="380" t="s">
        <v>14</v>
      </c>
      <c r="C348" s="482" t="s">
        <v>1158</v>
      </c>
      <c r="D348" s="483" t="s">
        <v>801</v>
      </c>
      <c r="E348" s="468">
        <v>1600036220</v>
      </c>
      <c r="F348" s="760">
        <v>46000</v>
      </c>
      <c r="G348" s="380" t="s">
        <v>643</v>
      </c>
      <c r="H348" s="380">
        <v>1</v>
      </c>
      <c r="I348" s="388">
        <v>71250</v>
      </c>
      <c r="J348" s="380">
        <v>3</v>
      </c>
      <c r="K348" s="389">
        <f t="shared" si="16"/>
        <v>23750</v>
      </c>
      <c r="L348" s="387">
        <v>45658</v>
      </c>
      <c r="M348" s="387">
        <v>46387</v>
      </c>
      <c r="N348" s="680"/>
      <c r="O348" s="680"/>
      <c r="P348" s="363" t="s">
        <v>520</v>
      </c>
      <c r="Q348" s="380"/>
      <c r="R348" s="380"/>
      <c r="S348" s="390" t="s">
        <v>347</v>
      </c>
      <c r="T348" s="363" t="s">
        <v>626</v>
      </c>
      <c r="U348" s="390" t="s">
        <v>348</v>
      </c>
      <c r="V348" s="363" t="s">
        <v>2035</v>
      </c>
      <c r="W348" s="363" t="s">
        <v>349</v>
      </c>
      <c r="X348" s="363"/>
      <c r="Y348" s="363"/>
      <c r="Z348" s="363"/>
      <c r="AA348" s="363"/>
      <c r="AB348" s="363"/>
      <c r="AC348" s="363"/>
      <c r="AD348" s="363"/>
      <c r="AE348" s="363" t="s">
        <v>485</v>
      </c>
      <c r="AF348" s="380" t="s">
        <v>63</v>
      </c>
      <c r="AG348" s="380">
        <v>3</v>
      </c>
      <c r="AH348" s="363" t="s">
        <v>804</v>
      </c>
    </row>
    <row r="349" spans="2:34" ht="15" customHeight="1" x14ac:dyDescent="0.3">
      <c r="B349" s="380" t="s">
        <v>14</v>
      </c>
      <c r="C349" s="482" t="s">
        <v>1390</v>
      </c>
      <c r="D349" s="483" t="s">
        <v>1391</v>
      </c>
      <c r="E349" s="468" t="s">
        <v>1392</v>
      </c>
      <c r="F349" s="760">
        <v>46003</v>
      </c>
      <c r="G349" s="380" t="s">
        <v>643</v>
      </c>
      <c r="H349" s="380">
        <v>1</v>
      </c>
      <c r="I349" s="388">
        <v>86000</v>
      </c>
      <c r="J349" s="380">
        <v>2</v>
      </c>
      <c r="K349" s="389">
        <f t="shared" si="16"/>
        <v>43000</v>
      </c>
      <c r="L349" s="387">
        <v>46003</v>
      </c>
      <c r="M349" s="387">
        <v>46367</v>
      </c>
      <c r="N349" s="680"/>
      <c r="O349" s="680"/>
      <c r="P349" s="363" t="s">
        <v>520</v>
      </c>
      <c r="Q349" s="380"/>
      <c r="R349" s="380"/>
      <c r="S349" s="390" t="s">
        <v>1393</v>
      </c>
      <c r="T349" s="363" t="s">
        <v>930</v>
      </c>
      <c r="U349" s="363" t="s">
        <v>1394</v>
      </c>
      <c r="V349" s="363"/>
      <c r="W349" s="363"/>
      <c r="X349" s="363"/>
      <c r="Y349" s="363"/>
      <c r="Z349" s="363"/>
      <c r="AA349" s="363"/>
      <c r="AB349" s="363"/>
      <c r="AC349" s="363"/>
      <c r="AD349" s="363"/>
      <c r="AE349" s="363" t="s">
        <v>485</v>
      </c>
      <c r="AF349" s="380" t="s">
        <v>63</v>
      </c>
      <c r="AG349" s="380">
        <v>2</v>
      </c>
      <c r="AH349" s="363" t="s">
        <v>804</v>
      </c>
    </row>
    <row r="350" spans="2:34" ht="15" customHeight="1" x14ac:dyDescent="0.3">
      <c r="B350" s="380" t="s">
        <v>14</v>
      </c>
      <c r="C350" s="363" t="s">
        <v>1395</v>
      </c>
      <c r="D350" s="386" t="s">
        <v>86</v>
      </c>
      <c r="E350" s="380" t="s">
        <v>1396</v>
      </c>
      <c r="F350" s="753">
        <v>46000</v>
      </c>
      <c r="G350" s="407" t="s">
        <v>703</v>
      </c>
      <c r="H350" s="380"/>
      <c r="I350" s="388">
        <v>220000</v>
      </c>
      <c r="J350" s="380">
        <v>4</v>
      </c>
      <c r="K350" s="389">
        <f t="shared" si="16"/>
        <v>55000</v>
      </c>
      <c r="L350" s="387">
        <v>46023</v>
      </c>
      <c r="M350" s="387">
        <v>46387</v>
      </c>
      <c r="N350" s="680"/>
      <c r="O350" s="680"/>
      <c r="P350" s="363" t="s">
        <v>520</v>
      </c>
      <c r="Q350" s="380"/>
      <c r="R350" s="380"/>
      <c r="S350" s="390" t="s">
        <v>396</v>
      </c>
      <c r="T350" s="363" t="s">
        <v>1397</v>
      </c>
      <c r="U350" s="390" t="s">
        <v>397</v>
      </c>
      <c r="V350" s="363" t="s">
        <v>1845</v>
      </c>
      <c r="W350" s="363" t="s">
        <v>496</v>
      </c>
      <c r="X350" s="363"/>
      <c r="Y350" s="363" t="s">
        <v>497</v>
      </c>
      <c r="Z350" s="363"/>
      <c r="AA350" s="363"/>
      <c r="AB350" s="363"/>
      <c r="AC350" s="363"/>
      <c r="AD350" s="363"/>
      <c r="AE350" s="363" t="s">
        <v>96</v>
      </c>
      <c r="AF350" s="380" t="s">
        <v>97</v>
      </c>
      <c r="AG350" s="380" t="s">
        <v>494</v>
      </c>
      <c r="AH350" s="363" t="s">
        <v>667</v>
      </c>
    </row>
    <row r="351" spans="2:34" ht="15" customHeight="1" x14ac:dyDescent="0.3">
      <c r="B351" s="380" t="s">
        <v>14</v>
      </c>
      <c r="C351" s="363" t="s">
        <v>1395</v>
      </c>
      <c r="D351" s="386" t="s">
        <v>86</v>
      </c>
      <c r="E351" s="380" t="s">
        <v>1396</v>
      </c>
      <c r="F351" s="753">
        <v>46000</v>
      </c>
      <c r="G351" s="407" t="s">
        <v>703</v>
      </c>
      <c r="H351" s="380"/>
      <c r="I351" s="388">
        <v>220000</v>
      </c>
      <c r="J351" s="380">
        <v>4</v>
      </c>
      <c r="K351" s="389">
        <f t="shared" si="16"/>
        <v>55000</v>
      </c>
      <c r="L351" s="387">
        <v>46388</v>
      </c>
      <c r="M351" s="387">
        <v>46752</v>
      </c>
      <c r="N351" s="680"/>
      <c r="O351" s="680"/>
      <c r="P351" s="363" t="s">
        <v>520</v>
      </c>
      <c r="Q351" s="380"/>
      <c r="R351" s="380"/>
      <c r="S351" s="363" t="s">
        <v>498</v>
      </c>
      <c r="T351" s="363"/>
      <c r="U351" s="363" t="s">
        <v>499</v>
      </c>
      <c r="V351" s="363"/>
      <c r="W351" s="363" t="s">
        <v>500</v>
      </c>
      <c r="X351" s="363"/>
      <c r="Y351" s="363" t="s">
        <v>501</v>
      </c>
      <c r="Z351" s="363"/>
      <c r="AA351" s="363"/>
      <c r="AB351" s="363"/>
      <c r="AC351" s="363"/>
      <c r="AD351" s="363"/>
      <c r="AE351" s="363" t="s">
        <v>96</v>
      </c>
      <c r="AF351" s="380" t="s">
        <v>97</v>
      </c>
      <c r="AG351" s="380" t="s">
        <v>494</v>
      </c>
      <c r="AH351" s="363" t="s">
        <v>667</v>
      </c>
    </row>
    <row r="352" spans="2:34" ht="15" customHeight="1" x14ac:dyDescent="0.3">
      <c r="B352" s="380" t="s">
        <v>14</v>
      </c>
      <c r="C352" s="363" t="s">
        <v>1395</v>
      </c>
      <c r="D352" s="386" t="s">
        <v>86</v>
      </c>
      <c r="E352" s="380" t="s">
        <v>1396</v>
      </c>
      <c r="F352" s="753">
        <v>46000</v>
      </c>
      <c r="G352" s="407" t="s">
        <v>703</v>
      </c>
      <c r="H352" s="380">
        <v>1</v>
      </c>
      <c r="I352" s="388">
        <v>220000</v>
      </c>
      <c r="J352" s="380">
        <v>4</v>
      </c>
      <c r="K352" s="389">
        <f t="shared" si="16"/>
        <v>55000</v>
      </c>
      <c r="L352" s="387">
        <v>46753</v>
      </c>
      <c r="M352" s="387">
        <v>47118</v>
      </c>
      <c r="N352" s="680"/>
      <c r="O352" s="680"/>
      <c r="P352" s="363" t="s">
        <v>520</v>
      </c>
      <c r="Q352" s="380"/>
      <c r="R352" s="380"/>
      <c r="S352" s="363" t="s">
        <v>674</v>
      </c>
      <c r="T352" s="363"/>
      <c r="U352" s="363" t="s">
        <v>1279</v>
      </c>
      <c r="V352" s="363"/>
      <c r="W352" s="363" t="s">
        <v>1280</v>
      </c>
      <c r="X352" s="363"/>
      <c r="Y352" s="363" t="s">
        <v>1398</v>
      </c>
      <c r="Z352" s="363"/>
      <c r="AA352" s="363"/>
      <c r="AB352" s="363"/>
      <c r="AC352" s="363"/>
      <c r="AD352" s="363"/>
      <c r="AE352" s="363" t="s">
        <v>96</v>
      </c>
      <c r="AF352" s="380" t="s">
        <v>97</v>
      </c>
      <c r="AG352" s="380" t="s">
        <v>494</v>
      </c>
      <c r="AH352" s="363" t="s">
        <v>667</v>
      </c>
    </row>
    <row r="353" spans="2:34" ht="15" customHeight="1" x14ac:dyDescent="0.3">
      <c r="B353" s="380" t="s">
        <v>14</v>
      </c>
      <c r="C353" s="478" t="s">
        <v>508</v>
      </c>
      <c r="D353" s="480" t="s">
        <v>866</v>
      </c>
      <c r="E353" s="481" t="s">
        <v>1399</v>
      </c>
      <c r="F353" s="760">
        <v>46002</v>
      </c>
      <c r="G353" s="380" t="s">
        <v>643</v>
      </c>
      <c r="H353" s="380">
        <v>2</v>
      </c>
      <c r="I353" s="388">
        <v>178000</v>
      </c>
      <c r="J353" s="380">
        <v>3</v>
      </c>
      <c r="K353" s="389">
        <f>I353/2</f>
        <v>89000</v>
      </c>
      <c r="L353" s="387">
        <v>46011</v>
      </c>
      <c r="M353" s="387">
        <v>46375</v>
      </c>
      <c r="N353" s="680">
        <v>154784</v>
      </c>
      <c r="O353" s="680">
        <v>4418</v>
      </c>
      <c r="P353" s="363" t="s">
        <v>520</v>
      </c>
      <c r="Q353" s="380"/>
      <c r="R353" s="380"/>
      <c r="S353" s="390" t="s">
        <v>1400</v>
      </c>
      <c r="T353" s="363" t="s">
        <v>1401</v>
      </c>
      <c r="U353" s="390" t="s">
        <v>1402</v>
      </c>
      <c r="V353" s="363" t="s">
        <v>2041</v>
      </c>
      <c r="W353" s="363" t="s">
        <v>1404</v>
      </c>
      <c r="X353" s="363" t="s">
        <v>1900</v>
      </c>
      <c r="Y353" s="363"/>
      <c r="Z353" s="363"/>
      <c r="AA353" s="363"/>
      <c r="AB353" s="363"/>
      <c r="AC353" s="363"/>
      <c r="AD353" s="363"/>
      <c r="AE353" s="363" t="s">
        <v>96</v>
      </c>
      <c r="AF353" s="380" t="s">
        <v>97</v>
      </c>
      <c r="AG353" s="380" t="s">
        <v>494</v>
      </c>
      <c r="AH353" s="363" t="s">
        <v>1405</v>
      </c>
    </row>
    <row r="354" spans="2:34" ht="15" hidden="1" customHeight="1" x14ac:dyDescent="0.3">
      <c r="B354" s="380" t="s">
        <v>14</v>
      </c>
      <c r="C354" s="430" t="s">
        <v>527</v>
      </c>
      <c r="D354" s="445" t="s">
        <v>131</v>
      </c>
      <c r="E354" s="419">
        <v>7001094920</v>
      </c>
      <c r="F354" s="760">
        <v>45947</v>
      </c>
      <c r="G354" s="380" t="s">
        <v>643</v>
      </c>
      <c r="H354" s="380">
        <v>1</v>
      </c>
      <c r="I354" s="388">
        <v>78750</v>
      </c>
      <c r="J354" s="380">
        <v>2</v>
      </c>
      <c r="K354" s="389">
        <f t="shared" si="16"/>
        <v>39375</v>
      </c>
      <c r="L354" s="387">
        <v>45931</v>
      </c>
      <c r="M354" s="387">
        <v>46295</v>
      </c>
      <c r="N354" s="680"/>
      <c r="O354" s="680">
        <v>4591</v>
      </c>
      <c r="P354" s="363" t="s">
        <v>19</v>
      </c>
      <c r="Q354" s="363" t="s">
        <v>1231</v>
      </c>
      <c r="R354" s="363"/>
      <c r="S354" s="390" t="s">
        <v>465</v>
      </c>
      <c r="T354" s="363" t="s">
        <v>1314</v>
      </c>
      <c r="U354" s="390" t="s">
        <v>467</v>
      </c>
      <c r="V354" s="363" t="s">
        <v>2024</v>
      </c>
      <c r="W354" s="363"/>
      <c r="X354" s="363"/>
      <c r="Y354" s="363"/>
      <c r="Z354" s="363"/>
      <c r="AA354" s="363"/>
      <c r="AB354" s="363"/>
      <c r="AC354" s="363"/>
      <c r="AD354" s="363"/>
      <c r="AE354" s="363" t="s">
        <v>485</v>
      </c>
      <c r="AF354" s="380" t="s">
        <v>63</v>
      </c>
      <c r="AG354" s="380">
        <v>2</v>
      </c>
      <c r="AH354" s="363" t="s">
        <v>799</v>
      </c>
    </row>
    <row r="355" spans="2:34" ht="15" customHeight="1" x14ac:dyDescent="0.3">
      <c r="B355" s="380" t="s">
        <v>14</v>
      </c>
      <c r="C355" s="430" t="s">
        <v>527</v>
      </c>
      <c r="D355" s="445" t="s">
        <v>131</v>
      </c>
      <c r="E355" s="419">
        <v>7001175723</v>
      </c>
      <c r="F355" s="760">
        <v>46019</v>
      </c>
      <c r="G355" s="380" t="s">
        <v>643</v>
      </c>
      <c r="H355" s="380">
        <v>1</v>
      </c>
      <c r="I355" s="388">
        <v>78750</v>
      </c>
      <c r="J355" s="380">
        <v>2</v>
      </c>
      <c r="K355" s="389">
        <f t="shared" si="16"/>
        <v>39375</v>
      </c>
      <c r="L355" s="387">
        <v>45658</v>
      </c>
      <c r="M355" s="387">
        <v>46387</v>
      </c>
      <c r="N355" s="680"/>
      <c r="O355" s="680"/>
      <c r="P355" s="363" t="s">
        <v>520</v>
      </c>
      <c r="Q355" s="363"/>
      <c r="R355" s="363"/>
      <c r="S355" s="390" t="s">
        <v>607</v>
      </c>
      <c r="T355" s="363" t="s">
        <v>1338</v>
      </c>
      <c r="U355" s="363" t="s">
        <v>608</v>
      </c>
      <c r="V355" s="363"/>
      <c r="W355" s="363"/>
      <c r="X355" s="363"/>
      <c r="Y355" s="363"/>
      <c r="Z355" s="363"/>
      <c r="AA355" s="363"/>
      <c r="AB355" s="363"/>
      <c r="AC355" s="363"/>
      <c r="AD355" s="363"/>
      <c r="AE355" s="363" t="s">
        <v>485</v>
      </c>
      <c r="AF355" s="380" t="s">
        <v>63</v>
      </c>
      <c r="AG355" s="380">
        <v>2</v>
      </c>
      <c r="AH355" s="363" t="s">
        <v>799</v>
      </c>
    </row>
    <row r="356" spans="2:34" ht="15" customHeight="1" x14ac:dyDescent="0.3">
      <c r="B356" s="380" t="s">
        <v>14</v>
      </c>
      <c r="C356" s="482" t="s">
        <v>609</v>
      </c>
      <c r="D356" s="483" t="s">
        <v>131</v>
      </c>
      <c r="E356" s="491">
        <v>2100055536</v>
      </c>
      <c r="F356" s="760">
        <v>46017</v>
      </c>
      <c r="G356" s="380" t="s">
        <v>643</v>
      </c>
      <c r="H356" s="380">
        <v>2</v>
      </c>
      <c r="I356" s="388">
        <v>180000</v>
      </c>
      <c r="J356" s="380">
        <v>2</v>
      </c>
      <c r="K356" s="389">
        <f t="shared" si="16"/>
        <v>90000</v>
      </c>
      <c r="L356" s="387">
        <v>46014</v>
      </c>
      <c r="M356" s="387">
        <v>46378</v>
      </c>
      <c r="N356" s="680"/>
      <c r="O356" s="680"/>
      <c r="P356" s="363" t="s">
        <v>520</v>
      </c>
      <c r="Q356" s="363"/>
      <c r="R356" s="363"/>
      <c r="S356" s="390" t="s">
        <v>1406</v>
      </c>
      <c r="T356" s="363" t="s">
        <v>1169</v>
      </c>
      <c r="U356" s="363" t="s">
        <v>1407</v>
      </c>
      <c r="V356" s="363"/>
      <c r="W356" s="363"/>
      <c r="X356" s="363"/>
      <c r="Y356" s="363"/>
      <c r="Z356" s="363"/>
      <c r="AA356" s="363"/>
      <c r="AB356" s="363"/>
      <c r="AC356" s="363"/>
      <c r="AD356" s="363"/>
      <c r="AE356" s="363" t="s">
        <v>485</v>
      </c>
      <c r="AF356" s="380" t="s">
        <v>63</v>
      </c>
      <c r="AG356" s="380">
        <v>2</v>
      </c>
      <c r="AH356" s="363" t="s">
        <v>667</v>
      </c>
    </row>
    <row r="357" spans="2:34" ht="15" customHeight="1" x14ac:dyDescent="0.3">
      <c r="B357" s="380" t="s">
        <v>14</v>
      </c>
      <c r="C357" s="482" t="s">
        <v>130</v>
      </c>
      <c r="D357" s="483" t="s">
        <v>131</v>
      </c>
      <c r="E357" s="468">
        <v>6800050248</v>
      </c>
      <c r="F357" s="760">
        <v>46015</v>
      </c>
      <c r="G357" s="380" t="s">
        <v>643</v>
      </c>
      <c r="H357" s="380">
        <v>1</v>
      </c>
      <c r="I357" s="388">
        <v>90000</v>
      </c>
      <c r="J357" s="380">
        <v>3</v>
      </c>
      <c r="K357" s="389">
        <f t="shared" si="16"/>
        <v>30000</v>
      </c>
      <c r="L357" s="387">
        <v>46023</v>
      </c>
      <c r="M357" s="387">
        <v>46387</v>
      </c>
      <c r="N357" s="680">
        <v>154963</v>
      </c>
      <c r="O357" s="680">
        <v>4580</v>
      </c>
      <c r="P357" s="363" t="s">
        <v>520</v>
      </c>
      <c r="Q357" s="363"/>
      <c r="R357" s="363"/>
      <c r="S357" s="390" t="s">
        <v>347</v>
      </c>
      <c r="T357" s="363" t="s">
        <v>828</v>
      </c>
      <c r="U357" s="390" t="s">
        <v>348</v>
      </c>
      <c r="V357" s="363" t="s">
        <v>2032</v>
      </c>
      <c r="W357" s="363" t="s">
        <v>349</v>
      </c>
      <c r="X357" s="363"/>
      <c r="Y357" s="363"/>
      <c r="Z357" s="363"/>
      <c r="AA357" s="363"/>
      <c r="AB357" s="363"/>
      <c r="AC357" s="363"/>
      <c r="AD357" s="363"/>
      <c r="AE357" s="363" t="s">
        <v>485</v>
      </c>
      <c r="AF357" s="380" t="s">
        <v>63</v>
      </c>
      <c r="AG357" s="380">
        <v>2</v>
      </c>
      <c r="AH357" s="363" t="s">
        <v>1408</v>
      </c>
    </row>
    <row r="358" spans="2:34" ht="15" customHeight="1" x14ac:dyDescent="0.3">
      <c r="B358" s="380" t="s">
        <v>14</v>
      </c>
      <c r="C358" s="482" t="s">
        <v>1385</v>
      </c>
      <c r="D358" s="483" t="s">
        <v>151</v>
      </c>
      <c r="E358" s="468">
        <v>4500089764</v>
      </c>
      <c r="F358" s="760">
        <v>46006</v>
      </c>
      <c r="G358" s="380" t="s">
        <v>643</v>
      </c>
      <c r="H358" s="380">
        <v>1</v>
      </c>
      <c r="I358" s="388">
        <v>45000</v>
      </c>
      <c r="J358" s="380">
        <v>1</v>
      </c>
      <c r="K358" s="389">
        <f t="shared" si="16"/>
        <v>45000</v>
      </c>
      <c r="L358" s="387">
        <v>45992</v>
      </c>
      <c r="M358" s="387">
        <v>46356</v>
      </c>
      <c r="N358" s="680"/>
      <c r="O358" s="680"/>
      <c r="P358" s="363" t="s">
        <v>520</v>
      </c>
      <c r="Q358" s="363"/>
      <c r="R358" s="363"/>
      <c r="S358" s="390" t="s">
        <v>1409</v>
      </c>
      <c r="T358" s="363" t="s">
        <v>1093</v>
      </c>
      <c r="U358" s="363"/>
      <c r="V358" s="363"/>
      <c r="W358" s="363"/>
      <c r="X358" s="363"/>
      <c r="Y358" s="363"/>
      <c r="Z358" s="363"/>
      <c r="AA358" s="363"/>
      <c r="AB358" s="363"/>
      <c r="AC358" s="363"/>
      <c r="AD358" s="363"/>
      <c r="AE358" s="363" t="s">
        <v>478</v>
      </c>
      <c r="AF358" s="380" t="s">
        <v>63</v>
      </c>
      <c r="AG358" s="380">
        <v>1</v>
      </c>
      <c r="AH358" s="363" t="s">
        <v>667</v>
      </c>
    </row>
    <row r="359" spans="2:34" ht="15" customHeight="1" x14ac:dyDescent="0.3">
      <c r="B359" s="380" t="s">
        <v>14</v>
      </c>
      <c r="C359" s="409" t="s">
        <v>1410</v>
      </c>
      <c r="D359" s="489" t="s">
        <v>447</v>
      </c>
      <c r="E359" s="492" t="s">
        <v>1411</v>
      </c>
      <c r="F359" s="760">
        <v>46020</v>
      </c>
      <c r="G359" s="380" t="s">
        <v>643</v>
      </c>
      <c r="H359" s="380">
        <v>3</v>
      </c>
      <c r="I359" s="388">
        <v>333000</v>
      </c>
      <c r="J359" s="380">
        <v>4</v>
      </c>
      <c r="K359" s="389">
        <f t="shared" si="16"/>
        <v>83250</v>
      </c>
      <c r="L359" s="387">
        <v>46023</v>
      </c>
      <c r="M359" s="387">
        <v>46387</v>
      </c>
      <c r="N359" s="680"/>
      <c r="O359" s="680"/>
      <c r="P359" s="363" t="s">
        <v>520</v>
      </c>
      <c r="Q359" s="363"/>
      <c r="R359" s="363"/>
      <c r="S359" s="390" t="s">
        <v>396</v>
      </c>
      <c r="T359" s="363" t="s">
        <v>1412</v>
      </c>
      <c r="U359" s="390" t="s">
        <v>397</v>
      </c>
      <c r="V359" s="363" t="s">
        <v>1855</v>
      </c>
      <c r="W359" s="390" t="s">
        <v>496</v>
      </c>
      <c r="X359" s="363" t="s">
        <v>2042</v>
      </c>
      <c r="Y359" s="363" t="s">
        <v>497</v>
      </c>
      <c r="Z359" s="363"/>
      <c r="AA359" s="363"/>
      <c r="AB359" s="363"/>
      <c r="AC359" s="363"/>
      <c r="AD359" s="363"/>
      <c r="AE359" s="363" t="s">
        <v>96</v>
      </c>
      <c r="AF359" s="380" t="s">
        <v>97</v>
      </c>
      <c r="AG359" s="380" t="s">
        <v>494</v>
      </c>
      <c r="AH359" s="363" t="s">
        <v>799</v>
      </c>
    </row>
    <row r="360" spans="2:34" ht="15" customHeight="1" x14ac:dyDescent="0.3">
      <c r="B360" s="380" t="s">
        <v>0</v>
      </c>
      <c r="C360" s="482" t="s">
        <v>565</v>
      </c>
      <c r="D360" s="483" t="s">
        <v>566</v>
      </c>
      <c r="E360" s="468">
        <v>1011707106</v>
      </c>
      <c r="F360" s="760">
        <v>46025</v>
      </c>
      <c r="G360" s="380" t="s">
        <v>643</v>
      </c>
      <c r="H360" s="380">
        <v>1</v>
      </c>
      <c r="I360" s="388">
        <v>82450</v>
      </c>
      <c r="J360" s="380">
        <v>2</v>
      </c>
      <c r="K360" s="391">
        <f t="shared" si="16"/>
        <v>41225</v>
      </c>
      <c r="L360" s="387">
        <v>45992</v>
      </c>
      <c r="M360" s="387">
        <v>46356</v>
      </c>
      <c r="N360" s="680"/>
      <c r="O360" s="680"/>
      <c r="P360" s="363" t="s">
        <v>520</v>
      </c>
      <c r="Q360" s="380"/>
      <c r="R360" s="380"/>
      <c r="S360" s="390" t="s">
        <v>127</v>
      </c>
      <c r="T360" s="363" t="s">
        <v>1413</v>
      </c>
      <c r="U360" s="363" t="s">
        <v>1414</v>
      </c>
      <c r="V360" s="363"/>
      <c r="W360" s="363"/>
      <c r="X360" s="363"/>
      <c r="Y360" s="363"/>
      <c r="Z360" s="363"/>
      <c r="AA360" s="363"/>
      <c r="AB360" s="363"/>
      <c r="AC360" s="363"/>
      <c r="AD360" s="363"/>
      <c r="AE360" s="363" t="s">
        <v>551</v>
      </c>
      <c r="AF360" s="380" t="s">
        <v>207</v>
      </c>
      <c r="AG360" s="380">
        <v>1</v>
      </c>
      <c r="AH360" s="363"/>
    </row>
    <row r="361" spans="2:34" ht="15" customHeight="1" x14ac:dyDescent="0.3">
      <c r="B361" s="380" t="s">
        <v>0</v>
      </c>
      <c r="C361" s="409" t="s">
        <v>1415</v>
      </c>
      <c r="D361" s="423" t="s">
        <v>1416</v>
      </c>
      <c r="E361" s="493">
        <v>2125011222</v>
      </c>
      <c r="F361" s="760">
        <v>46000</v>
      </c>
      <c r="G361" s="380" t="s">
        <v>643</v>
      </c>
      <c r="H361" s="380">
        <v>2</v>
      </c>
      <c r="I361" s="388">
        <v>311948</v>
      </c>
      <c r="J361" s="380">
        <v>2</v>
      </c>
      <c r="K361" s="389">
        <f t="shared" si="16"/>
        <v>155974</v>
      </c>
      <c r="L361" s="387">
        <v>46023</v>
      </c>
      <c r="M361" s="387">
        <v>46387</v>
      </c>
      <c r="N361" s="680"/>
      <c r="O361" s="680"/>
      <c r="P361" s="363" t="s">
        <v>520</v>
      </c>
      <c r="Q361" s="380"/>
      <c r="R361" s="380"/>
      <c r="S361" s="390" t="s">
        <v>607</v>
      </c>
      <c r="T361" s="363" t="s">
        <v>1728</v>
      </c>
      <c r="U361" s="363" t="s">
        <v>608</v>
      </c>
      <c r="V361" s="363"/>
      <c r="W361" s="363"/>
      <c r="X361" s="363"/>
      <c r="Y361" s="363"/>
      <c r="Z361" s="363"/>
      <c r="AA361" s="363"/>
      <c r="AB361" s="363"/>
      <c r="AC361" s="363"/>
      <c r="AD361" s="363"/>
      <c r="AE361" s="363" t="s">
        <v>281</v>
      </c>
      <c r="AF361" s="380" t="s">
        <v>97</v>
      </c>
      <c r="AG361" s="380">
        <v>2</v>
      </c>
      <c r="AH361" s="363" t="s">
        <v>667</v>
      </c>
    </row>
    <row r="362" spans="2:34" ht="15" customHeight="1" x14ac:dyDescent="0.3">
      <c r="B362" s="380" t="s">
        <v>0</v>
      </c>
      <c r="C362" s="409" t="s">
        <v>1417</v>
      </c>
      <c r="D362" s="423" t="s">
        <v>86</v>
      </c>
      <c r="E362" s="491">
        <v>4200321224</v>
      </c>
      <c r="F362" s="760">
        <v>46014</v>
      </c>
      <c r="G362" s="380" t="s">
        <v>643</v>
      </c>
      <c r="H362" s="380">
        <v>5</v>
      </c>
      <c r="I362" s="388">
        <v>544860</v>
      </c>
      <c r="J362" s="380">
        <v>4</v>
      </c>
      <c r="K362" s="389">
        <f t="shared" si="16"/>
        <v>136215</v>
      </c>
      <c r="L362" s="387">
        <v>46023</v>
      </c>
      <c r="M362" s="387">
        <v>46387</v>
      </c>
      <c r="N362" s="680">
        <v>154874</v>
      </c>
      <c r="O362" s="680">
        <v>4806</v>
      </c>
      <c r="P362" s="363" t="s">
        <v>520</v>
      </c>
      <c r="Q362" s="380"/>
      <c r="R362" s="380"/>
      <c r="S362" s="390" t="s">
        <v>396</v>
      </c>
      <c r="T362" s="363" t="s">
        <v>1418</v>
      </c>
      <c r="U362" s="390" t="s">
        <v>397</v>
      </c>
      <c r="V362" s="363" t="s">
        <v>1849</v>
      </c>
      <c r="W362" s="390" t="s">
        <v>496</v>
      </c>
      <c r="X362" s="363" t="s">
        <v>2018</v>
      </c>
      <c r="Y362" s="363" t="s">
        <v>497</v>
      </c>
      <c r="Z362" s="363"/>
      <c r="AA362" s="363"/>
      <c r="AB362" s="363"/>
      <c r="AC362" s="363"/>
      <c r="AD362" s="363"/>
      <c r="AE362" s="363" t="s">
        <v>281</v>
      </c>
      <c r="AF362" s="380" t="s">
        <v>97</v>
      </c>
      <c r="AG362" s="380">
        <v>4</v>
      </c>
      <c r="AH362" s="363" t="s">
        <v>1345</v>
      </c>
    </row>
    <row r="363" spans="2:34" ht="15" customHeight="1" x14ac:dyDescent="0.3">
      <c r="B363" s="380" t="s">
        <v>0</v>
      </c>
      <c r="C363" s="409" t="s">
        <v>604</v>
      </c>
      <c r="D363" s="423" t="s">
        <v>1419</v>
      </c>
      <c r="E363" s="408">
        <v>5700203580</v>
      </c>
      <c r="F363" s="760">
        <v>45996</v>
      </c>
      <c r="G363" s="380" t="s">
        <v>643</v>
      </c>
      <c r="H363" s="380">
        <v>1</v>
      </c>
      <c r="I363" s="388">
        <v>118335</v>
      </c>
      <c r="J363" s="380">
        <v>2</v>
      </c>
      <c r="K363" s="389">
        <f t="shared" ref="K363:K394" si="17">I363/J363</f>
        <v>59167.5</v>
      </c>
      <c r="L363" s="387">
        <v>46023</v>
      </c>
      <c r="M363" s="387">
        <v>46387</v>
      </c>
      <c r="N363" s="680"/>
      <c r="O363" s="680"/>
      <c r="P363" s="363" t="s">
        <v>520</v>
      </c>
      <c r="Q363" s="380"/>
      <c r="R363" s="380"/>
      <c r="S363" s="390" t="s">
        <v>607</v>
      </c>
      <c r="T363" s="363" t="s">
        <v>1710</v>
      </c>
      <c r="U363" s="363" t="s">
        <v>608</v>
      </c>
      <c r="V363" s="363"/>
      <c r="W363" s="363"/>
      <c r="X363" s="363"/>
      <c r="Y363" s="363"/>
      <c r="Z363" s="363"/>
      <c r="AA363" s="363"/>
      <c r="AB363" s="363"/>
      <c r="AC363" s="363"/>
      <c r="AD363" s="363"/>
      <c r="AE363" s="363" t="s">
        <v>281</v>
      </c>
      <c r="AF363" s="380" t="s">
        <v>97</v>
      </c>
      <c r="AG363" s="380">
        <v>2</v>
      </c>
      <c r="AH363" s="363" t="s">
        <v>1345</v>
      </c>
    </row>
    <row r="364" spans="2:34" ht="15" customHeight="1" x14ac:dyDescent="0.3">
      <c r="B364" s="380" t="s">
        <v>0</v>
      </c>
      <c r="C364" s="482" t="s">
        <v>614</v>
      </c>
      <c r="D364" s="483" t="s">
        <v>447</v>
      </c>
      <c r="E364" s="495" t="s">
        <v>1420</v>
      </c>
      <c r="F364" s="760">
        <v>46009</v>
      </c>
      <c r="G364" s="380" t="s">
        <v>643</v>
      </c>
      <c r="H364" s="380">
        <v>1</v>
      </c>
      <c r="I364" s="388">
        <v>76440</v>
      </c>
      <c r="J364" s="380">
        <v>3</v>
      </c>
      <c r="K364" s="389"/>
      <c r="L364" s="387">
        <v>46023</v>
      </c>
      <c r="M364" s="387">
        <v>46387</v>
      </c>
      <c r="N364" s="680"/>
      <c r="O364" s="680"/>
      <c r="P364" s="363" t="s">
        <v>520</v>
      </c>
      <c r="Q364" s="380"/>
      <c r="R364" s="380"/>
      <c r="S364" s="390" t="s">
        <v>347</v>
      </c>
      <c r="T364" s="363" t="s">
        <v>331</v>
      </c>
      <c r="U364" s="390" t="s">
        <v>348</v>
      </c>
      <c r="V364" s="363" t="s">
        <v>2043</v>
      </c>
      <c r="W364" s="363" t="s">
        <v>349</v>
      </c>
      <c r="X364" s="363"/>
      <c r="Y364" s="363"/>
      <c r="Z364" s="363"/>
      <c r="AA364" s="363"/>
      <c r="AB364" s="363"/>
      <c r="AC364" s="363"/>
      <c r="AD364" s="363"/>
      <c r="AE364" s="363" t="s">
        <v>281</v>
      </c>
      <c r="AF364" s="380" t="s">
        <v>97</v>
      </c>
      <c r="AG364" s="380">
        <v>3</v>
      </c>
      <c r="AH364" s="363" t="s">
        <v>1060</v>
      </c>
    </row>
    <row r="365" spans="2:34" ht="15" customHeight="1" x14ac:dyDescent="0.3">
      <c r="B365" s="380" t="s">
        <v>0</v>
      </c>
      <c r="C365" s="409" t="s">
        <v>640</v>
      </c>
      <c r="D365" s="489" t="s">
        <v>1421</v>
      </c>
      <c r="E365" s="411" t="s">
        <v>1422</v>
      </c>
      <c r="F365" s="760">
        <v>45996</v>
      </c>
      <c r="G365" s="380" t="s">
        <v>643</v>
      </c>
      <c r="H365" s="380"/>
      <c r="I365" s="388">
        <v>2068693.74</v>
      </c>
      <c r="J365" s="380">
        <v>3</v>
      </c>
      <c r="K365" s="389">
        <f t="shared" si="17"/>
        <v>689564.58</v>
      </c>
      <c r="L365" s="387">
        <v>46003</v>
      </c>
      <c r="M365" s="387">
        <v>46367</v>
      </c>
      <c r="N365" s="680"/>
      <c r="O365" s="680"/>
      <c r="P365" s="363" t="s">
        <v>520</v>
      </c>
      <c r="Q365" s="380"/>
      <c r="R365" s="380"/>
      <c r="S365" s="390" t="s">
        <v>1423</v>
      </c>
      <c r="T365" s="363" t="s">
        <v>1252</v>
      </c>
      <c r="U365" s="390" t="s">
        <v>1424</v>
      </c>
      <c r="V365" s="363" t="s">
        <v>2044</v>
      </c>
      <c r="W365" s="363" t="s">
        <v>1425</v>
      </c>
      <c r="X365" s="363"/>
      <c r="Y365" s="363"/>
      <c r="Z365" s="363"/>
      <c r="AA365" s="363"/>
      <c r="AB365" s="363"/>
      <c r="AC365" s="363"/>
      <c r="AD365" s="363"/>
      <c r="AE365" s="363" t="s">
        <v>281</v>
      </c>
      <c r="AF365" s="380" t="s">
        <v>97</v>
      </c>
      <c r="AG365" s="380">
        <v>3</v>
      </c>
      <c r="AH365" s="363" t="s">
        <v>1345</v>
      </c>
    </row>
    <row r="366" spans="2:34" ht="15" customHeight="1" x14ac:dyDescent="0.3">
      <c r="B366" s="380" t="s">
        <v>0</v>
      </c>
      <c r="C366" s="409" t="s">
        <v>640</v>
      </c>
      <c r="D366" s="489" t="s">
        <v>1421</v>
      </c>
      <c r="E366" s="411" t="s">
        <v>1422</v>
      </c>
      <c r="F366" s="760">
        <v>45996</v>
      </c>
      <c r="G366" s="380" t="s">
        <v>643</v>
      </c>
      <c r="H366" s="380">
        <v>34</v>
      </c>
      <c r="I366" s="388">
        <v>2068693.74</v>
      </c>
      <c r="J366" s="380">
        <v>3</v>
      </c>
      <c r="K366" s="389">
        <f t="shared" si="17"/>
        <v>689564.58</v>
      </c>
      <c r="L366" s="387">
        <v>46368</v>
      </c>
      <c r="M366" s="387">
        <v>46732</v>
      </c>
      <c r="N366" s="680">
        <v>154869</v>
      </c>
      <c r="O366" s="680">
        <v>4759</v>
      </c>
      <c r="P366" s="363" t="s">
        <v>520</v>
      </c>
      <c r="Q366" s="380"/>
      <c r="R366" s="380"/>
      <c r="S366" s="363" t="s">
        <v>1426</v>
      </c>
      <c r="T366" s="363"/>
      <c r="U366" s="363" t="s">
        <v>1427</v>
      </c>
      <c r="V366" s="363"/>
      <c r="W366" s="363" t="s">
        <v>1428</v>
      </c>
      <c r="X366" s="363"/>
      <c r="Y366" s="363"/>
      <c r="Z366" s="363"/>
      <c r="AA366" s="363"/>
      <c r="AB366" s="363"/>
      <c r="AC366" s="363"/>
      <c r="AD366" s="363"/>
      <c r="AE366" s="363" t="s">
        <v>281</v>
      </c>
      <c r="AF366" s="380" t="s">
        <v>97</v>
      </c>
      <c r="AG366" s="380">
        <v>3</v>
      </c>
      <c r="AH366" s="363" t="s">
        <v>1345</v>
      </c>
    </row>
    <row r="367" spans="2:34" ht="15" customHeight="1" x14ac:dyDescent="0.3">
      <c r="B367" s="380" t="s">
        <v>0</v>
      </c>
      <c r="C367" s="482" t="s">
        <v>1429</v>
      </c>
      <c r="D367" s="483" t="s">
        <v>388</v>
      </c>
      <c r="E367" s="491" t="s">
        <v>1430</v>
      </c>
      <c r="F367" s="760">
        <v>46010</v>
      </c>
      <c r="G367" s="380" t="s">
        <v>643</v>
      </c>
      <c r="H367" s="380">
        <v>6</v>
      </c>
      <c r="I367" s="388">
        <v>493800</v>
      </c>
      <c r="J367" s="380">
        <v>2</v>
      </c>
      <c r="K367" s="389">
        <f t="shared" si="17"/>
        <v>246900</v>
      </c>
      <c r="L367" s="387">
        <v>46023</v>
      </c>
      <c r="M367" s="387">
        <v>46387</v>
      </c>
      <c r="N367" s="680"/>
      <c r="O367" s="680"/>
      <c r="P367" s="363" t="s">
        <v>520</v>
      </c>
      <c r="Q367" s="380"/>
      <c r="R367" s="380"/>
      <c r="S367" s="390" t="s">
        <v>607</v>
      </c>
      <c r="T367" s="363" t="s">
        <v>1845</v>
      </c>
      <c r="U367" s="363" t="s">
        <v>608</v>
      </c>
      <c r="V367" s="363"/>
      <c r="W367" s="363"/>
      <c r="X367" s="363"/>
      <c r="Y367" s="363"/>
      <c r="Z367" s="363"/>
      <c r="AA367" s="363"/>
      <c r="AB367" s="363"/>
      <c r="AC367" s="363"/>
      <c r="AD367" s="363"/>
      <c r="AE367" s="363" t="s">
        <v>619</v>
      </c>
      <c r="AF367" s="380" t="s">
        <v>63</v>
      </c>
      <c r="AG367" s="380">
        <v>3</v>
      </c>
      <c r="AH367" s="363" t="s">
        <v>667</v>
      </c>
    </row>
    <row r="368" spans="2:34" ht="15" customHeight="1" x14ac:dyDescent="0.3">
      <c r="B368" s="380" t="s">
        <v>0</v>
      </c>
      <c r="C368" s="482" t="s">
        <v>518</v>
      </c>
      <c r="D368" s="483" t="s">
        <v>176</v>
      </c>
      <c r="E368" s="468">
        <v>4518267425</v>
      </c>
      <c r="F368" s="760">
        <v>46027</v>
      </c>
      <c r="G368" s="380" t="s">
        <v>643</v>
      </c>
      <c r="H368" s="380">
        <v>1</v>
      </c>
      <c r="I368" s="388">
        <v>77200</v>
      </c>
      <c r="J368" s="380">
        <v>4</v>
      </c>
      <c r="K368" s="389">
        <f t="shared" si="17"/>
        <v>19300</v>
      </c>
      <c r="L368" s="387">
        <v>46023</v>
      </c>
      <c r="M368" s="387">
        <v>46387</v>
      </c>
      <c r="N368" s="680">
        <v>154978</v>
      </c>
      <c r="O368" s="680">
        <v>4761</v>
      </c>
      <c r="P368" s="363" t="s">
        <v>520</v>
      </c>
      <c r="Q368" s="380"/>
      <c r="R368" s="380"/>
      <c r="S368" s="390" t="s">
        <v>396</v>
      </c>
      <c r="T368" s="363" t="s">
        <v>909</v>
      </c>
      <c r="U368" s="390" t="s">
        <v>397</v>
      </c>
      <c r="V368" s="363" t="s">
        <v>1729</v>
      </c>
      <c r="W368" s="390" t="s">
        <v>496</v>
      </c>
      <c r="X368" s="363" t="s">
        <v>2045</v>
      </c>
      <c r="Y368" s="363" t="s">
        <v>497</v>
      </c>
      <c r="Z368" s="363"/>
      <c r="AA368" s="363"/>
      <c r="AB368" s="363"/>
      <c r="AC368" s="363"/>
      <c r="AD368" s="363"/>
      <c r="AE368" s="363" t="s">
        <v>183</v>
      </c>
      <c r="AF368" s="380" t="s">
        <v>97</v>
      </c>
      <c r="AG368" s="380">
        <v>3</v>
      </c>
      <c r="AH368" s="363" t="s">
        <v>1431</v>
      </c>
    </row>
    <row r="369" spans="2:34" ht="15" customHeight="1" x14ac:dyDescent="0.3">
      <c r="B369" s="380" t="s">
        <v>0</v>
      </c>
      <c r="C369" s="482" t="s">
        <v>518</v>
      </c>
      <c r="D369" s="483" t="s">
        <v>176</v>
      </c>
      <c r="E369" s="468">
        <v>4518267076</v>
      </c>
      <c r="F369" s="760">
        <v>46027</v>
      </c>
      <c r="G369" s="380" t="s">
        <v>643</v>
      </c>
      <c r="H369" s="380">
        <v>2</v>
      </c>
      <c r="I369" s="388">
        <v>179600</v>
      </c>
      <c r="J369" s="380">
        <v>4</v>
      </c>
      <c r="K369" s="389">
        <f t="shared" si="17"/>
        <v>44900</v>
      </c>
      <c r="L369" s="387">
        <v>46023</v>
      </c>
      <c r="M369" s="387">
        <v>46387</v>
      </c>
      <c r="N369" s="680">
        <v>154979</v>
      </c>
      <c r="O369" s="680">
        <v>4762</v>
      </c>
      <c r="P369" s="363" t="s">
        <v>520</v>
      </c>
      <c r="Q369" s="380"/>
      <c r="R369" s="380"/>
      <c r="S369" s="390" t="s">
        <v>396</v>
      </c>
      <c r="T369" s="363" t="s">
        <v>909</v>
      </c>
      <c r="U369" s="390" t="s">
        <v>397</v>
      </c>
      <c r="V369" s="363" t="s">
        <v>1729</v>
      </c>
      <c r="W369" s="390" t="s">
        <v>496</v>
      </c>
      <c r="X369" s="363" t="s">
        <v>2045</v>
      </c>
      <c r="Y369" s="363" t="s">
        <v>497</v>
      </c>
      <c r="Z369" s="363"/>
      <c r="AA369" s="363"/>
      <c r="AB369" s="363"/>
      <c r="AC369" s="363"/>
      <c r="AD369" s="363"/>
      <c r="AE369" s="363" t="s">
        <v>183</v>
      </c>
      <c r="AF369" s="380" t="s">
        <v>97</v>
      </c>
      <c r="AG369" s="380">
        <v>3</v>
      </c>
      <c r="AH369" s="363" t="s">
        <v>1431</v>
      </c>
    </row>
    <row r="370" spans="2:34" ht="15" customHeight="1" x14ac:dyDescent="0.3">
      <c r="B370" s="380" t="s">
        <v>0</v>
      </c>
      <c r="C370" s="482" t="s">
        <v>604</v>
      </c>
      <c r="D370" s="483" t="s">
        <v>1012</v>
      </c>
      <c r="E370" s="491">
        <v>5700206412</v>
      </c>
      <c r="F370" s="760">
        <v>46027</v>
      </c>
      <c r="G370" s="380" t="s">
        <v>643</v>
      </c>
      <c r="H370" s="380">
        <v>12</v>
      </c>
      <c r="I370" s="388">
        <v>1373715</v>
      </c>
      <c r="J370" s="380">
        <v>2</v>
      </c>
      <c r="K370" s="389">
        <f t="shared" si="17"/>
        <v>686857.5</v>
      </c>
      <c r="L370" s="387">
        <v>46023</v>
      </c>
      <c r="M370" s="387">
        <v>46387</v>
      </c>
      <c r="N370" s="680"/>
      <c r="O370" s="680"/>
      <c r="P370" s="363" t="s">
        <v>520</v>
      </c>
      <c r="Q370" s="380"/>
      <c r="R370" s="380"/>
      <c r="S370" s="390" t="s">
        <v>607</v>
      </c>
      <c r="T370" s="363" t="s">
        <v>1865</v>
      </c>
      <c r="U370" s="363" t="s">
        <v>608</v>
      </c>
      <c r="V370" s="363"/>
      <c r="W370" s="363"/>
      <c r="X370" s="363"/>
      <c r="Y370" s="363"/>
      <c r="Z370" s="363"/>
      <c r="AA370" s="363"/>
      <c r="AB370" s="363"/>
      <c r="AC370" s="363"/>
      <c r="AD370" s="363"/>
      <c r="AE370" s="363" t="s">
        <v>619</v>
      </c>
      <c r="AF370" s="380" t="s">
        <v>63</v>
      </c>
      <c r="AG370" s="380">
        <v>3</v>
      </c>
      <c r="AH370" s="363" t="s">
        <v>799</v>
      </c>
    </row>
    <row r="371" spans="2:34" ht="15" customHeight="1" x14ac:dyDescent="0.3">
      <c r="B371" s="380" t="s">
        <v>0</v>
      </c>
      <c r="C371" s="478" t="s">
        <v>598</v>
      </c>
      <c r="D371" s="480" t="s">
        <v>1354</v>
      </c>
      <c r="E371" s="481">
        <v>3800059115</v>
      </c>
      <c r="F371" s="760">
        <v>46028</v>
      </c>
      <c r="G371" s="380" t="s">
        <v>643</v>
      </c>
      <c r="H371" s="380">
        <v>3</v>
      </c>
      <c r="I371" s="388">
        <v>174000</v>
      </c>
      <c r="J371" s="380">
        <v>2</v>
      </c>
      <c r="K371" s="389">
        <f t="shared" si="17"/>
        <v>87000</v>
      </c>
      <c r="L371" s="387">
        <v>46023</v>
      </c>
      <c r="M371" s="387">
        <v>46387</v>
      </c>
      <c r="N371" s="680"/>
      <c r="O371" s="680"/>
      <c r="P371" s="363" t="s">
        <v>520</v>
      </c>
      <c r="Q371" s="380"/>
      <c r="R371" s="380"/>
      <c r="S371" s="390" t="s">
        <v>607</v>
      </c>
      <c r="T371" s="363" t="s">
        <v>1432</v>
      </c>
      <c r="U371" s="363" t="s">
        <v>608</v>
      </c>
      <c r="V371" s="363"/>
      <c r="W371" s="363"/>
      <c r="X371" s="363"/>
      <c r="Y371" s="363"/>
      <c r="Z371" s="363"/>
      <c r="AA371" s="363"/>
      <c r="AB371" s="363"/>
      <c r="AC371" s="363"/>
      <c r="AD371" s="363"/>
      <c r="AE371" s="363" t="s">
        <v>485</v>
      </c>
      <c r="AF371" s="380" t="s">
        <v>63</v>
      </c>
      <c r="AG371" s="380">
        <v>2</v>
      </c>
      <c r="AH371" s="363" t="s">
        <v>799</v>
      </c>
    </row>
    <row r="372" spans="2:34" ht="15" customHeight="1" x14ac:dyDescent="0.3">
      <c r="B372" s="380" t="s">
        <v>0</v>
      </c>
      <c r="C372" s="482" t="s">
        <v>1433</v>
      </c>
      <c r="D372" s="483" t="s">
        <v>434</v>
      </c>
      <c r="E372" s="491" t="s">
        <v>1434</v>
      </c>
      <c r="F372" s="760">
        <v>45666</v>
      </c>
      <c r="G372" s="407" t="s">
        <v>703</v>
      </c>
      <c r="H372" s="380">
        <v>19</v>
      </c>
      <c r="I372" s="388">
        <v>3915197</v>
      </c>
      <c r="J372" s="380">
        <v>4</v>
      </c>
      <c r="K372" s="389">
        <f t="shared" si="17"/>
        <v>978799.25</v>
      </c>
      <c r="L372" s="387">
        <v>46034</v>
      </c>
      <c r="M372" s="387">
        <v>46398</v>
      </c>
      <c r="N372" s="680">
        <v>155067</v>
      </c>
      <c r="O372" s="680">
        <v>4708</v>
      </c>
      <c r="P372" s="363" t="s">
        <v>520</v>
      </c>
      <c r="Q372" s="380"/>
      <c r="R372" s="380"/>
      <c r="S372" s="390" t="s">
        <v>1435</v>
      </c>
      <c r="T372" s="363" t="s">
        <v>1436</v>
      </c>
      <c r="U372" s="390" t="s">
        <v>1437</v>
      </c>
      <c r="V372" s="363" t="s">
        <v>1953</v>
      </c>
      <c r="W372" s="363" t="s">
        <v>1438</v>
      </c>
      <c r="X372" s="363"/>
      <c r="Y372" s="363" t="s">
        <v>1439</v>
      </c>
      <c r="Z372" s="363"/>
      <c r="AA372" s="363"/>
      <c r="AB372" s="363"/>
      <c r="AC372" s="363"/>
      <c r="AD372" s="363"/>
      <c r="AE372" s="363" t="s">
        <v>281</v>
      </c>
      <c r="AF372" s="380" t="s">
        <v>97</v>
      </c>
      <c r="AG372" s="380" t="s">
        <v>494</v>
      </c>
      <c r="AH372" s="386" t="s">
        <v>1345</v>
      </c>
    </row>
    <row r="373" spans="2:34" ht="15" customHeight="1" x14ac:dyDescent="0.3">
      <c r="B373" s="380" t="s">
        <v>0</v>
      </c>
      <c r="C373" s="478" t="s">
        <v>614</v>
      </c>
      <c r="D373" s="480" t="s">
        <v>447</v>
      </c>
      <c r="E373" s="495" t="s">
        <v>1440</v>
      </c>
      <c r="F373" s="761">
        <v>46000</v>
      </c>
      <c r="G373" s="380" t="s">
        <v>643</v>
      </c>
      <c r="H373" s="380">
        <v>1</v>
      </c>
      <c r="I373" s="388">
        <v>76440</v>
      </c>
      <c r="J373" s="380">
        <v>3</v>
      </c>
      <c r="K373" s="389">
        <f t="shared" si="17"/>
        <v>25480</v>
      </c>
      <c r="L373" s="387">
        <v>45992</v>
      </c>
      <c r="M373" s="387">
        <v>46356</v>
      </c>
      <c r="N373" s="680"/>
      <c r="O373" s="680"/>
      <c r="P373" s="363" t="s">
        <v>520</v>
      </c>
      <c r="Q373" s="380"/>
      <c r="R373" s="380"/>
      <c r="S373" s="390" t="s">
        <v>361</v>
      </c>
      <c r="T373" s="363" t="s">
        <v>1412</v>
      </c>
      <c r="U373" s="390" t="s">
        <v>1080</v>
      </c>
      <c r="V373" s="363" t="s">
        <v>1944</v>
      </c>
      <c r="W373" s="363" t="s">
        <v>1108</v>
      </c>
      <c r="X373" s="363"/>
      <c r="Y373" s="363"/>
      <c r="Z373" s="363"/>
      <c r="AA373" s="363"/>
      <c r="AB373" s="363"/>
      <c r="AC373" s="363"/>
      <c r="AD373" s="363"/>
      <c r="AE373" s="363" t="s">
        <v>281</v>
      </c>
      <c r="AF373" s="380" t="s">
        <v>97</v>
      </c>
      <c r="AG373" s="380">
        <v>3</v>
      </c>
      <c r="AH373" s="363" t="s">
        <v>1441</v>
      </c>
    </row>
    <row r="374" spans="2:34" ht="15" customHeight="1" x14ac:dyDescent="0.3">
      <c r="B374" s="380" t="s">
        <v>0</v>
      </c>
      <c r="C374" s="482" t="s">
        <v>195</v>
      </c>
      <c r="D374" s="483" t="s">
        <v>447</v>
      </c>
      <c r="E374" s="468" t="s">
        <v>255</v>
      </c>
      <c r="F374" s="760" t="s">
        <v>1442</v>
      </c>
      <c r="G374" s="380" t="s">
        <v>643</v>
      </c>
      <c r="H374" s="380">
        <v>3</v>
      </c>
      <c r="I374" s="388">
        <v>177000</v>
      </c>
      <c r="J374" s="380">
        <v>4</v>
      </c>
      <c r="K374" s="389">
        <f t="shared" si="17"/>
        <v>44250</v>
      </c>
      <c r="L374" s="387">
        <v>46054</v>
      </c>
      <c r="M374" s="387">
        <v>46418</v>
      </c>
      <c r="N374" s="680"/>
      <c r="O374" s="680"/>
      <c r="P374" s="363" t="s">
        <v>520</v>
      </c>
      <c r="Q374" s="380"/>
      <c r="R374" s="380"/>
      <c r="S374" s="390" t="s">
        <v>442</v>
      </c>
      <c r="T374" s="363" t="s">
        <v>1226</v>
      </c>
      <c r="U374" s="390" t="s">
        <v>444</v>
      </c>
      <c r="V374" s="363" t="s">
        <v>1954</v>
      </c>
      <c r="W374" s="363" t="s">
        <v>1443</v>
      </c>
      <c r="X374" s="363"/>
      <c r="Y374" s="363" t="s">
        <v>456</v>
      </c>
      <c r="Z374" s="363"/>
      <c r="AA374" s="363"/>
      <c r="AB374" s="363"/>
      <c r="AC374" s="363"/>
      <c r="AD374" s="363"/>
      <c r="AE374" s="363" t="s">
        <v>96</v>
      </c>
      <c r="AF374" s="380" t="s">
        <v>97</v>
      </c>
      <c r="AG374" s="380" t="s">
        <v>494</v>
      </c>
      <c r="AH374" s="363"/>
    </row>
    <row r="375" spans="2:34" ht="15" customHeight="1" x14ac:dyDescent="0.3">
      <c r="B375" s="380" t="s">
        <v>0</v>
      </c>
      <c r="C375" s="409" t="s">
        <v>1444</v>
      </c>
      <c r="D375" s="418" t="s">
        <v>841</v>
      </c>
      <c r="E375" s="493" t="s">
        <v>1445</v>
      </c>
      <c r="F375" s="760">
        <v>46021</v>
      </c>
      <c r="G375" s="380" t="s">
        <v>643</v>
      </c>
      <c r="H375" s="380">
        <v>7</v>
      </c>
      <c r="I375" s="388">
        <v>371000</v>
      </c>
      <c r="J375" s="380">
        <v>2</v>
      </c>
      <c r="K375" s="389">
        <f t="shared" si="17"/>
        <v>185500</v>
      </c>
      <c r="L375" s="387">
        <v>46023</v>
      </c>
      <c r="M375" s="387">
        <v>46387</v>
      </c>
      <c r="N375" s="680"/>
      <c r="O375" s="680"/>
      <c r="P375" s="363" t="s">
        <v>520</v>
      </c>
      <c r="Q375" s="380"/>
      <c r="R375" s="380"/>
      <c r="S375" s="390" t="s">
        <v>486</v>
      </c>
      <c r="T375" s="363" t="s">
        <v>1730</v>
      </c>
      <c r="U375" s="363" t="s">
        <v>608</v>
      </c>
      <c r="V375" s="363"/>
      <c r="W375" s="363"/>
      <c r="X375" s="363"/>
      <c r="Y375" s="363"/>
      <c r="Z375" s="363"/>
      <c r="AA375" s="363"/>
      <c r="AB375" s="363"/>
      <c r="AC375" s="363"/>
      <c r="AD375" s="363"/>
      <c r="AE375" s="363" t="s">
        <v>485</v>
      </c>
      <c r="AF375" s="380" t="s">
        <v>63</v>
      </c>
      <c r="AG375" s="380">
        <v>2</v>
      </c>
      <c r="AH375" s="363" t="s">
        <v>1446</v>
      </c>
    </row>
    <row r="376" spans="2:34" ht="15" customHeight="1" x14ac:dyDescent="0.3">
      <c r="B376" s="380" t="s">
        <v>0</v>
      </c>
      <c r="C376" s="409" t="s">
        <v>1447</v>
      </c>
      <c r="D376" s="423" t="s">
        <v>388</v>
      </c>
      <c r="E376" s="419">
        <v>3800061135</v>
      </c>
      <c r="F376" s="760">
        <v>46035</v>
      </c>
      <c r="G376" s="380" t="s">
        <v>643</v>
      </c>
      <c r="H376" s="380">
        <v>3</v>
      </c>
      <c r="I376" s="388">
        <v>174000</v>
      </c>
      <c r="J376" s="380">
        <v>2</v>
      </c>
      <c r="K376" s="389">
        <f t="shared" si="17"/>
        <v>87000</v>
      </c>
      <c r="L376" s="387">
        <v>46023</v>
      </c>
      <c r="M376" s="387">
        <v>46387</v>
      </c>
      <c r="N376" s="680"/>
      <c r="O376" s="680"/>
      <c r="P376" s="363" t="s">
        <v>520</v>
      </c>
      <c r="Q376" s="380"/>
      <c r="R376" s="380"/>
      <c r="S376" s="390" t="s">
        <v>607</v>
      </c>
      <c r="T376" s="363" t="s">
        <v>1862</v>
      </c>
      <c r="U376" s="363" t="s">
        <v>608</v>
      </c>
      <c r="V376" s="363"/>
      <c r="W376" s="363"/>
      <c r="X376" s="363"/>
      <c r="Y376" s="363"/>
      <c r="Z376" s="363"/>
      <c r="AA376" s="363"/>
      <c r="AB376" s="363"/>
      <c r="AC376" s="363"/>
      <c r="AD376" s="363"/>
      <c r="AE376" s="363" t="s">
        <v>478</v>
      </c>
      <c r="AF376" s="380" t="s">
        <v>63</v>
      </c>
      <c r="AG376" s="380">
        <v>2</v>
      </c>
      <c r="AH376" s="363" t="s">
        <v>667</v>
      </c>
    </row>
    <row r="377" spans="2:34" ht="15" customHeight="1" x14ac:dyDescent="0.3">
      <c r="B377" s="380" t="s">
        <v>0</v>
      </c>
      <c r="C377" s="409" t="s">
        <v>1448</v>
      </c>
      <c r="D377" s="418" t="s">
        <v>151</v>
      </c>
      <c r="E377" s="497" t="s">
        <v>1449</v>
      </c>
      <c r="F377" s="760">
        <v>46031</v>
      </c>
      <c r="G377" s="380" t="s">
        <v>643</v>
      </c>
      <c r="H377" s="380">
        <v>1</v>
      </c>
      <c r="I377" s="388">
        <v>160000</v>
      </c>
      <c r="J377" s="380">
        <v>3</v>
      </c>
      <c r="K377" s="389">
        <f t="shared" si="17"/>
        <v>53333.333333333336</v>
      </c>
      <c r="L377" s="387">
        <v>46023</v>
      </c>
      <c r="M377" s="387">
        <v>46387</v>
      </c>
      <c r="N377" s="680">
        <v>155059</v>
      </c>
      <c r="O377" s="680">
        <v>4677</v>
      </c>
      <c r="P377" s="363" t="s">
        <v>520</v>
      </c>
      <c r="Q377" s="380"/>
      <c r="R377" s="380"/>
      <c r="S377" s="390" t="s">
        <v>347</v>
      </c>
      <c r="T377" s="363" t="s">
        <v>1450</v>
      </c>
      <c r="U377" s="390" t="s">
        <v>348</v>
      </c>
      <c r="V377" s="363" t="s">
        <v>2026</v>
      </c>
      <c r="W377" s="363" t="s">
        <v>349</v>
      </c>
      <c r="X377" s="363"/>
      <c r="Y377" s="363"/>
      <c r="Z377" s="363"/>
      <c r="AA377" s="363"/>
      <c r="AB377" s="363"/>
      <c r="AC377" s="363"/>
      <c r="AD377" s="363"/>
      <c r="AE377" s="363" t="s">
        <v>507</v>
      </c>
      <c r="AF377" s="380" t="s">
        <v>63</v>
      </c>
      <c r="AG377" s="380">
        <v>3</v>
      </c>
      <c r="AH377" s="363" t="s">
        <v>667</v>
      </c>
    </row>
    <row r="378" spans="2:34" ht="15" customHeight="1" x14ac:dyDescent="0.3">
      <c r="B378" s="380" t="s">
        <v>0</v>
      </c>
      <c r="C378" s="482" t="s">
        <v>1451</v>
      </c>
      <c r="D378" s="483" t="s">
        <v>151</v>
      </c>
      <c r="E378" s="419">
        <v>8182414</v>
      </c>
      <c r="F378" s="760">
        <v>46034</v>
      </c>
      <c r="G378" s="380" t="s">
        <v>643</v>
      </c>
      <c r="H378" s="380">
        <v>3</v>
      </c>
      <c r="I378" s="388">
        <v>232497</v>
      </c>
      <c r="J378" s="380">
        <v>3</v>
      </c>
      <c r="K378" s="389">
        <f t="shared" si="17"/>
        <v>77499</v>
      </c>
      <c r="L378" s="387">
        <v>46023</v>
      </c>
      <c r="M378" s="387">
        <v>46387</v>
      </c>
      <c r="N378" s="680"/>
      <c r="O378" s="680"/>
      <c r="P378" s="363" t="s">
        <v>520</v>
      </c>
      <c r="Q378" s="380"/>
      <c r="R378" s="380"/>
      <c r="S378" s="390" t="s">
        <v>347</v>
      </c>
      <c r="T378" s="363" t="s">
        <v>331</v>
      </c>
      <c r="U378" s="363" t="s">
        <v>348</v>
      </c>
      <c r="V378" s="363"/>
      <c r="W378" s="363" t="s">
        <v>349</v>
      </c>
      <c r="X378" s="363"/>
      <c r="Y378" s="363"/>
      <c r="Z378" s="363"/>
      <c r="AA378" s="363"/>
      <c r="AB378" s="363"/>
      <c r="AC378" s="363"/>
      <c r="AD378" s="363"/>
      <c r="AE378" s="363" t="s">
        <v>478</v>
      </c>
      <c r="AF378" s="380" t="s">
        <v>63</v>
      </c>
      <c r="AG378" s="380">
        <v>3</v>
      </c>
      <c r="AH378" s="363" t="s">
        <v>667</v>
      </c>
    </row>
    <row r="379" spans="2:34" ht="15" hidden="1" customHeight="1" x14ac:dyDescent="0.3">
      <c r="B379" s="380" t="s">
        <v>0</v>
      </c>
      <c r="C379" s="478" t="s">
        <v>1452</v>
      </c>
      <c r="D379" s="480" t="s">
        <v>1453</v>
      </c>
      <c r="E379" s="481" t="s">
        <v>1454</v>
      </c>
      <c r="F379" s="760">
        <v>45960</v>
      </c>
      <c r="G379" s="380" t="s">
        <v>643</v>
      </c>
      <c r="H379" s="380">
        <v>1</v>
      </c>
      <c r="I379" s="388">
        <v>93800</v>
      </c>
      <c r="J379" s="380">
        <v>3</v>
      </c>
      <c r="K379" s="389"/>
      <c r="L379" s="387">
        <v>45931</v>
      </c>
      <c r="M379" s="387">
        <v>46295</v>
      </c>
      <c r="N379" s="680"/>
      <c r="O379" s="680"/>
      <c r="P379" s="363" t="s">
        <v>19</v>
      </c>
      <c r="Q379" s="380" t="s">
        <v>1231</v>
      </c>
      <c r="R379" s="380"/>
      <c r="S379" s="390" t="s">
        <v>83</v>
      </c>
      <c r="T379" s="363" t="s">
        <v>454</v>
      </c>
      <c r="U379" s="390" t="s">
        <v>1455</v>
      </c>
      <c r="V379" s="363" t="s">
        <v>695</v>
      </c>
      <c r="W379" s="390" t="s">
        <v>406</v>
      </c>
      <c r="X379" s="363" t="s">
        <v>2046</v>
      </c>
      <c r="Y379" s="363"/>
      <c r="Z379" s="363"/>
      <c r="AA379" s="363"/>
      <c r="AB379" s="363"/>
      <c r="AC379" s="363"/>
      <c r="AD379" s="363"/>
      <c r="AE379" s="363" t="s">
        <v>183</v>
      </c>
      <c r="AF379" s="380" t="s">
        <v>97</v>
      </c>
      <c r="AG379" s="380">
        <v>1</v>
      </c>
      <c r="AH379" s="363" t="s">
        <v>799</v>
      </c>
    </row>
    <row r="380" spans="2:34" ht="15" customHeight="1" x14ac:dyDescent="0.3">
      <c r="B380" s="380" t="s">
        <v>0</v>
      </c>
      <c r="C380" s="482" t="s">
        <v>544</v>
      </c>
      <c r="D380" s="483" t="s">
        <v>545</v>
      </c>
      <c r="E380" s="468">
        <v>1250053807</v>
      </c>
      <c r="F380" s="760">
        <v>46027</v>
      </c>
      <c r="G380" s="380" t="s">
        <v>643</v>
      </c>
      <c r="H380" s="380">
        <v>2</v>
      </c>
      <c r="I380" s="388">
        <v>156000</v>
      </c>
      <c r="J380" s="380">
        <v>3</v>
      </c>
      <c r="K380" s="389">
        <f t="shared" si="17"/>
        <v>52000</v>
      </c>
      <c r="L380" s="387">
        <v>46035</v>
      </c>
      <c r="M380" s="387">
        <v>46399</v>
      </c>
      <c r="N380" s="680"/>
      <c r="O380" s="680"/>
      <c r="P380" s="363" t="s">
        <v>520</v>
      </c>
      <c r="Q380" s="380"/>
      <c r="R380" s="380"/>
      <c r="S380" s="390" t="s">
        <v>1456</v>
      </c>
      <c r="T380" s="363" t="s">
        <v>1162</v>
      </c>
      <c r="U380" s="390" t="s">
        <v>1457</v>
      </c>
      <c r="V380" s="363" t="s">
        <v>1859</v>
      </c>
      <c r="W380" s="363" t="s">
        <v>1458</v>
      </c>
      <c r="X380" s="363"/>
      <c r="Y380" s="363"/>
      <c r="Z380" s="363"/>
      <c r="AA380" s="363"/>
      <c r="AB380" s="363"/>
      <c r="AC380" s="363"/>
      <c r="AD380" s="363"/>
      <c r="AE380" s="363" t="s">
        <v>551</v>
      </c>
      <c r="AF380" s="380" t="s">
        <v>207</v>
      </c>
      <c r="AG380" s="380">
        <v>3</v>
      </c>
      <c r="AH380" s="363" t="s">
        <v>799</v>
      </c>
    </row>
    <row r="381" spans="2:34" ht="15" customHeight="1" x14ac:dyDescent="0.3">
      <c r="B381" s="380" t="s">
        <v>0</v>
      </c>
      <c r="C381" s="409" t="s">
        <v>595</v>
      </c>
      <c r="D381" s="418" t="s">
        <v>596</v>
      </c>
      <c r="E381" s="498">
        <v>7710030270</v>
      </c>
      <c r="F381" s="760">
        <v>46034</v>
      </c>
      <c r="G381" s="380" t="s">
        <v>643</v>
      </c>
      <c r="H381" s="380">
        <v>10</v>
      </c>
      <c r="I381" s="388">
        <v>500000</v>
      </c>
      <c r="J381" s="380">
        <v>2</v>
      </c>
      <c r="K381" s="389">
        <f t="shared" si="17"/>
        <v>250000</v>
      </c>
      <c r="L381" s="387">
        <v>46023</v>
      </c>
      <c r="M381" s="387">
        <v>46387</v>
      </c>
      <c r="N381" s="680">
        <v>154950</v>
      </c>
      <c r="O381" s="680">
        <v>4405</v>
      </c>
      <c r="P381" s="363" t="s">
        <v>520</v>
      </c>
      <c r="Q381" s="389"/>
      <c r="R381" s="380"/>
      <c r="S381" s="390" t="s">
        <v>607</v>
      </c>
      <c r="T381" s="363" t="s">
        <v>2047</v>
      </c>
      <c r="U381" s="363" t="s">
        <v>608</v>
      </c>
      <c r="V381" s="363"/>
      <c r="W381" s="363"/>
      <c r="X381" s="363"/>
      <c r="Y381" s="363"/>
      <c r="Z381" s="363"/>
      <c r="AA381" s="363"/>
      <c r="AB381" s="363"/>
      <c r="AC381" s="363"/>
      <c r="AD381" s="363"/>
      <c r="AE381" s="363" t="s">
        <v>478</v>
      </c>
      <c r="AF381" s="380" t="s">
        <v>63</v>
      </c>
      <c r="AG381" s="380">
        <v>2</v>
      </c>
      <c r="AH381" s="363" t="s">
        <v>667</v>
      </c>
    </row>
    <row r="382" spans="2:34" ht="15" customHeight="1" x14ac:dyDescent="0.3">
      <c r="B382" s="380" t="s">
        <v>0</v>
      </c>
      <c r="C382" s="409" t="s">
        <v>1330</v>
      </c>
      <c r="D382" s="423" t="s">
        <v>323</v>
      </c>
      <c r="E382" s="419" t="s">
        <v>1459</v>
      </c>
      <c r="F382" s="760">
        <v>46032</v>
      </c>
      <c r="G382" s="380" t="s">
        <v>643</v>
      </c>
      <c r="H382" s="380">
        <v>1</v>
      </c>
      <c r="I382" s="388">
        <v>109200</v>
      </c>
      <c r="J382" s="380">
        <v>3</v>
      </c>
      <c r="K382" s="389">
        <f t="shared" si="17"/>
        <v>36400</v>
      </c>
      <c r="L382" s="387">
        <v>46023</v>
      </c>
      <c r="M382" s="387">
        <v>46387</v>
      </c>
      <c r="N382" s="680">
        <v>154967</v>
      </c>
      <c r="O382" s="680"/>
      <c r="P382" s="363" t="s">
        <v>520</v>
      </c>
      <c r="Q382" s="380"/>
      <c r="R382" s="380"/>
      <c r="S382" s="390" t="s">
        <v>347</v>
      </c>
      <c r="T382" s="363" t="s">
        <v>1314</v>
      </c>
      <c r="U382" s="390" t="s">
        <v>348</v>
      </c>
      <c r="V382" s="363" t="s">
        <v>2048</v>
      </c>
      <c r="W382" s="363" t="s">
        <v>349</v>
      </c>
      <c r="X382" s="363"/>
      <c r="Y382" s="363"/>
      <c r="Z382" s="363"/>
      <c r="AA382" s="363"/>
      <c r="AB382" s="363"/>
      <c r="AC382" s="363"/>
      <c r="AD382" s="363"/>
      <c r="AE382" s="363" t="s">
        <v>96</v>
      </c>
      <c r="AF382" s="380" t="s">
        <v>97</v>
      </c>
      <c r="AG382" s="380" t="s">
        <v>494</v>
      </c>
      <c r="AH382" s="363" t="s">
        <v>667</v>
      </c>
    </row>
    <row r="383" spans="2:34" ht="15" customHeight="1" x14ac:dyDescent="0.3">
      <c r="B383" s="380" t="s">
        <v>0</v>
      </c>
      <c r="C383" s="409" t="s">
        <v>195</v>
      </c>
      <c r="D383" s="483" t="s">
        <v>447</v>
      </c>
      <c r="E383" s="491" t="s">
        <v>1460</v>
      </c>
      <c r="F383" s="760">
        <v>46043</v>
      </c>
      <c r="G383" s="380" t="s">
        <v>643</v>
      </c>
      <c r="H383" s="380"/>
      <c r="I383" s="388">
        <v>706090</v>
      </c>
      <c r="J383" s="380">
        <v>4</v>
      </c>
      <c r="K383" s="389">
        <f t="shared" si="17"/>
        <v>176522.5</v>
      </c>
      <c r="L383" s="387">
        <v>46043</v>
      </c>
      <c r="M383" s="387">
        <v>46407</v>
      </c>
      <c r="N383" s="680">
        <v>154949</v>
      </c>
      <c r="O383" s="680">
        <v>4699</v>
      </c>
      <c r="P383" s="363" t="s">
        <v>520</v>
      </c>
      <c r="Q383" s="389"/>
      <c r="R383" s="389"/>
      <c r="S383" s="390" t="s">
        <v>1461</v>
      </c>
      <c r="T383" s="363" t="s">
        <v>1957</v>
      </c>
      <c r="U383" s="390" t="s">
        <v>1462</v>
      </c>
      <c r="V383" s="363" t="s">
        <v>1958</v>
      </c>
      <c r="W383" s="363" t="s">
        <v>1463</v>
      </c>
      <c r="X383" s="363"/>
      <c r="Y383" s="363" t="s">
        <v>1464</v>
      </c>
      <c r="Z383" s="363"/>
      <c r="AA383" s="363"/>
      <c r="AB383" s="363"/>
      <c r="AC383" s="363"/>
      <c r="AD383" s="363"/>
      <c r="AE383" s="363" t="s">
        <v>96</v>
      </c>
      <c r="AF383" s="380" t="s">
        <v>97</v>
      </c>
      <c r="AG383" s="380" t="s">
        <v>494</v>
      </c>
      <c r="AH383" s="363" t="s">
        <v>667</v>
      </c>
    </row>
    <row r="384" spans="2:34" ht="15" customHeight="1" x14ac:dyDescent="0.3">
      <c r="B384" s="380" t="s">
        <v>0</v>
      </c>
      <c r="C384" s="409" t="s">
        <v>195</v>
      </c>
      <c r="D384" s="483" t="s">
        <v>447</v>
      </c>
      <c r="E384" s="468" t="s">
        <v>1460</v>
      </c>
      <c r="F384" s="760">
        <v>46043</v>
      </c>
      <c r="G384" s="380" t="s">
        <v>643</v>
      </c>
      <c r="H384" s="380"/>
      <c r="I384" s="388">
        <v>706090</v>
      </c>
      <c r="J384" s="380">
        <v>4</v>
      </c>
      <c r="K384" s="389">
        <f t="shared" si="17"/>
        <v>176522.5</v>
      </c>
      <c r="L384" s="387">
        <v>46408</v>
      </c>
      <c r="M384" s="387">
        <v>46772</v>
      </c>
      <c r="N384" s="680"/>
      <c r="O384" s="680"/>
      <c r="P384" s="363" t="s">
        <v>520</v>
      </c>
      <c r="Q384" s="380"/>
      <c r="R384" s="380"/>
      <c r="S384" s="363" t="s">
        <v>1465</v>
      </c>
      <c r="T384" s="363"/>
      <c r="U384" s="363" t="s">
        <v>1466</v>
      </c>
      <c r="V384" s="363"/>
      <c r="W384" s="363" t="s">
        <v>1467</v>
      </c>
      <c r="X384" s="363"/>
      <c r="Y384" s="363" t="s">
        <v>1468</v>
      </c>
      <c r="Z384" s="363"/>
      <c r="AA384" s="363"/>
      <c r="AB384" s="363"/>
      <c r="AC384" s="363"/>
      <c r="AD384" s="363"/>
      <c r="AE384" s="363" t="s">
        <v>96</v>
      </c>
      <c r="AF384" s="380" t="s">
        <v>97</v>
      </c>
      <c r="AG384" s="380" t="s">
        <v>494</v>
      </c>
      <c r="AH384" s="363" t="s">
        <v>667</v>
      </c>
    </row>
    <row r="385" spans="2:34" ht="15" customHeight="1" x14ac:dyDescent="0.3">
      <c r="B385" s="380" t="s">
        <v>0</v>
      </c>
      <c r="C385" s="409" t="s">
        <v>195</v>
      </c>
      <c r="D385" s="483" t="s">
        <v>447</v>
      </c>
      <c r="E385" s="468" t="s">
        <v>1460</v>
      </c>
      <c r="F385" s="760">
        <v>46043</v>
      </c>
      <c r="G385" s="380" t="s">
        <v>643</v>
      </c>
      <c r="H385" s="380">
        <v>11</v>
      </c>
      <c r="I385" s="388">
        <v>706090</v>
      </c>
      <c r="J385" s="380">
        <v>4</v>
      </c>
      <c r="K385" s="389">
        <f t="shared" si="17"/>
        <v>176522.5</v>
      </c>
      <c r="L385" s="387">
        <v>46773</v>
      </c>
      <c r="M385" s="387">
        <v>47138</v>
      </c>
      <c r="N385" s="680"/>
      <c r="O385" s="680"/>
      <c r="P385" s="363" t="s">
        <v>520</v>
      </c>
      <c r="Q385" s="380"/>
      <c r="R385" s="380"/>
      <c r="S385" s="363" t="s">
        <v>1469</v>
      </c>
      <c r="T385" s="363"/>
      <c r="U385" s="363" t="s">
        <v>1470</v>
      </c>
      <c r="V385" s="363"/>
      <c r="W385" s="363" t="s">
        <v>1471</v>
      </c>
      <c r="X385" s="363"/>
      <c r="Y385" s="363" t="s">
        <v>1472</v>
      </c>
      <c r="Z385" s="363"/>
      <c r="AA385" s="363"/>
      <c r="AB385" s="363"/>
      <c r="AC385" s="363"/>
      <c r="AD385" s="363"/>
      <c r="AE385" s="363" t="s">
        <v>96</v>
      </c>
      <c r="AF385" s="380" t="s">
        <v>97</v>
      </c>
      <c r="AG385" s="380" t="s">
        <v>494</v>
      </c>
      <c r="AH385" s="363" t="s">
        <v>667</v>
      </c>
    </row>
    <row r="386" spans="2:34" ht="15" customHeight="1" x14ac:dyDescent="0.3">
      <c r="B386" s="380" t="s">
        <v>0</v>
      </c>
      <c r="C386" s="482" t="s">
        <v>1473</v>
      </c>
      <c r="D386" s="483" t="s">
        <v>1474</v>
      </c>
      <c r="E386" s="491">
        <v>4340105757</v>
      </c>
      <c r="F386" s="760">
        <v>46020</v>
      </c>
      <c r="G386" s="380" t="s">
        <v>643</v>
      </c>
      <c r="H386" s="380">
        <v>8</v>
      </c>
      <c r="I386" s="388">
        <v>736117.2</v>
      </c>
      <c r="J386" s="380">
        <v>3</v>
      </c>
      <c r="K386" s="389">
        <f t="shared" si="17"/>
        <v>245372.4</v>
      </c>
      <c r="L386" s="387">
        <v>46023</v>
      </c>
      <c r="M386" s="387">
        <v>46387</v>
      </c>
      <c r="N386" s="680">
        <v>154871</v>
      </c>
      <c r="O386" s="680"/>
      <c r="P386" s="363" t="s">
        <v>520</v>
      </c>
      <c r="Q386" s="380"/>
      <c r="R386" s="380"/>
      <c r="S386" s="390" t="s">
        <v>347</v>
      </c>
      <c r="T386" s="363" t="s">
        <v>1475</v>
      </c>
      <c r="U386" s="390" t="s">
        <v>348</v>
      </c>
      <c r="V386" s="363" t="s">
        <v>2001</v>
      </c>
      <c r="W386" s="363" t="s">
        <v>349</v>
      </c>
      <c r="X386" s="363"/>
      <c r="Y386" s="363"/>
      <c r="Z386" s="363"/>
      <c r="AA386" s="363"/>
      <c r="AB386" s="363"/>
      <c r="AC386" s="363"/>
      <c r="AD386" s="363"/>
      <c r="AE386" s="363" t="s">
        <v>551</v>
      </c>
      <c r="AF386" s="380" t="s">
        <v>207</v>
      </c>
      <c r="AG386" s="380">
        <v>3</v>
      </c>
      <c r="AH386" s="363" t="s">
        <v>667</v>
      </c>
    </row>
    <row r="387" spans="2:34" ht="15" customHeight="1" x14ac:dyDescent="0.3">
      <c r="B387" s="380" t="s">
        <v>0</v>
      </c>
      <c r="C387" s="412" t="s">
        <v>614</v>
      </c>
      <c r="D387" s="437" t="s">
        <v>984</v>
      </c>
      <c r="E387" s="414" t="s">
        <v>1476</v>
      </c>
      <c r="F387" s="762">
        <v>46028</v>
      </c>
      <c r="G387" s="380" t="s">
        <v>643</v>
      </c>
      <c r="H387" s="380">
        <v>1</v>
      </c>
      <c r="I387" s="388">
        <v>76440</v>
      </c>
      <c r="J387" s="380">
        <v>3</v>
      </c>
      <c r="K387" s="389">
        <f t="shared" si="17"/>
        <v>25480</v>
      </c>
      <c r="L387" s="387">
        <v>46023</v>
      </c>
      <c r="M387" s="387">
        <v>46387</v>
      </c>
      <c r="N387" s="680"/>
      <c r="O387" s="680"/>
      <c r="P387" s="363" t="s">
        <v>520</v>
      </c>
      <c r="Q387" s="380"/>
      <c r="R387" s="380"/>
      <c r="S387" s="390" t="s">
        <v>347</v>
      </c>
      <c r="T387" s="363" t="s">
        <v>1169</v>
      </c>
      <c r="U387" s="390" t="s">
        <v>348</v>
      </c>
      <c r="V387" s="363" t="s">
        <v>2045</v>
      </c>
      <c r="W387" s="363" t="s">
        <v>349</v>
      </c>
      <c r="X387" s="363"/>
      <c r="Y387" s="363"/>
      <c r="Z387" s="363"/>
      <c r="AA387" s="363"/>
      <c r="AB387" s="363"/>
      <c r="AC387" s="363"/>
      <c r="AD387" s="363"/>
      <c r="AE387" s="363" t="s">
        <v>281</v>
      </c>
      <c r="AF387" s="380" t="s">
        <v>97</v>
      </c>
      <c r="AG387" s="380">
        <v>3</v>
      </c>
      <c r="AH387" s="363" t="s">
        <v>1060</v>
      </c>
    </row>
    <row r="388" spans="2:34" ht="15" customHeight="1" x14ac:dyDescent="0.3">
      <c r="B388" s="380" t="s">
        <v>0</v>
      </c>
      <c r="C388" s="412" t="s">
        <v>614</v>
      </c>
      <c r="D388" s="463" t="s">
        <v>1016</v>
      </c>
      <c r="E388" s="465" t="s">
        <v>1477</v>
      </c>
      <c r="F388" s="763">
        <v>46041</v>
      </c>
      <c r="G388" s="380" t="s">
        <v>643</v>
      </c>
      <c r="H388" s="380">
        <v>2</v>
      </c>
      <c r="I388" s="388">
        <v>152880</v>
      </c>
      <c r="J388" s="380">
        <v>3</v>
      </c>
      <c r="K388" s="389"/>
      <c r="L388" s="387">
        <v>46023</v>
      </c>
      <c r="M388" s="387">
        <v>46387</v>
      </c>
      <c r="N388" s="680"/>
      <c r="O388" s="680"/>
      <c r="P388" s="363" t="s">
        <v>520</v>
      </c>
      <c r="Q388" s="380"/>
      <c r="R388" s="380"/>
      <c r="S388" s="390" t="s">
        <v>347</v>
      </c>
      <c r="T388" s="363" t="s">
        <v>1450</v>
      </c>
      <c r="U388" s="390" t="s">
        <v>348</v>
      </c>
      <c r="V388" s="363" t="s">
        <v>2030</v>
      </c>
      <c r="W388" s="363" t="s">
        <v>349</v>
      </c>
      <c r="X388" s="363"/>
      <c r="Y388" s="363"/>
      <c r="Z388" s="363"/>
      <c r="AA388" s="363"/>
      <c r="AB388" s="363"/>
      <c r="AC388" s="363"/>
      <c r="AD388" s="363"/>
      <c r="AE388" s="363" t="s">
        <v>619</v>
      </c>
      <c r="AF388" s="380" t="s">
        <v>63</v>
      </c>
      <c r="AG388" s="380">
        <v>3</v>
      </c>
      <c r="AH388" s="363" t="s">
        <v>1060</v>
      </c>
    </row>
    <row r="389" spans="2:34" ht="15" customHeight="1" x14ac:dyDescent="0.3">
      <c r="B389" s="380" t="s">
        <v>0</v>
      </c>
      <c r="C389" s="409" t="s">
        <v>614</v>
      </c>
      <c r="D389" s="418" t="s">
        <v>1016</v>
      </c>
      <c r="E389" s="414" t="s">
        <v>1478</v>
      </c>
      <c r="F389" s="760">
        <v>46029</v>
      </c>
      <c r="G389" s="380" t="s">
        <v>643</v>
      </c>
      <c r="H389" s="380">
        <v>2</v>
      </c>
      <c r="I389" s="388">
        <v>152880</v>
      </c>
      <c r="J389" s="380">
        <v>3</v>
      </c>
      <c r="K389" s="389"/>
      <c r="L389" s="387">
        <v>46023</v>
      </c>
      <c r="M389" s="387">
        <v>46387</v>
      </c>
      <c r="N389" s="680"/>
      <c r="O389" s="680"/>
      <c r="P389" s="363" t="s">
        <v>520</v>
      </c>
      <c r="Q389" s="380"/>
      <c r="R389" s="380"/>
      <c r="S389" s="390" t="s">
        <v>347</v>
      </c>
      <c r="T389" s="363" t="s">
        <v>909</v>
      </c>
      <c r="U389" s="390" t="s">
        <v>348</v>
      </c>
      <c r="V389" s="363" t="s">
        <v>2049</v>
      </c>
      <c r="W389" s="363" t="s">
        <v>349</v>
      </c>
      <c r="X389" s="363"/>
      <c r="Y389" s="363"/>
      <c r="Z389" s="363"/>
      <c r="AA389" s="363"/>
      <c r="AB389" s="363"/>
      <c r="AC389" s="363"/>
      <c r="AD389" s="363"/>
      <c r="AE389" s="363" t="s">
        <v>619</v>
      </c>
      <c r="AF389" s="380" t="s">
        <v>63</v>
      </c>
      <c r="AG389" s="380">
        <v>3</v>
      </c>
      <c r="AH389" s="363" t="s">
        <v>1060</v>
      </c>
    </row>
    <row r="390" spans="2:34" ht="15" customHeight="1" x14ac:dyDescent="0.3">
      <c r="B390" s="380" t="s">
        <v>0</v>
      </c>
      <c r="C390" s="482" t="s">
        <v>1429</v>
      </c>
      <c r="D390" s="483" t="s">
        <v>388</v>
      </c>
      <c r="E390" s="491" t="s">
        <v>1479</v>
      </c>
      <c r="F390" s="764">
        <v>46035</v>
      </c>
      <c r="G390" s="380" t="s">
        <v>643</v>
      </c>
      <c r="H390" s="380">
        <v>4</v>
      </c>
      <c r="I390" s="388">
        <v>329200</v>
      </c>
      <c r="J390" s="380">
        <v>2</v>
      </c>
      <c r="K390" s="389">
        <f t="shared" si="17"/>
        <v>164600</v>
      </c>
      <c r="L390" s="387">
        <v>46023</v>
      </c>
      <c r="M390" s="387">
        <v>46387</v>
      </c>
      <c r="N390" s="680"/>
      <c r="O390" s="680"/>
      <c r="P390" s="363" t="s">
        <v>520</v>
      </c>
      <c r="Q390" s="380"/>
      <c r="R390" s="380"/>
      <c r="S390" s="390" t="s">
        <v>607</v>
      </c>
      <c r="T390" s="363" t="s">
        <v>1959</v>
      </c>
      <c r="U390" s="363" t="s">
        <v>608</v>
      </c>
      <c r="V390" s="363"/>
      <c r="W390" s="363"/>
      <c r="X390" s="363"/>
      <c r="Y390" s="363"/>
      <c r="Z390" s="363"/>
      <c r="AA390" s="363"/>
      <c r="AB390" s="363"/>
      <c r="AC390" s="363"/>
      <c r="AD390" s="363"/>
      <c r="AE390" s="363" t="s">
        <v>619</v>
      </c>
      <c r="AF390" s="380" t="s">
        <v>63</v>
      </c>
      <c r="AG390" s="380">
        <v>3</v>
      </c>
      <c r="AH390" s="363" t="s">
        <v>667</v>
      </c>
    </row>
    <row r="391" spans="2:34" ht="15" customHeight="1" x14ac:dyDescent="0.3">
      <c r="B391" s="380" t="s">
        <v>0</v>
      </c>
      <c r="C391" s="482" t="s">
        <v>1480</v>
      </c>
      <c r="D391" s="483" t="s">
        <v>1481</v>
      </c>
      <c r="E391" s="468">
        <v>6025000320</v>
      </c>
      <c r="F391" s="760">
        <v>45986</v>
      </c>
      <c r="G391" s="380" t="s">
        <v>643</v>
      </c>
      <c r="H391" s="380">
        <v>1</v>
      </c>
      <c r="I391" s="388">
        <v>115500</v>
      </c>
      <c r="J391" s="380">
        <v>3</v>
      </c>
      <c r="K391" s="391">
        <f t="shared" si="17"/>
        <v>38500</v>
      </c>
      <c r="L391" s="387">
        <v>45931</v>
      </c>
      <c r="M391" s="387">
        <v>46295</v>
      </c>
      <c r="N391" s="680"/>
      <c r="O391" s="680"/>
      <c r="P391" s="363" t="s">
        <v>520</v>
      </c>
      <c r="Q391" s="380"/>
      <c r="R391" s="380"/>
      <c r="S391" s="390" t="s">
        <v>83</v>
      </c>
      <c r="T391" s="363" t="s">
        <v>573</v>
      </c>
      <c r="U391" s="390" t="s">
        <v>404</v>
      </c>
      <c r="V391" s="363" t="s">
        <v>1713</v>
      </c>
      <c r="W391" s="363" t="s">
        <v>406</v>
      </c>
      <c r="X391" s="363"/>
      <c r="Y391" s="363"/>
      <c r="Z391" s="363"/>
      <c r="AA391" s="363"/>
      <c r="AB391" s="363"/>
      <c r="AC391" s="363"/>
      <c r="AD391" s="363"/>
      <c r="AE391" s="363" t="s">
        <v>183</v>
      </c>
      <c r="AF391" s="380" t="s">
        <v>97</v>
      </c>
      <c r="AG391" s="380">
        <v>3</v>
      </c>
      <c r="AH391" s="363" t="s">
        <v>667</v>
      </c>
    </row>
    <row r="392" spans="2:34" ht="15" customHeight="1" x14ac:dyDescent="0.3">
      <c r="B392" s="380" t="s">
        <v>0</v>
      </c>
      <c r="C392" s="482" t="s">
        <v>604</v>
      </c>
      <c r="D392" s="483" t="s">
        <v>620</v>
      </c>
      <c r="E392" s="468">
        <v>5700204128</v>
      </c>
      <c r="F392" s="760">
        <v>46030</v>
      </c>
      <c r="G392" s="380" t="s">
        <v>643</v>
      </c>
      <c r="H392" s="380"/>
      <c r="I392" s="388">
        <f>1893360/2</f>
        <v>946680</v>
      </c>
      <c r="J392" s="380">
        <v>2</v>
      </c>
      <c r="K392" s="389">
        <f t="shared" si="17"/>
        <v>473340</v>
      </c>
      <c r="L392" s="387">
        <v>46023</v>
      </c>
      <c r="M392" s="387">
        <v>46387</v>
      </c>
      <c r="N392" s="680">
        <v>155021</v>
      </c>
      <c r="O392" s="680">
        <v>4682</v>
      </c>
      <c r="P392" s="363" t="s">
        <v>520</v>
      </c>
      <c r="Q392" s="380"/>
      <c r="R392" s="380"/>
      <c r="S392" s="390" t="s">
        <v>486</v>
      </c>
      <c r="T392" s="363" t="s">
        <v>798</v>
      </c>
      <c r="U392" s="390" t="s">
        <v>608</v>
      </c>
      <c r="V392" s="363" t="s">
        <v>2018</v>
      </c>
      <c r="W392" s="363"/>
      <c r="X392" s="363"/>
      <c r="Y392" s="363"/>
      <c r="Z392" s="363"/>
      <c r="AA392" s="363"/>
      <c r="AB392" s="363"/>
      <c r="AC392" s="363"/>
      <c r="AD392" s="363"/>
      <c r="AE392" s="363" t="s">
        <v>619</v>
      </c>
      <c r="AF392" s="380" t="s">
        <v>63</v>
      </c>
      <c r="AG392" s="380">
        <v>3</v>
      </c>
      <c r="AH392" s="363" t="s">
        <v>799</v>
      </c>
    </row>
    <row r="393" spans="2:34" ht="15" customHeight="1" x14ac:dyDescent="0.3">
      <c r="B393" s="380" t="s">
        <v>0</v>
      </c>
      <c r="C393" s="482" t="s">
        <v>604</v>
      </c>
      <c r="D393" s="483" t="s">
        <v>620</v>
      </c>
      <c r="E393" s="468">
        <v>5700204128</v>
      </c>
      <c r="F393" s="760">
        <v>46030</v>
      </c>
      <c r="G393" s="380" t="s">
        <v>643</v>
      </c>
      <c r="H393" s="380">
        <v>8</v>
      </c>
      <c r="I393" s="388">
        <f>1893360/2</f>
        <v>946680</v>
      </c>
      <c r="J393" s="380">
        <v>2</v>
      </c>
      <c r="K393" s="389">
        <f t="shared" si="17"/>
        <v>473340</v>
      </c>
      <c r="L393" s="387">
        <v>46388</v>
      </c>
      <c r="M393" s="387">
        <v>46752</v>
      </c>
      <c r="N393" s="680"/>
      <c r="O393" s="680"/>
      <c r="P393" s="363" t="s">
        <v>520</v>
      </c>
      <c r="Q393" s="380"/>
      <c r="R393" s="380"/>
      <c r="S393" s="363" t="s">
        <v>1119</v>
      </c>
      <c r="T393" s="363"/>
      <c r="U393" s="363" t="s">
        <v>1482</v>
      </c>
      <c r="V393" s="363"/>
      <c r="W393" s="363"/>
      <c r="X393" s="363"/>
      <c r="Y393" s="363"/>
      <c r="Z393" s="363"/>
      <c r="AA393" s="363"/>
      <c r="AB393" s="363"/>
      <c r="AC393" s="363"/>
      <c r="AD393" s="363"/>
      <c r="AE393" s="363" t="s">
        <v>619</v>
      </c>
      <c r="AF393" s="380" t="s">
        <v>63</v>
      </c>
      <c r="AG393" s="380">
        <v>3</v>
      </c>
      <c r="AH393" s="363" t="s">
        <v>799</v>
      </c>
    </row>
    <row r="394" spans="2:34" ht="15" customHeight="1" x14ac:dyDescent="0.3">
      <c r="B394" s="380" t="s">
        <v>0</v>
      </c>
      <c r="C394" s="409" t="s">
        <v>614</v>
      </c>
      <c r="D394" s="423" t="s">
        <v>1483</v>
      </c>
      <c r="E394" s="502" t="s">
        <v>1484</v>
      </c>
      <c r="F394" s="760">
        <v>45677</v>
      </c>
      <c r="G394" s="380" t="s">
        <v>643</v>
      </c>
      <c r="H394" s="380">
        <v>2</v>
      </c>
      <c r="I394" s="388">
        <v>158000</v>
      </c>
      <c r="J394" s="380">
        <v>3</v>
      </c>
      <c r="K394" s="389">
        <f t="shared" si="17"/>
        <v>52666.666666666664</v>
      </c>
      <c r="L394" s="387">
        <v>46054</v>
      </c>
      <c r="M394" s="387">
        <v>46418</v>
      </c>
      <c r="N394" s="680"/>
      <c r="O394" s="680"/>
      <c r="P394" s="363" t="s">
        <v>520</v>
      </c>
      <c r="Q394" s="380"/>
      <c r="R394" s="380"/>
      <c r="S394" s="390" t="s">
        <v>1455</v>
      </c>
      <c r="T394" s="363" t="s">
        <v>1485</v>
      </c>
      <c r="U394" s="390" t="s">
        <v>406</v>
      </c>
      <c r="V394" s="363" t="s">
        <v>2016</v>
      </c>
      <c r="W394" s="363" t="s">
        <v>407</v>
      </c>
      <c r="X394" s="363"/>
      <c r="Y394" s="363"/>
      <c r="Z394" s="363"/>
      <c r="AA394" s="363"/>
      <c r="AB394" s="363"/>
      <c r="AC394" s="363"/>
      <c r="AD394" s="363"/>
      <c r="AE394" s="363" t="s">
        <v>834</v>
      </c>
      <c r="AF394" s="380" t="s">
        <v>207</v>
      </c>
      <c r="AG394" s="380">
        <v>3</v>
      </c>
      <c r="AH394" s="363" t="s">
        <v>829</v>
      </c>
    </row>
    <row r="395" spans="2:34" ht="15" customHeight="1" x14ac:dyDescent="0.3">
      <c r="B395" s="380" t="s">
        <v>0</v>
      </c>
      <c r="C395" s="409" t="s">
        <v>614</v>
      </c>
      <c r="D395" s="423" t="s">
        <v>1483</v>
      </c>
      <c r="E395" s="393" t="s">
        <v>1486</v>
      </c>
      <c r="F395" s="760">
        <v>46006</v>
      </c>
      <c r="G395" s="380" t="s">
        <v>643</v>
      </c>
      <c r="H395" s="380">
        <v>3</v>
      </c>
      <c r="I395" s="388">
        <v>237000</v>
      </c>
      <c r="J395" s="380">
        <v>3</v>
      </c>
      <c r="K395" s="389">
        <f t="shared" ref="K395:K425" si="18">I395/J395</f>
        <v>79000</v>
      </c>
      <c r="L395" s="387">
        <v>46023</v>
      </c>
      <c r="M395" s="387">
        <v>46387</v>
      </c>
      <c r="N395" s="680"/>
      <c r="O395" s="680"/>
      <c r="P395" s="363" t="s">
        <v>520</v>
      </c>
      <c r="Q395" s="380"/>
      <c r="R395" s="380"/>
      <c r="S395" s="390" t="s">
        <v>347</v>
      </c>
      <c r="T395" s="363" t="s">
        <v>1262</v>
      </c>
      <c r="U395" s="390" t="s">
        <v>348</v>
      </c>
      <c r="V395" s="363" t="s">
        <v>1727</v>
      </c>
      <c r="W395" s="363" t="s">
        <v>349</v>
      </c>
      <c r="X395" s="363"/>
      <c r="Y395" s="363"/>
      <c r="Z395" s="363"/>
      <c r="AA395" s="363"/>
      <c r="AB395" s="363"/>
      <c r="AC395" s="363"/>
      <c r="AD395" s="363"/>
      <c r="AE395" s="363" t="s">
        <v>834</v>
      </c>
      <c r="AF395" s="380" t="s">
        <v>207</v>
      </c>
      <c r="AG395" s="380">
        <v>3</v>
      </c>
      <c r="AH395" s="363" t="s">
        <v>799</v>
      </c>
    </row>
    <row r="396" spans="2:34" ht="15" customHeight="1" x14ac:dyDescent="0.3">
      <c r="B396" s="380" t="s">
        <v>0</v>
      </c>
      <c r="C396" s="412" t="s">
        <v>1487</v>
      </c>
      <c r="D396" s="726" t="s">
        <v>841</v>
      </c>
      <c r="E396" s="725">
        <v>91049299</v>
      </c>
      <c r="F396" s="760">
        <v>46035</v>
      </c>
      <c r="G396" s="380" t="s">
        <v>643</v>
      </c>
      <c r="H396" s="380"/>
      <c r="I396" s="388">
        <v>275625</v>
      </c>
      <c r="J396" s="380">
        <v>2</v>
      </c>
      <c r="K396" s="389"/>
      <c r="L396" s="387">
        <v>46023</v>
      </c>
      <c r="M396" s="387">
        <v>46387</v>
      </c>
      <c r="N396" s="680">
        <v>155007</v>
      </c>
      <c r="O396" s="680">
        <v>3591</v>
      </c>
      <c r="P396" s="363" t="s">
        <v>520</v>
      </c>
      <c r="Q396" s="380"/>
      <c r="R396" s="380"/>
      <c r="S396" s="390" t="s">
        <v>607</v>
      </c>
      <c r="T396" s="363" t="s">
        <v>2050</v>
      </c>
      <c r="U396" s="363" t="s">
        <v>608</v>
      </c>
      <c r="V396" s="363"/>
      <c r="W396" s="363"/>
      <c r="X396" s="363"/>
      <c r="Y396" s="363"/>
      <c r="Z396" s="363"/>
      <c r="AA396" s="363"/>
      <c r="AB396" s="363"/>
      <c r="AC396" s="363"/>
      <c r="AD396" s="363"/>
      <c r="AE396" s="363" t="s">
        <v>485</v>
      </c>
      <c r="AF396" s="380" t="s">
        <v>63</v>
      </c>
      <c r="AG396" s="380">
        <v>3</v>
      </c>
      <c r="AH396" s="363" t="s">
        <v>1488</v>
      </c>
    </row>
    <row r="397" spans="2:34" ht="15" customHeight="1" x14ac:dyDescent="0.3">
      <c r="B397" s="380" t="s">
        <v>0</v>
      </c>
      <c r="C397" s="409" t="s">
        <v>1487</v>
      </c>
      <c r="D397" s="434" t="s">
        <v>841</v>
      </c>
      <c r="E397" s="472">
        <v>91049299</v>
      </c>
      <c r="F397" s="760">
        <v>46035</v>
      </c>
      <c r="G397" s="380" t="s">
        <v>643</v>
      </c>
      <c r="H397" s="380"/>
      <c r="I397" s="388">
        <v>275625</v>
      </c>
      <c r="J397" s="380">
        <v>2</v>
      </c>
      <c r="K397" s="389"/>
      <c r="L397" s="387">
        <v>46388</v>
      </c>
      <c r="M397" s="387">
        <v>46752</v>
      </c>
      <c r="N397" s="680"/>
      <c r="O397" s="680"/>
      <c r="P397" s="363" t="s">
        <v>520</v>
      </c>
      <c r="Q397" s="380"/>
      <c r="R397" s="380"/>
      <c r="S397" s="363" t="s">
        <v>1119</v>
      </c>
      <c r="T397" s="363"/>
      <c r="U397" s="363" t="s">
        <v>1482</v>
      </c>
      <c r="V397" s="363"/>
      <c r="W397" s="363"/>
      <c r="X397" s="363"/>
      <c r="Y397" s="363"/>
      <c r="Z397" s="363"/>
      <c r="AA397" s="363"/>
      <c r="AB397" s="363"/>
      <c r="AC397" s="363"/>
      <c r="AD397" s="363"/>
      <c r="AE397" s="363" t="s">
        <v>485</v>
      </c>
      <c r="AF397" s="380" t="s">
        <v>63</v>
      </c>
      <c r="AG397" s="380">
        <v>3</v>
      </c>
      <c r="AH397" s="363" t="s">
        <v>1488</v>
      </c>
    </row>
    <row r="398" spans="2:34" ht="15" customHeight="1" x14ac:dyDescent="0.3">
      <c r="B398" s="380" t="s">
        <v>0</v>
      </c>
      <c r="C398" s="409" t="s">
        <v>1487</v>
      </c>
      <c r="D398" s="434" t="s">
        <v>841</v>
      </c>
      <c r="E398" s="472">
        <v>91049299</v>
      </c>
      <c r="F398" s="760">
        <v>46035</v>
      </c>
      <c r="G398" s="380" t="s">
        <v>643</v>
      </c>
      <c r="H398" s="380">
        <v>5</v>
      </c>
      <c r="I398" s="388">
        <v>275625</v>
      </c>
      <c r="J398" s="380">
        <v>2</v>
      </c>
      <c r="K398" s="389"/>
      <c r="L398" s="387">
        <v>46753</v>
      </c>
      <c r="M398" s="387">
        <v>47118</v>
      </c>
      <c r="N398" s="680"/>
      <c r="O398" s="680"/>
      <c r="P398" s="363" t="s">
        <v>520</v>
      </c>
      <c r="Q398" s="380"/>
      <c r="R398" s="380"/>
      <c r="S398" s="363" t="s">
        <v>1489</v>
      </c>
      <c r="T398" s="363"/>
      <c r="U398" s="363" t="s">
        <v>1490</v>
      </c>
      <c r="V398" s="363"/>
      <c r="W398" s="363"/>
      <c r="X398" s="363"/>
      <c r="Y398" s="363"/>
      <c r="Z398" s="363"/>
      <c r="AA398" s="363"/>
      <c r="AB398" s="363"/>
      <c r="AC398" s="363"/>
      <c r="AD398" s="363"/>
      <c r="AE398" s="363" t="s">
        <v>485</v>
      </c>
      <c r="AF398" s="380" t="s">
        <v>63</v>
      </c>
      <c r="AG398" s="380">
        <v>3</v>
      </c>
      <c r="AH398" s="363" t="s">
        <v>1488</v>
      </c>
    </row>
    <row r="399" spans="2:34" ht="15" customHeight="1" x14ac:dyDescent="0.3">
      <c r="B399" s="410" t="s">
        <v>2</v>
      </c>
      <c r="C399" s="482" t="s">
        <v>195</v>
      </c>
      <c r="D399" s="483" t="s">
        <v>1491</v>
      </c>
      <c r="E399" s="468" t="s">
        <v>1492</v>
      </c>
      <c r="F399" s="760">
        <v>45982</v>
      </c>
      <c r="G399" s="380" t="s">
        <v>643</v>
      </c>
      <c r="H399" s="380">
        <v>5</v>
      </c>
      <c r="I399" s="388">
        <v>287100</v>
      </c>
      <c r="J399" s="380">
        <v>4</v>
      </c>
      <c r="K399" s="391">
        <f t="shared" si="18"/>
        <v>71775</v>
      </c>
      <c r="L399" s="387">
        <v>45992</v>
      </c>
      <c r="M399" s="387">
        <v>46356</v>
      </c>
      <c r="N399" s="680">
        <v>154593</v>
      </c>
      <c r="O399" s="680">
        <v>4779</v>
      </c>
      <c r="P399" s="363" t="s">
        <v>520</v>
      </c>
      <c r="Q399" s="380"/>
      <c r="R399" s="380"/>
      <c r="S399" s="390" t="s">
        <v>1133</v>
      </c>
      <c r="T399" s="363" t="s">
        <v>1173</v>
      </c>
      <c r="U399" s="390" t="s">
        <v>1134</v>
      </c>
      <c r="V399" s="363" t="s">
        <v>1723</v>
      </c>
      <c r="W399" s="390" t="s">
        <v>1244</v>
      </c>
      <c r="X399" s="363" t="s">
        <v>2051</v>
      </c>
      <c r="Y399" s="363" t="s">
        <v>1245</v>
      </c>
      <c r="Z399" s="363"/>
      <c r="AA399" s="363"/>
      <c r="AB399" s="363"/>
      <c r="AC399" s="363"/>
      <c r="AD399" s="363"/>
      <c r="AE399" s="363" t="s">
        <v>551</v>
      </c>
      <c r="AF399" s="380" t="s">
        <v>207</v>
      </c>
      <c r="AG399" s="380">
        <v>4</v>
      </c>
      <c r="AH399" s="363"/>
    </row>
    <row r="400" spans="2:34" ht="15" customHeight="1" x14ac:dyDescent="0.3">
      <c r="B400" s="380" t="s">
        <v>2</v>
      </c>
      <c r="C400" s="409" t="s">
        <v>1493</v>
      </c>
      <c r="D400" s="423" t="s">
        <v>1114</v>
      </c>
      <c r="E400" s="408" t="s">
        <v>1494</v>
      </c>
      <c r="F400" s="760">
        <v>45995</v>
      </c>
      <c r="G400" s="380" t="s">
        <v>643</v>
      </c>
      <c r="H400" s="380">
        <v>1</v>
      </c>
      <c r="I400" s="388">
        <v>90000</v>
      </c>
      <c r="J400" s="380">
        <v>3</v>
      </c>
      <c r="K400" s="389">
        <f t="shared" si="18"/>
        <v>30000</v>
      </c>
      <c r="L400" s="387">
        <v>45992</v>
      </c>
      <c r="M400" s="387">
        <v>46356</v>
      </c>
      <c r="N400" s="680"/>
      <c r="O400" s="680"/>
      <c r="P400" s="363" t="s">
        <v>520</v>
      </c>
      <c r="Q400" s="380"/>
      <c r="R400" s="380"/>
      <c r="S400" s="390" t="s">
        <v>361</v>
      </c>
      <c r="T400" s="363" t="s">
        <v>386</v>
      </c>
      <c r="U400" s="390" t="s">
        <v>1080</v>
      </c>
      <c r="V400" s="363" t="s">
        <v>1732</v>
      </c>
      <c r="W400" s="363" t="s">
        <v>1108</v>
      </c>
      <c r="X400" s="363"/>
      <c r="Y400" s="363"/>
      <c r="Z400" s="363"/>
      <c r="AA400" s="363"/>
      <c r="AB400" s="363"/>
      <c r="AC400" s="363"/>
      <c r="AD400" s="363"/>
      <c r="AE400" s="363" t="s">
        <v>183</v>
      </c>
      <c r="AF400" s="380" t="s">
        <v>97</v>
      </c>
      <c r="AG400" s="380">
        <v>3</v>
      </c>
      <c r="AH400" s="363" t="s">
        <v>667</v>
      </c>
    </row>
    <row r="401" spans="2:34" ht="15" customHeight="1" x14ac:dyDescent="0.3">
      <c r="B401" s="380" t="s">
        <v>2</v>
      </c>
      <c r="C401" s="482" t="s">
        <v>587</v>
      </c>
      <c r="D401" s="483" t="s">
        <v>176</v>
      </c>
      <c r="E401" s="468">
        <v>4800014029</v>
      </c>
      <c r="F401" s="764">
        <v>46043</v>
      </c>
      <c r="G401" s="380" t="s">
        <v>643</v>
      </c>
      <c r="H401" s="380">
        <v>1</v>
      </c>
      <c r="I401" s="388">
        <v>90667</v>
      </c>
      <c r="J401" s="380">
        <v>2</v>
      </c>
      <c r="K401" s="389">
        <f t="shared" si="18"/>
        <v>45333.5</v>
      </c>
      <c r="L401" s="387">
        <v>46054</v>
      </c>
      <c r="M401" s="387">
        <v>46418</v>
      </c>
      <c r="N401" s="680"/>
      <c r="O401" s="680"/>
      <c r="P401" s="363" t="s">
        <v>520</v>
      </c>
      <c r="Q401" s="380"/>
      <c r="R401" s="380"/>
      <c r="S401" s="390" t="s">
        <v>426</v>
      </c>
      <c r="T401" s="363" t="s">
        <v>1733</v>
      </c>
      <c r="U401" s="363" t="s">
        <v>427</v>
      </c>
      <c r="V401" s="363"/>
      <c r="W401" s="363"/>
      <c r="X401" s="363"/>
      <c r="Y401" s="363"/>
      <c r="Z401" s="363"/>
      <c r="AA401" s="363"/>
      <c r="AB401" s="363"/>
      <c r="AC401" s="363"/>
      <c r="AD401" s="363"/>
      <c r="AE401" s="363" t="s">
        <v>183</v>
      </c>
      <c r="AF401" s="380" t="s">
        <v>97</v>
      </c>
      <c r="AG401" s="380">
        <v>3</v>
      </c>
      <c r="AH401" s="363" t="s">
        <v>1495</v>
      </c>
    </row>
    <row r="402" spans="2:34" ht="15" customHeight="1" x14ac:dyDescent="0.3">
      <c r="B402" s="380" t="s">
        <v>2</v>
      </c>
      <c r="C402" s="482" t="s">
        <v>1497</v>
      </c>
      <c r="D402" s="483" t="s">
        <v>447</v>
      </c>
      <c r="E402" s="380" t="s">
        <v>1498</v>
      </c>
      <c r="F402" s="760">
        <v>46046</v>
      </c>
      <c r="G402" s="380" t="s">
        <v>643</v>
      </c>
      <c r="H402" s="380">
        <v>2</v>
      </c>
      <c r="I402" s="388">
        <v>156090</v>
      </c>
      <c r="J402" s="380">
        <v>3</v>
      </c>
      <c r="K402" s="389">
        <f t="shared" si="18"/>
        <v>52030</v>
      </c>
      <c r="L402" s="387">
        <v>46023</v>
      </c>
      <c r="M402" s="387">
        <v>46387</v>
      </c>
      <c r="N402" s="680">
        <v>155105</v>
      </c>
      <c r="O402" s="680">
        <v>4723</v>
      </c>
      <c r="P402" s="363" t="s">
        <v>520</v>
      </c>
      <c r="Q402" s="380"/>
      <c r="R402" s="380"/>
      <c r="S402" s="390" t="s">
        <v>347</v>
      </c>
      <c r="T402" s="363" t="s">
        <v>495</v>
      </c>
      <c r="U402" s="736" t="s">
        <v>348</v>
      </c>
      <c r="V402" s="363" t="s">
        <v>2052</v>
      </c>
      <c r="W402" s="363" t="s">
        <v>349</v>
      </c>
      <c r="X402" s="363" t="s">
        <v>2053</v>
      </c>
      <c r="Y402" s="363"/>
      <c r="Z402" s="363"/>
      <c r="AA402" s="363"/>
      <c r="AB402" s="363"/>
      <c r="AC402" s="363"/>
      <c r="AD402" s="363"/>
      <c r="AE402" s="363" t="s">
        <v>281</v>
      </c>
      <c r="AF402" s="380" t="s">
        <v>97</v>
      </c>
      <c r="AG402" s="380">
        <v>3</v>
      </c>
      <c r="AH402" s="363"/>
    </row>
    <row r="403" spans="2:34" ht="15" customHeight="1" x14ac:dyDescent="0.3">
      <c r="B403" s="380" t="s">
        <v>2</v>
      </c>
      <c r="C403" s="482" t="s">
        <v>1501</v>
      </c>
      <c r="D403" s="483" t="s">
        <v>151</v>
      </c>
      <c r="E403" s="468">
        <v>10105567</v>
      </c>
      <c r="F403" s="760">
        <v>46055</v>
      </c>
      <c r="G403" s="380" t="s">
        <v>643</v>
      </c>
      <c r="H403" s="380">
        <v>1</v>
      </c>
      <c r="I403" s="388">
        <v>60000</v>
      </c>
      <c r="J403" s="380">
        <v>3</v>
      </c>
      <c r="K403" s="389">
        <f t="shared" si="18"/>
        <v>20000</v>
      </c>
      <c r="L403" s="387">
        <v>46023</v>
      </c>
      <c r="M403" s="387">
        <v>46387</v>
      </c>
      <c r="N403" s="680">
        <v>155131</v>
      </c>
      <c r="O403" s="680">
        <v>4748</v>
      </c>
      <c r="P403" s="363" t="s">
        <v>520</v>
      </c>
      <c r="Q403" s="380"/>
      <c r="R403" s="380"/>
      <c r="S403" s="390" t="s">
        <v>347</v>
      </c>
      <c r="T403" s="363" t="s">
        <v>1044</v>
      </c>
      <c r="U403" s="390" t="s">
        <v>348</v>
      </c>
      <c r="V403" s="363" t="s">
        <v>2054</v>
      </c>
      <c r="W403" s="363" t="s">
        <v>349</v>
      </c>
      <c r="X403" s="363"/>
      <c r="Y403" s="363"/>
      <c r="Z403" s="363"/>
      <c r="AA403" s="363"/>
      <c r="AB403" s="363"/>
      <c r="AC403" s="363"/>
      <c r="AD403" s="363"/>
      <c r="AE403" s="363" t="s">
        <v>478</v>
      </c>
      <c r="AF403" s="380" t="s">
        <v>63</v>
      </c>
      <c r="AG403" s="380">
        <v>5</v>
      </c>
      <c r="AH403" s="363" t="s">
        <v>667</v>
      </c>
    </row>
    <row r="404" spans="2:34" ht="15" customHeight="1" x14ac:dyDescent="0.3">
      <c r="B404" s="380" t="s">
        <v>2</v>
      </c>
      <c r="C404" s="482" t="s">
        <v>1502</v>
      </c>
      <c r="D404" s="483" t="s">
        <v>151</v>
      </c>
      <c r="E404" s="380">
        <v>10105566</v>
      </c>
      <c r="F404" s="760">
        <v>46055</v>
      </c>
      <c r="G404" s="380" t="s">
        <v>643</v>
      </c>
      <c r="H404" s="380">
        <v>1</v>
      </c>
      <c r="I404" s="388">
        <v>60000</v>
      </c>
      <c r="J404" s="380">
        <v>3</v>
      </c>
      <c r="K404" s="389">
        <f t="shared" si="18"/>
        <v>20000</v>
      </c>
      <c r="L404" s="387">
        <v>46023</v>
      </c>
      <c r="M404" s="387">
        <v>46387</v>
      </c>
      <c r="N404" s="680">
        <v>155141</v>
      </c>
      <c r="O404" s="680">
        <v>4758</v>
      </c>
      <c r="P404" s="363" t="s">
        <v>520</v>
      </c>
      <c r="Q404" s="380"/>
      <c r="R404" s="380"/>
      <c r="S404" s="390" t="s">
        <v>347</v>
      </c>
      <c r="T404" s="363" t="s">
        <v>1710</v>
      </c>
      <c r="U404" s="390" t="s">
        <v>348</v>
      </c>
      <c r="V404" s="363" t="s">
        <v>2012</v>
      </c>
      <c r="W404" s="363" t="s">
        <v>349</v>
      </c>
      <c r="X404" s="363"/>
      <c r="Y404" s="363"/>
      <c r="Z404" s="363"/>
      <c r="AA404" s="363"/>
      <c r="AB404" s="363"/>
      <c r="AC404" s="363"/>
      <c r="AD404" s="363"/>
      <c r="AE404" s="363" t="s">
        <v>478</v>
      </c>
      <c r="AF404" s="380" t="s">
        <v>63</v>
      </c>
      <c r="AG404" s="380">
        <v>5</v>
      </c>
      <c r="AH404" s="363" t="s">
        <v>667</v>
      </c>
    </row>
    <row r="405" spans="2:34" ht="15" customHeight="1" x14ac:dyDescent="0.3">
      <c r="B405" s="380" t="s">
        <v>2</v>
      </c>
      <c r="C405" s="482" t="s">
        <v>1503</v>
      </c>
      <c r="D405" s="483" t="s">
        <v>151</v>
      </c>
      <c r="E405" s="468">
        <v>10105569</v>
      </c>
      <c r="F405" s="760">
        <v>46055</v>
      </c>
      <c r="G405" s="380" t="s">
        <v>643</v>
      </c>
      <c r="H405" s="380">
        <v>1</v>
      </c>
      <c r="I405" s="388">
        <v>60000</v>
      </c>
      <c r="J405" s="380">
        <v>3</v>
      </c>
      <c r="K405" s="389">
        <f t="shared" si="18"/>
        <v>20000</v>
      </c>
      <c r="L405" s="387">
        <v>46023</v>
      </c>
      <c r="M405" s="387">
        <v>46387</v>
      </c>
      <c r="N405" s="680">
        <v>155132</v>
      </c>
      <c r="O405" s="680">
        <v>4749</v>
      </c>
      <c r="P405" s="363" t="s">
        <v>520</v>
      </c>
      <c r="Q405" s="380"/>
      <c r="R405" s="380"/>
      <c r="S405" s="390" t="s">
        <v>347</v>
      </c>
      <c r="T405" s="363" t="s">
        <v>1044</v>
      </c>
      <c r="U405" s="390" t="s">
        <v>348</v>
      </c>
      <c r="V405" s="363" t="s">
        <v>2055</v>
      </c>
      <c r="W405" s="363" t="s">
        <v>349</v>
      </c>
      <c r="X405" s="363"/>
      <c r="Y405" s="363"/>
      <c r="Z405" s="363"/>
      <c r="AA405" s="363"/>
      <c r="AB405" s="363"/>
      <c r="AC405" s="363"/>
      <c r="AD405" s="363"/>
      <c r="AE405" s="363" t="s">
        <v>478</v>
      </c>
      <c r="AF405" s="380" t="s">
        <v>63</v>
      </c>
      <c r="AG405" s="380">
        <v>5</v>
      </c>
      <c r="AH405" s="363" t="s">
        <v>667</v>
      </c>
    </row>
    <row r="406" spans="2:34" ht="15" customHeight="1" x14ac:dyDescent="0.3">
      <c r="B406" s="380" t="s">
        <v>2</v>
      </c>
      <c r="C406" s="482" t="s">
        <v>1504</v>
      </c>
      <c r="D406" s="483" t="s">
        <v>151</v>
      </c>
      <c r="E406" s="468">
        <v>10105568</v>
      </c>
      <c r="F406" s="760">
        <v>46055</v>
      </c>
      <c r="G406" s="380" t="s">
        <v>643</v>
      </c>
      <c r="H406" s="380">
        <v>1</v>
      </c>
      <c r="I406" s="388">
        <v>60000</v>
      </c>
      <c r="J406" s="380">
        <v>3</v>
      </c>
      <c r="K406" s="389">
        <f t="shared" si="18"/>
        <v>20000</v>
      </c>
      <c r="L406" s="387">
        <v>46023</v>
      </c>
      <c r="M406" s="387">
        <v>46387</v>
      </c>
      <c r="N406" s="680">
        <v>155130</v>
      </c>
      <c r="O406" s="680">
        <v>4747</v>
      </c>
      <c r="P406" s="363" t="s">
        <v>520</v>
      </c>
      <c r="Q406" s="380"/>
      <c r="R406" s="380"/>
      <c r="S406" s="390" t="s">
        <v>347</v>
      </c>
      <c r="T406" s="363" t="s">
        <v>1044</v>
      </c>
      <c r="U406" s="390" t="s">
        <v>348</v>
      </c>
      <c r="V406" s="363" t="s">
        <v>2055</v>
      </c>
      <c r="W406" s="363" t="s">
        <v>349</v>
      </c>
      <c r="X406" s="363"/>
      <c r="Y406" s="363"/>
      <c r="Z406" s="363"/>
      <c r="AA406" s="363"/>
      <c r="AB406" s="363"/>
      <c r="AC406" s="363"/>
      <c r="AD406" s="363"/>
      <c r="AE406" s="363" t="s">
        <v>478</v>
      </c>
      <c r="AF406" s="380" t="s">
        <v>63</v>
      </c>
      <c r="AG406" s="380">
        <v>5</v>
      </c>
      <c r="AH406" s="363" t="s">
        <v>667</v>
      </c>
    </row>
    <row r="407" spans="2:34" ht="15" customHeight="1" x14ac:dyDescent="0.3">
      <c r="B407" s="380" t="s">
        <v>2</v>
      </c>
      <c r="C407" s="482" t="s">
        <v>1505</v>
      </c>
      <c r="D407" s="483" t="s">
        <v>151</v>
      </c>
      <c r="E407" s="380">
        <v>10105571</v>
      </c>
      <c r="F407" s="760">
        <v>46055</v>
      </c>
      <c r="G407" s="380" t="s">
        <v>643</v>
      </c>
      <c r="H407" s="380">
        <v>1</v>
      </c>
      <c r="I407" s="388">
        <v>60000</v>
      </c>
      <c r="J407" s="380">
        <v>3</v>
      </c>
      <c r="K407" s="389">
        <f t="shared" si="18"/>
        <v>20000</v>
      </c>
      <c r="L407" s="387">
        <v>46023</v>
      </c>
      <c r="M407" s="387">
        <v>46387</v>
      </c>
      <c r="N407" s="680">
        <v>155129</v>
      </c>
      <c r="O407" s="680">
        <v>4746</v>
      </c>
      <c r="P407" s="363" t="s">
        <v>520</v>
      </c>
      <c r="Q407" s="380"/>
      <c r="R407" s="380"/>
      <c r="S407" s="390" t="s">
        <v>347</v>
      </c>
      <c r="T407" s="363" t="s">
        <v>1169</v>
      </c>
      <c r="U407" s="390" t="s">
        <v>348</v>
      </c>
      <c r="V407" s="363" t="s">
        <v>2017</v>
      </c>
      <c r="W407" s="363" t="s">
        <v>349</v>
      </c>
      <c r="X407" s="363"/>
      <c r="Y407" s="363"/>
      <c r="Z407" s="363"/>
      <c r="AA407" s="363"/>
      <c r="AB407" s="363"/>
      <c r="AC407" s="363"/>
      <c r="AD407" s="363"/>
      <c r="AE407" s="363" t="s">
        <v>478</v>
      </c>
      <c r="AF407" s="380" t="s">
        <v>63</v>
      </c>
      <c r="AG407" s="380">
        <v>5</v>
      </c>
      <c r="AH407" s="363" t="s">
        <v>667</v>
      </c>
    </row>
    <row r="408" spans="2:34" ht="15" customHeight="1" x14ac:dyDescent="0.3">
      <c r="B408" s="380" t="s">
        <v>2</v>
      </c>
      <c r="C408" s="482" t="s">
        <v>1506</v>
      </c>
      <c r="D408" s="483" t="s">
        <v>151</v>
      </c>
      <c r="E408" s="380">
        <v>10105572</v>
      </c>
      <c r="F408" s="760">
        <v>46055</v>
      </c>
      <c r="G408" s="380" t="s">
        <v>643</v>
      </c>
      <c r="H408" s="380">
        <v>2</v>
      </c>
      <c r="I408" s="388">
        <v>120000</v>
      </c>
      <c r="J408" s="380">
        <v>3</v>
      </c>
      <c r="K408" s="389">
        <f t="shared" si="18"/>
        <v>40000</v>
      </c>
      <c r="L408" s="387">
        <v>46023</v>
      </c>
      <c r="M408" s="387">
        <v>46387</v>
      </c>
      <c r="N408" s="680">
        <v>155128</v>
      </c>
      <c r="O408" s="680">
        <v>4745</v>
      </c>
      <c r="P408" s="363" t="s">
        <v>520</v>
      </c>
      <c r="Q408" s="380"/>
      <c r="R408" s="380"/>
      <c r="S408" s="390" t="s">
        <v>347</v>
      </c>
      <c r="T408" s="363" t="s">
        <v>149</v>
      </c>
      <c r="U408" s="390" t="s">
        <v>348</v>
      </c>
      <c r="V408" s="363" t="s">
        <v>2017</v>
      </c>
      <c r="W408" s="363" t="s">
        <v>349</v>
      </c>
      <c r="X408" s="363"/>
      <c r="Y408" s="363"/>
      <c r="Z408" s="363"/>
      <c r="AA408" s="363"/>
      <c r="AB408" s="363"/>
      <c r="AC408" s="363"/>
      <c r="AD408" s="363"/>
      <c r="AE408" s="363" t="s">
        <v>478</v>
      </c>
      <c r="AF408" s="380" t="s">
        <v>63</v>
      </c>
      <c r="AG408" s="380">
        <v>5</v>
      </c>
      <c r="AH408" s="363" t="s">
        <v>667</v>
      </c>
    </row>
    <row r="409" spans="2:34" ht="15" customHeight="1" x14ac:dyDescent="0.3">
      <c r="B409" s="380" t="s">
        <v>2</v>
      </c>
      <c r="C409" s="482" t="s">
        <v>1507</v>
      </c>
      <c r="D409" s="483" t="s">
        <v>151</v>
      </c>
      <c r="E409" s="380">
        <v>10105574</v>
      </c>
      <c r="F409" s="760">
        <v>46055</v>
      </c>
      <c r="G409" s="380" t="s">
        <v>643</v>
      </c>
      <c r="H409" s="380">
        <v>1</v>
      </c>
      <c r="I409" s="388">
        <v>60000</v>
      </c>
      <c r="J409" s="380">
        <v>3</v>
      </c>
      <c r="K409" s="389">
        <f t="shared" si="18"/>
        <v>20000</v>
      </c>
      <c r="L409" s="387">
        <v>46023</v>
      </c>
      <c r="M409" s="387">
        <v>46387</v>
      </c>
      <c r="N409" s="680">
        <v>155127</v>
      </c>
      <c r="O409" s="680">
        <v>4744</v>
      </c>
      <c r="P409" s="363" t="s">
        <v>520</v>
      </c>
      <c r="Q409" s="380"/>
      <c r="R409" s="380"/>
      <c r="S409" s="390" t="s">
        <v>347</v>
      </c>
      <c r="T409" s="363" t="s">
        <v>1169</v>
      </c>
      <c r="U409" s="390" t="s">
        <v>348</v>
      </c>
      <c r="V409" s="363" t="s">
        <v>2055</v>
      </c>
      <c r="W409" s="363" t="s">
        <v>349</v>
      </c>
      <c r="X409" s="363"/>
      <c r="Y409" s="363"/>
      <c r="Z409" s="363"/>
      <c r="AA409" s="363"/>
      <c r="AB409" s="363"/>
      <c r="AC409" s="363"/>
      <c r="AD409" s="363"/>
      <c r="AE409" s="363" t="s">
        <v>478</v>
      </c>
      <c r="AF409" s="380" t="s">
        <v>63</v>
      </c>
      <c r="AG409" s="380">
        <v>5</v>
      </c>
      <c r="AH409" s="363" t="s">
        <v>667</v>
      </c>
    </row>
    <row r="410" spans="2:34" ht="15" customHeight="1" x14ac:dyDescent="0.3">
      <c r="B410" s="380" t="s">
        <v>2</v>
      </c>
      <c r="C410" s="482" t="s">
        <v>1508</v>
      </c>
      <c r="D410" s="483" t="s">
        <v>151</v>
      </c>
      <c r="E410" s="380">
        <v>10105573</v>
      </c>
      <c r="F410" s="760">
        <v>46055</v>
      </c>
      <c r="G410" s="380" t="s">
        <v>643</v>
      </c>
      <c r="H410" s="380">
        <v>2</v>
      </c>
      <c r="I410" s="388">
        <v>120000</v>
      </c>
      <c r="J410" s="380">
        <v>3</v>
      </c>
      <c r="K410" s="389">
        <f t="shared" si="18"/>
        <v>40000</v>
      </c>
      <c r="L410" s="387">
        <v>46023</v>
      </c>
      <c r="M410" s="387">
        <v>46387</v>
      </c>
      <c r="N410" s="680">
        <v>155126</v>
      </c>
      <c r="O410" s="680">
        <v>4743</v>
      </c>
      <c r="P410" s="363" t="s">
        <v>520</v>
      </c>
      <c r="Q410" s="380"/>
      <c r="R410" s="380"/>
      <c r="S410" s="390" t="s">
        <v>347</v>
      </c>
      <c r="T410" s="363" t="s">
        <v>149</v>
      </c>
      <c r="U410" s="390" t="s">
        <v>348</v>
      </c>
      <c r="V410" s="363" t="s">
        <v>2055</v>
      </c>
      <c r="W410" s="363" t="s">
        <v>349</v>
      </c>
      <c r="X410" s="363"/>
      <c r="Y410" s="363"/>
      <c r="Z410" s="363"/>
      <c r="AA410" s="363"/>
      <c r="AB410" s="363"/>
      <c r="AC410" s="363"/>
      <c r="AD410" s="363"/>
      <c r="AE410" s="363" t="s">
        <v>478</v>
      </c>
      <c r="AF410" s="380" t="s">
        <v>63</v>
      </c>
      <c r="AG410" s="380">
        <v>3</v>
      </c>
      <c r="AH410" s="363" t="s">
        <v>667</v>
      </c>
    </row>
    <row r="411" spans="2:34" ht="15" customHeight="1" x14ac:dyDescent="0.3">
      <c r="B411" s="380" t="s">
        <v>2</v>
      </c>
      <c r="C411" s="482" t="s">
        <v>1509</v>
      </c>
      <c r="D411" s="483" t="s">
        <v>151</v>
      </c>
      <c r="E411" s="380">
        <v>10105565</v>
      </c>
      <c r="F411" s="760">
        <v>46055</v>
      </c>
      <c r="G411" s="380" t="s">
        <v>643</v>
      </c>
      <c r="H411" s="380">
        <v>1</v>
      </c>
      <c r="I411" s="388">
        <v>60000</v>
      </c>
      <c r="J411" s="380">
        <v>3</v>
      </c>
      <c r="K411" s="389">
        <f t="shared" si="18"/>
        <v>20000</v>
      </c>
      <c r="L411" s="387">
        <v>46023</v>
      </c>
      <c r="M411" s="387">
        <v>46387</v>
      </c>
      <c r="N411" s="680">
        <v>155125</v>
      </c>
      <c r="O411" s="680">
        <v>4742</v>
      </c>
      <c r="P411" s="363" t="s">
        <v>520</v>
      </c>
      <c r="Q411" s="380"/>
      <c r="R411" s="380"/>
      <c r="S411" s="390" t="s">
        <v>347</v>
      </c>
      <c r="T411" s="363" t="s">
        <v>1044</v>
      </c>
      <c r="U411" s="390" t="s">
        <v>348</v>
      </c>
      <c r="V411" s="363" t="s">
        <v>2034</v>
      </c>
      <c r="W411" s="363" t="s">
        <v>349</v>
      </c>
      <c r="X411" s="363"/>
      <c r="Y411" s="363"/>
      <c r="Z411" s="363"/>
      <c r="AA411" s="363"/>
      <c r="AB411" s="363"/>
      <c r="AC411" s="363"/>
      <c r="AD411" s="363"/>
      <c r="AE411" s="363" t="s">
        <v>478</v>
      </c>
      <c r="AF411" s="380" t="s">
        <v>63</v>
      </c>
      <c r="AG411" s="380">
        <v>3</v>
      </c>
      <c r="AH411" s="363" t="s">
        <v>667</v>
      </c>
    </row>
    <row r="412" spans="2:34" ht="15" customHeight="1" x14ac:dyDescent="0.3">
      <c r="B412" s="380" t="s">
        <v>2</v>
      </c>
      <c r="C412" s="482" t="s">
        <v>557</v>
      </c>
      <c r="D412" s="483" t="s">
        <v>558</v>
      </c>
      <c r="E412" s="468" t="s">
        <v>1510</v>
      </c>
      <c r="F412" s="760">
        <v>46050</v>
      </c>
      <c r="G412" s="380" t="s">
        <v>643</v>
      </c>
      <c r="H412" s="380">
        <v>1</v>
      </c>
      <c r="I412" s="388">
        <v>134698</v>
      </c>
      <c r="J412" s="380">
        <v>4</v>
      </c>
      <c r="K412" s="389">
        <f t="shared" si="18"/>
        <v>33674.5</v>
      </c>
      <c r="L412" s="387">
        <v>46053</v>
      </c>
      <c r="M412" s="387">
        <v>46417</v>
      </c>
      <c r="N412" s="680">
        <v>155060</v>
      </c>
      <c r="O412" s="680">
        <v>4680</v>
      </c>
      <c r="P412" s="363" t="s">
        <v>520</v>
      </c>
      <c r="Q412" s="380"/>
      <c r="R412" s="380"/>
      <c r="S412" s="390" t="s">
        <v>1511</v>
      </c>
      <c r="T412" s="363" t="s">
        <v>712</v>
      </c>
      <c r="U412" s="390" t="s">
        <v>444</v>
      </c>
      <c r="V412" s="363" t="s">
        <v>1941</v>
      </c>
      <c r="W412" s="363" t="s">
        <v>445</v>
      </c>
      <c r="X412" s="363"/>
      <c r="Y412" s="363" t="s">
        <v>1512</v>
      </c>
      <c r="Z412" s="363"/>
      <c r="AA412" s="363"/>
      <c r="AB412" s="363"/>
      <c r="AC412" s="363"/>
      <c r="AD412" s="363"/>
      <c r="AE412" s="363" t="s">
        <v>281</v>
      </c>
      <c r="AF412" s="380" t="s">
        <v>97</v>
      </c>
      <c r="AG412" s="380" t="s">
        <v>494</v>
      </c>
      <c r="AH412" s="363" t="s">
        <v>1345</v>
      </c>
    </row>
    <row r="413" spans="2:34" ht="15" customHeight="1" x14ac:dyDescent="0.3">
      <c r="B413" s="380" t="s">
        <v>2</v>
      </c>
      <c r="C413" s="482" t="s">
        <v>1513</v>
      </c>
      <c r="D413" s="483" t="s">
        <v>1129</v>
      </c>
      <c r="E413" s="491">
        <v>4200020634</v>
      </c>
      <c r="F413" s="760">
        <v>46045</v>
      </c>
      <c r="G413" s="380" t="s">
        <v>643</v>
      </c>
      <c r="H413" s="380">
        <v>2</v>
      </c>
      <c r="I413" s="388">
        <v>344709.4</v>
      </c>
      <c r="J413" s="380">
        <v>3</v>
      </c>
      <c r="K413" s="389">
        <f t="shared" si="18"/>
        <v>114903.13333333335</v>
      </c>
      <c r="L413" s="387">
        <v>46045</v>
      </c>
      <c r="M413" s="387">
        <v>46409</v>
      </c>
      <c r="N413" s="680">
        <v>154948</v>
      </c>
      <c r="O413" s="680">
        <v>4676</v>
      </c>
      <c r="P413" s="363" t="s">
        <v>520</v>
      </c>
      <c r="Q413" s="380"/>
      <c r="R413" s="380"/>
      <c r="S413" s="390" t="s">
        <v>1514</v>
      </c>
      <c r="T413" s="363" t="s">
        <v>1515</v>
      </c>
      <c r="U413" s="390" t="s">
        <v>1516</v>
      </c>
      <c r="V413" s="363" t="s">
        <v>2056</v>
      </c>
      <c r="W413" s="363" t="s">
        <v>1517</v>
      </c>
      <c r="X413" s="363"/>
      <c r="Y413" s="363"/>
      <c r="Z413" s="363"/>
      <c r="AA413" s="363"/>
      <c r="AB413" s="363"/>
      <c r="AC413" s="363"/>
      <c r="AD413" s="363"/>
      <c r="AE413" s="363" t="s">
        <v>281</v>
      </c>
      <c r="AF413" s="380" t="s">
        <v>97</v>
      </c>
      <c r="AG413" s="380">
        <v>3</v>
      </c>
      <c r="AH413" s="363" t="s">
        <v>667</v>
      </c>
    </row>
    <row r="414" spans="2:34" ht="15" customHeight="1" x14ac:dyDescent="0.3">
      <c r="B414" s="380" t="s">
        <v>2</v>
      </c>
      <c r="C414" s="443" t="s">
        <v>1518</v>
      </c>
      <c r="D414" s="444" t="s">
        <v>131</v>
      </c>
      <c r="E414" s="426">
        <v>1300004372</v>
      </c>
      <c r="F414" s="761">
        <v>46042</v>
      </c>
      <c r="G414" s="380" t="s">
        <v>643</v>
      </c>
      <c r="H414" s="380">
        <v>1</v>
      </c>
      <c r="I414" s="388">
        <v>78000</v>
      </c>
      <c r="J414" s="380">
        <v>3</v>
      </c>
      <c r="K414" s="389">
        <f t="shared" si="18"/>
        <v>26000</v>
      </c>
      <c r="L414" s="387">
        <v>46054</v>
      </c>
      <c r="M414" s="387">
        <v>46418</v>
      </c>
      <c r="N414" s="680"/>
      <c r="O414" s="680"/>
      <c r="P414" s="363" t="s">
        <v>520</v>
      </c>
      <c r="Q414" s="380"/>
      <c r="R414" s="380"/>
      <c r="S414" s="390" t="s">
        <v>404</v>
      </c>
      <c r="T414" s="363" t="s">
        <v>1239</v>
      </c>
      <c r="U414" s="363" t="s">
        <v>406</v>
      </c>
      <c r="V414" s="363"/>
      <c r="W414" s="363" t="s">
        <v>407</v>
      </c>
      <c r="X414" s="363"/>
      <c r="Y414" s="363"/>
      <c r="Z414" s="363"/>
      <c r="AA414" s="363"/>
      <c r="AB414" s="363"/>
      <c r="AC414" s="363"/>
      <c r="AD414" s="363"/>
      <c r="AE414" s="363" t="s">
        <v>485</v>
      </c>
      <c r="AF414" s="380" t="s">
        <v>63</v>
      </c>
      <c r="AG414" s="380">
        <v>4</v>
      </c>
      <c r="AH414" s="363" t="s">
        <v>1519</v>
      </c>
    </row>
    <row r="415" spans="2:34" ht="15" customHeight="1" x14ac:dyDescent="0.3">
      <c r="B415" s="380" t="s">
        <v>2</v>
      </c>
      <c r="C415" s="430" t="s">
        <v>1520</v>
      </c>
      <c r="D415" s="445" t="s">
        <v>151</v>
      </c>
      <c r="E415" s="419">
        <v>7100008763</v>
      </c>
      <c r="F415" s="760">
        <v>46006</v>
      </c>
      <c r="G415" s="380" t="s">
        <v>643</v>
      </c>
      <c r="H415" s="380">
        <v>1</v>
      </c>
      <c r="I415" s="388">
        <v>75000</v>
      </c>
      <c r="J415" s="380">
        <v>3</v>
      </c>
      <c r="K415" s="389">
        <f t="shared" si="18"/>
        <v>25000</v>
      </c>
      <c r="L415" s="387">
        <v>46023</v>
      </c>
      <c r="M415" s="387">
        <v>46387</v>
      </c>
      <c r="N415" s="680"/>
      <c r="O415" s="680"/>
      <c r="P415" s="363" t="s">
        <v>520</v>
      </c>
      <c r="Q415" s="380"/>
      <c r="R415" s="380"/>
      <c r="S415" s="390" t="s">
        <v>347</v>
      </c>
      <c r="T415" s="381" t="s">
        <v>726</v>
      </c>
      <c r="U415" s="363" t="s">
        <v>348</v>
      </c>
      <c r="V415" s="363"/>
      <c r="W415" s="363" t="s">
        <v>349</v>
      </c>
      <c r="X415" s="363"/>
      <c r="Y415" s="363"/>
      <c r="Z415" s="363"/>
      <c r="AA415" s="363"/>
      <c r="AB415" s="363"/>
      <c r="AC415" s="363"/>
      <c r="AD415" s="363"/>
      <c r="AE415" s="363" t="s">
        <v>478</v>
      </c>
      <c r="AF415" s="380" t="s">
        <v>63</v>
      </c>
      <c r="AG415" s="380">
        <v>3</v>
      </c>
      <c r="AH415" s="363" t="s">
        <v>1319</v>
      </c>
    </row>
    <row r="416" spans="2:34" ht="15" customHeight="1" x14ac:dyDescent="0.3">
      <c r="B416" s="380" t="s">
        <v>2</v>
      </c>
      <c r="C416" s="482" t="s">
        <v>1521</v>
      </c>
      <c r="D416" s="483" t="s">
        <v>151</v>
      </c>
      <c r="E416" s="468">
        <v>7100007753</v>
      </c>
      <c r="F416" s="764">
        <v>45975</v>
      </c>
      <c r="G416" s="380" t="s">
        <v>643</v>
      </c>
      <c r="H416" s="380">
        <v>1</v>
      </c>
      <c r="I416" s="388">
        <v>75000</v>
      </c>
      <c r="J416" s="380">
        <v>3</v>
      </c>
      <c r="K416" s="389">
        <f t="shared" si="18"/>
        <v>25000</v>
      </c>
      <c r="L416" s="387">
        <v>45962</v>
      </c>
      <c r="M416" s="387">
        <v>46326</v>
      </c>
      <c r="N416" s="680"/>
      <c r="O416" s="680"/>
      <c r="P416" s="363" t="s">
        <v>520</v>
      </c>
      <c r="Q416" s="380"/>
      <c r="R416" s="380"/>
      <c r="S416" s="390" t="s">
        <v>192</v>
      </c>
      <c r="T416" s="363" t="s">
        <v>291</v>
      </c>
      <c r="U416" s="390" t="s">
        <v>1522</v>
      </c>
      <c r="V416" s="363" t="s">
        <v>1866</v>
      </c>
      <c r="W416" s="363" t="s">
        <v>1344</v>
      </c>
      <c r="X416" s="363"/>
      <c r="Y416" s="363"/>
      <c r="Z416" s="363"/>
      <c r="AA416" s="363"/>
      <c r="AB416" s="363"/>
      <c r="AC416" s="363"/>
      <c r="AD416" s="363"/>
      <c r="AE416" s="363" t="s">
        <v>478</v>
      </c>
      <c r="AF416" s="380" t="s">
        <v>63</v>
      </c>
      <c r="AG416" s="380">
        <v>2</v>
      </c>
      <c r="AH416" s="363" t="s">
        <v>667</v>
      </c>
    </row>
    <row r="417" spans="1:34" ht="15" customHeight="1" x14ac:dyDescent="0.3">
      <c r="B417" s="380" t="s">
        <v>2</v>
      </c>
      <c r="C417" s="482" t="s">
        <v>595</v>
      </c>
      <c r="D417" s="483" t="s">
        <v>1012</v>
      </c>
      <c r="E417" s="488" t="s">
        <v>1523</v>
      </c>
      <c r="F417" s="760">
        <v>46029</v>
      </c>
      <c r="G417" s="380" t="s">
        <v>643</v>
      </c>
      <c r="H417" s="380">
        <v>1</v>
      </c>
      <c r="I417" s="388">
        <v>93312</v>
      </c>
      <c r="J417" s="380">
        <v>3</v>
      </c>
      <c r="K417" s="389">
        <f t="shared" si="18"/>
        <v>31104</v>
      </c>
      <c r="L417" s="387">
        <v>46023</v>
      </c>
      <c r="M417" s="387">
        <v>46387</v>
      </c>
      <c r="N417" s="680">
        <v>155090</v>
      </c>
      <c r="O417" s="680"/>
      <c r="P417" s="363" t="s">
        <v>520</v>
      </c>
      <c r="Q417" s="380"/>
      <c r="R417" s="380"/>
      <c r="S417" s="390" t="s">
        <v>347</v>
      </c>
      <c r="T417" s="363" t="s">
        <v>1524</v>
      </c>
      <c r="U417" s="390" t="s">
        <v>1525</v>
      </c>
      <c r="V417" s="363" t="s">
        <v>2057</v>
      </c>
      <c r="W417" s="363" t="s">
        <v>349</v>
      </c>
      <c r="X417" s="363"/>
      <c r="Y417" s="363"/>
      <c r="Z417" s="363"/>
      <c r="AA417" s="363"/>
      <c r="AB417" s="363"/>
      <c r="AC417" s="363"/>
      <c r="AD417" s="363"/>
      <c r="AE417" s="363" t="s">
        <v>619</v>
      </c>
      <c r="AF417" s="380" t="s">
        <v>63</v>
      </c>
      <c r="AG417" s="380">
        <v>3</v>
      </c>
      <c r="AH417" s="363" t="s">
        <v>799</v>
      </c>
    </row>
    <row r="418" spans="1:34" ht="15" customHeight="1" x14ac:dyDescent="0.3">
      <c r="B418" s="380" t="s">
        <v>2</v>
      </c>
      <c r="C418" s="482" t="s">
        <v>771</v>
      </c>
      <c r="D418" s="483" t="s">
        <v>388</v>
      </c>
      <c r="E418" s="493">
        <v>6000063663</v>
      </c>
      <c r="F418" s="760">
        <v>46045</v>
      </c>
      <c r="G418" s="380" t="s">
        <v>643</v>
      </c>
      <c r="H418" s="380">
        <v>4</v>
      </c>
      <c r="I418" s="388">
        <v>282800</v>
      </c>
      <c r="J418" s="380">
        <v>2</v>
      </c>
      <c r="K418" s="389">
        <f t="shared" si="18"/>
        <v>141400</v>
      </c>
      <c r="L418" s="387">
        <v>46023</v>
      </c>
      <c r="M418" s="387">
        <v>46387</v>
      </c>
      <c r="N418" s="680"/>
      <c r="O418" s="680"/>
      <c r="P418" s="363" t="s">
        <v>520</v>
      </c>
      <c r="Q418" s="380"/>
      <c r="R418" s="380"/>
      <c r="S418" s="390" t="s">
        <v>607</v>
      </c>
      <c r="T418" s="363" t="s">
        <v>1867</v>
      </c>
      <c r="U418" s="363" t="s">
        <v>608</v>
      </c>
      <c r="V418" s="363"/>
      <c r="W418" s="363"/>
      <c r="X418" s="363"/>
      <c r="Y418" s="363"/>
      <c r="Z418" s="363"/>
      <c r="AA418" s="363"/>
      <c r="AB418" s="363"/>
      <c r="AC418" s="363"/>
      <c r="AD418" s="363"/>
      <c r="AE418" s="363" t="s">
        <v>619</v>
      </c>
      <c r="AF418" s="380" t="s">
        <v>63</v>
      </c>
      <c r="AG418" s="380">
        <v>2</v>
      </c>
      <c r="AH418" s="363" t="s">
        <v>667</v>
      </c>
    </row>
    <row r="419" spans="1:34" ht="15" customHeight="1" x14ac:dyDescent="0.3">
      <c r="A419" s="537" t="s">
        <v>1526</v>
      </c>
      <c r="B419" s="380" t="s">
        <v>2</v>
      </c>
      <c r="C419" s="420" t="s">
        <v>530</v>
      </c>
      <c r="D419" s="421" t="s">
        <v>176</v>
      </c>
      <c r="E419" s="380">
        <v>16882528</v>
      </c>
      <c r="F419" s="753">
        <v>45670</v>
      </c>
      <c r="G419" s="380" t="s">
        <v>55</v>
      </c>
      <c r="H419" s="380">
        <v>1</v>
      </c>
      <c r="I419" s="388">
        <f>568000/4</f>
        <v>142000</v>
      </c>
      <c r="J419" s="380">
        <v>4</v>
      </c>
      <c r="K419" s="389">
        <f t="shared" si="18"/>
        <v>35500</v>
      </c>
      <c r="L419" s="387">
        <v>45670</v>
      </c>
      <c r="M419" s="387">
        <v>46764</v>
      </c>
      <c r="N419" s="680"/>
      <c r="O419" s="680">
        <v>4725</v>
      </c>
      <c r="P419" s="363" t="s">
        <v>520</v>
      </c>
      <c r="Q419" s="380"/>
      <c r="R419" s="380"/>
      <c r="S419" s="422" t="s">
        <v>1527</v>
      </c>
      <c r="T419" s="363" t="s">
        <v>1734</v>
      </c>
      <c r="U419" s="390" t="s">
        <v>1528</v>
      </c>
      <c r="V419" s="363" t="s">
        <v>1736</v>
      </c>
      <c r="W419" s="363" t="s">
        <v>1529</v>
      </c>
      <c r="X419" s="363"/>
      <c r="Y419" s="363" t="s">
        <v>1530</v>
      </c>
      <c r="Z419" s="363"/>
      <c r="AA419" s="363"/>
      <c r="AB419" s="363"/>
      <c r="AC419" s="363"/>
      <c r="AD419" s="363"/>
      <c r="AE419" s="363" t="s">
        <v>183</v>
      </c>
      <c r="AF419" s="380" t="s">
        <v>97</v>
      </c>
      <c r="AG419" s="380">
        <v>4</v>
      </c>
      <c r="AH419" s="363"/>
    </row>
    <row r="420" spans="1:34" ht="15" customHeight="1" x14ac:dyDescent="0.3">
      <c r="B420" s="380" t="s">
        <v>2</v>
      </c>
      <c r="C420" s="420" t="s">
        <v>530</v>
      </c>
      <c r="D420" s="421" t="s">
        <v>535</v>
      </c>
      <c r="E420" s="380">
        <v>16882528</v>
      </c>
      <c r="F420" s="753">
        <v>45670</v>
      </c>
      <c r="G420" s="380" t="s">
        <v>55</v>
      </c>
      <c r="H420" s="380">
        <v>1</v>
      </c>
      <c r="I420" s="388">
        <f>568000/4</f>
        <v>142000</v>
      </c>
      <c r="J420" s="380">
        <v>4</v>
      </c>
      <c r="K420" s="389">
        <f t="shared" si="18"/>
        <v>35500</v>
      </c>
      <c r="L420" s="387">
        <v>45670</v>
      </c>
      <c r="M420" s="387">
        <v>46764</v>
      </c>
      <c r="N420" s="680"/>
      <c r="O420" s="680">
        <v>4725</v>
      </c>
      <c r="P420" s="363" t="s">
        <v>520</v>
      </c>
      <c r="Q420" s="380"/>
      <c r="R420" s="380"/>
      <c r="S420" s="390" t="s">
        <v>1527</v>
      </c>
      <c r="T420" s="363" t="s">
        <v>798</v>
      </c>
      <c r="U420" s="390" t="s">
        <v>1528</v>
      </c>
      <c r="V420" s="363" t="s">
        <v>1853</v>
      </c>
      <c r="W420" s="363" t="s">
        <v>1529</v>
      </c>
      <c r="X420" s="363"/>
      <c r="Y420" s="363" t="s">
        <v>1530</v>
      </c>
      <c r="Z420" s="363"/>
      <c r="AA420" s="363"/>
      <c r="AB420" s="363"/>
      <c r="AC420" s="363"/>
      <c r="AD420" s="363"/>
      <c r="AE420" s="363" t="s">
        <v>183</v>
      </c>
      <c r="AF420" s="380" t="s">
        <v>97</v>
      </c>
      <c r="AG420" s="380">
        <v>4</v>
      </c>
      <c r="AH420" s="363"/>
    </row>
    <row r="421" spans="1:34" ht="15" customHeight="1" x14ac:dyDescent="0.3">
      <c r="B421" s="380" t="s">
        <v>2</v>
      </c>
      <c r="C421" s="420" t="s">
        <v>530</v>
      </c>
      <c r="D421" s="421" t="s">
        <v>538</v>
      </c>
      <c r="E421" s="380">
        <v>16882528</v>
      </c>
      <c r="F421" s="753">
        <v>45670</v>
      </c>
      <c r="G421" s="380" t="s">
        <v>55</v>
      </c>
      <c r="H421" s="380">
        <v>1</v>
      </c>
      <c r="I421" s="388">
        <f>568000/4</f>
        <v>142000</v>
      </c>
      <c r="J421" s="380">
        <v>4</v>
      </c>
      <c r="K421" s="389">
        <f t="shared" si="18"/>
        <v>35500</v>
      </c>
      <c r="L421" s="387">
        <v>45670</v>
      </c>
      <c r="M421" s="387">
        <v>46764</v>
      </c>
      <c r="N421" s="680"/>
      <c r="O421" s="680">
        <v>4725</v>
      </c>
      <c r="P421" s="363" t="s">
        <v>520</v>
      </c>
      <c r="Q421" s="380"/>
      <c r="R421" s="380"/>
      <c r="S421" s="390" t="s">
        <v>1527</v>
      </c>
      <c r="T421" s="363" t="s">
        <v>455</v>
      </c>
      <c r="U421" s="390" t="s">
        <v>1528</v>
      </c>
      <c r="V421" s="363" t="s">
        <v>2020</v>
      </c>
      <c r="W421" s="363" t="s">
        <v>1529</v>
      </c>
      <c r="X421" s="363"/>
      <c r="Y421" s="363" t="s">
        <v>1530</v>
      </c>
      <c r="Z421" s="363"/>
      <c r="AA421" s="363"/>
      <c r="AB421" s="363"/>
      <c r="AC421" s="363"/>
      <c r="AD421" s="363"/>
      <c r="AE421" s="363" t="s">
        <v>485</v>
      </c>
      <c r="AF421" s="380" t="s">
        <v>63</v>
      </c>
      <c r="AG421" s="380">
        <v>4</v>
      </c>
      <c r="AH421" s="363"/>
    </row>
    <row r="422" spans="1:34" ht="15" customHeight="1" x14ac:dyDescent="0.3">
      <c r="B422" s="380" t="s">
        <v>2</v>
      </c>
      <c r="C422" s="420" t="s">
        <v>530</v>
      </c>
      <c r="D422" s="421" t="s">
        <v>540</v>
      </c>
      <c r="E422" s="380">
        <v>16882528</v>
      </c>
      <c r="F422" s="753">
        <v>45670</v>
      </c>
      <c r="G422" s="380" t="s">
        <v>55</v>
      </c>
      <c r="H422" s="380">
        <v>1</v>
      </c>
      <c r="I422" s="388">
        <f>568000/4</f>
        <v>142000</v>
      </c>
      <c r="J422" s="380">
        <v>4</v>
      </c>
      <c r="K422" s="389">
        <f t="shared" si="18"/>
        <v>35500</v>
      </c>
      <c r="L422" s="387">
        <v>45670</v>
      </c>
      <c r="M422" s="387">
        <v>46764</v>
      </c>
      <c r="N422" s="680"/>
      <c r="O422" s="680">
        <v>4725</v>
      </c>
      <c r="P422" s="363" t="s">
        <v>520</v>
      </c>
      <c r="Q422" s="380"/>
      <c r="R422" s="380"/>
      <c r="S422" s="390" t="s">
        <v>1527</v>
      </c>
      <c r="T422" s="363" t="s">
        <v>149</v>
      </c>
      <c r="U422" s="390" t="s">
        <v>1528</v>
      </c>
      <c r="V422" s="363" t="s">
        <v>1944</v>
      </c>
      <c r="W422" s="363" t="s">
        <v>1529</v>
      </c>
      <c r="X422" s="363"/>
      <c r="Y422" s="363" t="s">
        <v>1530</v>
      </c>
      <c r="Z422" s="363"/>
      <c r="AA422" s="363"/>
      <c r="AB422" s="363"/>
      <c r="AC422" s="363"/>
      <c r="AD422" s="363"/>
      <c r="AE422" s="363" t="s">
        <v>128</v>
      </c>
      <c r="AF422" s="380" t="s">
        <v>129</v>
      </c>
      <c r="AG422" s="380">
        <v>4</v>
      </c>
      <c r="AH422" s="363"/>
    </row>
    <row r="423" spans="1:34" ht="15" customHeight="1" x14ac:dyDescent="0.3">
      <c r="B423" s="380" t="s">
        <v>2</v>
      </c>
      <c r="C423" s="409" t="s">
        <v>1069</v>
      </c>
      <c r="D423" s="423" t="s">
        <v>1531</v>
      </c>
      <c r="E423" s="491">
        <v>4400018763</v>
      </c>
      <c r="F423" s="760">
        <v>46041</v>
      </c>
      <c r="G423" s="380" t="s">
        <v>55</v>
      </c>
      <c r="H423" s="380">
        <v>5</v>
      </c>
      <c r="I423" s="388">
        <v>698145</v>
      </c>
      <c r="J423" s="380">
        <v>3</v>
      </c>
      <c r="K423" s="389">
        <f t="shared" si="18"/>
        <v>232715</v>
      </c>
      <c r="L423" s="387">
        <v>46023</v>
      </c>
      <c r="M423" s="387">
        <v>46387</v>
      </c>
      <c r="N423" s="680">
        <v>155020</v>
      </c>
      <c r="O423" s="680">
        <v>4694</v>
      </c>
      <c r="P423" s="363" t="s">
        <v>520</v>
      </c>
      <c r="Q423" s="380"/>
      <c r="R423" s="380"/>
      <c r="S423" s="390" t="s">
        <v>347</v>
      </c>
      <c r="T423" s="363" t="s">
        <v>1532</v>
      </c>
      <c r="U423" s="390" t="s">
        <v>348</v>
      </c>
      <c r="V423" s="363" t="s">
        <v>2058</v>
      </c>
      <c r="W423" s="363" t="s">
        <v>349</v>
      </c>
      <c r="X423" s="363"/>
      <c r="Y423" s="363"/>
      <c r="Z423" s="363"/>
      <c r="AA423" s="363"/>
      <c r="AB423" s="363"/>
      <c r="AC423" s="363"/>
      <c r="AD423" s="363"/>
      <c r="AE423" s="363" t="s">
        <v>281</v>
      </c>
      <c r="AF423" s="380" t="s">
        <v>97</v>
      </c>
      <c r="AG423" s="380">
        <v>3</v>
      </c>
      <c r="AH423" s="363" t="s">
        <v>667</v>
      </c>
    </row>
    <row r="424" spans="1:34" ht="15" customHeight="1" x14ac:dyDescent="0.3">
      <c r="B424" s="380" t="s">
        <v>2</v>
      </c>
      <c r="C424" s="409" t="s">
        <v>647</v>
      </c>
      <c r="D424" s="489" t="s">
        <v>648</v>
      </c>
      <c r="E424" s="503">
        <v>450093582</v>
      </c>
      <c r="F424" s="764">
        <v>46053</v>
      </c>
      <c r="G424" s="380" t="s">
        <v>55</v>
      </c>
      <c r="H424" s="380">
        <v>2</v>
      </c>
      <c r="I424" s="388">
        <v>224000</v>
      </c>
      <c r="J424" s="380">
        <v>2</v>
      </c>
      <c r="K424" s="389">
        <f t="shared" si="18"/>
        <v>112000</v>
      </c>
      <c r="L424" s="387">
        <v>46082</v>
      </c>
      <c r="M424" s="387">
        <v>46446</v>
      </c>
      <c r="N424" s="680">
        <v>155053</v>
      </c>
      <c r="O424" s="680">
        <v>4180</v>
      </c>
      <c r="P424" s="363" t="s">
        <v>520</v>
      </c>
      <c r="Q424" s="380"/>
      <c r="R424" s="380"/>
      <c r="S424" s="390" t="s">
        <v>1533</v>
      </c>
      <c r="T424" s="363" t="s">
        <v>1953</v>
      </c>
      <c r="U424" s="363" t="s">
        <v>1534</v>
      </c>
      <c r="V424" s="363"/>
      <c r="W424" s="363"/>
      <c r="X424" s="363"/>
      <c r="Y424" s="363"/>
      <c r="Z424" s="363"/>
      <c r="AA424" s="363"/>
      <c r="AB424" s="363"/>
      <c r="AC424" s="363"/>
      <c r="AD424" s="363"/>
      <c r="AE424" s="363" t="s">
        <v>1535</v>
      </c>
      <c r="AF424" s="380" t="s">
        <v>97</v>
      </c>
      <c r="AG424" s="380">
        <v>2</v>
      </c>
      <c r="AH424" s="363" t="s">
        <v>1536</v>
      </c>
    </row>
    <row r="425" spans="1:34" ht="15" customHeight="1" x14ac:dyDescent="0.3">
      <c r="B425" s="380" t="s">
        <v>2</v>
      </c>
      <c r="C425" s="482" t="s">
        <v>1537</v>
      </c>
      <c r="D425" s="483" t="s">
        <v>1022</v>
      </c>
      <c r="E425" s="468">
        <v>6460008580</v>
      </c>
      <c r="F425" s="760">
        <v>46052</v>
      </c>
      <c r="G425" s="380" t="s">
        <v>55</v>
      </c>
      <c r="H425" s="380">
        <v>1</v>
      </c>
      <c r="I425" s="388">
        <v>60000</v>
      </c>
      <c r="J425" s="380">
        <v>1</v>
      </c>
      <c r="K425" s="389">
        <f t="shared" si="18"/>
        <v>60000</v>
      </c>
      <c r="L425" s="775">
        <v>46054</v>
      </c>
      <c r="M425" s="775">
        <v>46418</v>
      </c>
      <c r="N425" s="684"/>
      <c r="O425" s="684"/>
      <c r="P425" s="363" t="s">
        <v>520</v>
      </c>
      <c r="Q425" s="380"/>
      <c r="R425" s="380"/>
      <c r="S425" s="363" t="s">
        <v>1538</v>
      </c>
      <c r="T425" s="363"/>
      <c r="U425" s="363"/>
      <c r="V425" s="363"/>
      <c r="W425" s="363"/>
      <c r="X425" s="363"/>
      <c r="Y425" s="363"/>
      <c r="Z425" s="363"/>
      <c r="AA425" s="363"/>
      <c r="AB425" s="363"/>
      <c r="AC425" s="363"/>
      <c r="AD425" s="363"/>
      <c r="AE425" s="363" t="s">
        <v>485</v>
      </c>
      <c r="AF425" s="380" t="s">
        <v>63</v>
      </c>
      <c r="AG425" s="380">
        <v>2</v>
      </c>
      <c r="AH425" s="363" t="s">
        <v>1539</v>
      </c>
    </row>
    <row r="426" spans="1:34" ht="15" hidden="1" customHeight="1" x14ac:dyDescent="0.3">
      <c r="B426" s="380" t="s">
        <v>2</v>
      </c>
      <c r="C426" s="551" t="s">
        <v>1540</v>
      </c>
      <c r="D426" s="480" t="s">
        <v>176</v>
      </c>
      <c r="E426" s="481" t="s">
        <v>1541</v>
      </c>
      <c r="F426" s="760">
        <v>45985</v>
      </c>
      <c r="G426" s="380" t="s">
        <v>55</v>
      </c>
      <c r="H426" s="380">
        <v>3</v>
      </c>
      <c r="I426" s="388">
        <v>268500</v>
      </c>
      <c r="J426" s="380">
        <v>3</v>
      </c>
      <c r="K426" s="389">
        <f>I426/2</f>
        <v>134250</v>
      </c>
      <c r="L426" s="775">
        <v>45668</v>
      </c>
      <c r="M426" s="775">
        <v>46326</v>
      </c>
      <c r="N426" s="684"/>
      <c r="O426" s="684"/>
      <c r="P426" s="363" t="s">
        <v>19</v>
      </c>
      <c r="Q426" s="380" t="s">
        <v>1285</v>
      </c>
      <c r="R426" s="380"/>
      <c r="S426" s="390" t="s">
        <v>192</v>
      </c>
      <c r="T426" s="363" t="s">
        <v>639</v>
      </c>
      <c r="U426" s="390" t="s">
        <v>194</v>
      </c>
      <c r="V426" s="363" t="s">
        <v>1868</v>
      </c>
      <c r="W426" s="390" t="s">
        <v>1344</v>
      </c>
      <c r="X426" s="363" t="s">
        <v>2033</v>
      </c>
      <c r="Y426" s="363"/>
      <c r="Z426" s="363"/>
      <c r="AA426" s="363"/>
      <c r="AB426" s="363"/>
      <c r="AC426" s="363"/>
      <c r="AD426" s="363"/>
      <c r="AE426" s="363" t="s">
        <v>183</v>
      </c>
      <c r="AF426" s="380" t="s">
        <v>97</v>
      </c>
      <c r="AG426" s="380">
        <v>6</v>
      </c>
      <c r="AH426" s="363" t="s">
        <v>1544</v>
      </c>
    </row>
    <row r="427" spans="1:34" ht="15" customHeight="1" x14ac:dyDescent="0.3">
      <c r="B427" s="380" t="s">
        <v>2</v>
      </c>
      <c r="C427" s="482" t="s">
        <v>195</v>
      </c>
      <c r="D427" s="483" t="s">
        <v>447</v>
      </c>
      <c r="E427" s="468" t="s">
        <v>1545</v>
      </c>
      <c r="F427" s="760">
        <v>46058</v>
      </c>
      <c r="G427" s="380" t="s">
        <v>55</v>
      </c>
      <c r="H427" s="380"/>
      <c r="I427" s="388">
        <v>325000</v>
      </c>
      <c r="J427" s="380">
        <v>4</v>
      </c>
      <c r="K427" s="389">
        <f t="shared" ref="K427:K438" si="19">I427/J427</f>
        <v>81250</v>
      </c>
      <c r="L427" s="775">
        <v>46059</v>
      </c>
      <c r="M427" s="775">
        <v>46423</v>
      </c>
      <c r="N427" s="684">
        <v>155048</v>
      </c>
      <c r="O427" s="684">
        <v>4712</v>
      </c>
      <c r="P427" s="363" t="s">
        <v>520</v>
      </c>
      <c r="Q427" s="380"/>
      <c r="R427" s="380"/>
      <c r="S427" s="390" t="s">
        <v>1546</v>
      </c>
      <c r="T427" s="363" t="s">
        <v>712</v>
      </c>
      <c r="U427" s="390" t="s">
        <v>1547</v>
      </c>
      <c r="V427" s="363" t="s">
        <v>2059</v>
      </c>
      <c r="W427" s="363" t="s">
        <v>1548</v>
      </c>
      <c r="X427" s="363"/>
      <c r="Y427" s="363" t="s">
        <v>1549</v>
      </c>
      <c r="Z427" s="363"/>
      <c r="AA427" s="363"/>
      <c r="AB427" s="363"/>
      <c r="AC427" s="363"/>
      <c r="AD427" s="363"/>
      <c r="AE427" s="363" t="s">
        <v>96</v>
      </c>
      <c r="AF427" s="380" t="s">
        <v>97</v>
      </c>
      <c r="AG427" s="380" t="s">
        <v>494</v>
      </c>
      <c r="AH427" s="363" t="s">
        <v>667</v>
      </c>
    </row>
    <row r="428" spans="1:34" ht="15" customHeight="1" x14ac:dyDescent="0.3">
      <c r="B428" s="380" t="s">
        <v>2</v>
      </c>
      <c r="C428" s="482" t="s">
        <v>195</v>
      </c>
      <c r="D428" s="483" t="s">
        <v>447</v>
      </c>
      <c r="E428" s="468" t="s">
        <v>1545</v>
      </c>
      <c r="F428" s="760">
        <v>46058</v>
      </c>
      <c r="G428" s="380" t="s">
        <v>55</v>
      </c>
      <c r="H428" s="380"/>
      <c r="I428" s="388">
        <v>325000</v>
      </c>
      <c r="J428" s="380">
        <v>4</v>
      </c>
      <c r="K428" s="389">
        <f t="shared" si="19"/>
        <v>81250</v>
      </c>
      <c r="L428" s="387">
        <v>46424</v>
      </c>
      <c r="M428" s="387">
        <v>46788</v>
      </c>
      <c r="N428" s="680"/>
      <c r="O428" s="680"/>
      <c r="P428" s="363" t="s">
        <v>520</v>
      </c>
      <c r="Q428" s="380"/>
      <c r="R428" s="380"/>
      <c r="S428" s="363" t="s">
        <v>1550</v>
      </c>
      <c r="T428" s="363"/>
      <c r="U428" s="363" t="s">
        <v>1551</v>
      </c>
      <c r="V428" s="363"/>
      <c r="W428" s="363" t="s">
        <v>1552</v>
      </c>
      <c r="X428" s="363"/>
      <c r="Y428" s="363" t="s">
        <v>1553</v>
      </c>
      <c r="Z428" s="363"/>
      <c r="AA428" s="363"/>
      <c r="AB428" s="363"/>
      <c r="AC428" s="363"/>
      <c r="AD428" s="363"/>
      <c r="AE428" s="363" t="s">
        <v>96</v>
      </c>
      <c r="AF428" s="380" t="s">
        <v>97</v>
      </c>
      <c r="AG428" s="380" t="s">
        <v>494</v>
      </c>
      <c r="AH428" s="363" t="s">
        <v>667</v>
      </c>
    </row>
    <row r="429" spans="1:34" ht="15" customHeight="1" x14ac:dyDescent="0.3">
      <c r="B429" s="380" t="s">
        <v>2</v>
      </c>
      <c r="C429" s="482" t="s">
        <v>195</v>
      </c>
      <c r="D429" s="483" t="s">
        <v>447</v>
      </c>
      <c r="E429" s="468" t="s">
        <v>1545</v>
      </c>
      <c r="F429" s="760">
        <v>46058</v>
      </c>
      <c r="G429" s="380" t="s">
        <v>55</v>
      </c>
      <c r="H429" s="380">
        <v>5</v>
      </c>
      <c r="I429" s="388">
        <v>325000</v>
      </c>
      <c r="J429" s="380">
        <v>4</v>
      </c>
      <c r="K429" s="389">
        <f t="shared" si="19"/>
        <v>81250</v>
      </c>
      <c r="L429" s="387">
        <v>46789</v>
      </c>
      <c r="M429" s="387">
        <v>47154</v>
      </c>
      <c r="N429" s="680"/>
      <c r="O429" s="680"/>
      <c r="P429" s="363" t="s">
        <v>520</v>
      </c>
      <c r="Q429" s="380"/>
      <c r="R429" s="380"/>
      <c r="S429" s="363" t="s">
        <v>1554</v>
      </c>
      <c r="T429" s="363"/>
      <c r="U429" s="363" t="s">
        <v>1555</v>
      </c>
      <c r="V429" s="363"/>
      <c r="W429" s="363" t="s">
        <v>1556</v>
      </c>
      <c r="X429" s="363"/>
      <c r="Y429" s="363" t="s">
        <v>1557</v>
      </c>
      <c r="Z429" s="363"/>
      <c r="AA429" s="363"/>
      <c r="AB429" s="363"/>
      <c r="AC429" s="363"/>
      <c r="AD429" s="363"/>
      <c r="AE429" s="363" t="s">
        <v>96</v>
      </c>
      <c r="AF429" s="380" t="s">
        <v>97</v>
      </c>
      <c r="AG429" s="380" t="s">
        <v>494</v>
      </c>
      <c r="AH429" s="363" t="s">
        <v>667</v>
      </c>
    </row>
    <row r="430" spans="1:34" ht="15" customHeight="1" x14ac:dyDescent="0.3">
      <c r="B430" s="380" t="s">
        <v>2</v>
      </c>
      <c r="C430" s="482" t="s">
        <v>1558</v>
      </c>
      <c r="D430" s="483" t="s">
        <v>151</v>
      </c>
      <c r="E430" s="468">
        <v>10106079</v>
      </c>
      <c r="F430" s="760">
        <v>46062</v>
      </c>
      <c r="G430" s="380" t="s">
        <v>55</v>
      </c>
      <c r="H430" s="380">
        <v>1</v>
      </c>
      <c r="I430" s="388">
        <v>130000</v>
      </c>
      <c r="J430" s="380">
        <v>3</v>
      </c>
      <c r="K430" s="389">
        <f t="shared" si="19"/>
        <v>43333.333333333336</v>
      </c>
      <c r="L430" s="387">
        <v>46023</v>
      </c>
      <c r="M430" s="387">
        <v>46387</v>
      </c>
      <c r="N430" s="680">
        <v>155140</v>
      </c>
      <c r="O430" s="680">
        <v>4757</v>
      </c>
      <c r="P430" s="363" t="s">
        <v>520</v>
      </c>
      <c r="Q430" s="380"/>
      <c r="R430" s="380"/>
      <c r="S430" s="390" t="s">
        <v>1559</v>
      </c>
      <c r="T430" s="363" t="s">
        <v>1710</v>
      </c>
      <c r="U430" s="390" t="s">
        <v>348</v>
      </c>
      <c r="V430" s="363" t="s">
        <v>2012</v>
      </c>
      <c r="W430" s="363" t="s">
        <v>349</v>
      </c>
      <c r="X430" s="363"/>
      <c r="Y430" s="363"/>
      <c r="Z430" s="363"/>
      <c r="AA430" s="363"/>
      <c r="AB430" s="363"/>
      <c r="AC430" s="363"/>
      <c r="AD430" s="363"/>
      <c r="AE430" s="363" t="s">
        <v>478</v>
      </c>
      <c r="AF430" s="380" t="s">
        <v>63</v>
      </c>
      <c r="AG430" s="380">
        <v>3</v>
      </c>
      <c r="AH430" s="363" t="s">
        <v>667</v>
      </c>
    </row>
    <row r="431" spans="1:34" ht="15" customHeight="1" x14ac:dyDescent="0.3">
      <c r="B431" s="380" t="s">
        <v>2</v>
      </c>
      <c r="C431" s="409" t="s">
        <v>1560</v>
      </c>
      <c r="D431" s="418" t="s">
        <v>388</v>
      </c>
      <c r="E431" s="493">
        <v>4511430093</v>
      </c>
      <c r="F431" s="760">
        <v>46059</v>
      </c>
      <c r="G431" s="380" t="s">
        <v>55</v>
      </c>
      <c r="H431" s="380">
        <v>3</v>
      </c>
      <c r="I431" s="388">
        <v>755305</v>
      </c>
      <c r="J431" s="380">
        <v>4</v>
      </c>
      <c r="K431" s="389">
        <f t="shared" si="19"/>
        <v>188826.25</v>
      </c>
      <c r="L431" s="387">
        <v>46007</v>
      </c>
      <c r="M431" s="387">
        <v>46371</v>
      </c>
      <c r="N431" s="680">
        <v>154957</v>
      </c>
      <c r="O431" s="680">
        <v>4860</v>
      </c>
      <c r="P431" s="363" t="s">
        <v>520</v>
      </c>
      <c r="Q431" s="380"/>
      <c r="R431" s="380"/>
      <c r="S431" s="390" t="s">
        <v>1561</v>
      </c>
      <c r="T431" s="363" t="s">
        <v>1019</v>
      </c>
      <c r="U431" s="390" t="s">
        <v>1562</v>
      </c>
      <c r="V431" s="363" t="s">
        <v>1866</v>
      </c>
      <c r="W431" s="390" t="s">
        <v>1563</v>
      </c>
      <c r="X431" s="363" t="s">
        <v>2024</v>
      </c>
      <c r="Y431" s="363" t="s">
        <v>1564</v>
      </c>
      <c r="Z431" s="363"/>
      <c r="AA431" s="363"/>
      <c r="AB431" s="363"/>
      <c r="AC431" s="363"/>
      <c r="AD431" s="363"/>
      <c r="AE431" s="363" t="s">
        <v>478</v>
      </c>
      <c r="AF431" s="380" t="s">
        <v>63</v>
      </c>
      <c r="AG431" s="380">
        <v>3</v>
      </c>
      <c r="AH431" s="363" t="s">
        <v>667</v>
      </c>
    </row>
    <row r="432" spans="1:34" ht="15" customHeight="1" x14ac:dyDescent="0.3">
      <c r="B432" s="380" t="s">
        <v>2</v>
      </c>
      <c r="C432" s="482" t="s">
        <v>1385</v>
      </c>
      <c r="D432" s="483" t="s">
        <v>1565</v>
      </c>
      <c r="E432" s="468">
        <v>4500090444</v>
      </c>
      <c r="F432" s="760">
        <v>46060</v>
      </c>
      <c r="G432" s="380" t="s">
        <v>55</v>
      </c>
      <c r="H432" s="380">
        <v>1</v>
      </c>
      <c r="I432" s="388">
        <v>80000</v>
      </c>
      <c r="J432" s="380">
        <v>2</v>
      </c>
      <c r="K432" s="389">
        <f t="shared" si="19"/>
        <v>40000</v>
      </c>
      <c r="L432" s="387">
        <v>46064</v>
      </c>
      <c r="M432" s="387">
        <v>46428</v>
      </c>
      <c r="N432" s="680">
        <v>155413</v>
      </c>
      <c r="O432" s="680">
        <v>4197</v>
      </c>
      <c r="P432" s="363" t="s">
        <v>520</v>
      </c>
      <c r="Q432" s="380"/>
      <c r="R432" s="380"/>
      <c r="S432" s="390" t="s">
        <v>1566</v>
      </c>
      <c r="T432" s="363" t="s">
        <v>2047</v>
      </c>
      <c r="U432" s="363" t="s">
        <v>1567</v>
      </c>
      <c r="V432" s="363"/>
      <c r="W432" s="363"/>
      <c r="X432" s="363"/>
      <c r="Y432" s="363"/>
      <c r="Z432" s="363"/>
      <c r="AA432" s="363"/>
      <c r="AB432" s="363"/>
      <c r="AC432" s="363"/>
      <c r="AD432" s="363"/>
      <c r="AE432" s="363" t="s">
        <v>619</v>
      </c>
      <c r="AF432" s="380" t="s">
        <v>63</v>
      </c>
      <c r="AG432" s="380">
        <v>3</v>
      </c>
      <c r="AH432" s="363" t="s">
        <v>667</v>
      </c>
    </row>
    <row r="433" spans="2:34" ht="15" customHeight="1" x14ac:dyDescent="0.3">
      <c r="B433" s="380" t="s">
        <v>2</v>
      </c>
      <c r="C433" s="409" t="s">
        <v>598</v>
      </c>
      <c r="D433" s="423" t="s">
        <v>599</v>
      </c>
      <c r="E433" s="481">
        <v>3800068846</v>
      </c>
      <c r="F433" s="760">
        <v>46062</v>
      </c>
      <c r="G433" s="380" t="s">
        <v>55</v>
      </c>
      <c r="H433" s="380">
        <v>5</v>
      </c>
      <c r="I433" s="388">
        <v>290000</v>
      </c>
      <c r="J433" s="380">
        <v>2</v>
      </c>
      <c r="K433" s="389">
        <f t="shared" si="19"/>
        <v>145000</v>
      </c>
      <c r="L433" s="775">
        <v>46067</v>
      </c>
      <c r="M433" s="775">
        <v>46431</v>
      </c>
      <c r="N433" s="84">
        <v>155054</v>
      </c>
      <c r="O433" s="684"/>
      <c r="P433" s="363" t="s">
        <v>520</v>
      </c>
      <c r="Q433" s="380"/>
      <c r="R433" s="380"/>
      <c r="S433" s="363" t="s">
        <v>1568</v>
      </c>
      <c r="T433" s="363" t="s">
        <v>1569</v>
      </c>
      <c r="U433" s="363" t="s">
        <v>1570</v>
      </c>
      <c r="V433" s="363"/>
      <c r="W433" s="363"/>
      <c r="X433" s="363"/>
      <c r="Y433" s="363"/>
      <c r="Z433" s="363"/>
      <c r="AA433" s="363"/>
      <c r="AB433" s="363"/>
      <c r="AC433" s="363"/>
      <c r="AD433" s="363"/>
      <c r="AE433" s="363" t="s">
        <v>485</v>
      </c>
      <c r="AF433" s="380" t="s">
        <v>63</v>
      </c>
      <c r="AG433" s="380">
        <v>2</v>
      </c>
      <c r="AH433" s="363" t="s">
        <v>1571</v>
      </c>
    </row>
    <row r="434" spans="2:34" ht="15" hidden="1" customHeight="1" x14ac:dyDescent="0.3">
      <c r="B434" s="380" t="s">
        <v>2</v>
      </c>
      <c r="C434" s="409" t="s">
        <v>130</v>
      </c>
      <c r="D434" s="489" t="s">
        <v>1572</v>
      </c>
      <c r="E434" s="397">
        <v>6800048397</v>
      </c>
      <c r="F434" s="760">
        <v>45882</v>
      </c>
      <c r="G434" s="380" t="s">
        <v>55</v>
      </c>
      <c r="H434" s="380">
        <v>1</v>
      </c>
      <c r="I434" s="388">
        <v>88000</v>
      </c>
      <c r="J434" s="380">
        <v>2</v>
      </c>
      <c r="K434" s="389">
        <f t="shared" si="19"/>
        <v>44000</v>
      </c>
      <c r="L434" s="508">
        <v>45901</v>
      </c>
      <c r="M434" s="508">
        <v>46265</v>
      </c>
      <c r="N434" s="685"/>
      <c r="O434" s="685"/>
      <c r="P434" s="363" t="s">
        <v>19</v>
      </c>
      <c r="Q434" s="380" t="s">
        <v>13</v>
      </c>
      <c r="R434" s="380"/>
      <c r="S434" s="390" t="s">
        <v>625</v>
      </c>
      <c r="T434" s="363" t="s">
        <v>1009</v>
      </c>
      <c r="U434" s="390" t="s">
        <v>1235</v>
      </c>
      <c r="V434" s="363" t="s">
        <v>1857</v>
      </c>
      <c r="W434" s="363"/>
      <c r="X434" s="363"/>
      <c r="Y434" s="363"/>
      <c r="Z434" s="363"/>
      <c r="AA434" s="363"/>
      <c r="AB434" s="363"/>
      <c r="AC434" s="363"/>
      <c r="AD434" s="363"/>
      <c r="AE434" s="363" t="s">
        <v>183</v>
      </c>
      <c r="AF434" s="380" t="s">
        <v>97</v>
      </c>
      <c r="AG434" s="380">
        <v>2</v>
      </c>
      <c r="AH434" s="363" t="s">
        <v>1573</v>
      </c>
    </row>
    <row r="435" spans="2:34" ht="15" customHeight="1" x14ac:dyDescent="0.3">
      <c r="B435" s="380" t="s">
        <v>2</v>
      </c>
      <c r="C435" s="482" t="s">
        <v>1032</v>
      </c>
      <c r="D435" s="483" t="s">
        <v>1227</v>
      </c>
      <c r="E435" s="491">
        <v>2560049212</v>
      </c>
      <c r="F435" s="760">
        <v>46064</v>
      </c>
      <c r="G435" s="380" t="s">
        <v>55</v>
      </c>
      <c r="H435" s="380">
        <v>2</v>
      </c>
      <c r="I435" s="388">
        <v>180000</v>
      </c>
      <c r="J435" s="380">
        <v>2</v>
      </c>
      <c r="K435" s="389">
        <f t="shared" si="19"/>
        <v>90000</v>
      </c>
      <c r="L435" s="775">
        <v>46054</v>
      </c>
      <c r="M435" s="775">
        <v>46418</v>
      </c>
      <c r="N435" s="684"/>
      <c r="O435" s="684"/>
      <c r="P435" s="363" t="s">
        <v>520</v>
      </c>
      <c r="Q435" s="380"/>
      <c r="R435" s="380" t="s">
        <v>1</v>
      </c>
      <c r="S435" s="363" t="s">
        <v>426</v>
      </c>
      <c r="T435" s="363"/>
      <c r="U435" s="363" t="s">
        <v>427</v>
      </c>
      <c r="V435" s="363"/>
      <c r="W435" s="363"/>
      <c r="X435" s="363"/>
      <c r="Y435" s="363"/>
      <c r="Z435" s="363"/>
      <c r="AA435" s="363"/>
      <c r="AB435" s="363"/>
      <c r="AC435" s="363"/>
      <c r="AD435" s="363"/>
      <c r="AE435" s="363" t="s">
        <v>507</v>
      </c>
      <c r="AF435" s="380" t="s">
        <v>63</v>
      </c>
      <c r="AG435" s="380">
        <v>3</v>
      </c>
      <c r="AH435" s="363" t="s">
        <v>799</v>
      </c>
    </row>
    <row r="436" spans="2:34" ht="15" customHeight="1" x14ac:dyDescent="0.3">
      <c r="B436" s="380" t="s">
        <v>2</v>
      </c>
      <c r="C436" s="482" t="s">
        <v>1326</v>
      </c>
      <c r="D436" s="483" t="s">
        <v>151</v>
      </c>
      <c r="E436" s="468">
        <v>928978356</v>
      </c>
      <c r="F436" s="760">
        <v>46064</v>
      </c>
      <c r="G436" s="380" t="s">
        <v>55</v>
      </c>
      <c r="H436" s="380">
        <v>1</v>
      </c>
      <c r="I436" s="388">
        <v>96000</v>
      </c>
      <c r="J436" s="380">
        <v>3</v>
      </c>
      <c r="K436" s="389">
        <f t="shared" si="19"/>
        <v>32000</v>
      </c>
      <c r="L436" s="775">
        <v>46064</v>
      </c>
      <c r="M436" s="775">
        <v>46428</v>
      </c>
      <c r="N436" s="684"/>
      <c r="O436" s="684"/>
      <c r="P436" s="363" t="s">
        <v>520</v>
      </c>
      <c r="Q436" s="380"/>
      <c r="R436" s="380"/>
      <c r="S436" s="390" t="s">
        <v>1574</v>
      </c>
      <c r="T436" s="363" t="s">
        <v>1162</v>
      </c>
      <c r="U436" s="363" t="s">
        <v>1575</v>
      </c>
      <c r="V436" s="363"/>
      <c r="W436" s="363" t="s">
        <v>1576</v>
      </c>
      <c r="X436" s="363"/>
      <c r="Y436" s="363"/>
      <c r="Z436" s="363"/>
      <c r="AA436" s="363"/>
      <c r="AB436" s="363"/>
      <c r="AC436" s="363"/>
      <c r="AD436" s="363"/>
      <c r="AE436" s="363" t="s">
        <v>507</v>
      </c>
      <c r="AF436" s="380" t="s">
        <v>63</v>
      </c>
      <c r="AG436" s="380">
        <v>3</v>
      </c>
      <c r="AH436" s="363" t="s">
        <v>1577</v>
      </c>
    </row>
    <row r="437" spans="2:34" ht="15" customHeight="1" x14ac:dyDescent="0.3">
      <c r="B437" s="380" t="s">
        <v>2</v>
      </c>
      <c r="C437" s="409" t="s">
        <v>1095</v>
      </c>
      <c r="D437" s="434" t="s">
        <v>1578</v>
      </c>
      <c r="E437" s="506">
        <v>9709627472</v>
      </c>
      <c r="F437" s="760">
        <v>46069</v>
      </c>
      <c r="G437" s="380" t="s">
        <v>55</v>
      </c>
      <c r="H437" s="380">
        <v>13</v>
      </c>
      <c r="I437" s="388">
        <v>1040000</v>
      </c>
      <c r="J437" s="380">
        <v>4</v>
      </c>
      <c r="K437" s="389">
        <f t="shared" si="19"/>
        <v>260000</v>
      </c>
      <c r="L437" s="508">
        <v>45668</v>
      </c>
      <c r="M437" s="508">
        <v>46326</v>
      </c>
      <c r="N437" s="685">
        <v>154984</v>
      </c>
      <c r="O437" s="685">
        <v>4811</v>
      </c>
      <c r="P437" s="363" t="s">
        <v>520</v>
      </c>
      <c r="Q437" s="380"/>
      <c r="R437" s="380"/>
      <c r="S437" s="390" t="s">
        <v>269</v>
      </c>
      <c r="T437" s="363" t="s">
        <v>999</v>
      </c>
      <c r="U437" s="390" t="s">
        <v>442</v>
      </c>
      <c r="V437" s="363" t="s">
        <v>1857</v>
      </c>
      <c r="W437" s="390" t="s">
        <v>444</v>
      </c>
      <c r="X437" s="363" t="s">
        <v>2039</v>
      </c>
      <c r="Y437" s="363" t="s">
        <v>445</v>
      </c>
      <c r="Z437" s="363"/>
      <c r="AA437" s="363"/>
      <c r="AB437" s="363"/>
      <c r="AC437" s="363"/>
      <c r="AD437" s="363"/>
      <c r="AE437" s="363" t="s">
        <v>619</v>
      </c>
      <c r="AF437" s="380" t="s">
        <v>63</v>
      </c>
      <c r="AG437" s="380">
        <v>4</v>
      </c>
      <c r="AH437" s="363" t="s">
        <v>667</v>
      </c>
    </row>
    <row r="438" spans="2:34" ht="15" customHeight="1" x14ac:dyDescent="0.3">
      <c r="B438" s="380" t="s">
        <v>2</v>
      </c>
      <c r="C438" s="409" t="s">
        <v>975</v>
      </c>
      <c r="D438" s="423" t="s">
        <v>1136</v>
      </c>
      <c r="E438" s="408">
        <v>6100013233</v>
      </c>
      <c r="F438" s="760">
        <v>46055</v>
      </c>
      <c r="G438" s="380" t="s">
        <v>55</v>
      </c>
      <c r="H438" s="380">
        <v>1</v>
      </c>
      <c r="I438" s="388">
        <v>112000</v>
      </c>
      <c r="J438" s="380">
        <v>3</v>
      </c>
      <c r="K438" s="389">
        <f t="shared" si="19"/>
        <v>37333.333333333336</v>
      </c>
      <c r="L438" s="508">
        <v>45992</v>
      </c>
      <c r="M438" s="508">
        <v>46356</v>
      </c>
      <c r="N438" s="685"/>
      <c r="O438" s="685"/>
      <c r="P438" s="363" t="s">
        <v>520</v>
      </c>
      <c r="Q438" s="380"/>
      <c r="R438" s="380"/>
      <c r="S438" s="390" t="s">
        <v>361</v>
      </c>
      <c r="T438" s="363" t="s">
        <v>1262</v>
      </c>
      <c r="U438" s="390" t="s">
        <v>1579</v>
      </c>
      <c r="V438" s="363" t="s">
        <v>1960</v>
      </c>
      <c r="W438" s="363" t="s">
        <v>1108</v>
      </c>
      <c r="X438" s="363" t="s">
        <v>1580</v>
      </c>
      <c r="Y438" s="363"/>
      <c r="Z438" s="363"/>
      <c r="AA438" s="363"/>
      <c r="AB438" s="363"/>
      <c r="AC438" s="363"/>
      <c r="AD438" s="363"/>
      <c r="AE438" s="363" t="s">
        <v>551</v>
      </c>
      <c r="AF438" s="380" t="s">
        <v>207</v>
      </c>
      <c r="AG438" s="380">
        <v>3</v>
      </c>
      <c r="AH438" s="363" t="s">
        <v>1581</v>
      </c>
    </row>
    <row r="439" spans="2:34" ht="15" customHeight="1" x14ac:dyDescent="0.3">
      <c r="B439" s="380" t="s">
        <v>2</v>
      </c>
      <c r="C439" s="412" t="s">
        <v>502</v>
      </c>
      <c r="D439" s="437" t="s">
        <v>151</v>
      </c>
      <c r="E439" s="447" t="s">
        <v>1582</v>
      </c>
      <c r="F439" s="760">
        <v>46049</v>
      </c>
      <c r="G439" s="380" t="s">
        <v>55</v>
      </c>
      <c r="H439" s="380">
        <v>1</v>
      </c>
      <c r="I439" s="388">
        <v>76440</v>
      </c>
      <c r="J439" s="380">
        <v>3</v>
      </c>
      <c r="K439" s="389"/>
      <c r="L439" s="508">
        <v>46023</v>
      </c>
      <c r="M439" s="508">
        <v>46387</v>
      </c>
      <c r="N439" s="685"/>
      <c r="O439" s="685"/>
      <c r="P439" s="363" t="s">
        <v>520</v>
      </c>
      <c r="Q439" s="380"/>
      <c r="R439" s="380"/>
      <c r="S439" s="390" t="s">
        <v>347</v>
      </c>
      <c r="T439" s="363" t="s">
        <v>1727</v>
      </c>
      <c r="U439" s="363" t="s">
        <v>348</v>
      </c>
      <c r="V439" s="363"/>
      <c r="W439" s="363" t="s">
        <v>349</v>
      </c>
      <c r="X439" s="363"/>
      <c r="Y439" s="363"/>
      <c r="Z439" s="363"/>
      <c r="AA439" s="363"/>
      <c r="AB439" s="363"/>
      <c r="AC439" s="363"/>
      <c r="AD439" s="363"/>
      <c r="AE439" s="363" t="s">
        <v>507</v>
      </c>
      <c r="AF439" s="380" t="s">
        <v>63</v>
      </c>
      <c r="AG439" s="380">
        <v>3</v>
      </c>
      <c r="AH439" s="363" t="s">
        <v>1583</v>
      </c>
    </row>
    <row r="440" spans="2:34" ht="15" customHeight="1" x14ac:dyDescent="0.3">
      <c r="B440" s="380" t="s">
        <v>2</v>
      </c>
      <c r="C440" s="482" t="s">
        <v>1584</v>
      </c>
      <c r="D440" s="483" t="s">
        <v>151</v>
      </c>
      <c r="E440" s="468">
        <v>7408</v>
      </c>
      <c r="F440" s="760">
        <v>46029</v>
      </c>
      <c r="G440" s="380" t="s">
        <v>55</v>
      </c>
      <c r="H440" s="380">
        <v>1</v>
      </c>
      <c r="I440" s="388">
        <v>67500</v>
      </c>
      <c r="J440" s="380">
        <v>3</v>
      </c>
      <c r="K440" s="389">
        <f t="shared" ref="K440:K458" si="20">I440/J440</f>
        <v>22500</v>
      </c>
      <c r="L440" s="775">
        <v>46023</v>
      </c>
      <c r="M440" s="775">
        <v>46387</v>
      </c>
      <c r="N440" s="684"/>
      <c r="O440" s="684"/>
      <c r="P440" s="363" t="s">
        <v>520</v>
      </c>
      <c r="Q440" s="380"/>
      <c r="R440" s="380"/>
      <c r="S440" s="390" t="s">
        <v>347</v>
      </c>
      <c r="T440" s="363" t="s">
        <v>1735</v>
      </c>
      <c r="U440" s="363" t="s">
        <v>348</v>
      </c>
      <c r="V440" s="363"/>
      <c r="W440" s="363" t="s">
        <v>349</v>
      </c>
      <c r="X440" s="363"/>
      <c r="Y440" s="363"/>
      <c r="Z440" s="363"/>
      <c r="AA440" s="363"/>
      <c r="AB440" s="363"/>
      <c r="AC440" s="363"/>
      <c r="AD440" s="363"/>
      <c r="AE440" s="363" t="s">
        <v>507</v>
      </c>
      <c r="AF440" s="380" t="s">
        <v>63</v>
      </c>
      <c r="AG440" s="380">
        <v>3</v>
      </c>
      <c r="AH440" s="363" t="s">
        <v>1585</v>
      </c>
    </row>
    <row r="441" spans="2:34" ht="15" hidden="1" customHeight="1" x14ac:dyDescent="0.3">
      <c r="B441" s="380" t="s">
        <v>2</v>
      </c>
      <c r="C441" s="485" t="s">
        <v>948</v>
      </c>
      <c r="D441" s="486" t="s">
        <v>987</v>
      </c>
      <c r="E441" s="451">
        <v>9000005172</v>
      </c>
      <c r="F441" s="753">
        <v>46069</v>
      </c>
      <c r="G441" s="380" t="s">
        <v>55</v>
      </c>
      <c r="H441" s="380">
        <v>1</v>
      </c>
      <c r="I441" s="388">
        <v>18620</v>
      </c>
      <c r="J441" s="380">
        <v>1</v>
      </c>
      <c r="K441" s="389">
        <f t="shared" si="20"/>
        <v>18620</v>
      </c>
      <c r="L441" s="387">
        <v>46023</v>
      </c>
      <c r="M441" s="387">
        <v>46112</v>
      </c>
      <c r="N441" s="680"/>
      <c r="O441" s="680"/>
      <c r="P441" s="363" t="s">
        <v>19</v>
      </c>
      <c r="Q441" s="380" t="s">
        <v>3</v>
      </c>
      <c r="R441" s="380"/>
      <c r="S441" s="390" t="s">
        <v>396</v>
      </c>
      <c r="T441" s="363" t="s">
        <v>1162</v>
      </c>
      <c r="U441" s="363"/>
      <c r="V441" s="363"/>
      <c r="W441" s="363"/>
      <c r="X441" s="363"/>
      <c r="Y441" s="363"/>
      <c r="Z441" s="363"/>
      <c r="AA441" s="363"/>
      <c r="AB441" s="363"/>
      <c r="AC441" s="363"/>
      <c r="AD441" s="363"/>
      <c r="AE441" s="363" t="s">
        <v>551</v>
      </c>
      <c r="AF441" s="380" t="s">
        <v>207</v>
      </c>
      <c r="AG441" s="380"/>
      <c r="AH441" s="363"/>
    </row>
    <row r="442" spans="2:34" ht="15" customHeight="1" x14ac:dyDescent="0.3">
      <c r="B442" s="380" t="s">
        <v>2</v>
      </c>
      <c r="C442" s="409" t="s">
        <v>1586</v>
      </c>
      <c r="D442" s="423" t="s">
        <v>151</v>
      </c>
      <c r="E442" s="408" t="s">
        <v>1587</v>
      </c>
      <c r="F442" s="764">
        <v>46045</v>
      </c>
      <c r="G442" s="380" t="s">
        <v>55</v>
      </c>
      <c r="H442" s="380"/>
      <c r="I442" s="388">
        <v>240000</v>
      </c>
      <c r="J442" s="380">
        <v>2</v>
      </c>
      <c r="K442" s="389">
        <f t="shared" si="20"/>
        <v>120000</v>
      </c>
      <c r="L442" s="508">
        <v>46023</v>
      </c>
      <c r="M442" s="508">
        <v>46387</v>
      </c>
      <c r="N442" s="685"/>
      <c r="O442" s="685"/>
      <c r="P442" s="363" t="s">
        <v>520</v>
      </c>
      <c r="Q442" s="380"/>
      <c r="R442" s="380"/>
      <c r="S442" s="390" t="s">
        <v>607</v>
      </c>
      <c r="T442" s="363" t="s">
        <v>1854</v>
      </c>
      <c r="U442" s="363" t="s">
        <v>608</v>
      </c>
      <c r="V442" s="363"/>
      <c r="W442" s="363"/>
      <c r="X442" s="363"/>
      <c r="Y442" s="363"/>
      <c r="Z442" s="363"/>
      <c r="AA442" s="363"/>
      <c r="AB442" s="363"/>
      <c r="AC442" s="363"/>
      <c r="AD442" s="363"/>
      <c r="AE442" s="363" t="s">
        <v>478</v>
      </c>
      <c r="AF442" s="380" t="s">
        <v>63</v>
      </c>
      <c r="AG442" s="380">
        <v>3</v>
      </c>
      <c r="AH442" s="363" t="s">
        <v>667</v>
      </c>
    </row>
    <row r="443" spans="2:34" ht="15" customHeight="1" x14ac:dyDescent="0.3">
      <c r="B443" s="380" t="s">
        <v>2</v>
      </c>
      <c r="C443" s="409" t="s">
        <v>1586</v>
      </c>
      <c r="D443" s="423" t="s">
        <v>151</v>
      </c>
      <c r="E443" s="408" t="s">
        <v>1587</v>
      </c>
      <c r="F443" s="764">
        <v>46045</v>
      </c>
      <c r="G443" s="380" t="s">
        <v>55</v>
      </c>
      <c r="H443" s="380">
        <v>2</v>
      </c>
      <c r="I443" s="388">
        <v>240000</v>
      </c>
      <c r="J443" s="380">
        <v>2</v>
      </c>
      <c r="K443" s="389">
        <f t="shared" si="20"/>
        <v>120000</v>
      </c>
      <c r="L443" s="387">
        <v>46388</v>
      </c>
      <c r="M443" s="387">
        <v>46752</v>
      </c>
      <c r="N443" s="680"/>
      <c r="O443" s="680"/>
      <c r="P443" s="363" t="s">
        <v>520</v>
      </c>
      <c r="Q443" s="380"/>
      <c r="R443" s="380"/>
      <c r="S443" s="363" t="s">
        <v>1588</v>
      </c>
      <c r="T443" s="363"/>
      <c r="U443" s="363" t="s">
        <v>1482</v>
      </c>
      <c r="V443" s="363"/>
      <c r="W443" s="363"/>
      <c r="X443" s="363"/>
      <c r="Y443" s="363"/>
      <c r="Z443" s="363"/>
      <c r="AA443" s="363"/>
      <c r="AB443" s="363"/>
      <c r="AC443" s="363"/>
      <c r="AD443" s="363"/>
      <c r="AE443" s="363" t="s">
        <v>478</v>
      </c>
      <c r="AF443" s="380" t="s">
        <v>63</v>
      </c>
      <c r="AG443" s="380">
        <v>3</v>
      </c>
      <c r="AH443" s="363" t="s">
        <v>667</v>
      </c>
    </row>
    <row r="444" spans="2:34" ht="15" customHeight="1" x14ac:dyDescent="0.3">
      <c r="B444" s="380" t="s">
        <v>2</v>
      </c>
      <c r="C444" s="409" t="s">
        <v>1589</v>
      </c>
      <c r="D444" s="423" t="s">
        <v>1317</v>
      </c>
      <c r="E444" s="408" t="s">
        <v>1590</v>
      </c>
      <c r="F444" s="760">
        <v>46064</v>
      </c>
      <c r="G444" s="380" t="s">
        <v>55</v>
      </c>
      <c r="H444" s="380">
        <v>1</v>
      </c>
      <c r="I444" s="388">
        <v>80000</v>
      </c>
      <c r="J444" s="380">
        <v>2</v>
      </c>
      <c r="K444" s="389">
        <f t="shared" si="20"/>
        <v>40000</v>
      </c>
      <c r="L444" s="508">
        <v>46023</v>
      </c>
      <c r="M444" s="508">
        <v>46387</v>
      </c>
      <c r="N444" s="685"/>
      <c r="O444" s="685"/>
      <c r="P444" s="363" t="s">
        <v>520</v>
      </c>
      <c r="Q444" s="380"/>
      <c r="R444" s="380"/>
      <c r="S444" s="394" t="s">
        <v>607</v>
      </c>
      <c r="T444" s="363" t="s">
        <v>1937</v>
      </c>
      <c r="U444" s="363" t="s">
        <v>608</v>
      </c>
      <c r="V444" s="363"/>
      <c r="W444" s="363"/>
      <c r="X444" s="363"/>
      <c r="Y444" s="363"/>
      <c r="Z444" s="363"/>
      <c r="AA444" s="363"/>
      <c r="AB444" s="363"/>
      <c r="AC444" s="363"/>
      <c r="AD444" s="363"/>
      <c r="AE444" s="363" t="s">
        <v>478</v>
      </c>
      <c r="AF444" s="380" t="s">
        <v>63</v>
      </c>
      <c r="AG444" s="380">
        <v>3</v>
      </c>
      <c r="AH444" s="363" t="s">
        <v>1319</v>
      </c>
    </row>
    <row r="445" spans="2:34" ht="15" customHeight="1" x14ac:dyDescent="0.3">
      <c r="B445" s="380" t="s">
        <v>2</v>
      </c>
      <c r="C445" s="409" t="s">
        <v>598</v>
      </c>
      <c r="D445" s="423" t="s">
        <v>388</v>
      </c>
      <c r="E445" s="419">
        <v>3800068822</v>
      </c>
      <c r="F445" s="760">
        <v>46069</v>
      </c>
      <c r="G445" s="380" t="s">
        <v>55</v>
      </c>
      <c r="H445" s="380">
        <v>2</v>
      </c>
      <c r="I445" s="388">
        <v>116000</v>
      </c>
      <c r="J445" s="380">
        <v>2</v>
      </c>
      <c r="K445" s="389">
        <f t="shared" si="20"/>
        <v>58000</v>
      </c>
      <c r="L445" s="508">
        <v>46082</v>
      </c>
      <c r="M445" s="508">
        <v>46446</v>
      </c>
      <c r="N445" s="685">
        <v>155451</v>
      </c>
      <c r="O445" s="685">
        <v>4499</v>
      </c>
      <c r="P445" s="363" t="s">
        <v>520</v>
      </c>
      <c r="Q445" s="380"/>
      <c r="R445" s="380"/>
      <c r="S445" s="390" t="s">
        <v>1235</v>
      </c>
      <c r="T445" s="363" t="s">
        <v>2018</v>
      </c>
      <c r="U445" s="363" t="s">
        <v>1534</v>
      </c>
      <c r="V445" s="363"/>
      <c r="W445" s="363"/>
      <c r="X445" s="363"/>
      <c r="Y445" s="363"/>
      <c r="Z445" s="363"/>
      <c r="AA445" s="363"/>
      <c r="AB445" s="363"/>
      <c r="AC445" s="363"/>
      <c r="AD445" s="363"/>
      <c r="AE445" s="363" t="s">
        <v>478</v>
      </c>
      <c r="AF445" s="380" t="s">
        <v>63</v>
      </c>
      <c r="AG445" s="380">
        <v>2</v>
      </c>
      <c r="AH445" s="363" t="s">
        <v>799</v>
      </c>
    </row>
    <row r="446" spans="2:34" ht="15" customHeight="1" x14ac:dyDescent="0.3">
      <c r="B446" s="380" t="s">
        <v>2</v>
      </c>
      <c r="C446" s="482" t="s">
        <v>1591</v>
      </c>
      <c r="D446" s="483" t="s">
        <v>1592</v>
      </c>
      <c r="E446" s="468">
        <v>4601527055</v>
      </c>
      <c r="F446" s="760">
        <v>46073</v>
      </c>
      <c r="G446" s="380" t="s">
        <v>55</v>
      </c>
      <c r="H446" s="380">
        <v>1</v>
      </c>
      <c r="I446" s="388">
        <v>75000</v>
      </c>
      <c r="J446" s="380">
        <v>3</v>
      </c>
      <c r="K446" s="389">
        <f t="shared" si="20"/>
        <v>25000</v>
      </c>
      <c r="L446" s="775">
        <v>46073</v>
      </c>
      <c r="M446" s="775">
        <v>46437</v>
      </c>
      <c r="N446" s="684"/>
      <c r="O446" s="684"/>
      <c r="P446" s="363" t="s">
        <v>520</v>
      </c>
      <c r="Q446" s="380"/>
      <c r="R446" s="380"/>
      <c r="S446" s="390" t="s">
        <v>1333</v>
      </c>
      <c r="T446" s="363" t="s">
        <v>1869</v>
      </c>
      <c r="U446" s="363" t="s">
        <v>1334</v>
      </c>
      <c r="V446" s="363"/>
      <c r="W446" s="363" t="s">
        <v>1593</v>
      </c>
      <c r="X446" s="363"/>
      <c r="Y446" s="363"/>
      <c r="Z446" s="363"/>
      <c r="AA446" s="363"/>
      <c r="AB446" s="363"/>
      <c r="AC446" s="363"/>
      <c r="AD446" s="363"/>
      <c r="AE446" s="363" t="s">
        <v>478</v>
      </c>
      <c r="AF446" s="380" t="s">
        <v>63</v>
      </c>
      <c r="AG446" s="380">
        <v>3</v>
      </c>
      <c r="AH446" s="363"/>
    </row>
    <row r="447" spans="2:34" ht="15" customHeight="1" x14ac:dyDescent="0.3">
      <c r="B447" s="380" t="s">
        <v>2</v>
      </c>
      <c r="C447" s="478" t="s">
        <v>1328</v>
      </c>
      <c r="D447" s="480" t="s">
        <v>841</v>
      </c>
      <c r="E447" s="481">
        <v>470079278</v>
      </c>
      <c r="F447" s="761">
        <v>46055</v>
      </c>
      <c r="G447" s="380" t="s">
        <v>55</v>
      </c>
      <c r="H447" s="380">
        <v>10</v>
      </c>
      <c r="I447" s="388">
        <v>633600</v>
      </c>
      <c r="J447" s="380">
        <v>1</v>
      </c>
      <c r="K447" s="389"/>
      <c r="L447" s="387">
        <v>46023</v>
      </c>
      <c r="M447" s="387">
        <v>46387</v>
      </c>
      <c r="N447" s="680"/>
      <c r="O447" s="680"/>
      <c r="P447" s="363" t="s">
        <v>520</v>
      </c>
      <c r="Q447" s="380"/>
      <c r="R447" s="380"/>
      <c r="S447" s="363" t="s">
        <v>1594</v>
      </c>
      <c r="T447" s="363"/>
      <c r="U447" s="363"/>
      <c r="V447" s="363"/>
      <c r="W447" s="363"/>
      <c r="X447" s="363"/>
      <c r="Y447" s="363"/>
      <c r="Z447" s="363"/>
      <c r="AA447" s="363"/>
      <c r="AB447" s="363"/>
      <c r="AC447" s="363"/>
      <c r="AD447" s="363"/>
      <c r="AE447" s="363" t="s">
        <v>485</v>
      </c>
      <c r="AF447" s="380" t="s">
        <v>63</v>
      </c>
      <c r="AG447" s="380">
        <v>2</v>
      </c>
      <c r="AH447" s="363" t="s">
        <v>1488</v>
      </c>
    </row>
    <row r="448" spans="2:34" ht="15" customHeight="1" x14ac:dyDescent="0.3">
      <c r="B448" s="380" t="s">
        <v>2</v>
      </c>
      <c r="C448" s="482" t="s">
        <v>1595</v>
      </c>
      <c r="D448" s="483" t="s">
        <v>818</v>
      </c>
      <c r="E448" s="468" t="s">
        <v>1596</v>
      </c>
      <c r="F448" s="760">
        <v>46056</v>
      </c>
      <c r="G448" s="380" t="s">
        <v>55</v>
      </c>
      <c r="H448" s="380"/>
      <c r="I448" s="388">
        <v>949104</v>
      </c>
      <c r="J448" s="380">
        <v>3</v>
      </c>
      <c r="K448" s="389">
        <f t="shared" si="20"/>
        <v>316368</v>
      </c>
      <c r="L448" s="775">
        <v>46082</v>
      </c>
      <c r="M448" s="775">
        <v>46446</v>
      </c>
      <c r="N448" s="684">
        <v>155050</v>
      </c>
      <c r="O448" s="684">
        <v>4755</v>
      </c>
      <c r="P448" s="363" t="s">
        <v>520</v>
      </c>
      <c r="Q448" s="380"/>
      <c r="R448" s="380"/>
      <c r="S448" s="390" t="s">
        <v>194</v>
      </c>
      <c r="T448" s="363" t="s">
        <v>1736</v>
      </c>
      <c r="U448" s="390" t="s">
        <v>1344</v>
      </c>
      <c r="V448" s="363" t="s">
        <v>2060</v>
      </c>
      <c r="W448" s="363" t="s">
        <v>1597</v>
      </c>
      <c r="X448" s="363"/>
      <c r="Y448" s="363"/>
      <c r="Z448" s="363"/>
      <c r="AA448" s="363"/>
      <c r="AB448" s="363"/>
      <c r="AC448" s="363"/>
      <c r="AD448" s="363"/>
      <c r="AE448" s="363" t="s">
        <v>281</v>
      </c>
      <c r="AF448" s="380" t="s">
        <v>97</v>
      </c>
      <c r="AG448" s="380">
        <v>3</v>
      </c>
      <c r="AH448" s="363" t="s">
        <v>1345</v>
      </c>
    </row>
    <row r="449" spans="2:34" ht="15" customHeight="1" x14ac:dyDescent="0.3">
      <c r="B449" s="380" t="s">
        <v>2</v>
      </c>
      <c r="C449" s="482" t="s">
        <v>1595</v>
      </c>
      <c r="D449" s="483" t="s">
        <v>818</v>
      </c>
      <c r="E449" s="468" t="s">
        <v>1596</v>
      </c>
      <c r="F449" s="760">
        <v>46056</v>
      </c>
      <c r="G449" s="380" t="s">
        <v>55</v>
      </c>
      <c r="H449" s="380">
        <v>9</v>
      </c>
      <c r="I449" s="388">
        <v>949104</v>
      </c>
      <c r="J449" s="380">
        <v>3</v>
      </c>
      <c r="K449" s="389">
        <f t="shared" si="20"/>
        <v>316368</v>
      </c>
      <c r="L449" s="387">
        <v>46447</v>
      </c>
      <c r="M449" s="387">
        <v>46812</v>
      </c>
      <c r="N449" s="680"/>
      <c r="O449" s="680"/>
      <c r="P449" s="363" t="s">
        <v>520</v>
      </c>
      <c r="Q449" s="380"/>
      <c r="R449" s="380"/>
      <c r="S449" s="363" t="s">
        <v>1598</v>
      </c>
      <c r="T449" s="363"/>
      <c r="U449" s="363" t="s">
        <v>1599</v>
      </c>
      <c r="V449" s="363"/>
      <c r="W449" s="363" t="s">
        <v>1600</v>
      </c>
      <c r="X449" s="363"/>
      <c r="Y449" s="363"/>
      <c r="Z449" s="363"/>
      <c r="AA449" s="363"/>
      <c r="AB449" s="363"/>
      <c r="AC449" s="363"/>
      <c r="AD449" s="363"/>
      <c r="AE449" s="363" t="s">
        <v>281</v>
      </c>
      <c r="AF449" s="380" t="s">
        <v>97</v>
      </c>
      <c r="AG449" s="380">
        <v>3</v>
      </c>
      <c r="AH449" s="363" t="s">
        <v>1345</v>
      </c>
    </row>
    <row r="450" spans="2:34" ht="15" customHeight="1" x14ac:dyDescent="0.3">
      <c r="B450" s="380" t="s">
        <v>2</v>
      </c>
      <c r="C450" s="409" t="s">
        <v>889</v>
      </c>
      <c r="D450" s="489" t="s">
        <v>2061</v>
      </c>
      <c r="E450" s="419">
        <v>4500037089</v>
      </c>
      <c r="F450" s="760">
        <v>46077</v>
      </c>
      <c r="G450" s="380" t="s">
        <v>55</v>
      </c>
      <c r="H450" s="380">
        <v>2</v>
      </c>
      <c r="I450" s="388">
        <v>217800</v>
      </c>
      <c r="J450" s="380">
        <v>2</v>
      </c>
      <c r="K450" s="389">
        <f t="shared" si="20"/>
        <v>108900</v>
      </c>
      <c r="L450" s="508">
        <v>46054</v>
      </c>
      <c r="M450" s="508">
        <v>46418</v>
      </c>
      <c r="N450" s="685"/>
      <c r="O450" s="685"/>
      <c r="P450" s="363" t="s">
        <v>520</v>
      </c>
      <c r="Q450" s="380"/>
      <c r="R450" s="380"/>
      <c r="S450" s="390" t="s">
        <v>426</v>
      </c>
      <c r="T450" s="363" t="s">
        <v>1338</v>
      </c>
      <c r="U450" s="363" t="s">
        <v>427</v>
      </c>
      <c r="V450" s="363"/>
      <c r="W450" s="363"/>
      <c r="X450" s="363"/>
      <c r="Y450" s="363"/>
      <c r="Z450" s="363"/>
      <c r="AA450" s="363"/>
      <c r="AB450" s="363"/>
      <c r="AC450" s="363"/>
      <c r="AD450" s="363"/>
      <c r="AE450" s="363" t="s">
        <v>1535</v>
      </c>
      <c r="AF450" s="380" t="s">
        <v>97</v>
      </c>
      <c r="AG450" s="380">
        <v>2</v>
      </c>
      <c r="AH450" s="363" t="s">
        <v>799</v>
      </c>
    </row>
    <row r="451" spans="2:34" ht="15" customHeight="1" x14ac:dyDescent="0.3">
      <c r="B451" s="380" t="s">
        <v>12</v>
      </c>
      <c r="C451" s="409" t="s">
        <v>739</v>
      </c>
      <c r="D451" s="489" t="s">
        <v>1601</v>
      </c>
      <c r="E451" s="509">
        <v>3400016097</v>
      </c>
      <c r="F451" s="760">
        <v>46070</v>
      </c>
      <c r="G451" s="380" t="s">
        <v>55</v>
      </c>
      <c r="H451" s="380">
        <v>10</v>
      </c>
      <c r="I451" s="388">
        <v>700448</v>
      </c>
      <c r="J451" s="380">
        <v>4</v>
      </c>
      <c r="K451" s="389">
        <f t="shared" si="20"/>
        <v>175112</v>
      </c>
      <c r="L451" s="508">
        <v>46054</v>
      </c>
      <c r="M451" s="508">
        <v>46418</v>
      </c>
      <c r="N451" s="685"/>
      <c r="O451" s="685"/>
      <c r="P451" s="363" t="s">
        <v>520</v>
      </c>
      <c r="Q451" s="380"/>
      <c r="R451" s="380"/>
      <c r="S451" s="390" t="s">
        <v>442</v>
      </c>
      <c r="T451" s="363" t="s">
        <v>1602</v>
      </c>
      <c r="U451" s="390" t="s">
        <v>444</v>
      </c>
      <c r="V451" s="363" t="s">
        <v>1962</v>
      </c>
      <c r="W451" s="363" t="s">
        <v>445</v>
      </c>
      <c r="X451" s="363"/>
      <c r="Y451" s="363" t="s">
        <v>456</v>
      </c>
      <c r="Z451" s="363"/>
      <c r="AA451" s="363"/>
      <c r="AB451" s="363"/>
      <c r="AC451" s="363"/>
      <c r="AD451" s="363"/>
      <c r="AE451" s="363" t="s">
        <v>96</v>
      </c>
      <c r="AF451" s="380" t="s">
        <v>97</v>
      </c>
      <c r="AG451" s="380" t="s">
        <v>494</v>
      </c>
      <c r="AH451" s="363" t="s">
        <v>835</v>
      </c>
    </row>
    <row r="452" spans="2:34" ht="15" customHeight="1" x14ac:dyDescent="0.3">
      <c r="B452" s="380" t="s">
        <v>12</v>
      </c>
      <c r="C452" s="482" t="s">
        <v>1603</v>
      </c>
      <c r="D452" s="483" t="s">
        <v>590</v>
      </c>
      <c r="E452" s="468">
        <v>2500000150</v>
      </c>
      <c r="F452" s="760">
        <v>46077</v>
      </c>
      <c r="G452" s="380" t="s">
        <v>55</v>
      </c>
      <c r="H452" s="380">
        <v>1</v>
      </c>
      <c r="I452" s="388">
        <v>137749.98000000001</v>
      </c>
      <c r="J452" s="380">
        <v>3</v>
      </c>
      <c r="K452" s="389">
        <f t="shared" si="20"/>
        <v>45916.66</v>
      </c>
      <c r="L452" s="775">
        <v>46082</v>
      </c>
      <c r="M452" s="775">
        <v>46446</v>
      </c>
      <c r="N452" s="684"/>
      <c r="O452" s="684"/>
      <c r="P452" s="363" t="s">
        <v>520</v>
      </c>
      <c r="Q452" s="380"/>
      <c r="R452" s="380"/>
      <c r="S452" s="390" t="s">
        <v>194</v>
      </c>
      <c r="T452" s="363" t="s">
        <v>1737</v>
      </c>
      <c r="U452" s="363" t="s">
        <v>1344</v>
      </c>
      <c r="V452" s="363"/>
      <c r="W452" s="363" t="s">
        <v>1597</v>
      </c>
      <c r="X452" s="363"/>
      <c r="Y452" s="363"/>
      <c r="Z452" s="363"/>
      <c r="AA452" s="363"/>
      <c r="AB452" s="363"/>
      <c r="AC452" s="363"/>
      <c r="AD452" s="363"/>
      <c r="AE452" s="363" t="s">
        <v>551</v>
      </c>
      <c r="AF452" s="380" t="s">
        <v>207</v>
      </c>
      <c r="AG452" s="380">
        <v>3</v>
      </c>
      <c r="AH452" s="363" t="s">
        <v>667</v>
      </c>
    </row>
    <row r="453" spans="2:34" ht="15" customHeight="1" x14ac:dyDescent="0.3">
      <c r="B453" s="380" t="s">
        <v>12</v>
      </c>
      <c r="C453" s="409" t="s">
        <v>1326</v>
      </c>
      <c r="D453" s="434" t="s">
        <v>151</v>
      </c>
      <c r="E453" s="380">
        <v>929036351</v>
      </c>
      <c r="F453" s="760">
        <v>46078</v>
      </c>
      <c r="G453" s="380" t="s">
        <v>55</v>
      </c>
      <c r="H453" s="380">
        <v>1</v>
      </c>
      <c r="I453" s="388">
        <v>96000</v>
      </c>
      <c r="J453" s="380">
        <v>3</v>
      </c>
      <c r="K453" s="389">
        <f t="shared" si="20"/>
        <v>32000</v>
      </c>
      <c r="L453" s="508">
        <v>46023</v>
      </c>
      <c r="M453" s="508">
        <v>46387</v>
      </c>
      <c r="N453" s="380">
        <v>155108</v>
      </c>
      <c r="O453" s="380">
        <v>4731</v>
      </c>
      <c r="P453" s="363" t="s">
        <v>520</v>
      </c>
      <c r="S453" s="390" t="s">
        <v>1559</v>
      </c>
      <c r="T453" s="363" t="s">
        <v>1718</v>
      </c>
      <c r="U453" s="390" t="s">
        <v>348</v>
      </c>
      <c r="V453" s="363" t="s">
        <v>1946</v>
      </c>
      <c r="W453" s="363" t="s">
        <v>349</v>
      </c>
      <c r="X453" s="363"/>
      <c r="Y453" s="363"/>
      <c r="Z453" s="363"/>
      <c r="AA453" s="363"/>
      <c r="AB453" s="363"/>
      <c r="AC453" s="363"/>
      <c r="AD453" s="363"/>
      <c r="AE453" s="363" t="s">
        <v>507</v>
      </c>
      <c r="AF453" s="380" t="s">
        <v>63</v>
      </c>
      <c r="AG453" s="380">
        <v>3</v>
      </c>
      <c r="AH453" s="363" t="s">
        <v>1604</v>
      </c>
    </row>
    <row r="454" spans="2:34" ht="15" customHeight="1" x14ac:dyDescent="0.3">
      <c r="B454" s="380" t="s">
        <v>12</v>
      </c>
      <c r="C454" s="412" t="s">
        <v>614</v>
      </c>
      <c r="D454" s="510" t="s">
        <v>447</v>
      </c>
      <c r="E454" s="511" t="s">
        <v>1605</v>
      </c>
      <c r="F454" s="761">
        <v>46064</v>
      </c>
      <c r="G454" s="380" t="s">
        <v>55</v>
      </c>
      <c r="H454" s="380">
        <v>3</v>
      </c>
      <c r="I454" s="388">
        <v>229320</v>
      </c>
      <c r="J454" s="380">
        <v>3</v>
      </c>
      <c r="K454" s="389">
        <f t="shared" si="20"/>
        <v>76440</v>
      </c>
      <c r="L454" s="508">
        <v>46023</v>
      </c>
      <c r="M454" s="508">
        <v>46387</v>
      </c>
      <c r="N454" s="685"/>
      <c r="O454" s="685"/>
      <c r="P454" s="363" t="s">
        <v>520</v>
      </c>
      <c r="Q454" s="363"/>
      <c r="R454" s="363"/>
      <c r="S454" s="390" t="s">
        <v>1559</v>
      </c>
      <c r="T454" s="363" t="s">
        <v>149</v>
      </c>
      <c r="U454" s="390" t="s">
        <v>348</v>
      </c>
      <c r="V454" s="363" t="s">
        <v>2062</v>
      </c>
      <c r="W454" s="363" t="s">
        <v>349</v>
      </c>
      <c r="X454" s="363"/>
      <c r="Y454" s="363"/>
      <c r="Z454" s="363"/>
      <c r="AA454" s="363"/>
      <c r="AB454" s="363"/>
      <c r="AC454" s="363"/>
      <c r="AD454" s="363"/>
      <c r="AE454" s="363" t="s">
        <v>281</v>
      </c>
      <c r="AF454" s="380" t="s">
        <v>97</v>
      </c>
      <c r="AG454" s="380">
        <v>3</v>
      </c>
      <c r="AH454" s="363" t="s">
        <v>1606</v>
      </c>
    </row>
    <row r="455" spans="2:34" ht="15" customHeight="1" x14ac:dyDescent="0.3">
      <c r="B455" s="380" t="s">
        <v>12</v>
      </c>
      <c r="C455" s="482" t="s">
        <v>1607</v>
      </c>
      <c r="D455" s="483" t="s">
        <v>1608</v>
      </c>
      <c r="E455" s="468">
        <v>4500042093</v>
      </c>
      <c r="F455" s="760">
        <v>46065</v>
      </c>
      <c r="G455" s="380" t="s">
        <v>55</v>
      </c>
      <c r="H455" s="380"/>
      <c r="I455" s="388">
        <v>160000</v>
      </c>
      <c r="J455" s="380">
        <v>4</v>
      </c>
      <c r="K455" s="389">
        <f t="shared" si="20"/>
        <v>40000</v>
      </c>
      <c r="L455" s="508">
        <v>46023</v>
      </c>
      <c r="M455" s="508">
        <v>46387</v>
      </c>
      <c r="N455" s="685"/>
      <c r="O455" s="685"/>
      <c r="P455" s="363" t="s">
        <v>520</v>
      </c>
      <c r="Q455" s="380"/>
      <c r="R455" s="380"/>
      <c r="S455" s="390" t="s">
        <v>396</v>
      </c>
      <c r="T455" s="363" t="s">
        <v>466</v>
      </c>
      <c r="U455" s="390" t="s">
        <v>397</v>
      </c>
      <c r="V455" s="363" t="s">
        <v>1963</v>
      </c>
      <c r="W455" s="363" t="s">
        <v>496</v>
      </c>
      <c r="X455" s="363"/>
      <c r="Y455" s="363" t="s">
        <v>497</v>
      </c>
      <c r="Z455" s="363"/>
      <c r="AA455" s="363"/>
      <c r="AB455" s="363"/>
      <c r="AC455" s="363"/>
      <c r="AD455" s="363"/>
      <c r="AE455" s="363" t="s">
        <v>619</v>
      </c>
      <c r="AF455" s="380" t="s">
        <v>63</v>
      </c>
      <c r="AG455" s="380">
        <v>4</v>
      </c>
      <c r="AH455" s="363" t="s">
        <v>667</v>
      </c>
    </row>
    <row r="456" spans="2:34" ht="15" customHeight="1" x14ac:dyDescent="0.3">
      <c r="B456" s="380" t="s">
        <v>12</v>
      </c>
      <c r="C456" s="482" t="s">
        <v>1607</v>
      </c>
      <c r="D456" s="483" t="s">
        <v>1608</v>
      </c>
      <c r="E456" s="468">
        <v>4500042093</v>
      </c>
      <c r="F456" s="760">
        <v>46065</v>
      </c>
      <c r="G456" s="380" t="s">
        <v>55</v>
      </c>
      <c r="H456" s="380"/>
      <c r="I456" s="388">
        <v>160000</v>
      </c>
      <c r="J456" s="380">
        <v>4</v>
      </c>
      <c r="K456" s="389">
        <f t="shared" si="20"/>
        <v>40000</v>
      </c>
      <c r="L456" s="387">
        <v>46388</v>
      </c>
      <c r="M456" s="387">
        <v>46752</v>
      </c>
      <c r="N456" s="680"/>
      <c r="O456" s="680"/>
      <c r="P456" s="363" t="s">
        <v>520</v>
      </c>
      <c r="Q456" s="380"/>
      <c r="R456" s="380"/>
      <c r="S456" s="363" t="s">
        <v>498</v>
      </c>
      <c r="T456" s="363"/>
      <c r="U456" s="363" t="s">
        <v>499</v>
      </c>
      <c r="V456" s="363"/>
      <c r="W456" s="363" t="s">
        <v>500</v>
      </c>
      <c r="X456" s="363"/>
      <c r="Y456" s="363" t="s">
        <v>501</v>
      </c>
      <c r="Z456" s="363"/>
      <c r="AA456" s="363"/>
      <c r="AB456" s="363"/>
      <c r="AC456" s="363"/>
      <c r="AD456" s="363"/>
      <c r="AE456" s="363" t="s">
        <v>619</v>
      </c>
      <c r="AF456" s="380" t="s">
        <v>63</v>
      </c>
      <c r="AG456" s="380">
        <v>4</v>
      </c>
      <c r="AH456" s="363" t="s">
        <v>667</v>
      </c>
    </row>
    <row r="457" spans="2:34" ht="15" customHeight="1" x14ac:dyDescent="0.3">
      <c r="B457" s="380" t="s">
        <v>12</v>
      </c>
      <c r="C457" s="482" t="s">
        <v>1607</v>
      </c>
      <c r="D457" s="483" t="s">
        <v>1608</v>
      </c>
      <c r="E457" s="468">
        <v>4500042093</v>
      </c>
      <c r="F457" s="760">
        <v>46065</v>
      </c>
      <c r="G457" s="380" t="s">
        <v>55</v>
      </c>
      <c r="H457" s="380">
        <v>2</v>
      </c>
      <c r="I457" s="388">
        <v>160000</v>
      </c>
      <c r="J457" s="380">
        <v>4</v>
      </c>
      <c r="K457" s="389">
        <f t="shared" si="20"/>
        <v>40000</v>
      </c>
      <c r="L457" s="387">
        <v>46753</v>
      </c>
      <c r="M457" s="387">
        <v>47118</v>
      </c>
      <c r="N457" s="680"/>
      <c r="O457" s="680"/>
      <c r="P457" s="363" t="s">
        <v>520</v>
      </c>
      <c r="Q457" s="380"/>
      <c r="R457" s="380"/>
      <c r="S457" s="363" t="s">
        <v>674</v>
      </c>
      <c r="T457" s="363"/>
      <c r="U457" s="363" t="s">
        <v>1279</v>
      </c>
      <c r="V457" s="363"/>
      <c r="W457" s="363" t="s">
        <v>1280</v>
      </c>
      <c r="X457" s="363"/>
      <c r="Y457" s="363" t="s">
        <v>1398</v>
      </c>
      <c r="Z457" s="363"/>
      <c r="AA457" s="363"/>
      <c r="AB457" s="363"/>
      <c r="AC457" s="363"/>
      <c r="AD457" s="363"/>
      <c r="AE457" s="363" t="s">
        <v>619</v>
      </c>
      <c r="AF457" s="380" t="s">
        <v>63</v>
      </c>
      <c r="AG457" s="380">
        <v>4</v>
      </c>
      <c r="AH457" s="363" t="s">
        <v>667</v>
      </c>
    </row>
    <row r="458" spans="2:34" ht="15" customHeight="1" x14ac:dyDescent="0.3">
      <c r="B458" s="380" t="s">
        <v>12</v>
      </c>
      <c r="C458" s="409" t="s">
        <v>1609</v>
      </c>
      <c r="D458" s="423" t="s">
        <v>1610</v>
      </c>
      <c r="E458" s="408" t="s">
        <v>1611</v>
      </c>
      <c r="F458" s="760">
        <v>46091</v>
      </c>
      <c r="G458" s="380" t="s">
        <v>55</v>
      </c>
      <c r="H458" s="380">
        <v>1</v>
      </c>
      <c r="I458" s="388">
        <v>135000</v>
      </c>
      <c r="J458" s="380">
        <v>3</v>
      </c>
      <c r="K458" s="389">
        <f t="shared" si="20"/>
        <v>45000</v>
      </c>
      <c r="L458" s="508">
        <v>46091</v>
      </c>
      <c r="M458" s="508">
        <v>46455</v>
      </c>
      <c r="N458" s="685">
        <v>154975</v>
      </c>
      <c r="O458" s="685">
        <v>4597</v>
      </c>
      <c r="P458" s="363" t="s">
        <v>520</v>
      </c>
      <c r="Q458" s="380"/>
      <c r="R458" s="380"/>
      <c r="S458" s="390" t="s">
        <v>1092</v>
      </c>
      <c r="T458" s="363" t="s">
        <v>1338</v>
      </c>
      <c r="U458" s="390" t="s">
        <v>1612</v>
      </c>
      <c r="V458" s="363" t="s">
        <v>1964</v>
      </c>
      <c r="W458" s="363" t="s">
        <v>1613</v>
      </c>
      <c r="X458" s="363"/>
      <c r="Y458" s="363"/>
      <c r="Z458" s="363"/>
      <c r="AA458" s="363"/>
      <c r="AB458" s="363"/>
      <c r="AC458" s="363"/>
      <c r="AD458" s="363"/>
      <c r="AE458" s="363" t="s">
        <v>551</v>
      </c>
      <c r="AF458" s="380" t="s">
        <v>207</v>
      </c>
      <c r="AG458" s="380">
        <v>3</v>
      </c>
      <c r="AH458" s="363" t="s">
        <v>799</v>
      </c>
    </row>
    <row r="459" spans="2:34" ht="15" customHeight="1" x14ac:dyDescent="0.3">
      <c r="B459" s="380" t="s">
        <v>12</v>
      </c>
      <c r="C459" s="552" t="s">
        <v>975</v>
      </c>
      <c r="D459" s="445" t="s">
        <v>1136</v>
      </c>
      <c r="E459" s="509">
        <v>6100013456</v>
      </c>
      <c r="F459" s="760">
        <v>46069</v>
      </c>
      <c r="G459" s="380" t="s">
        <v>55</v>
      </c>
      <c r="H459" s="380">
        <v>7</v>
      </c>
      <c r="I459" s="388">
        <v>784000</v>
      </c>
      <c r="J459" s="380">
        <v>3</v>
      </c>
      <c r="K459" s="389">
        <f>I459/2</f>
        <v>392000</v>
      </c>
      <c r="L459" s="488">
        <v>46082</v>
      </c>
      <c r="M459" s="488">
        <v>46446</v>
      </c>
      <c r="N459" s="686"/>
      <c r="O459" s="686"/>
      <c r="P459" s="363" t="s">
        <v>520</v>
      </c>
      <c r="Q459" s="380"/>
      <c r="R459" s="380"/>
      <c r="S459" s="390" t="s">
        <v>194</v>
      </c>
      <c r="T459" s="363" t="s">
        <v>1614</v>
      </c>
      <c r="U459" s="390" t="s">
        <v>1344</v>
      </c>
      <c r="V459" s="363" t="s">
        <v>2034</v>
      </c>
      <c r="W459" s="363" t="s">
        <v>1597</v>
      </c>
      <c r="X459" s="363" t="s">
        <v>2063</v>
      </c>
      <c r="Y459" s="363"/>
      <c r="Z459" s="363"/>
      <c r="AA459" s="363"/>
      <c r="AB459" s="363"/>
      <c r="AC459" s="363"/>
      <c r="AD459" s="363"/>
      <c r="AE459" s="363" t="s">
        <v>551</v>
      </c>
      <c r="AF459" s="380" t="s">
        <v>207</v>
      </c>
      <c r="AG459" s="380">
        <v>3</v>
      </c>
      <c r="AH459" s="538" t="s">
        <v>1616</v>
      </c>
    </row>
    <row r="460" spans="2:34" ht="15" customHeight="1" x14ac:dyDescent="0.3">
      <c r="B460" s="380" t="s">
        <v>12</v>
      </c>
      <c r="C460" s="409" t="s">
        <v>1617</v>
      </c>
      <c r="D460" s="434" t="s">
        <v>1391</v>
      </c>
      <c r="E460" s="380" t="s">
        <v>1618</v>
      </c>
      <c r="F460" s="760">
        <v>46088</v>
      </c>
      <c r="G460" s="380" t="s">
        <v>55</v>
      </c>
      <c r="H460" s="380">
        <v>1</v>
      </c>
      <c r="I460" s="388">
        <v>86000</v>
      </c>
      <c r="J460" s="380">
        <v>2</v>
      </c>
      <c r="K460" s="389">
        <f t="shared" ref="K460:K490" si="21">I460/J460</f>
        <v>43000</v>
      </c>
      <c r="L460" s="508">
        <v>46082</v>
      </c>
      <c r="M460" s="508">
        <v>46446</v>
      </c>
      <c r="N460" s="685"/>
      <c r="O460" s="685"/>
      <c r="P460" s="363" t="s">
        <v>520</v>
      </c>
      <c r="Q460" s="380"/>
      <c r="R460" s="380"/>
      <c r="S460" s="363" t="s">
        <v>1235</v>
      </c>
      <c r="T460" s="363"/>
      <c r="U460" s="363" t="s">
        <v>1534</v>
      </c>
      <c r="V460" s="363"/>
      <c r="W460" s="363"/>
      <c r="X460" s="363"/>
      <c r="Y460" s="363"/>
      <c r="Z460" s="363"/>
      <c r="AA460" s="363"/>
      <c r="AB460" s="363"/>
      <c r="AC460" s="363"/>
      <c r="AD460" s="363"/>
      <c r="AE460" s="363" t="s">
        <v>485</v>
      </c>
      <c r="AF460" s="380" t="s">
        <v>63</v>
      </c>
      <c r="AG460" s="380">
        <v>2</v>
      </c>
      <c r="AH460" s="363" t="s">
        <v>1620</v>
      </c>
    </row>
    <row r="461" spans="2:34" ht="15" customHeight="1" x14ac:dyDescent="0.3">
      <c r="B461" s="380" t="s">
        <v>12</v>
      </c>
      <c r="C461" s="482" t="s">
        <v>1385</v>
      </c>
      <c r="D461" s="483" t="s">
        <v>151</v>
      </c>
      <c r="E461" s="468">
        <v>4500090498</v>
      </c>
      <c r="F461" s="760">
        <v>46063</v>
      </c>
      <c r="G461" s="380" t="s">
        <v>55</v>
      </c>
      <c r="H461" s="380">
        <v>2</v>
      </c>
      <c r="I461" s="388">
        <v>90000</v>
      </c>
      <c r="J461" s="380">
        <v>1</v>
      </c>
      <c r="K461" s="389">
        <f t="shared" si="21"/>
        <v>90000</v>
      </c>
      <c r="L461" s="775">
        <v>46023</v>
      </c>
      <c r="M461" s="775">
        <v>46387</v>
      </c>
      <c r="N461" s="684"/>
      <c r="O461" s="684"/>
      <c r="P461" s="363" t="s">
        <v>520</v>
      </c>
      <c r="Q461" s="380"/>
      <c r="R461" s="380"/>
      <c r="S461" s="363" t="s">
        <v>1594</v>
      </c>
      <c r="T461" s="363"/>
      <c r="U461" s="363"/>
      <c r="V461" s="363"/>
      <c r="W461" s="363"/>
      <c r="X461" s="363"/>
      <c r="Y461" s="363"/>
      <c r="Z461" s="363"/>
      <c r="AA461" s="363"/>
      <c r="AB461" s="363"/>
      <c r="AC461" s="363"/>
      <c r="AD461" s="363"/>
      <c r="AE461" s="363" t="s">
        <v>478</v>
      </c>
      <c r="AF461" s="380" t="s">
        <v>63</v>
      </c>
      <c r="AG461" s="380">
        <v>1</v>
      </c>
      <c r="AH461" s="363" t="s">
        <v>667</v>
      </c>
    </row>
    <row r="462" spans="2:34" ht="15" customHeight="1" x14ac:dyDescent="0.3">
      <c r="B462" s="380" t="s">
        <v>12</v>
      </c>
      <c r="C462" s="363" t="s">
        <v>1621</v>
      </c>
      <c r="D462" s="418" t="s">
        <v>693</v>
      </c>
      <c r="E462" s="408">
        <v>6000085013</v>
      </c>
      <c r="F462" s="760">
        <v>46078</v>
      </c>
      <c r="G462" s="380" t="s">
        <v>55</v>
      </c>
      <c r="H462" s="380"/>
      <c r="I462" s="388">
        <v>136905</v>
      </c>
      <c r="J462" s="380">
        <v>3</v>
      </c>
      <c r="K462" s="389">
        <f t="shared" si="21"/>
        <v>45635</v>
      </c>
      <c r="L462" s="508">
        <v>46082</v>
      </c>
      <c r="M462" s="508">
        <v>46446</v>
      </c>
      <c r="N462" s="685"/>
      <c r="O462" s="685"/>
      <c r="P462" s="363" t="s">
        <v>520</v>
      </c>
      <c r="Q462" s="380"/>
      <c r="R462" s="380"/>
      <c r="S462" s="390" t="s">
        <v>194</v>
      </c>
      <c r="T462" s="363" t="s">
        <v>331</v>
      </c>
      <c r="U462" s="363" t="s">
        <v>1344</v>
      </c>
      <c r="V462" s="363"/>
      <c r="W462" s="363" t="s">
        <v>1597</v>
      </c>
      <c r="X462" s="363"/>
      <c r="Y462" s="363"/>
      <c r="Z462" s="363"/>
      <c r="AA462" s="363"/>
      <c r="AB462" s="363"/>
      <c r="AC462" s="363"/>
      <c r="AD462" s="363"/>
      <c r="AE462" s="363" t="s">
        <v>128</v>
      </c>
      <c r="AF462" s="380" t="s">
        <v>129</v>
      </c>
      <c r="AG462" s="380">
        <v>2</v>
      </c>
      <c r="AH462" s="363" t="s">
        <v>667</v>
      </c>
    </row>
    <row r="463" spans="2:34" ht="15" customHeight="1" x14ac:dyDescent="0.3">
      <c r="B463" s="380" t="s">
        <v>12</v>
      </c>
      <c r="C463" s="363" t="s">
        <v>1621</v>
      </c>
      <c r="D463" s="418" t="s">
        <v>693</v>
      </c>
      <c r="E463" s="408">
        <v>6000085013</v>
      </c>
      <c r="F463" s="760">
        <v>46078</v>
      </c>
      <c r="G463" s="380" t="s">
        <v>55</v>
      </c>
      <c r="H463" s="380"/>
      <c r="I463" s="388">
        <v>136905</v>
      </c>
      <c r="J463" s="380">
        <v>3</v>
      </c>
      <c r="K463" s="389">
        <f t="shared" si="21"/>
        <v>45635</v>
      </c>
      <c r="L463" s="387">
        <v>46447</v>
      </c>
      <c r="M463" s="387">
        <v>46812</v>
      </c>
      <c r="N463" s="680"/>
      <c r="O463" s="680"/>
      <c r="P463" s="363" t="s">
        <v>520</v>
      </c>
      <c r="Q463" s="380"/>
      <c r="R463" s="380"/>
      <c r="S463" s="363" t="s">
        <v>1598</v>
      </c>
      <c r="T463" s="363"/>
      <c r="U463" s="363" t="s">
        <v>1599</v>
      </c>
      <c r="V463" s="363"/>
      <c r="W463" s="363" t="s">
        <v>1600</v>
      </c>
      <c r="X463" s="363"/>
      <c r="Y463" s="363"/>
      <c r="Z463" s="363"/>
      <c r="AA463" s="363"/>
      <c r="AB463" s="363"/>
      <c r="AC463" s="363"/>
      <c r="AD463" s="363"/>
      <c r="AE463" s="363" t="s">
        <v>128</v>
      </c>
      <c r="AF463" s="380" t="s">
        <v>129</v>
      </c>
      <c r="AG463" s="380">
        <v>2</v>
      </c>
      <c r="AH463" s="363" t="s">
        <v>667</v>
      </c>
    </row>
    <row r="464" spans="2:34" ht="15" customHeight="1" x14ac:dyDescent="0.3">
      <c r="B464" s="380" t="s">
        <v>12</v>
      </c>
      <c r="C464" s="363" t="s">
        <v>1621</v>
      </c>
      <c r="D464" s="418" t="s">
        <v>693</v>
      </c>
      <c r="E464" s="408">
        <v>6000085013</v>
      </c>
      <c r="F464" s="760">
        <v>46078</v>
      </c>
      <c r="G464" s="380" t="s">
        <v>55</v>
      </c>
      <c r="H464" s="380">
        <v>1</v>
      </c>
      <c r="I464" s="388">
        <v>136905</v>
      </c>
      <c r="J464" s="380">
        <v>3</v>
      </c>
      <c r="K464" s="389">
        <f t="shared" si="21"/>
        <v>45635</v>
      </c>
      <c r="L464" s="387">
        <v>46813</v>
      </c>
      <c r="M464" s="387">
        <v>47177</v>
      </c>
      <c r="N464" s="680"/>
      <c r="O464" s="680"/>
      <c r="P464" s="363" t="s">
        <v>520</v>
      </c>
      <c r="Q464" s="380"/>
      <c r="R464" s="380"/>
      <c r="S464" s="363" t="s">
        <v>1622</v>
      </c>
      <c r="T464" s="363"/>
      <c r="U464" s="363" t="s">
        <v>1623</v>
      </c>
      <c r="V464" s="363"/>
      <c r="W464" s="363" t="s">
        <v>1624</v>
      </c>
      <c r="X464" s="363"/>
      <c r="Y464" s="363"/>
      <c r="Z464" s="363"/>
      <c r="AA464" s="363"/>
      <c r="AB464" s="363"/>
      <c r="AC464" s="363"/>
      <c r="AD464" s="363"/>
      <c r="AE464" s="363" t="s">
        <v>128</v>
      </c>
      <c r="AF464" s="380" t="s">
        <v>129</v>
      </c>
      <c r="AG464" s="380">
        <v>2</v>
      </c>
      <c r="AH464" s="363" t="s">
        <v>667</v>
      </c>
    </row>
    <row r="465" spans="2:34" ht="15" customHeight="1" x14ac:dyDescent="0.3">
      <c r="B465" s="380" t="s">
        <v>12</v>
      </c>
      <c r="C465" s="482" t="s">
        <v>1625</v>
      </c>
      <c r="D465" s="483" t="s">
        <v>176</v>
      </c>
      <c r="E465" s="468">
        <v>6100109555</v>
      </c>
      <c r="F465" s="760">
        <v>46050</v>
      </c>
      <c r="G465" s="380" t="s">
        <v>55</v>
      </c>
      <c r="H465" s="380">
        <v>6</v>
      </c>
      <c r="I465" s="388">
        <v>531066</v>
      </c>
      <c r="J465" s="380">
        <v>3</v>
      </c>
      <c r="K465" s="389">
        <f t="shared" si="21"/>
        <v>177022</v>
      </c>
      <c r="L465" s="775">
        <v>46023</v>
      </c>
      <c r="M465" s="775">
        <v>46387</v>
      </c>
      <c r="N465" s="684"/>
      <c r="O465" s="684"/>
      <c r="P465" s="363" t="s">
        <v>520</v>
      </c>
      <c r="Q465" s="380"/>
      <c r="R465" s="380"/>
      <c r="S465" s="390" t="s">
        <v>347</v>
      </c>
      <c r="T465" s="363" t="s">
        <v>980</v>
      </c>
      <c r="U465" s="390" t="s">
        <v>348</v>
      </c>
      <c r="V465" s="363" t="s">
        <v>1856</v>
      </c>
      <c r="W465" s="363" t="s">
        <v>349</v>
      </c>
      <c r="X465" s="363" t="s">
        <v>2064</v>
      </c>
      <c r="Y465" s="363"/>
      <c r="Z465" s="363"/>
      <c r="AA465" s="363"/>
      <c r="AB465" s="363"/>
      <c r="AC465" s="363"/>
      <c r="AD465" s="363"/>
      <c r="AE465" s="363" t="s">
        <v>183</v>
      </c>
      <c r="AF465" s="380" t="s">
        <v>97</v>
      </c>
      <c r="AG465" s="380"/>
      <c r="AH465" s="363" t="s">
        <v>1626</v>
      </c>
    </row>
    <row r="466" spans="2:34" ht="15" customHeight="1" x14ac:dyDescent="0.3">
      <c r="B466" s="380" t="s">
        <v>12</v>
      </c>
      <c r="C466" s="409" t="s">
        <v>1627</v>
      </c>
      <c r="D466" s="423" t="s">
        <v>151</v>
      </c>
      <c r="E466" s="493">
        <v>8183147</v>
      </c>
      <c r="F466" s="760">
        <v>46058</v>
      </c>
      <c r="G466" s="380" t="s">
        <v>55</v>
      </c>
      <c r="H466" s="380">
        <v>3</v>
      </c>
      <c r="I466" s="388">
        <v>232500</v>
      </c>
      <c r="J466" s="380">
        <v>3</v>
      </c>
      <c r="K466" s="389">
        <f t="shared" si="21"/>
        <v>77500</v>
      </c>
      <c r="L466" s="508">
        <v>46023</v>
      </c>
      <c r="M466" s="508">
        <v>46387</v>
      </c>
      <c r="N466" s="685"/>
      <c r="O466" s="685"/>
      <c r="P466" s="363" t="s">
        <v>520</v>
      </c>
      <c r="Q466" s="380"/>
      <c r="R466" s="380"/>
      <c r="S466" s="390" t="s">
        <v>347</v>
      </c>
      <c r="T466" s="363" t="s">
        <v>1738</v>
      </c>
      <c r="U466" s="363" t="s">
        <v>348</v>
      </c>
      <c r="V466" s="363" t="s">
        <v>1628</v>
      </c>
      <c r="W466" s="363" t="s">
        <v>349</v>
      </c>
      <c r="X466" s="363" t="s">
        <v>1628</v>
      </c>
      <c r="Y466" s="363"/>
      <c r="Z466" s="363"/>
      <c r="AA466" s="363"/>
      <c r="AB466" s="363"/>
      <c r="AC466" s="363"/>
      <c r="AD466" s="363"/>
      <c r="AE466" s="363" t="s">
        <v>478</v>
      </c>
      <c r="AF466" s="380" t="s">
        <v>63</v>
      </c>
      <c r="AG466" s="380">
        <v>3</v>
      </c>
      <c r="AH466" s="363" t="s">
        <v>667</v>
      </c>
    </row>
    <row r="467" spans="2:34" ht="15" customHeight="1" x14ac:dyDescent="0.3">
      <c r="B467" s="380" t="s">
        <v>12</v>
      </c>
      <c r="C467" s="409" t="s">
        <v>1095</v>
      </c>
      <c r="D467" s="434" t="s">
        <v>1629</v>
      </c>
      <c r="E467" s="506">
        <v>9709673270</v>
      </c>
      <c r="F467" s="760">
        <v>46086</v>
      </c>
      <c r="G467" s="380" t="s">
        <v>55</v>
      </c>
      <c r="H467" s="380">
        <v>4</v>
      </c>
      <c r="I467" s="388">
        <v>320000</v>
      </c>
      <c r="J467" s="380">
        <v>4</v>
      </c>
      <c r="K467" s="389">
        <f t="shared" si="21"/>
        <v>80000</v>
      </c>
      <c r="L467" s="508">
        <v>46023</v>
      </c>
      <c r="M467" s="508">
        <v>46387</v>
      </c>
      <c r="N467" s="685"/>
      <c r="O467" s="685"/>
      <c r="P467" s="363" t="s">
        <v>520</v>
      </c>
      <c r="Q467" s="380"/>
      <c r="R467" s="380"/>
      <c r="S467" s="390" t="s">
        <v>396</v>
      </c>
      <c r="T467" s="363" t="s">
        <v>455</v>
      </c>
      <c r="U467" s="390" t="s">
        <v>397</v>
      </c>
      <c r="V467" s="363" t="s">
        <v>1944</v>
      </c>
      <c r="W467" s="363" t="s">
        <v>496</v>
      </c>
      <c r="X467" s="363"/>
      <c r="Y467" s="363" t="s">
        <v>497</v>
      </c>
      <c r="Z467" s="363"/>
      <c r="AA467" s="363"/>
      <c r="AB467" s="363"/>
      <c r="AC467" s="363"/>
      <c r="AD467" s="363"/>
      <c r="AE467" s="363" t="s">
        <v>619</v>
      </c>
      <c r="AF467" s="380" t="s">
        <v>63</v>
      </c>
      <c r="AG467" s="380">
        <v>4</v>
      </c>
      <c r="AH467" s="363" t="s">
        <v>667</v>
      </c>
    </row>
    <row r="468" spans="2:34" ht="15" customHeight="1" x14ac:dyDescent="0.3">
      <c r="B468" s="380" t="s">
        <v>12</v>
      </c>
      <c r="C468" s="482" t="s">
        <v>1630</v>
      </c>
      <c r="D468" s="483" t="s">
        <v>1031</v>
      </c>
      <c r="E468" s="468">
        <v>4513903200</v>
      </c>
      <c r="F468" s="760">
        <v>46100</v>
      </c>
      <c r="G468" s="380" t="s">
        <v>55</v>
      </c>
      <c r="H468" s="380">
        <v>2</v>
      </c>
      <c r="I468" s="388">
        <v>100000</v>
      </c>
      <c r="J468" s="380">
        <v>3</v>
      </c>
      <c r="K468" s="389">
        <f t="shared" si="21"/>
        <v>33333.333333333336</v>
      </c>
      <c r="L468" s="508">
        <v>46023</v>
      </c>
      <c r="M468" s="508">
        <v>46387</v>
      </c>
      <c r="N468" s="685"/>
      <c r="O468" s="685"/>
      <c r="P468" s="363" t="s">
        <v>520</v>
      </c>
      <c r="Q468" s="380"/>
      <c r="R468" s="380"/>
      <c r="S468" s="390" t="s">
        <v>347</v>
      </c>
      <c r="T468" s="363" t="s">
        <v>1719</v>
      </c>
      <c r="U468" s="363" t="s">
        <v>348</v>
      </c>
      <c r="V468" s="363"/>
      <c r="W468" s="363" t="s">
        <v>349</v>
      </c>
      <c r="X468" s="363" t="s">
        <v>1739</v>
      </c>
      <c r="Y468" s="363"/>
      <c r="Z468" s="363"/>
      <c r="AA468" s="363"/>
      <c r="AB468" s="363"/>
      <c r="AC468" s="363"/>
      <c r="AD468" s="363"/>
      <c r="AE468" s="363" t="s">
        <v>478</v>
      </c>
      <c r="AF468" s="380" t="s">
        <v>63</v>
      </c>
      <c r="AG468" s="380">
        <v>5</v>
      </c>
      <c r="AH468" s="363" t="s">
        <v>667</v>
      </c>
    </row>
    <row r="469" spans="2:34" ht="15" customHeight="1" x14ac:dyDescent="0.3">
      <c r="B469" s="380" t="s">
        <v>12</v>
      </c>
      <c r="C469" s="482" t="s">
        <v>1631</v>
      </c>
      <c r="D469" s="483" t="s">
        <v>1031</v>
      </c>
      <c r="E469" s="468">
        <v>4513906043</v>
      </c>
      <c r="F469" s="760">
        <v>46101</v>
      </c>
      <c r="G469" s="380" t="s">
        <v>55</v>
      </c>
      <c r="H469" s="380">
        <v>2</v>
      </c>
      <c r="I469" s="388">
        <v>100000</v>
      </c>
      <c r="J469" s="380">
        <v>3</v>
      </c>
      <c r="K469" s="389">
        <f t="shared" si="21"/>
        <v>33333.333333333336</v>
      </c>
      <c r="L469" s="508">
        <v>46023</v>
      </c>
      <c r="M469" s="508">
        <v>46387</v>
      </c>
      <c r="N469" s="685"/>
      <c r="O469" s="685"/>
      <c r="P469" s="363" t="s">
        <v>520</v>
      </c>
      <c r="Q469" s="380"/>
      <c r="R469" s="380"/>
      <c r="S469" s="390" t="s">
        <v>347</v>
      </c>
      <c r="T469" s="363" t="s">
        <v>1870</v>
      </c>
      <c r="U469" s="363" t="s">
        <v>348</v>
      </c>
      <c r="V469" s="363" t="s">
        <v>1871</v>
      </c>
      <c r="W469" s="363" t="s">
        <v>349</v>
      </c>
      <c r="X469" s="363" t="s">
        <v>1871</v>
      </c>
      <c r="Y469" s="363"/>
      <c r="Z469" s="363"/>
      <c r="AA469" s="363"/>
      <c r="AB469" s="363"/>
      <c r="AC469" s="363"/>
      <c r="AD469" s="363"/>
      <c r="AE469" s="363" t="s">
        <v>478</v>
      </c>
      <c r="AF469" s="380" t="s">
        <v>63</v>
      </c>
      <c r="AG469" s="380">
        <v>5</v>
      </c>
      <c r="AH469" s="363" t="s">
        <v>667</v>
      </c>
    </row>
    <row r="470" spans="2:34" ht="15" customHeight="1" x14ac:dyDescent="0.3">
      <c r="B470" s="380" t="s">
        <v>12</v>
      </c>
      <c r="C470" s="482" t="s">
        <v>1632</v>
      </c>
      <c r="D470" s="483" t="s">
        <v>596</v>
      </c>
      <c r="E470" s="468">
        <v>3110016847</v>
      </c>
      <c r="F470" s="760">
        <v>46071</v>
      </c>
      <c r="G470" s="380" t="s">
        <v>55</v>
      </c>
      <c r="H470" s="380">
        <v>1</v>
      </c>
      <c r="I470" s="388">
        <v>50000</v>
      </c>
      <c r="J470" s="380">
        <v>2</v>
      </c>
      <c r="K470" s="389">
        <f t="shared" si="21"/>
        <v>25000</v>
      </c>
      <c r="L470" s="775">
        <v>46113</v>
      </c>
      <c r="M470" s="775">
        <v>46477</v>
      </c>
      <c r="N470" s="684"/>
      <c r="O470" s="684"/>
      <c r="P470" s="363" t="s">
        <v>520</v>
      </c>
      <c r="Q470" s="380"/>
      <c r="R470" s="380"/>
      <c r="S470" s="363" t="s">
        <v>467</v>
      </c>
      <c r="T470" s="363"/>
      <c r="U470" s="363" t="s">
        <v>1633</v>
      </c>
      <c r="V470" s="363"/>
      <c r="W470" s="363"/>
      <c r="X470" s="363"/>
      <c r="Y470" s="363"/>
      <c r="Z470" s="363"/>
      <c r="AA470" s="363"/>
      <c r="AB470" s="363"/>
      <c r="AC470" s="363"/>
      <c r="AD470" s="363"/>
      <c r="AE470" s="363" t="s">
        <v>507</v>
      </c>
      <c r="AF470" s="380" t="s">
        <v>63</v>
      </c>
      <c r="AG470" s="380">
        <v>2</v>
      </c>
      <c r="AH470" s="363" t="s">
        <v>1634</v>
      </c>
    </row>
    <row r="471" spans="2:34" ht="15" hidden="1" customHeight="1" x14ac:dyDescent="0.3">
      <c r="B471" s="380" t="s">
        <v>12</v>
      </c>
      <c r="C471" s="409" t="s">
        <v>1635</v>
      </c>
      <c r="D471" s="489" t="s">
        <v>1636</v>
      </c>
      <c r="E471" s="411" t="s">
        <v>1637</v>
      </c>
      <c r="F471" s="760">
        <v>46070</v>
      </c>
      <c r="G471" s="380" t="s">
        <v>55</v>
      </c>
      <c r="H471" s="380">
        <v>4</v>
      </c>
      <c r="I471" s="388">
        <v>448864</v>
      </c>
      <c r="J471" s="380">
        <v>1</v>
      </c>
      <c r="K471" s="389">
        <f t="shared" si="21"/>
        <v>448864</v>
      </c>
      <c r="L471" s="508">
        <v>46023</v>
      </c>
      <c r="M471" s="508">
        <v>46387</v>
      </c>
      <c r="N471" s="685"/>
      <c r="O471" s="685"/>
      <c r="P471" s="363" t="s">
        <v>19</v>
      </c>
      <c r="Q471" s="380" t="s">
        <v>1872</v>
      </c>
      <c r="R471" s="380"/>
      <c r="S471" s="390" t="s">
        <v>1594</v>
      </c>
      <c r="T471" s="363" t="s">
        <v>1846</v>
      </c>
      <c r="U471" s="363"/>
      <c r="V471" s="363"/>
      <c r="W471" s="363"/>
      <c r="X471" s="363"/>
      <c r="Y471" s="363"/>
      <c r="Z471" s="363"/>
      <c r="AA471" s="363"/>
      <c r="AB471" s="363"/>
      <c r="AC471" s="363"/>
      <c r="AD471" s="363"/>
      <c r="AE471" s="363" t="s">
        <v>96</v>
      </c>
      <c r="AF471" s="380" t="s">
        <v>97</v>
      </c>
      <c r="AG471" s="380" t="s">
        <v>1367</v>
      </c>
      <c r="AH471" s="363" t="s">
        <v>667</v>
      </c>
    </row>
    <row r="472" spans="2:34" ht="15" customHeight="1" x14ac:dyDescent="0.3">
      <c r="B472" s="380" t="s">
        <v>12</v>
      </c>
      <c r="C472" s="409" t="s">
        <v>668</v>
      </c>
      <c r="D472" s="434" t="s">
        <v>669</v>
      </c>
      <c r="E472" s="419">
        <v>50060329</v>
      </c>
      <c r="F472" s="760">
        <v>46106</v>
      </c>
      <c r="G472" s="380" t="s">
        <v>55</v>
      </c>
      <c r="H472" s="380">
        <v>2</v>
      </c>
      <c r="I472" s="388">
        <v>160000</v>
      </c>
      <c r="J472" s="380">
        <v>2</v>
      </c>
      <c r="K472" s="389">
        <f t="shared" si="21"/>
        <v>80000</v>
      </c>
      <c r="L472" s="508">
        <v>46113</v>
      </c>
      <c r="M472" s="508">
        <v>46477</v>
      </c>
      <c r="N472" s="685"/>
      <c r="O472" s="685"/>
      <c r="P472" s="363" t="s">
        <v>520</v>
      </c>
      <c r="Q472" s="380"/>
      <c r="R472" s="380"/>
      <c r="S472" s="390" t="s">
        <v>467</v>
      </c>
      <c r="T472" s="363" t="s">
        <v>1943</v>
      </c>
      <c r="U472" s="363" t="s">
        <v>1633</v>
      </c>
      <c r="V472" s="363"/>
      <c r="W472" s="363"/>
      <c r="X472" s="363"/>
      <c r="Y472" s="363"/>
      <c r="Z472" s="363"/>
      <c r="AA472" s="363"/>
      <c r="AB472" s="363"/>
      <c r="AC472" s="363"/>
      <c r="AD472" s="363"/>
      <c r="AE472" s="363" t="s">
        <v>478</v>
      </c>
      <c r="AF472" s="380" t="s">
        <v>63</v>
      </c>
      <c r="AG472" s="380">
        <v>2</v>
      </c>
      <c r="AH472" s="363" t="s">
        <v>1638</v>
      </c>
    </row>
    <row r="473" spans="2:34" ht="15" customHeight="1" x14ac:dyDescent="0.3">
      <c r="B473" s="380" t="s">
        <v>12</v>
      </c>
      <c r="C473" s="409" t="s">
        <v>668</v>
      </c>
      <c r="D473" s="434" t="s">
        <v>669</v>
      </c>
      <c r="E473" s="419">
        <v>50060329</v>
      </c>
      <c r="F473" s="760">
        <v>46106</v>
      </c>
      <c r="G473" s="380" t="s">
        <v>55</v>
      </c>
      <c r="H473" s="380">
        <v>13</v>
      </c>
      <c r="I473" s="388">
        <v>585000</v>
      </c>
      <c r="J473" s="380">
        <v>1</v>
      </c>
      <c r="K473" s="389">
        <f t="shared" si="21"/>
        <v>585000</v>
      </c>
      <c r="L473" s="508">
        <v>46113</v>
      </c>
      <c r="M473" s="508">
        <v>46477</v>
      </c>
      <c r="N473" s="685"/>
      <c r="O473" s="685"/>
      <c r="P473" s="363" t="s">
        <v>520</v>
      </c>
      <c r="Q473" s="380"/>
      <c r="R473" s="380"/>
      <c r="S473" s="363" t="s">
        <v>646</v>
      </c>
      <c r="T473" s="363"/>
      <c r="U473" s="363"/>
      <c r="V473" s="363"/>
      <c r="W473" s="363"/>
      <c r="X473" s="363"/>
      <c r="Y473" s="363"/>
      <c r="Z473" s="363"/>
      <c r="AA473" s="363"/>
      <c r="AB473" s="363"/>
      <c r="AC473" s="363"/>
      <c r="AD473" s="363"/>
      <c r="AE473" s="363" t="s">
        <v>478</v>
      </c>
      <c r="AF473" s="380" t="s">
        <v>63</v>
      </c>
      <c r="AG473" s="380">
        <v>1</v>
      </c>
      <c r="AH473" s="363" t="s">
        <v>1638</v>
      </c>
    </row>
    <row r="474" spans="2:34" ht="15" customHeight="1" x14ac:dyDescent="0.3">
      <c r="B474" s="380" t="s">
        <v>12</v>
      </c>
      <c r="C474" s="409" t="s">
        <v>1639</v>
      </c>
      <c r="D474" s="489" t="s">
        <v>1088</v>
      </c>
      <c r="E474" s="397">
        <v>3040058268</v>
      </c>
      <c r="F474" s="760">
        <v>46101</v>
      </c>
      <c r="G474" s="380" t="s">
        <v>55</v>
      </c>
      <c r="H474" s="380">
        <v>1</v>
      </c>
      <c r="I474" s="388">
        <v>93000</v>
      </c>
      <c r="J474" s="380">
        <v>3</v>
      </c>
      <c r="K474" s="389">
        <f t="shared" si="21"/>
        <v>31000</v>
      </c>
      <c r="L474" s="508">
        <v>46023</v>
      </c>
      <c r="M474" s="508">
        <v>46387</v>
      </c>
      <c r="N474" s="685">
        <v>155084</v>
      </c>
      <c r="O474" s="685">
        <v>4706</v>
      </c>
      <c r="P474" s="363" t="s">
        <v>520</v>
      </c>
      <c r="Q474" s="380"/>
      <c r="R474" s="380"/>
      <c r="S474" s="390" t="s">
        <v>347</v>
      </c>
      <c r="T474" s="363" t="s">
        <v>1640</v>
      </c>
      <c r="U474" s="390" t="s">
        <v>348</v>
      </c>
      <c r="V474" s="363" t="s">
        <v>2026</v>
      </c>
      <c r="W474" s="363" t="s">
        <v>349</v>
      </c>
      <c r="X474" s="363" t="s">
        <v>2065</v>
      </c>
      <c r="Y474" s="363"/>
      <c r="Z474" s="363"/>
      <c r="AA474" s="363"/>
      <c r="AB474" s="363"/>
      <c r="AC474" s="363"/>
      <c r="AD474" s="363"/>
      <c r="AE474" s="363" t="s">
        <v>96</v>
      </c>
      <c r="AF474" s="380" t="s">
        <v>97</v>
      </c>
      <c r="AG474" s="380" t="s">
        <v>494</v>
      </c>
      <c r="AH474" s="363" t="s">
        <v>1641</v>
      </c>
    </row>
    <row r="475" spans="2:34" ht="15" customHeight="1" x14ac:dyDescent="0.3">
      <c r="B475" s="380" t="s">
        <v>12</v>
      </c>
      <c r="C475" s="409" t="s">
        <v>783</v>
      </c>
      <c r="D475" s="423" t="s">
        <v>1000</v>
      </c>
      <c r="E475" s="493">
        <v>8000161342</v>
      </c>
      <c r="F475" s="764">
        <v>46107</v>
      </c>
      <c r="G475" s="380" t="s">
        <v>55</v>
      </c>
      <c r="H475" s="380">
        <v>7</v>
      </c>
      <c r="I475" s="388">
        <v>890400</v>
      </c>
      <c r="J475" s="380">
        <v>3</v>
      </c>
      <c r="K475" s="389">
        <f t="shared" si="21"/>
        <v>296800</v>
      </c>
      <c r="L475" s="508">
        <v>46023</v>
      </c>
      <c r="M475" s="508">
        <v>46387</v>
      </c>
      <c r="N475" s="685"/>
      <c r="O475" s="685"/>
      <c r="P475" s="363" t="s">
        <v>520</v>
      </c>
      <c r="Q475" s="380"/>
      <c r="R475" s="386" t="s">
        <v>1</v>
      </c>
      <c r="S475" s="390" t="s">
        <v>347</v>
      </c>
      <c r="T475" s="363" t="s">
        <v>1642</v>
      </c>
      <c r="U475" s="390" t="s">
        <v>348</v>
      </c>
      <c r="V475" s="363" t="s">
        <v>2066</v>
      </c>
      <c r="W475" s="363" t="s">
        <v>349</v>
      </c>
      <c r="X475" s="363"/>
      <c r="Y475" s="363"/>
      <c r="Z475" s="363"/>
      <c r="AA475" s="363"/>
      <c r="AB475" s="363"/>
      <c r="AC475" s="363"/>
      <c r="AD475" s="363"/>
      <c r="AE475" s="363" t="s">
        <v>507</v>
      </c>
      <c r="AF475" s="380" t="s">
        <v>63</v>
      </c>
      <c r="AG475" s="380">
        <v>3</v>
      </c>
      <c r="AH475" s="363" t="s">
        <v>667</v>
      </c>
    </row>
    <row r="476" spans="2:34" ht="15" customHeight="1" x14ac:dyDescent="0.3">
      <c r="B476" s="380" t="s">
        <v>12</v>
      </c>
      <c r="C476" s="482" t="s">
        <v>1873</v>
      </c>
      <c r="D476" s="483" t="s">
        <v>151</v>
      </c>
      <c r="E476" s="468">
        <v>4601538703</v>
      </c>
      <c r="F476" s="764">
        <v>46110</v>
      </c>
      <c r="G476" s="380" t="s">
        <v>55</v>
      </c>
      <c r="H476" s="380">
        <v>1</v>
      </c>
      <c r="I476" s="388">
        <v>84999</v>
      </c>
      <c r="J476" s="380">
        <v>3</v>
      </c>
      <c r="K476" s="389">
        <f t="shared" si="21"/>
        <v>28333</v>
      </c>
      <c r="L476" s="775">
        <v>46113</v>
      </c>
      <c r="M476" s="775">
        <v>46477</v>
      </c>
      <c r="N476" s="684"/>
      <c r="O476" s="684"/>
      <c r="P476" s="363" t="s">
        <v>520</v>
      </c>
      <c r="Q476" s="380"/>
      <c r="R476" s="380"/>
      <c r="S476" s="390" t="s">
        <v>1080</v>
      </c>
      <c r="T476" s="363" t="s">
        <v>1844</v>
      </c>
      <c r="U476" s="363" t="s">
        <v>1108</v>
      </c>
      <c r="V476" s="363"/>
      <c r="W476" s="363" t="s">
        <v>1109</v>
      </c>
      <c r="X476" s="363"/>
      <c r="Y476" s="363"/>
      <c r="Z476" s="363"/>
      <c r="AA476" s="363"/>
      <c r="AB476" s="363"/>
      <c r="AC476" s="363"/>
      <c r="AD476" s="363"/>
      <c r="AE476" s="363" t="s">
        <v>478</v>
      </c>
      <c r="AF476" s="380" t="s">
        <v>63</v>
      </c>
      <c r="AG476" s="380">
        <v>3</v>
      </c>
      <c r="AH476" s="363" t="s">
        <v>667</v>
      </c>
    </row>
    <row r="477" spans="2:34" ht="15" customHeight="1" x14ac:dyDescent="0.3">
      <c r="B477" s="380" t="s">
        <v>12</v>
      </c>
      <c r="C477" s="482" t="s">
        <v>779</v>
      </c>
      <c r="D477" s="483" t="s">
        <v>53</v>
      </c>
      <c r="E477" s="491">
        <v>2500292830</v>
      </c>
      <c r="F477" s="760">
        <v>46111</v>
      </c>
      <c r="G477" s="380" t="s">
        <v>55</v>
      </c>
      <c r="H477" s="380">
        <v>3</v>
      </c>
      <c r="I477" s="388">
        <v>282816</v>
      </c>
      <c r="J477" s="380">
        <v>3</v>
      </c>
      <c r="K477" s="389">
        <f t="shared" si="21"/>
        <v>94272</v>
      </c>
      <c r="L477" s="775">
        <v>46113</v>
      </c>
      <c r="M477" s="775">
        <v>46477</v>
      </c>
      <c r="N477" s="684">
        <v>155099</v>
      </c>
      <c r="O477" s="684">
        <v>4642</v>
      </c>
      <c r="P477" s="363" t="s">
        <v>520</v>
      </c>
      <c r="Q477" s="380"/>
      <c r="R477" s="380"/>
      <c r="S477" s="390" t="s">
        <v>1080</v>
      </c>
      <c r="T477" s="363" t="s">
        <v>2067</v>
      </c>
      <c r="U477" s="363" t="s">
        <v>1108</v>
      </c>
      <c r="V477" s="363"/>
      <c r="W477" s="363" t="s">
        <v>1109</v>
      </c>
      <c r="X477" s="363"/>
      <c r="Y477" s="363"/>
      <c r="Z477" s="363"/>
      <c r="AA477" s="363"/>
      <c r="AB477" s="363"/>
      <c r="AC477" s="363"/>
      <c r="AD477" s="363"/>
      <c r="AE477" s="363" t="s">
        <v>619</v>
      </c>
      <c r="AF477" s="380" t="s">
        <v>63</v>
      </c>
      <c r="AG477" s="380">
        <v>3</v>
      </c>
      <c r="AH477" s="363" t="s">
        <v>667</v>
      </c>
    </row>
    <row r="478" spans="2:34" ht="15" customHeight="1" x14ac:dyDescent="0.3">
      <c r="B478" s="380" t="s">
        <v>12</v>
      </c>
      <c r="C478" s="409" t="s">
        <v>1643</v>
      </c>
      <c r="D478" s="423" t="s">
        <v>151</v>
      </c>
      <c r="E478" s="380">
        <v>8184550</v>
      </c>
      <c r="F478" s="760">
        <v>46108</v>
      </c>
      <c r="G478" s="380" t="s">
        <v>55</v>
      </c>
      <c r="H478" s="380">
        <v>4</v>
      </c>
      <c r="I478" s="388">
        <v>310000</v>
      </c>
      <c r="J478" s="380">
        <v>3</v>
      </c>
      <c r="K478" s="389">
        <f t="shared" si="21"/>
        <v>103333.33333333333</v>
      </c>
      <c r="L478" s="508">
        <v>46023</v>
      </c>
      <c r="M478" s="508">
        <v>46387</v>
      </c>
      <c r="N478" s="685"/>
      <c r="O478" s="685"/>
      <c r="P478" s="363" t="s">
        <v>520</v>
      </c>
      <c r="Q478" s="380"/>
      <c r="R478" s="380"/>
      <c r="S478" s="390" t="s">
        <v>347</v>
      </c>
      <c r="T478" s="363" t="s">
        <v>1740</v>
      </c>
      <c r="U478" s="363" t="s">
        <v>348</v>
      </c>
      <c r="V478" s="363"/>
      <c r="W478" s="363" t="s">
        <v>349</v>
      </c>
      <c r="X478" s="363"/>
      <c r="Y478" s="363"/>
      <c r="Z478" s="363"/>
      <c r="AA478" s="363"/>
      <c r="AB478" s="363"/>
      <c r="AC478" s="363"/>
      <c r="AD478" s="363"/>
      <c r="AE478" s="363" t="s">
        <v>478</v>
      </c>
      <c r="AF478" s="380" t="s">
        <v>63</v>
      </c>
      <c r="AG478" s="380">
        <v>3</v>
      </c>
      <c r="AH478" s="363" t="s">
        <v>667</v>
      </c>
    </row>
    <row r="479" spans="2:34" ht="15" customHeight="1" x14ac:dyDescent="0.3">
      <c r="B479" s="380" t="s">
        <v>12</v>
      </c>
      <c r="C479" s="409" t="s">
        <v>1643</v>
      </c>
      <c r="D479" s="423" t="s">
        <v>151</v>
      </c>
      <c r="E479" s="380">
        <v>8184550</v>
      </c>
      <c r="F479" s="760">
        <v>46108</v>
      </c>
      <c r="G479" s="380" t="s">
        <v>55</v>
      </c>
      <c r="H479" s="380">
        <v>2</v>
      </c>
      <c r="I479" s="388">
        <v>103334</v>
      </c>
      <c r="J479" s="380">
        <v>2</v>
      </c>
      <c r="K479" s="389">
        <f t="shared" si="21"/>
        <v>51667</v>
      </c>
      <c r="L479" s="508">
        <v>46023</v>
      </c>
      <c r="M479" s="508">
        <v>46387</v>
      </c>
      <c r="N479" s="685"/>
      <c r="O479" s="685"/>
      <c r="P479" s="363" t="s">
        <v>520</v>
      </c>
      <c r="Q479" s="380"/>
      <c r="R479" s="380"/>
      <c r="S479" s="363" t="s">
        <v>607</v>
      </c>
      <c r="T479" s="363"/>
      <c r="U479" s="363" t="s">
        <v>608</v>
      </c>
      <c r="V479" s="363"/>
      <c r="W479" s="363"/>
      <c r="X479" s="363"/>
      <c r="Y479" s="363"/>
      <c r="Z479" s="363"/>
      <c r="AA479" s="363"/>
      <c r="AB479" s="363"/>
      <c r="AC479" s="363"/>
      <c r="AD479" s="363"/>
      <c r="AE479" s="363" t="s">
        <v>478</v>
      </c>
      <c r="AF479" s="380" t="s">
        <v>63</v>
      </c>
      <c r="AG479" s="380">
        <v>3</v>
      </c>
      <c r="AH479" s="363" t="s">
        <v>667</v>
      </c>
    </row>
    <row r="480" spans="2:34" ht="15" customHeight="1" x14ac:dyDescent="0.3">
      <c r="B480" s="380" t="s">
        <v>12</v>
      </c>
      <c r="C480" s="429" t="s">
        <v>609</v>
      </c>
      <c r="D480" s="423" t="s">
        <v>86</v>
      </c>
      <c r="E480" s="509">
        <v>3791240798</v>
      </c>
      <c r="F480" s="760">
        <v>46106</v>
      </c>
      <c r="G480" s="380" t="s">
        <v>55</v>
      </c>
      <c r="H480" s="380">
        <v>2</v>
      </c>
      <c r="I480" s="388">
        <v>385536</v>
      </c>
      <c r="J480" s="380">
        <v>3</v>
      </c>
      <c r="K480" s="389">
        <f t="shared" si="21"/>
        <v>128512</v>
      </c>
      <c r="L480" s="508">
        <v>46113</v>
      </c>
      <c r="M480" s="508">
        <v>46477</v>
      </c>
      <c r="N480" s="685"/>
      <c r="O480" s="685"/>
      <c r="P480" s="363" t="s">
        <v>520</v>
      </c>
      <c r="Q480" s="380"/>
      <c r="R480" s="380"/>
      <c r="S480" s="390" t="s">
        <v>1080</v>
      </c>
      <c r="T480" s="363" t="s">
        <v>1874</v>
      </c>
      <c r="U480" s="363" t="s">
        <v>1108</v>
      </c>
      <c r="V480" s="363"/>
      <c r="W480" s="363" t="s">
        <v>1109</v>
      </c>
      <c r="X480" s="363"/>
      <c r="Y480" s="363"/>
      <c r="Z480" s="363"/>
      <c r="AA480" s="363"/>
      <c r="AB480" s="363"/>
      <c r="AC480" s="363"/>
      <c r="AD480" s="363"/>
      <c r="AE480" s="363" t="s">
        <v>281</v>
      </c>
      <c r="AF480" s="380" t="s">
        <v>97</v>
      </c>
      <c r="AG480" s="380">
        <v>3</v>
      </c>
      <c r="AH480" s="363" t="s">
        <v>667</v>
      </c>
    </row>
    <row r="481" spans="2:34" ht="15" customHeight="1" x14ac:dyDescent="0.3">
      <c r="B481" s="380" t="s">
        <v>12</v>
      </c>
      <c r="C481" s="482" t="s">
        <v>905</v>
      </c>
      <c r="D481" s="483" t="s">
        <v>801</v>
      </c>
      <c r="E481" s="468">
        <v>1100036670</v>
      </c>
      <c r="F481" s="764">
        <v>46102</v>
      </c>
      <c r="G481" s="380" t="s">
        <v>55</v>
      </c>
      <c r="H481" s="380">
        <v>1</v>
      </c>
      <c r="I481" s="388">
        <v>78400</v>
      </c>
      <c r="J481" s="380">
        <v>2</v>
      </c>
      <c r="K481" s="389">
        <f t="shared" si="21"/>
        <v>39200</v>
      </c>
      <c r="L481" s="775">
        <v>46143</v>
      </c>
      <c r="M481" s="775">
        <v>46507</v>
      </c>
      <c r="N481" s="684"/>
      <c r="O481" s="684"/>
      <c r="P481" s="363" t="s">
        <v>520</v>
      </c>
      <c r="Q481" s="380"/>
      <c r="R481" s="380"/>
      <c r="S481" s="363" t="s">
        <v>1339</v>
      </c>
      <c r="T481" s="363"/>
      <c r="U481" s="363" t="s">
        <v>1644</v>
      </c>
      <c r="V481" s="363"/>
      <c r="W481" s="363"/>
      <c r="X481" s="363"/>
      <c r="Y481" s="363"/>
      <c r="Z481" s="363"/>
      <c r="AA481" s="363"/>
      <c r="AB481" s="363"/>
      <c r="AC481" s="363"/>
      <c r="AD481" s="363"/>
      <c r="AE481" s="363" t="s">
        <v>485</v>
      </c>
      <c r="AF481" s="380" t="s">
        <v>63</v>
      </c>
      <c r="AG481" s="380">
        <v>3</v>
      </c>
      <c r="AH481" s="363" t="s">
        <v>667</v>
      </c>
    </row>
    <row r="482" spans="2:34" ht="15" hidden="1" customHeight="1" x14ac:dyDescent="0.3">
      <c r="B482" s="380" t="s">
        <v>12</v>
      </c>
      <c r="C482" s="482" t="s">
        <v>628</v>
      </c>
      <c r="D482" s="483" t="s">
        <v>801</v>
      </c>
      <c r="E482" s="468" t="s">
        <v>1645</v>
      </c>
      <c r="F482" s="760">
        <v>46107</v>
      </c>
      <c r="G482" s="380" t="s">
        <v>55</v>
      </c>
      <c r="H482" s="380">
        <v>1</v>
      </c>
      <c r="I482" s="388">
        <v>54500</v>
      </c>
      <c r="J482" s="380">
        <v>1</v>
      </c>
      <c r="K482" s="389">
        <f t="shared" si="21"/>
        <v>54500</v>
      </c>
      <c r="L482" s="775">
        <v>46113</v>
      </c>
      <c r="M482" s="775">
        <v>46477</v>
      </c>
      <c r="N482" s="684"/>
      <c r="O482" s="684"/>
      <c r="P482" s="363" t="s">
        <v>19</v>
      </c>
      <c r="Q482" s="719" t="s">
        <v>2068</v>
      </c>
      <c r="R482" s="380"/>
      <c r="S482" s="390" t="s">
        <v>646</v>
      </c>
      <c r="T482" s="363" t="s">
        <v>2042</v>
      </c>
      <c r="U482" s="363"/>
      <c r="V482" s="363"/>
      <c r="W482" s="363"/>
      <c r="X482" s="363"/>
      <c r="Y482" s="363"/>
      <c r="Z482" s="363"/>
      <c r="AA482" s="363"/>
      <c r="AB482" s="363"/>
      <c r="AC482" s="363"/>
      <c r="AD482" s="363"/>
      <c r="AE482" s="363" t="s">
        <v>485</v>
      </c>
      <c r="AF482" s="380" t="s">
        <v>63</v>
      </c>
      <c r="AG482" s="380">
        <v>2</v>
      </c>
      <c r="AH482" s="363" t="s">
        <v>1488</v>
      </c>
    </row>
    <row r="483" spans="2:34" ht="15" customHeight="1" x14ac:dyDescent="0.3">
      <c r="B483" s="380" t="s">
        <v>12</v>
      </c>
      <c r="C483" s="409" t="s">
        <v>805</v>
      </c>
      <c r="D483" s="423" t="s">
        <v>86</v>
      </c>
      <c r="E483" s="408">
        <v>7500135772</v>
      </c>
      <c r="F483" s="764">
        <v>46108</v>
      </c>
      <c r="G483" s="380" t="s">
        <v>55</v>
      </c>
      <c r="H483" s="380">
        <v>1</v>
      </c>
      <c r="I483" s="388">
        <v>86200</v>
      </c>
      <c r="J483" s="380">
        <v>3</v>
      </c>
      <c r="K483" s="389">
        <f t="shared" si="21"/>
        <v>28733.333333333332</v>
      </c>
      <c r="L483" s="508">
        <v>46113</v>
      </c>
      <c r="M483" s="508">
        <v>46477</v>
      </c>
      <c r="N483" s="685"/>
      <c r="O483" s="685"/>
      <c r="P483" s="363" t="s">
        <v>520</v>
      </c>
      <c r="Q483" s="380"/>
      <c r="R483" s="380"/>
      <c r="S483" s="390" t="s">
        <v>1080</v>
      </c>
      <c r="T483" s="363" t="s">
        <v>1945</v>
      </c>
      <c r="U483" s="363" t="s">
        <v>1108</v>
      </c>
      <c r="V483" s="363"/>
      <c r="W483" s="363" t="s">
        <v>1109</v>
      </c>
      <c r="X483" s="363"/>
      <c r="Y483" s="363"/>
      <c r="Z483" s="363"/>
      <c r="AA483" s="363"/>
      <c r="AB483" s="363"/>
      <c r="AC483" s="363"/>
      <c r="AD483" s="363"/>
      <c r="AE483" s="363" t="s">
        <v>96</v>
      </c>
      <c r="AF483" s="380" t="s">
        <v>97</v>
      </c>
      <c r="AG483" s="380" t="s">
        <v>494</v>
      </c>
      <c r="AH483" s="363" t="s">
        <v>667</v>
      </c>
    </row>
    <row r="484" spans="2:34" ht="15" customHeight="1" x14ac:dyDescent="0.3">
      <c r="B484" s="380" t="s">
        <v>4</v>
      </c>
      <c r="C484" s="482" t="s">
        <v>840</v>
      </c>
      <c r="D484" s="483" t="s">
        <v>841</v>
      </c>
      <c r="E484" s="491" t="s">
        <v>1646</v>
      </c>
      <c r="F484" s="760">
        <v>46107</v>
      </c>
      <c r="G484" s="380" t="s">
        <v>55</v>
      </c>
      <c r="H484" s="380">
        <v>3</v>
      </c>
      <c r="I484" s="388">
        <v>211500</v>
      </c>
      <c r="J484" s="380">
        <v>3</v>
      </c>
      <c r="K484" s="389">
        <f t="shared" si="21"/>
        <v>70500</v>
      </c>
      <c r="L484" s="775">
        <v>46113</v>
      </c>
      <c r="M484" s="775">
        <v>46477</v>
      </c>
      <c r="N484" s="684">
        <v>155102</v>
      </c>
      <c r="O484" s="684">
        <v>4903</v>
      </c>
      <c r="P484" s="363" t="s">
        <v>520</v>
      </c>
      <c r="Q484" s="380"/>
      <c r="R484" s="380"/>
      <c r="S484" s="390" t="s">
        <v>1080</v>
      </c>
      <c r="T484" s="363" t="s">
        <v>2045</v>
      </c>
      <c r="U484" s="363" t="s">
        <v>1108</v>
      </c>
      <c r="V484" s="363"/>
      <c r="W484" s="363" t="s">
        <v>1109</v>
      </c>
      <c r="X484" s="363"/>
      <c r="Y484" s="363"/>
      <c r="Z484" s="363"/>
      <c r="AA484" s="363"/>
      <c r="AB484" s="363"/>
      <c r="AC484" s="363"/>
      <c r="AD484" s="363"/>
      <c r="AE484" s="363" t="s">
        <v>485</v>
      </c>
      <c r="AF484" s="380" t="s">
        <v>63</v>
      </c>
      <c r="AG484" s="380">
        <v>3</v>
      </c>
      <c r="AH484" s="363" t="s">
        <v>1647</v>
      </c>
    </row>
    <row r="485" spans="2:34" ht="15" customHeight="1" x14ac:dyDescent="0.3">
      <c r="B485" s="380" t="s">
        <v>4</v>
      </c>
      <c r="C485" s="482" t="s">
        <v>809</v>
      </c>
      <c r="D485" s="483" t="s">
        <v>629</v>
      </c>
      <c r="E485" s="491" t="s">
        <v>1648</v>
      </c>
      <c r="F485" s="760">
        <v>46107</v>
      </c>
      <c r="G485" s="380" t="s">
        <v>55</v>
      </c>
      <c r="H485" s="380">
        <v>5</v>
      </c>
      <c r="I485" s="388">
        <v>341250</v>
      </c>
      <c r="J485" s="380">
        <v>2</v>
      </c>
      <c r="K485" s="389">
        <f t="shared" si="21"/>
        <v>170625</v>
      </c>
      <c r="L485" s="775">
        <v>46113</v>
      </c>
      <c r="M485" s="775">
        <v>46477</v>
      </c>
      <c r="N485" s="684">
        <v>155218</v>
      </c>
      <c r="O485" s="684"/>
      <c r="P485" s="363" t="s">
        <v>520</v>
      </c>
      <c r="Q485" s="380"/>
      <c r="R485" s="380"/>
      <c r="S485" s="390" t="s">
        <v>467</v>
      </c>
      <c r="T485" s="363" t="s">
        <v>2060</v>
      </c>
      <c r="U485" s="363" t="s">
        <v>1633</v>
      </c>
      <c r="V485" s="363"/>
      <c r="W485" s="363"/>
      <c r="X485" s="363"/>
      <c r="Y485" s="363"/>
      <c r="Z485" s="363"/>
      <c r="AA485" s="363"/>
      <c r="AB485" s="363"/>
      <c r="AC485" s="363"/>
      <c r="AD485" s="363"/>
      <c r="AE485" s="363" t="s">
        <v>485</v>
      </c>
      <c r="AF485" s="380" t="s">
        <v>63</v>
      </c>
      <c r="AG485" s="380">
        <v>3</v>
      </c>
      <c r="AH485" s="363" t="s">
        <v>1647</v>
      </c>
    </row>
    <row r="486" spans="2:34" ht="15" customHeight="1" x14ac:dyDescent="0.3">
      <c r="B486" s="380" t="s">
        <v>4</v>
      </c>
      <c r="C486" s="412" t="s">
        <v>1649</v>
      </c>
      <c r="D486" s="437" t="s">
        <v>176</v>
      </c>
      <c r="E486" s="426" t="s">
        <v>1650</v>
      </c>
      <c r="F486" s="760">
        <v>46025</v>
      </c>
      <c r="G486" s="380" t="s">
        <v>55</v>
      </c>
      <c r="H486" s="380">
        <v>1</v>
      </c>
      <c r="I486" s="388">
        <v>142080</v>
      </c>
      <c r="J486" s="380">
        <v>2</v>
      </c>
      <c r="K486" s="389"/>
      <c r="L486" s="508">
        <v>46023</v>
      </c>
      <c r="M486" s="508">
        <v>46387</v>
      </c>
      <c r="N486" s="685"/>
      <c r="O486" s="685"/>
      <c r="P486" s="363" t="s">
        <v>520</v>
      </c>
      <c r="Q486" s="380"/>
      <c r="R486" s="380"/>
      <c r="S486" s="390" t="s">
        <v>1651</v>
      </c>
      <c r="T486" s="363" t="s">
        <v>1965</v>
      </c>
      <c r="U486" s="363" t="s">
        <v>608</v>
      </c>
      <c r="V486" s="363"/>
      <c r="W486" s="363"/>
      <c r="X486" s="363"/>
      <c r="Y486" s="363"/>
      <c r="Z486" s="363"/>
      <c r="AA486" s="363"/>
      <c r="AB486" s="363"/>
      <c r="AC486" s="363"/>
      <c r="AD486" s="363"/>
      <c r="AE486" s="363" t="s">
        <v>183</v>
      </c>
      <c r="AF486" s="380" t="s">
        <v>97</v>
      </c>
      <c r="AG486" s="380">
        <v>2</v>
      </c>
      <c r="AH486" s="363" t="s">
        <v>1652</v>
      </c>
    </row>
    <row r="487" spans="2:34" ht="15" customHeight="1" x14ac:dyDescent="0.3">
      <c r="B487" s="380" t="s">
        <v>4</v>
      </c>
      <c r="C487" s="412" t="s">
        <v>1653</v>
      </c>
      <c r="D487" s="463" t="s">
        <v>151</v>
      </c>
      <c r="E487" s="426" t="s">
        <v>1654</v>
      </c>
      <c r="F487" s="760">
        <v>46114</v>
      </c>
      <c r="G487" s="380" t="s">
        <v>55</v>
      </c>
      <c r="H487" s="380">
        <v>7</v>
      </c>
      <c r="I487" s="388">
        <v>560000</v>
      </c>
      <c r="J487" s="380">
        <v>2</v>
      </c>
      <c r="K487" s="389"/>
      <c r="L487" s="508">
        <v>46023</v>
      </c>
      <c r="M487" s="508">
        <v>46387</v>
      </c>
      <c r="N487" s="685"/>
      <c r="O487" s="685"/>
      <c r="P487" s="363" t="s">
        <v>520</v>
      </c>
      <c r="Q487" s="380"/>
      <c r="R487" s="380"/>
      <c r="S487" s="390" t="s">
        <v>1651</v>
      </c>
      <c r="T487" s="363" t="s">
        <v>1732</v>
      </c>
      <c r="U487" s="363" t="s">
        <v>608</v>
      </c>
      <c r="V487" s="363"/>
      <c r="W487" s="363"/>
      <c r="X487" s="363"/>
      <c r="Y487" s="363"/>
      <c r="Z487" s="363"/>
      <c r="AA487" s="363"/>
      <c r="AB487" s="363"/>
      <c r="AC487" s="363"/>
      <c r="AD487" s="363"/>
      <c r="AE487" s="363" t="s">
        <v>478</v>
      </c>
      <c r="AF487" s="380" t="s">
        <v>63</v>
      </c>
      <c r="AG487" s="380">
        <v>3</v>
      </c>
      <c r="AH487" s="363" t="s">
        <v>1319</v>
      </c>
    </row>
    <row r="488" spans="2:34" ht="15" customHeight="1" x14ac:dyDescent="0.3">
      <c r="B488" s="380" t="s">
        <v>4</v>
      </c>
      <c r="C488" s="409" t="s">
        <v>1655</v>
      </c>
      <c r="D488" s="434" t="s">
        <v>664</v>
      </c>
      <c r="E488" s="380">
        <v>4507986234</v>
      </c>
      <c r="F488" s="760">
        <v>46119</v>
      </c>
      <c r="G488" s="380" t="s">
        <v>55</v>
      </c>
      <c r="H488" s="380">
        <v>1</v>
      </c>
      <c r="I488" s="388">
        <v>79999.98</v>
      </c>
      <c r="J488" s="380">
        <v>3</v>
      </c>
      <c r="K488" s="389">
        <f t="shared" si="21"/>
        <v>26666.66</v>
      </c>
      <c r="L488" s="508">
        <v>46113</v>
      </c>
      <c r="M488" s="508">
        <v>46477</v>
      </c>
      <c r="N488" s="685">
        <v>155336</v>
      </c>
      <c r="O488" s="685">
        <v>4609</v>
      </c>
      <c r="P488" s="363" t="s">
        <v>520</v>
      </c>
      <c r="Q488" s="380"/>
      <c r="R488" s="380"/>
      <c r="S488" s="390" t="s">
        <v>1080</v>
      </c>
      <c r="T488" s="363" t="s">
        <v>1936</v>
      </c>
      <c r="U488" s="363" t="s">
        <v>1108</v>
      </c>
      <c r="V488" s="363"/>
      <c r="W488" s="363" t="s">
        <v>1109</v>
      </c>
      <c r="X488" s="363"/>
      <c r="Y488" s="363"/>
      <c r="Z488" s="363"/>
      <c r="AA488" s="363"/>
      <c r="AB488" s="363"/>
      <c r="AC488" s="363"/>
      <c r="AD488" s="363"/>
      <c r="AE488" s="363" t="s">
        <v>478</v>
      </c>
      <c r="AF488" s="380" t="s">
        <v>63</v>
      </c>
      <c r="AG488" s="380" t="s">
        <v>494</v>
      </c>
      <c r="AH488" s="363" t="s">
        <v>667</v>
      </c>
    </row>
    <row r="489" spans="2:34" ht="15" customHeight="1" x14ac:dyDescent="0.3">
      <c r="B489" s="380" t="s">
        <v>4</v>
      </c>
      <c r="C489" s="409" t="s">
        <v>1656</v>
      </c>
      <c r="D489" s="489" t="s">
        <v>176</v>
      </c>
      <c r="E489" s="411">
        <v>4500127379</v>
      </c>
      <c r="F489" s="760">
        <v>46078</v>
      </c>
      <c r="G489" s="380" t="s">
        <v>55</v>
      </c>
      <c r="H489" s="380">
        <v>1</v>
      </c>
      <c r="I489" s="388">
        <v>89250</v>
      </c>
      <c r="J489" s="380">
        <v>2</v>
      </c>
      <c r="K489" s="389">
        <f t="shared" si="21"/>
        <v>44625</v>
      </c>
      <c r="L489" s="508">
        <v>46023</v>
      </c>
      <c r="M489" s="508">
        <v>46387</v>
      </c>
      <c r="N489" s="685"/>
      <c r="O489" s="685"/>
      <c r="P489" s="363" t="s">
        <v>520</v>
      </c>
      <c r="Q489" s="380"/>
      <c r="R489" s="380"/>
      <c r="S489" s="390" t="s">
        <v>607</v>
      </c>
      <c r="T489" s="363" t="s">
        <v>1436</v>
      </c>
      <c r="U489" s="363" t="s">
        <v>608</v>
      </c>
      <c r="V489" s="363"/>
      <c r="W489" s="363"/>
      <c r="X489" s="363"/>
      <c r="Y489" s="363"/>
      <c r="Z489" s="363"/>
      <c r="AA489" s="363"/>
      <c r="AB489" s="363"/>
      <c r="AC489" s="363"/>
      <c r="AD489" s="363"/>
      <c r="AE489" s="363" t="s">
        <v>183</v>
      </c>
      <c r="AF489" s="380" t="s">
        <v>97</v>
      </c>
      <c r="AG489" s="380">
        <v>3</v>
      </c>
      <c r="AH489" s="363" t="s">
        <v>667</v>
      </c>
    </row>
    <row r="490" spans="2:34" ht="15" customHeight="1" x14ac:dyDescent="0.3">
      <c r="B490" s="380" t="s">
        <v>4</v>
      </c>
      <c r="C490" s="409" t="s">
        <v>1656</v>
      </c>
      <c r="D490" s="489" t="s">
        <v>176</v>
      </c>
      <c r="E490" s="411">
        <v>4500127261</v>
      </c>
      <c r="F490" s="760">
        <v>46076</v>
      </c>
      <c r="G490" s="380" t="s">
        <v>55</v>
      </c>
      <c r="H490" s="380">
        <v>3</v>
      </c>
      <c r="I490" s="388">
        <v>267750</v>
      </c>
      <c r="J490" s="380">
        <v>2</v>
      </c>
      <c r="K490" s="389">
        <f t="shared" si="21"/>
        <v>133875</v>
      </c>
      <c r="L490" s="508">
        <v>46023</v>
      </c>
      <c r="M490" s="508">
        <v>46387</v>
      </c>
      <c r="N490" s="685"/>
      <c r="O490" s="685"/>
      <c r="P490" s="363" t="s">
        <v>520</v>
      </c>
      <c r="Q490" s="380"/>
      <c r="R490" s="380"/>
      <c r="S490" s="390" t="s">
        <v>607</v>
      </c>
      <c r="T490" s="363" t="s">
        <v>782</v>
      </c>
      <c r="U490" s="363" t="s">
        <v>608</v>
      </c>
      <c r="V490" s="363"/>
      <c r="W490" s="363"/>
      <c r="X490" s="363"/>
      <c r="Y490" s="363"/>
      <c r="Z490" s="363"/>
      <c r="AA490" s="363"/>
      <c r="AB490" s="363"/>
      <c r="AC490" s="363"/>
      <c r="AD490" s="363"/>
      <c r="AE490" s="363" t="s">
        <v>183</v>
      </c>
      <c r="AF490" s="380" t="s">
        <v>97</v>
      </c>
      <c r="AG490" s="380">
        <v>3</v>
      </c>
      <c r="AH490" s="363" t="s">
        <v>667</v>
      </c>
    </row>
    <row r="491" spans="2:34" ht="15" customHeight="1" x14ac:dyDescent="0.3">
      <c r="B491" s="380" t="s">
        <v>4</v>
      </c>
      <c r="C491" s="553" t="s">
        <v>1073</v>
      </c>
      <c r="D491" s="423" t="s">
        <v>1657</v>
      </c>
      <c r="E491" s="408">
        <v>440000514</v>
      </c>
      <c r="F491" s="764">
        <v>46109</v>
      </c>
      <c r="G491" s="380" t="s">
        <v>55</v>
      </c>
      <c r="H491" s="380"/>
      <c r="I491" s="388">
        <v>172900</v>
      </c>
      <c r="J491" s="380">
        <v>3</v>
      </c>
      <c r="K491" s="389">
        <f>I491/2</f>
        <v>86450</v>
      </c>
      <c r="L491" s="508">
        <v>46023</v>
      </c>
      <c r="M491" s="508">
        <v>46387</v>
      </c>
      <c r="N491" s="685"/>
      <c r="O491" s="685"/>
      <c r="P491" s="363" t="s">
        <v>520</v>
      </c>
      <c r="Q491" s="380"/>
      <c r="R491" s="380"/>
      <c r="S491" s="390" t="s">
        <v>347</v>
      </c>
      <c r="T491" s="363" t="s">
        <v>1658</v>
      </c>
      <c r="U491" s="390" t="s">
        <v>348</v>
      </c>
      <c r="V491" s="363" t="s">
        <v>2069</v>
      </c>
      <c r="W491" s="363" t="s">
        <v>349</v>
      </c>
      <c r="X491" s="363"/>
      <c r="Y491" s="363"/>
      <c r="Z491" s="363"/>
      <c r="AA491" s="363"/>
      <c r="AB491" s="363"/>
      <c r="AC491" s="363"/>
      <c r="AD491" s="363"/>
      <c r="AE491" s="363" t="s">
        <v>551</v>
      </c>
      <c r="AF491" s="380" t="s">
        <v>207</v>
      </c>
      <c r="AG491" s="380">
        <v>3</v>
      </c>
      <c r="AH491" s="363" t="s">
        <v>1660</v>
      </c>
    </row>
    <row r="492" spans="2:34" ht="15" customHeight="1" x14ac:dyDescent="0.3">
      <c r="B492" s="380" t="s">
        <v>4</v>
      </c>
      <c r="C492" s="553" t="s">
        <v>1073</v>
      </c>
      <c r="D492" s="423" t="s">
        <v>1657</v>
      </c>
      <c r="E492" s="408">
        <v>440000514</v>
      </c>
      <c r="F492" s="764">
        <v>46109</v>
      </c>
      <c r="G492" s="380" t="s">
        <v>55</v>
      </c>
      <c r="H492" s="380">
        <v>1</v>
      </c>
      <c r="I492" s="388">
        <v>172900</v>
      </c>
      <c r="J492" s="380">
        <v>3</v>
      </c>
      <c r="K492" s="389">
        <f>I492/2</f>
        <v>86450</v>
      </c>
      <c r="L492" s="508">
        <v>46388</v>
      </c>
      <c r="M492" s="508">
        <v>46752</v>
      </c>
      <c r="N492" s="685"/>
      <c r="O492" s="685"/>
      <c r="P492" s="363" t="s">
        <v>520</v>
      </c>
      <c r="Q492" s="380"/>
      <c r="R492" s="380"/>
      <c r="S492" s="363" t="s">
        <v>738</v>
      </c>
      <c r="T492" s="363" t="s">
        <v>1661</v>
      </c>
      <c r="U492" s="363" t="s">
        <v>1077</v>
      </c>
      <c r="V492" s="363" t="s">
        <v>1659</v>
      </c>
      <c r="W492" s="363" t="s">
        <v>1078</v>
      </c>
      <c r="X492" s="363"/>
      <c r="Y492" s="363"/>
      <c r="Z492" s="363"/>
      <c r="AA492" s="363"/>
      <c r="AB492" s="363"/>
      <c r="AC492" s="363"/>
      <c r="AD492" s="363"/>
      <c r="AE492" s="363" t="s">
        <v>551</v>
      </c>
      <c r="AF492" s="380" t="s">
        <v>207</v>
      </c>
      <c r="AG492" s="380">
        <v>3</v>
      </c>
      <c r="AH492" s="363" t="s">
        <v>1660</v>
      </c>
    </row>
    <row r="493" spans="2:34" ht="15" customHeight="1" x14ac:dyDescent="0.3">
      <c r="B493" s="380" t="s">
        <v>4</v>
      </c>
      <c r="C493" s="551" t="s">
        <v>508</v>
      </c>
      <c r="D493" s="483" t="s">
        <v>866</v>
      </c>
      <c r="E493" s="468" t="s">
        <v>1663</v>
      </c>
      <c r="F493" s="764">
        <v>46015</v>
      </c>
      <c r="G493" s="380" t="s">
        <v>55</v>
      </c>
      <c r="H493" s="380">
        <v>1</v>
      </c>
      <c r="I493" s="388">
        <v>89000</v>
      </c>
      <c r="J493" s="380">
        <v>3</v>
      </c>
      <c r="K493" s="389">
        <f>I493/J493</f>
        <v>29666.666666666668</v>
      </c>
      <c r="L493" s="775">
        <v>46032</v>
      </c>
      <c r="M493" s="775">
        <v>46396</v>
      </c>
      <c r="N493" s="684">
        <v>155044</v>
      </c>
      <c r="O493" s="684">
        <v>4668</v>
      </c>
      <c r="P493" s="363" t="s">
        <v>520</v>
      </c>
      <c r="Q493" s="380"/>
      <c r="R493" s="380"/>
      <c r="S493" s="390" t="s">
        <v>1664</v>
      </c>
      <c r="T493" s="363" t="s">
        <v>1239</v>
      </c>
      <c r="U493" s="390" t="s">
        <v>1665</v>
      </c>
      <c r="V493" s="363" t="s">
        <v>2070</v>
      </c>
      <c r="W493" s="363" t="s">
        <v>1273</v>
      </c>
      <c r="X493" s="363" t="s">
        <v>2071</v>
      </c>
      <c r="Y493" s="363"/>
      <c r="Z493" s="363"/>
      <c r="AA493" s="363"/>
      <c r="AB493" s="363"/>
      <c r="AC493" s="363"/>
      <c r="AD493" s="363"/>
      <c r="AE493" s="363" t="s">
        <v>96</v>
      </c>
      <c r="AF493" s="380" t="s">
        <v>97</v>
      </c>
      <c r="AG493" s="380" t="s">
        <v>494</v>
      </c>
      <c r="AH493" s="363" t="s">
        <v>1666</v>
      </c>
    </row>
    <row r="494" spans="2:34" ht="15" customHeight="1" x14ac:dyDescent="0.3">
      <c r="B494" s="380" t="s">
        <v>4</v>
      </c>
      <c r="C494" s="430" t="s">
        <v>1667</v>
      </c>
      <c r="D494" s="445" t="s">
        <v>1668</v>
      </c>
      <c r="E494" s="419">
        <v>5030129519</v>
      </c>
      <c r="F494" s="760">
        <v>46020</v>
      </c>
      <c r="G494" s="380" t="s">
        <v>55</v>
      </c>
      <c r="H494" s="380">
        <v>1</v>
      </c>
      <c r="I494" s="388">
        <v>67500</v>
      </c>
      <c r="J494" s="380">
        <v>2</v>
      </c>
      <c r="K494" s="389">
        <f>I494/J494</f>
        <v>33750</v>
      </c>
      <c r="L494" s="776">
        <v>46113</v>
      </c>
      <c r="M494" s="776">
        <v>46387</v>
      </c>
      <c r="N494" s="684"/>
      <c r="O494" s="684"/>
      <c r="P494" s="363" t="s">
        <v>520</v>
      </c>
      <c r="Q494" s="380"/>
      <c r="R494" s="380"/>
      <c r="S494" s="390" t="s">
        <v>1669</v>
      </c>
      <c r="T494" s="363" t="s">
        <v>1720</v>
      </c>
      <c r="U494" s="363" t="s">
        <v>1670</v>
      </c>
      <c r="V494" s="363"/>
      <c r="W494" s="363"/>
      <c r="X494" s="363"/>
      <c r="Y494" s="363"/>
      <c r="Z494" s="363"/>
      <c r="AA494" s="363"/>
      <c r="AB494" s="363"/>
      <c r="AC494" s="363"/>
      <c r="AD494" s="363"/>
      <c r="AE494" s="363" t="s">
        <v>507</v>
      </c>
      <c r="AF494" s="380" t="s">
        <v>63</v>
      </c>
      <c r="AG494" s="380">
        <v>3</v>
      </c>
      <c r="AH494" s="363" t="s">
        <v>667</v>
      </c>
    </row>
    <row r="495" spans="2:34" ht="15" customHeight="1" x14ac:dyDescent="0.3">
      <c r="B495" s="380" t="s">
        <v>4</v>
      </c>
      <c r="C495" s="482" t="s">
        <v>1671</v>
      </c>
      <c r="D495" s="483" t="s">
        <v>1031</v>
      </c>
      <c r="E495" s="468">
        <v>4514039171</v>
      </c>
      <c r="F495" s="760">
        <v>46128</v>
      </c>
      <c r="G495" s="380" t="s">
        <v>55</v>
      </c>
      <c r="H495" s="380">
        <v>3</v>
      </c>
      <c r="I495" s="388">
        <v>150000</v>
      </c>
      <c r="J495" s="380">
        <v>3</v>
      </c>
      <c r="K495" s="389">
        <f>I495/J495</f>
        <v>50000</v>
      </c>
      <c r="L495" s="775">
        <v>46023</v>
      </c>
      <c r="M495" s="775">
        <v>46387</v>
      </c>
      <c r="N495" s="684"/>
      <c r="O495" s="684"/>
      <c r="P495" s="363" t="s">
        <v>520</v>
      </c>
      <c r="Q495" s="380"/>
      <c r="R495" s="380"/>
      <c r="S495" s="390" t="s">
        <v>347</v>
      </c>
      <c r="T495" s="363" t="s">
        <v>1723</v>
      </c>
      <c r="U495" s="363" t="s">
        <v>348</v>
      </c>
      <c r="V495" s="363"/>
      <c r="W495" s="363" t="s">
        <v>349</v>
      </c>
      <c r="X495" s="363"/>
      <c r="Y495" s="363"/>
      <c r="Z495" s="363"/>
      <c r="AA495" s="363"/>
      <c r="AB495" s="363"/>
      <c r="AC495" s="363"/>
      <c r="AD495" s="363"/>
      <c r="AE495" s="363" t="s">
        <v>478</v>
      </c>
      <c r="AF495" s="380" t="s">
        <v>63</v>
      </c>
      <c r="AG495" s="380">
        <v>5</v>
      </c>
      <c r="AH495" s="363" t="s">
        <v>667</v>
      </c>
    </row>
    <row r="496" spans="2:34" ht="15" customHeight="1" x14ac:dyDescent="0.3">
      <c r="B496" s="380" t="s">
        <v>4</v>
      </c>
      <c r="C496" s="482" t="s">
        <v>1672</v>
      </c>
      <c r="D496" s="483" t="s">
        <v>1031</v>
      </c>
      <c r="E496" s="468">
        <v>4513957720</v>
      </c>
      <c r="F496" s="764">
        <v>46112</v>
      </c>
      <c r="G496" s="380" t="s">
        <v>55</v>
      </c>
      <c r="H496" s="380">
        <v>1</v>
      </c>
      <c r="I496" s="388">
        <v>50000</v>
      </c>
      <c r="J496" s="380">
        <v>3</v>
      </c>
      <c r="K496" s="389">
        <f>I496/J496</f>
        <v>16666.666666666668</v>
      </c>
      <c r="L496" s="775">
        <v>46023</v>
      </c>
      <c r="M496" s="775">
        <v>46387</v>
      </c>
      <c r="N496" s="684"/>
      <c r="O496" s="684"/>
      <c r="P496" s="363" t="s">
        <v>520</v>
      </c>
      <c r="Q496" s="380"/>
      <c r="R496" s="380"/>
      <c r="S496" s="390" t="s">
        <v>347</v>
      </c>
      <c r="T496" s="363" t="s">
        <v>1719</v>
      </c>
      <c r="U496" s="363" t="s">
        <v>348</v>
      </c>
      <c r="V496" s="363" t="s">
        <v>1741</v>
      </c>
      <c r="W496" s="363" t="s">
        <v>349</v>
      </c>
      <c r="X496" s="363"/>
      <c r="Y496" s="363"/>
      <c r="Z496" s="363"/>
      <c r="AA496" s="363"/>
      <c r="AB496" s="363"/>
      <c r="AC496" s="363"/>
      <c r="AD496" s="363"/>
      <c r="AE496" s="363" t="s">
        <v>478</v>
      </c>
      <c r="AF496" s="380" t="s">
        <v>63</v>
      </c>
      <c r="AG496" s="380">
        <v>5</v>
      </c>
      <c r="AH496" s="363" t="s">
        <v>667</v>
      </c>
    </row>
    <row r="497" spans="2:34" ht="15" customHeight="1" x14ac:dyDescent="0.3">
      <c r="B497" s="380" t="s">
        <v>4</v>
      </c>
      <c r="C497" s="551" t="s">
        <v>775</v>
      </c>
      <c r="D497" s="483" t="s">
        <v>852</v>
      </c>
      <c r="E497" s="468">
        <v>2710001873</v>
      </c>
      <c r="F497" s="760">
        <v>46127</v>
      </c>
      <c r="G497" s="380" t="s">
        <v>55</v>
      </c>
      <c r="H497" s="380">
        <v>2</v>
      </c>
      <c r="I497" s="388">
        <v>170000</v>
      </c>
      <c r="J497" s="380">
        <v>3</v>
      </c>
      <c r="K497" s="389">
        <f>I497/2</f>
        <v>85000</v>
      </c>
      <c r="L497" s="775">
        <v>46113</v>
      </c>
      <c r="M497" s="775">
        <v>46477</v>
      </c>
      <c r="N497" s="684"/>
      <c r="O497" s="684"/>
      <c r="P497" s="363" t="s">
        <v>520</v>
      </c>
      <c r="Q497" s="380"/>
      <c r="R497" s="380"/>
      <c r="S497" s="390" t="s">
        <v>1080</v>
      </c>
      <c r="T497" s="363" t="s">
        <v>1876</v>
      </c>
      <c r="U497" s="363" t="s">
        <v>1108</v>
      </c>
      <c r="V497" s="363" t="s">
        <v>1674</v>
      </c>
      <c r="W497" s="363" t="s">
        <v>1109</v>
      </c>
      <c r="X497" s="363"/>
      <c r="Y497" s="363"/>
      <c r="Z497" s="363"/>
      <c r="AA497" s="363"/>
      <c r="AB497" s="363"/>
      <c r="AC497" s="363"/>
      <c r="AD497" s="363"/>
      <c r="AE497" s="363" t="s">
        <v>551</v>
      </c>
      <c r="AF497" s="380" t="s">
        <v>207</v>
      </c>
      <c r="AG497" s="380">
        <v>3</v>
      </c>
      <c r="AH497" s="363" t="s">
        <v>1675</v>
      </c>
    </row>
    <row r="498" spans="2:34" ht="15" customHeight="1" x14ac:dyDescent="0.3">
      <c r="B498" s="380" t="s">
        <v>4</v>
      </c>
      <c r="C498" s="409" t="s">
        <v>527</v>
      </c>
      <c r="D498" s="423" t="s">
        <v>131</v>
      </c>
      <c r="E498" s="380">
        <v>7001298017</v>
      </c>
      <c r="F498" s="760">
        <v>46122</v>
      </c>
      <c r="G498" s="380" t="s">
        <v>55</v>
      </c>
      <c r="H498" s="380">
        <v>1</v>
      </c>
      <c r="I498" s="388">
        <v>78750</v>
      </c>
      <c r="J498" s="380">
        <v>2</v>
      </c>
      <c r="K498" s="389">
        <f t="shared" ref="K498:K506" si="22">I498/J498</f>
        <v>39375</v>
      </c>
      <c r="L498" s="508">
        <v>46113</v>
      </c>
      <c r="M498" s="508">
        <v>46477</v>
      </c>
      <c r="N498" s="685"/>
      <c r="O498" s="685"/>
      <c r="P498" s="363" t="s">
        <v>520</v>
      </c>
      <c r="Q498" s="380"/>
      <c r="R498" s="380"/>
      <c r="S498" s="363" t="s">
        <v>467</v>
      </c>
      <c r="T498" s="363"/>
      <c r="U498" s="363" t="s">
        <v>1633</v>
      </c>
      <c r="V498" s="363"/>
      <c r="W498" s="363"/>
      <c r="X498" s="363"/>
      <c r="Y498" s="363"/>
      <c r="Z498" s="363"/>
      <c r="AA498" s="363"/>
      <c r="AB498" s="363"/>
      <c r="AC498" s="363"/>
      <c r="AD498" s="363"/>
      <c r="AE498" s="363" t="s">
        <v>485</v>
      </c>
      <c r="AF498" s="380" t="s">
        <v>63</v>
      </c>
      <c r="AG498" s="380">
        <v>2</v>
      </c>
      <c r="AH498" s="363" t="s">
        <v>1676</v>
      </c>
    </row>
    <row r="499" spans="2:34" ht="15" customHeight="1" x14ac:dyDescent="0.3">
      <c r="B499" s="380" t="s">
        <v>4</v>
      </c>
      <c r="C499" s="482" t="s">
        <v>800</v>
      </c>
      <c r="D499" s="483" t="s">
        <v>812</v>
      </c>
      <c r="E499" s="491">
        <v>2102600168</v>
      </c>
      <c r="F499" s="760">
        <v>46119</v>
      </c>
      <c r="G499" s="380" t="s">
        <v>55</v>
      </c>
      <c r="H499" s="380">
        <v>4</v>
      </c>
      <c r="I499" s="388">
        <v>332800</v>
      </c>
      <c r="J499" s="380">
        <v>2</v>
      </c>
      <c r="K499" s="389">
        <f t="shared" si="22"/>
        <v>166400</v>
      </c>
      <c r="L499" s="775">
        <v>46113</v>
      </c>
      <c r="M499" s="775">
        <v>46477</v>
      </c>
      <c r="N499" s="684"/>
      <c r="O499" s="684"/>
      <c r="P499" s="363" t="s">
        <v>520</v>
      </c>
      <c r="Q499" s="380"/>
      <c r="R499" s="380"/>
      <c r="S499" s="363" t="s">
        <v>467</v>
      </c>
      <c r="T499" s="363"/>
      <c r="U499" s="363" t="s">
        <v>1633</v>
      </c>
      <c r="V499" s="363"/>
      <c r="W499" s="363"/>
      <c r="X499" s="363"/>
      <c r="Y499" s="363"/>
      <c r="Z499" s="363"/>
      <c r="AA499" s="363"/>
      <c r="AB499" s="363"/>
      <c r="AC499" s="363"/>
      <c r="AD499" s="363"/>
      <c r="AE499" s="363" t="s">
        <v>485</v>
      </c>
      <c r="AF499" s="380" t="s">
        <v>63</v>
      </c>
      <c r="AG499" s="380">
        <v>2</v>
      </c>
      <c r="AH499" s="363" t="s">
        <v>1677</v>
      </c>
    </row>
    <row r="500" spans="2:34" ht="15" customHeight="1" x14ac:dyDescent="0.3">
      <c r="B500" s="380" t="s">
        <v>4</v>
      </c>
      <c r="C500" s="409" t="s">
        <v>668</v>
      </c>
      <c r="D500" s="489" t="s">
        <v>693</v>
      </c>
      <c r="E500" s="493">
        <v>30082781</v>
      </c>
      <c r="F500" s="760">
        <v>46113</v>
      </c>
      <c r="G500" s="380" t="s">
        <v>55</v>
      </c>
      <c r="H500" s="380">
        <v>7</v>
      </c>
      <c r="I500" s="388">
        <v>441434</v>
      </c>
      <c r="J500" s="380">
        <v>2</v>
      </c>
      <c r="K500" s="389">
        <f>I500/J500</f>
        <v>220717</v>
      </c>
      <c r="L500" s="508">
        <v>46113</v>
      </c>
      <c r="M500" s="508">
        <v>46477</v>
      </c>
      <c r="N500" s="685"/>
      <c r="O500" s="685"/>
      <c r="P500" s="363" t="s">
        <v>520</v>
      </c>
      <c r="Q500" s="380"/>
      <c r="R500" s="380" t="s">
        <v>1</v>
      </c>
      <c r="S500" s="363" t="s">
        <v>467</v>
      </c>
      <c r="T500" s="363"/>
      <c r="U500" s="363" t="s">
        <v>1633</v>
      </c>
      <c r="V500" s="363"/>
      <c r="W500" s="363"/>
      <c r="X500" s="363"/>
      <c r="Y500" s="363"/>
      <c r="Z500" s="363"/>
      <c r="AA500" s="363"/>
      <c r="AB500" s="363"/>
      <c r="AC500" s="363"/>
      <c r="AD500" s="363"/>
      <c r="AE500" s="363" t="s">
        <v>128</v>
      </c>
      <c r="AF500" s="380" t="s">
        <v>129</v>
      </c>
      <c r="AG500" s="380">
        <v>2</v>
      </c>
      <c r="AH500" s="363" t="s">
        <v>1679</v>
      </c>
    </row>
    <row r="501" spans="2:34" ht="15" customHeight="1" x14ac:dyDescent="0.3">
      <c r="B501" s="380" t="s">
        <v>4</v>
      </c>
      <c r="C501" s="482" t="s">
        <v>800</v>
      </c>
      <c r="D501" s="483" t="s">
        <v>801</v>
      </c>
      <c r="E501" s="491">
        <v>3102600034</v>
      </c>
      <c r="F501" s="760">
        <v>46120</v>
      </c>
      <c r="G501" s="380" t="s">
        <v>55</v>
      </c>
      <c r="H501" s="380">
        <v>6</v>
      </c>
      <c r="I501" s="388">
        <v>468000</v>
      </c>
      <c r="J501" s="380">
        <v>2</v>
      </c>
      <c r="K501" s="389">
        <f t="shared" si="22"/>
        <v>234000</v>
      </c>
      <c r="L501" s="775">
        <v>46113</v>
      </c>
      <c r="M501" s="775">
        <v>46477</v>
      </c>
      <c r="N501" s="684"/>
      <c r="O501" s="684"/>
      <c r="P501" s="363" t="s">
        <v>520</v>
      </c>
      <c r="Q501" s="380"/>
      <c r="R501" s="380"/>
      <c r="S501" s="363" t="s">
        <v>467</v>
      </c>
      <c r="T501" s="363"/>
      <c r="U501" s="363" t="s">
        <v>1633</v>
      </c>
      <c r="V501" s="363"/>
      <c r="W501" s="363"/>
      <c r="X501" s="363"/>
      <c r="Y501" s="363"/>
      <c r="Z501" s="363"/>
      <c r="AA501" s="363"/>
      <c r="AB501" s="363"/>
      <c r="AC501" s="363"/>
      <c r="AD501" s="363"/>
      <c r="AE501" s="363" t="s">
        <v>485</v>
      </c>
      <c r="AF501" s="380" t="s">
        <v>63</v>
      </c>
      <c r="AG501" s="380">
        <v>2</v>
      </c>
      <c r="AH501" s="363" t="s">
        <v>1677</v>
      </c>
    </row>
    <row r="502" spans="2:34" ht="15" customHeight="1" x14ac:dyDescent="0.3">
      <c r="B502" s="380" t="s">
        <v>4</v>
      </c>
      <c r="C502" s="482" t="s">
        <v>905</v>
      </c>
      <c r="D502" s="483" t="s">
        <v>906</v>
      </c>
      <c r="E502" s="491">
        <v>1100036794</v>
      </c>
      <c r="F502" s="760">
        <v>46112</v>
      </c>
      <c r="G502" s="380" t="s">
        <v>55</v>
      </c>
      <c r="H502" s="380">
        <v>4</v>
      </c>
      <c r="I502" s="388">
        <v>294000</v>
      </c>
      <c r="J502" s="380">
        <v>2</v>
      </c>
      <c r="K502" s="389">
        <f t="shared" si="22"/>
        <v>147000</v>
      </c>
      <c r="L502" s="775">
        <v>46174</v>
      </c>
      <c r="M502" s="775">
        <v>46538</v>
      </c>
      <c r="N502" s="684"/>
      <c r="O502" s="684"/>
      <c r="P502" s="363" t="s">
        <v>520</v>
      </c>
      <c r="Q502" s="380"/>
      <c r="R502" s="380"/>
      <c r="S502" s="363" t="s">
        <v>1414</v>
      </c>
      <c r="T502" s="363"/>
      <c r="U502" s="363" t="s">
        <v>1680</v>
      </c>
      <c r="V502" s="363"/>
      <c r="W502" s="363"/>
      <c r="X502" s="363"/>
      <c r="Y502" s="363"/>
      <c r="Z502" s="363"/>
      <c r="AA502" s="363"/>
      <c r="AB502" s="363"/>
      <c r="AC502" s="363"/>
      <c r="AD502" s="363"/>
      <c r="AE502" s="363" t="s">
        <v>551</v>
      </c>
      <c r="AF502" s="380" t="s">
        <v>207</v>
      </c>
      <c r="AG502" s="380">
        <v>2</v>
      </c>
      <c r="AH502" s="363" t="s">
        <v>667</v>
      </c>
    </row>
    <row r="503" spans="2:34" ht="15" customHeight="1" x14ac:dyDescent="0.3">
      <c r="B503" s="380" t="s">
        <v>4</v>
      </c>
      <c r="C503" s="482" t="s">
        <v>716</v>
      </c>
      <c r="D503" s="483" t="s">
        <v>447</v>
      </c>
      <c r="E503" s="491" t="s">
        <v>1681</v>
      </c>
      <c r="F503" s="760">
        <v>46125</v>
      </c>
      <c r="G503" s="380" t="s">
        <v>55</v>
      </c>
      <c r="H503" s="380">
        <v>1</v>
      </c>
      <c r="I503" s="388">
        <v>59794.68</v>
      </c>
      <c r="J503" s="380">
        <v>3</v>
      </c>
      <c r="K503" s="389">
        <f t="shared" si="22"/>
        <v>19931.560000000001</v>
      </c>
      <c r="L503" s="775">
        <v>46113</v>
      </c>
      <c r="M503" s="775">
        <v>46477</v>
      </c>
      <c r="N503" s="684"/>
      <c r="O503" s="684"/>
      <c r="P503" s="363" t="s">
        <v>520</v>
      </c>
      <c r="Q503" s="380"/>
      <c r="R503" s="380"/>
      <c r="S503" s="390" t="s">
        <v>1080</v>
      </c>
      <c r="T503" s="363" t="s">
        <v>1949</v>
      </c>
      <c r="U503" s="363" t="s">
        <v>1108</v>
      </c>
      <c r="V503" s="363"/>
      <c r="W503" s="363" t="s">
        <v>1109</v>
      </c>
      <c r="X503" s="363"/>
      <c r="Y503" s="363"/>
      <c r="Z503" s="363"/>
      <c r="AA503" s="363"/>
      <c r="AB503" s="363"/>
      <c r="AC503" s="363"/>
      <c r="AD503" s="363"/>
      <c r="AE503" s="363" t="s">
        <v>281</v>
      </c>
      <c r="AF503" s="380" t="s">
        <v>97</v>
      </c>
      <c r="AG503" s="380" t="s">
        <v>494</v>
      </c>
      <c r="AH503" s="363" t="s">
        <v>667</v>
      </c>
    </row>
    <row r="504" spans="2:34" ht="15" customHeight="1" x14ac:dyDescent="0.3">
      <c r="B504" s="380" t="s">
        <v>4</v>
      </c>
      <c r="C504" s="482" t="s">
        <v>716</v>
      </c>
      <c r="D504" s="483" t="s">
        <v>447</v>
      </c>
      <c r="E504" s="491" t="s">
        <v>1682</v>
      </c>
      <c r="F504" s="760">
        <v>46125</v>
      </c>
      <c r="G504" s="380" t="s">
        <v>55</v>
      </c>
      <c r="H504" s="380">
        <v>3</v>
      </c>
      <c r="I504" s="388">
        <v>273093.78000000003</v>
      </c>
      <c r="J504" s="380">
        <v>3</v>
      </c>
      <c r="K504" s="389">
        <f t="shared" si="22"/>
        <v>91031.260000000009</v>
      </c>
      <c r="L504" s="775">
        <v>46113</v>
      </c>
      <c r="M504" s="775">
        <v>46477</v>
      </c>
      <c r="N504" s="684"/>
      <c r="O504" s="684"/>
      <c r="P504" s="363" t="s">
        <v>520</v>
      </c>
      <c r="Q504" s="380"/>
      <c r="R504" s="380"/>
      <c r="S504" s="390" t="s">
        <v>1080</v>
      </c>
      <c r="T504" s="363" t="s">
        <v>1949</v>
      </c>
      <c r="U504" s="363" t="s">
        <v>1108</v>
      </c>
      <c r="V504" s="363"/>
      <c r="W504" s="363" t="s">
        <v>1109</v>
      </c>
      <c r="X504" s="363"/>
      <c r="Y504" s="363"/>
      <c r="Z504" s="363"/>
      <c r="AA504" s="363"/>
      <c r="AB504" s="363"/>
      <c r="AC504" s="363"/>
      <c r="AD504" s="363"/>
      <c r="AE504" s="363" t="s">
        <v>281</v>
      </c>
      <c r="AF504" s="380" t="s">
        <v>97</v>
      </c>
      <c r="AG504" s="380" t="s">
        <v>494</v>
      </c>
      <c r="AH504" s="363" t="s">
        <v>667</v>
      </c>
    </row>
    <row r="505" spans="2:34" ht="15" customHeight="1" x14ac:dyDescent="0.3">
      <c r="B505" s="380" t="s">
        <v>4</v>
      </c>
      <c r="C505" s="482" t="s">
        <v>716</v>
      </c>
      <c r="D505" s="483" t="s">
        <v>447</v>
      </c>
      <c r="E505" s="491" t="s">
        <v>1683</v>
      </c>
      <c r="F505" s="760">
        <v>46125</v>
      </c>
      <c r="G505" s="380" t="s">
        <v>55</v>
      </c>
      <c r="H505" s="380">
        <v>2</v>
      </c>
      <c r="I505" s="388">
        <v>247338.36</v>
      </c>
      <c r="J505" s="380">
        <v>3</v>
      </c>
      <c r="K505" s="389">
        <f t="shared" si="22"/>
        <v>82446.12</v>
      </c>
      <c r="L505" s="775">
        <v>46113</v>
      </c>
      <c r="M505" s="775">
        <v>46477</v>
      </c>
      <c r="N505" s="684"/>
      <c r="O505" s="684"/>
      <c r="P505" s="363" t="s">
        <v>520</v>
      </c>
      <c r="Q505" s="380"/>
      <c r="R505" s="380"/>
      <c r="S505" s="390" t="s">
        <v>1080</v>
      </c>
      <c r="T505" s="363" t="s">
        <v>1952</v>
      </c>
      <c r="U505" s="363" t="s">
        <v>1108</v>
      </c>
      <c r="V505" s="363" t="s">
        <v>2072</v>
      </c>
      <c r="W505" s="363" t="s">
        <v>1109</v>
      </c>
      <c r="X505" s="363"/>
      <c r="Y505" s="363"/>
      <c r="Z505" s="363"/>
      <c r="AA505" s="363"/>
      <c r="AB505" s="363"/>
      <c r="AC505" s="363"/>
      <c r="AD505" s="363"/>
      <c r="AE505" s="363" t="s">
        <v>281</v>
      </c>
      <c r="AF505" s="380" t="s">
        <v>97</v>
      </c>
      <c r="AG505" s="380" t="s">
        <v>494</v>
      </c>
      <c r="AH505" s="363" t="s">
        <v>667</v>
      </c>
    </row>
    <row r="506" spans="2:34" ht="15" customHeight="1" x14ac:dyDescent="0.3">
      <c r="B506" s="380" t="s">
        <v>4</v>
      </c>
      <c r="C506" s="409" t="s">
        <v>762</v>
      </c>
      <c r="D506" s="423" t="s">
        <v>763</v>
      </c>
      <c r="E506" s="380" t="s">
        <v>1684</v>
      </c>
      <c r="F506" s="764">
        <v>46128</v>
      </c>
      <c r="G506" s="380" t="s">
        <v>55</v>
      </c>
      <c r="H506" s="380">
        <v>1</v>
      </c>
      <c r="I506" s="388">
        <v>80001</v>
      </c>
      <c r="J506" s="380">
        <v>3</v>
      </c>
      <c r="K506" s="389">
        <f t="shared" si="22"/>
        <v>26667</v>
      </c>
      <c r="L506" s="508">
        <v>46113</v>
      </c>
      <c r="M506" s="508">
        <v>46477</v>
      </c>
      <c r="N506" s="685">
        <v>155416</v>
      </c>
      <c r="O506" s="685">
        <v>4625</v>
      </c>
      <c r="P506" s="363" t="s">
        <v>520</v>
      </c>
      <c r="Q506" s="380"/>
      <c r="R506" s="380"/>
      <c r="S506" s="390" t="s">
        <v>1080</v>
      </c>
      <c r="T506" s="363" t="s">
        <v>1857</v>
      </c>
      <c r="U506" s="363" t="s">
        <v>1108</v>
      </c>
      <c r="V506" s="363"/>
      <c r="W506" s="363" t="s">
        <v>1109</v>
      </c>
      <c r="X506" s="363"/>
      <c r="Y506" s="363"/>
      <c r="Z506" s="363"/>
      <c r="AA506" s="363"/>
      <c r="AB506" s="363"/>
      <c r="AC506" s="363"/>
      <c r="AD506" s="363"/>
      <c r="AE506" s="363" t="s">
        <v>507</v>
      </c>
      <c r="AF506" s="380" t="s">
        <v>63</v>
      </c>
      <c r="AG506" s="380">
        <v>3</v>
      </c>
      <c r="AH506" s="363" t="s">
        <v>667</v>
      </c>
    </row>
    <row r="507" spans="2:34" ht="15" customHeight="1" x14ac:dyDescent="0.3">
      <c r="B507" s="380" t="s">
        <v>4</v>
      </c>
      <c r="C507" s="409" t="s">
        <v>1685</v>
      </c>
      <c r="D507" s="423" t="s">
        <v>1686</v>
      </c>
      <c r="E507" s="493" t="s">
        <v>1687</v>
      </c>
      <c r="F507" s="760">
        <v>46130</v>
      </c>
      <c r="G507" s="514" t="s">
        <v>703</v>
      </c>
      <c r="H507" s="380">
        <v>6</v>
      </c>
      <c r="I507" s="388">
        <v>2352488.14</v>
      </c>
      <c r="J507" s="380">
        <v>6</v>
      </c>
      <c r="K507" s="389">
        <f>I507/4</f>
        <v>588122.03500000003</v>
      </c>
      <c r="L507" s="508">
        <v>46136</v>
      </c>
      <c r="M507" s="508">
        <v>46500</v>
      </c>
      <c r="N507" s="685">
        <v>155079</v>
      </c>
      <c r="O507" s="685">
        <v>4216</v>
      </c>
      <c r="P507" s="363" t="s">
        <v>520</v>
      </c>
      <c r="Q507" s="389"/>
      <c r="R507" s="380" t="s">
        <v>1</v>
      </c>
      <c r="S507" s="390" t="s">
        <v>1688</v>
      </c>
      <c r="T507" s="363" t="s">
        <v>1710</v>
      </c>
      <c r="U507" s="390" t="s">
        <v>1689</v>
      </c>
      <c r="V507" s="363" t="s">
        <v>1936</v>
      </c>
      <c r="W507" s="363" t="s">
        <v>1690</v>
      </c>
      <c r="X507" s="363"/>
      <c r="Y507" s="363" t="s">
        <v>1691</v>
      </c>
      <c r="Z507" s="363"/>
      <c r="AA507" s="363" t="s">
        <v>1692</v>
      </c>
      <c r="AB507" s="363"/>
      <c r="AC507" s="363" t="s">
        <v>1693</v>
      </c>
      <c r="AD507" s="363"/>
      <c r="AE507" s="363" t="s">
        <v>551</v>
      </c>
      <c r="AF507" s="380" t="s">
        <v>207</v>
      </c>
      <c r="AG507" s="380" t="s">
        <v>494</v>
      </c>
      <c r="AH507" s="363" t="s">
        <v>667</v>
      </c>
    </row>
    <row r="508" spans="2:34" ht="15" customHeight="1" x14ac:dyDescent="0.3">
      <c r="B508" s="380" t="s">
        <v>4</v>
      </c>
      <c r="C508" s="482" t="s">
        <v>836</v>
      </c>
      <c r="D508" s="483" t="s">
        <v>629</v>
      </c>
      <c r="E508" s="491" t="s">
        <v>1694</v>
      </c>
      <c r="F508" s="760">
        <v>46133</v>
      </c>
      <c r="G508" s="380" t="s">
        <v>55</v>
      </c>
      <c r="H508" s="380">
        <v>2</v>
      </c>
      <c r="I508" s="388">
        <v>176400</v>
      </c>
      <c r="J508" s="380">
        <v>2</v>
      </c>
      <c r="K508" s="389">
        <f t="shared" ref="K508:K514" si="23">I508/J508</f>
        <v>88200</v>
      </c>
      <c r="L508" s="775">
        <v>46113</v>
      </c>
      <c r="M508" s="775">
        <v>46477</v>
      </c>
      <c r="N508" s="684"/>
      <c r="O508" s="684"/>
      <c r="P508" s="363" t="s">
        <v>520</v>
      </c>
      <c r="Q508" s="380"/>
      <c r="R508" s="380"/>
      <c r="S508" s="363" t="s">
        <v>467</v>
      </c>
      <c r="T508" s="363"/>
      <c r="U508" s="363" t="s">
        <v>1633</v>
      </c>
      <c r="V508" s="363"/>
      <c r="W508" s="363"/>
      <c r="X508" s="363"/>
      <c r="Y508" s="363"/>
      <c r="Z508" s="363"/>
      <c r="AA508" s="363"/>
      <c r="AB508" s="363"/>
      <c r="AC508" s="363"/>
      <c r="AD508" s="363"/>
      <c r="AE508" s="363" t="s">
        <v>485</v>
      </c>
      <c r="AF508" s="380" t="s">
        <v>63</v>
      </c>
      <c r="AG508" s="380">
        <v>2</v>
      </c>
      <c r="AH508" s="363" t="s">
        <v>799</v>
      </c>
    </row>
    <row r="509" spans="2:34" ht="15" customHeight="1" x14ac:dyDescent="0.3">
      <c r="B509" s="380" t="s">
        <v>4</v>
      </c>
      <c r="C509" s="482" t="s">
        <v>544</v>
      </c>
      <c r="D509" s="483" t="s">
        <v>1029</v>
      </c>
      <c r="E509" s="419">
        <v>1260004105</v>
      </c>
      <c r="F509" s="760">
        <v>46130</v>
      </c>
      <c r="G509" s="380" t="s">
        <v>55</v>
      </c>
      <c r="H509" s="380">
        <v>1</v>
      </c>
      <c r="I509" s="388">
        <v>145000</v>
      </c>
      <c r="J509" s="380">
        <v>3</v>
      </c>
      <c r="K509" s="389">
        <f t="shared" si="23"/>
        <v>48333.333333333336</v>
      </c>
      <c r="L509" s="776">
        <v>46164</v>
      </c>
      <c r="M509" s="776">
        <v>46528</v>
      </c>
      <c r="N509" s="684">
        <v>155477</v>
      </c>
      <c r="O509" s="684">
        <v>4684</v>
      </c>
      <c r="P509" s="363" t="s">
        <v>520</v>
      </c>
      <c r="Q509" s="380"/>
      <c r="R509" s="380"/>
      <c r="S509" s="390" t="s">
        <v>1695</v>
      </c>
      <c r="T509" s="363" t="s">
        <v>2012</v>
      </c>
      <c r="U509" s="363" t="s">
        <v>1696</v>
      </c>
      <c r="V509" s="363"/>
      <c r="W509" s="363" t="s">
        <v>1697</v>
      </c>
      <c r="X509" s="363"/>
      <c r="Y509" s="363"/>
      <c r="Z509" s="363"/>
      <c r="AA509" s="363"/>
      <c r="AB509" s="363"/>
      <c r="AC509" s="363"/>
      <c r="AD509" s="363"/>
      <c r="AE509" s="363" t="s">
        <v>834</v>
      </c>
      <c r="AF509" s="380" t="s">
        <v>207</v>
      </c>
      <c r="AG509" s="380">
        <v>3</v>
      </c>
      <c r="AH509" s="363" t="s">
        <v>667</v>
      </c>
    </row>
    <row r="510" spans="2:34" ht="15" customHeight="1" x14ac:dyDescent="0.3">
      <c r="B510" s="380" t="s">
        <v>4</v>
      </c>
      <c r="C510" s="482" t="s">
        <v>544</v>
      </c>
      <c r="D510" s="483" t="s">
        <v>447</v>
      </c>
      <c r="E510" s="491">
        <v>1260003465</v>
      </c>
      <c r="F510" s="760">
        <v>46127</v>
      </c>
      <c r="G510" s="380" t="s">
        <v>55</v>
      </c>
      <c r="H510" s="380">
        <v>2</v>
      </c>
      <c r="I510" s="388">
        <v>215400</v>
      </c>
      <c r="J510" s="380">
        <v>3</v>
      </c>
      <c r="K510" s="389">
        <f t="shared" si="23"/>
        <v>71800</v>
      </c>
      <c r="L510" s="775">
        <v>46113</v>
      </c>
      <c r="M510" s="775">
        <v>46477</v>
      </c>
      <c r="N510" s="684">
        <v>155217</v>
      </c>
      <c r="O510" s="684">
        <v>4907</v>
      </c>
      <c r="P510" s="363" t="s">
        <v>520</v>
      </c>
      <c r="Q510" s="380"/>
      <c r="R510" s="380"/>
      <c r="S510" s="390" t="s">
        <v>1080</v>
      </c>
      <c r="T510" s="363" t="s">
        <v>1941</v>
      </c>
      <c r="U510" s="363" t="s">
        <v>1108</v>
      </c>
      <c r="V510" s="363"/>
      <c r="W510" s="363" t="s">
        <v>1109</v>
      </c>
      <c r="X510" s="363"/>
      <c r="Y510" s="363"/>
      <c r="Z510" s="363"/>
      <c r="AA510" s="363"/>
      <c r="AB510" s="363"/>
      <c r="AC510" s="363"/>
      <c r="AD510" s="363"/>
      <c r="AE510" s="363" t="s">
        <v>96</v>
      </c>
      <c r="AF510" s="380" t="s">
        <v>97</v>
      </c>
      <c r="AG510" s="380" t="s">
        <v>494</v>
      </c>
      <c r="AH510" s="363" t="s">
        <v>667</v>
      </c>
    </row>
    <row r="511" spans="2:34" ht="15" customHeight="1" x14ac:dyDescent="0.3">
      <c r="B511" s="380" t="s">
        <v>4</v>
      </c>
      <c r="C511" s="409" t="s">
        <v>751</v>
      </c>
      <c r="D511" s="423" t="s">
        <v>151</v>
      </c>
      <c r="E511" s="408">
        <v>307000844</v>
      </c>
      <c r="F511" s="760">
        <v>46129</v>
      </c>
      <c r="G511" s="380" t="s">
        <v>55</v>
      </c>
      <c r="H511" s="380">
        <v>1</v>
      </c>
      <c r="I511" s="388">
        <v>124440</v>
      </c>
      <c r="J511" s="380">
        <v>4</v>
      </c>
      <c r="K511" s="389">
        <f t="shared" si="23"/>
        <v>31110</v>
      </c>
      <c r="L511" s="508">
        <v>46113</v>
      </c>
      <c r="M511" s="508">
        <v>46477</v>
      </c>
      <c r="N511" s="685">
        <v>155237</v>
      </c>
      <c r="O511" s="685">
        <v>4852</v>
      </c>
      <c r="P511" s="363" t="s">
        <v>520</v>
      </c>
      <c r="Q511" s="380"/>
      <c r="R511" s="380"/>
      <c r="S511" s="390" t="s">
        <v>397</v>
      </c>
      <c r="T511" s="363" t="s">
        <v>1853</v>
      </c>
      <c r="U511" s="390" t="s">
        <v>496</v>
      </c>
      <c r="V511" s="363" t="s">
        <v>2073</v>
      </c>
      <c r="W511" s="363" t="s">
        <v>497</v>
      </c>
      <c r="X511" s="363"/>
      <c r="Y511" s="363" t="s">
        <v>498</v>
      </c>
      <c r="Z511" s="363"/>
      <c r="AA511" s="363"/>
      <c r="AB511" s="363"/>
      <c r="AC511" s="363"/>
      <c r="AD511" s="363"/>
      <c r="AE511" s="363" t="s">
        <v>507</v>
      </c>
      <c r="AF511" s="380" t="s">
        <v>63</v>
      </c>
      <c r="AG511" s="380">
        <v>4</v>
      </c>
      <c r="AH511" s="363" t="s">
        <v>1626</v>
      </c>
    </row>
    <row r="512" spans="2:34" ht="15" customHeight="1" x14ac:dyDescent="0.3">
      <c r="B512" s="380" t="s">
        <v>4</v>
      </c>
      <c r="C512" s="409" t="s">
        <v>875</v>
      </c>
      <c r="D512" s="423" t="s">
        <v>876</v>
      </c>
      <c r="E512" s="484" t="s">
        <v>1698</v>
      </c>
      <c r="F512" s="760">
        <v>46133</v>
      </c>
      <c r="G512" s="380" t="s">
        <v>55</v>
      </c>
      <c r="H512" s="380">
        <v>3</v>
      </c>
      <c r="I512" s="388">
        <v>461100</v>
      </c>
      <c r="J512" s="380">
        <v>3</v>
      </c>
      <c r="K512" s="389">
        <f t="shared" si="23"/>
        <v>153700</v>
      </c>
      <c r="L512" s="508">
        <v>46143</v>
      </c>
      <c r="M512" s="508">
        <v>46507</v>
      </c>
      <c r="N512" s="685"/>
      <c r="O512" s="685"/>
      <c r="P512" s="363" t="s">
        <v>520</v>
      </c>
      <c r="Q512" s="380"/>
      <c r="R512" s="380"/>
      <c r="S512" s="390" t="s">
        <v>348</v>
      </c>
      <c r="T512" s="363" t="s">
        <v>2026</v>
      </c>
      <c r="U512" s="363" t="s">
        <v>349</v>
      </c>
      <c r="V512" s="363"/>
      <c r="W512" s="363" t="s">
        <v>738</v>
      </c>
      <c r="X512" s="363"/>
      <c r="Y512" s="363"/>
      <c r="Z512" s="363"/>
      <c r="AA512" s="363"/>
      <c r="AB512" s="363"/>
      <c r="AC512" s="363"/>
      <c r="AD512" s="363"/>
      <c r="AE512" s="363" t="s">
        <v>281</v>
      </c>
      <c r="AF512" s="380" t="s">
        <v>97</v>
      </c>
      <c r="AG512" s="380">
        <v>3</v>
      </c>
      <c r="AH512" s="363" t="s">
        <v>799</v>
      </c>
    </row>
    <row r="513" spans="2:34" ht="15" customHeight="1" x14ac:dyDescent="0.3">
      <c r="B513" s="380" t="s">
        <v>4</v>
      </c>
      <c r="C513" s="409" t="s">
        <v>1699</v>
      </c>
      <c r="D513" s="423" t="s">
        <v>906</v>
      </c>
      <c r="E513" s="408" t="s">
        <v>1700</v>
      </c>
      <c r="F513" s="760">
        <v>46136</v>
      </c>
      <c r="G513" s="380" t="s">
        <v>55</v>
      </c>
      <c r="H513" s="380">
        <v>2</v>
      </c>
      <c r="I513" s="388">
        <v>180000</v>
      </c>
      <c r="J513" s="380">
        <v>4</v>
      </c>
      <c r="K513" s="389">
        <f>I513/2</f>
        <v>90000</v>
      </c>
      <c r="L513" s="508">
        <v>45953</v>
      </c>
      <c r="M513" s="508">
        <v>46317</v>
      </c>
      <c r="N513" s="685">
        <v>155377</v>
      </c>
      <c r="O513" s="685">
        <v>4693</v>
      </c>
      <c r="P513" s="363" t="s">
        <v>520</v>
      </c>
      <c r="Q513" s="380"/>
      <c r="R513" s="380"/>
      <c r="S513" s="394" t="str" cm="1">
        <f t="array" ref="S513">TEXT(EDATE($L513,{0}),"dd/mm/yyy") &amp; " to " &amp; TEXT(EDATE($L513,{3})-1,"dd/mm/yyyy")</f>
        <v>23/10/2025 to 22/01/2026</v>
      </c>
      <c r="T513" s="363"/>
      <c r="U513" s="394" t="str" cm="1">
        <f t="array" ref="U513">TEXT(EDATE($L513,{3}),"dd/mm/yyy") &amp; " to " &amp; TEXT(EDATE($L513,{6})-1,"dd/mm/yyyy")</f>
        <v>23/01/2026 to 22/04/2026</v>
      </c>
      <c r="V513" s="363" t="s">
        <v>1877</v>
      </c>
      <c r="W513" s="394" t="str" cm="1">
        <f t="array" ref="W513">TEXT(EDATE($L513,{6}),"dd/mm/yyy") &amp; " to " &amp; TEXT(EDATE($L513,{9})-1,"dd/mm/yyyy")</f>
        <v>23/04/2026 to 22/07/2026</v>
      </c>
      <c r="X513" s="363" t="s">
        <v>2045</v>
      </c>
      <c r="Y513" s="381" t="str" cm="1">
        <f t="array" ref="Y513">TEXT(EDATE($L513,{9}),"dd/mm/yyy") &amp; " to " &amp; TEXT(EDATE($L513,{12})-1,"dd/mm/yyyy")</f>
        <v>23/07/2026 to 22/10/2026</v>
      </c>
      <c r="Z513" s="363"/>
      <c r="AA513" s="363"/>
      <c r="AB513" s="363"/>
      <c r="AC513" s="363"/>
      <c r="AD513" s="363"/>
      <c r="AE513" s="363" t="s">
        <v>551</v>
      </c>
      <c r="AF513" s="380" t="s">
        <v>207</v>
      </c>
      <c r="AG513" s="380">
        <v>3</v>
      </c>
      <c r="AH513" s="363" t="s">
        <v>1704</v>
      </c>
    </row>
    <row r="514" spans="2:34" ht="15" customHeight="1" x14ac:dyDescent="0.3">
      <c r="B514" s="380" t="s">
        <v>4</v>
      </c>
      <c r="C514" s="478" t="s">
        <v>628</v>
      </c>
      <c r="D514" s="480" t="s">
        <v>910</v>
      </c>
      <c r="E514" s="481" t="s">
        <v>1705</v>
      </c>
      <c r="F514" s="761">
        <v>46128</v>
      </c>
      <c r="G514" s="380" t="s">
        <v>55</v>
      </c>
      <c r="H514" s="380">
        <v>3</v>
      </c>
      <c r="I514" s="388">
        <v>163500</v>
      </c>
      <c r="J514" s="380">
        <v>1</v>
      </c>
      <c r="K514" s="389">
        <f t="shared" si="23"/>
        <v>163500</v>
      </c>
      <c r="L514" s="775">
        <v>46113</v>
      </c>
      <c r="M514" s="775">
        <v>46477</v>
      </c>
      <c r="N514" s="684"/>
      <c r="O514" s="684"/>
      <c r="P514" s="363" t="s">
        <v>520</v>
      </c>
      <c r="Q514" s="380"/>
      <c r="R514" s="380"/>
      <c r="S514" s="363" t="s">
        <v>1706</v>
      </c>
      <c r="T514" s="363"/>
      <c r="U514" s="363"/>
      <c r="V514" s="363"/>
      <c r="W514" s="363"/>
      <c r="X514" s="363"/>
      <c r="Y514" s="363"/>
      <c r="Z514" s="363"/>
      <c r="AA514" s="363"/>
      <c r="AB514" s="363"/>
      <c r="AC514" s="363"/>
      <c r="AD514" s="363"/>
      <c r="AE514" s="363" t="s">
        <v>485</v>
      </c>
      <c r="AF514" s="380" t="s">
        <v>63</v>
      </c>
      <c r="AG514" s="380">
        <v>2</v>
      </c>
      <c r="AH514" s="363" t="s">
        <v>1488</v>
      </c>
    </row>
    <row r="515" spans="2:34" ht="15" customHeight="1" x14ac:dyDescent="0.3">
      <c r="B515" s="380" t="s">
        <v>4</v>
      </c>
      <c r="C515" s="412" t="s">
        <v>1707</v>
      </c>
      <c r="D515" s="510" t="s">
        <v>176</v>
      </c>
      <c r="E515" s="515">
        <v>26000193</v>
      </c>
      <c r="F515" s="762">
        <v>46118</v>
      </c>
      <c r="G515" s="380" t="s">
        <v>55</v>
      </c>
      <c r="H515" s="380">
        <v>1</v>
      </c>
      <c r="I515" s="388">
        <v>94500</v>
      </c>
      <c r="J515" s="380">
        <v>3</v>
      </c>
      <c r="K515" s="389"/>
      <c r="L515" s="775">
        <v>46113</v>
      </c>
      <c r="M515" s="775">
        <v>46477</v>
      </c>
      <c r="N515" s="684"/>
      <c r="O515" s="684"/>
      <c r="P515" s="363" t="s">
        <v>520</v>
      </c>
      <c r="Q515" s="380"/>
      <c r="R515" s="380"/>
      <c r="S515" s="390" t="s">
        <v>1080</v>
      </c>
      <c r="T515" s="363" t="s">
        <v>1859</v>
      </c>
      <c r="U515" s="363" t="s">
        <v>1108</v>
      </c>
      <c r="V515" s="363"/>
      <c r="W515" s="363" t="s">
        <v>1109</v>
      </c>
      <c r="X515" s="363"/>
      <c r="Y515" s="363"/>
      <c r="Z515" s="363"/>
      <c r="AA515" s="363"/>
      <c r="AB515" s="363"/>
      <c r="AC515" s="363"/>
      <c r="AD515" s="363"/>
      <c r="AE515" s="363" t="s">
        <v>183</v>
      </c>
      <c r="AF515" s="380" t="s">
        <v>97</v>
      </c>
      <c r="AG515" s="380">
        <v>2</v>
      </c>
      <c r="AH515" s="363" t="s">
        <v>1708</v>
      </c>
    </row>
    <row r="516" spans="2:34" ht="15" customHeight="1" x14ac:dyDescent="0.3">
      <c r="B516" s="380" t="s">
        <v>6</v>
      </c>
      <c r="C516" s="409" t="s">
        <v>663</v>
      </c>
      <c r="D516" s="434" t="s">
        <v>950</v>
      </c>
      <c r="E516" s="493">
        <v>4508018808</v>
      </c>
      <c r="F516" s="760">
        <v>46140</v>
      </c>
      <c r="G516" s="380" t="s">
        <v>55</v>
      </c>
      <c r="H516" s="380">
        <v>6</v>
      </c>
      <c r="I516" s="388">
        <v>479999.88</v>
      </c>
      <c r="J516" s="380">
        <v>3</v>
      </c>
      <c r="K516" s="389">
        <f>I516/J516</f>
        <v>159999.96</v>
      </c>
      <c r="L516" s="508">
        <v>46113</v>
      </c>
      <c r="M516" s="508">
        <v>46477</v>
      </c>
      <c r="N516" s="685">
        <v>155307</v>
      </c>
      <c r="O516" s="685">
        <v>4905</v>
      </c>
      <c r="P516" s="363" t="s">
        <v>520</v>
      </c>
      <c r="Q516" s="380"/>
      <c r="R516" s="380"/>
      <c r="S516" s="390" t="s">
        <v>1080</v>
      </c>
      <c r="T516" s="363" t="s">
        <v>2074</v>
      </c>
      <c r="U516" s="363" t="s">
        <v>1108</v>
      </c>
      <c r="V516" s="363"/>
      <c r="W516" s="363" t="s">
        <v>1109</v>
      </c>
      <c r="X516" s="363"/>
      <c r="Y516" s="363"/>
      <c r="Z516" s="363"/>
      <c r="AA516" s="363"/>
      <c r="AB516" s="363"/>
      <c r="AC516" s="363"/>
      <c r="AD516" s="363"/>
      <c r="AE516" s="363" t="s">
        <v>478</v>
      </c>
      <c r="AF516" s="380" t="s">
        <v>63</v>
      </c>
      <c r="AG516" s="380">
        <v>3</v>
      </c>
      <c r="AH516" s="363" t="s">
        <v>1272</v>
      </c>
    </row>
    <row r="517" spans="2:34" ht="15" customHeight="1" x14ac:dyDescent="0.3">
      <c r="B517" s="380" t="s">
        <v>6</v>
      </c>
      <c r="C517" s="409" t="s">
        <v>150</v>
      </c>
      <c r="D517" s="423" t="s">
        <v>350</v>
      </c>
      <c r="E517" s="408">
        <v>4200384269</v>
      </c>
      <c r="F517" s="760">
        <v>46100</v>
      </c>
      <c r="G517" s="380" t="s">
        <v>55</v>
      </c>
      <c r="H517" s="380"/>
      <c r="I517" s="388">
        <v>123300</v>
      </c>
      <c r="J517" s="380">
        <v>3</v>
      </c>
      <c r="K517" s="389">
        <f>I517/J517</f>
        <v>41100</v>
      </c>
      <c r="L517" s="508">
        <v>46113</v>
      </c>
      <c r="M517" s="508">
        <v>46477</v>
      </c>
      <c r="N517" s="685"/>
      <c r="O517" s="685"/>
      <c r="P517" s="363" t="s">
        <v>520</v>
      </c>
      <c r="Q517" s="380"/>
      <c r="R517" s="380"/>
      <c r="S517" s="390" t="s">
        <v>1080</v>
      </c>
      <c r="T517" s="363" t="s">
        <v>1878</v>
      </c>
      <c r="U517" s="363" t="s">
        <v>1108</v>
      </c>
      <c r="V517" s="363"/>
      <c r="W517" s="363" t="s">
        <v>1109</v>
      </c>
      <c r="X517" s="363"/>
      <c r="Y517" s="363"/>
      <c r="Z517" s="363"/>
      <c r="AA517" s="363"/>
      <c r="AB517" s="363"/>
      <c r="AC517" s="363"/>
      <c r="AD517" s="363"/>
      <c r="AE517" s="363" t="s">
        <v>834</v>
      </c>
      <c r="AF517" s="380" t="s">
        <v>207</v>
      </c>
      <c r="AG517" s="380">
        <v>2</v>
      </c>
      <c r="AH517" s="363" t="s">
        <v>1272</v>
      </c>
    </row>
    <row r="518" spans="2:34" ht="15" customHeight="1" x14ac:dyDescent="0.3">
      <c r="B518" s="380" t="s">
        <v>6</v>
      </c>
      <c r="C518" s="409" t="s">
        <v>150</v>
      </c>
      <c r="D518" s="423" t="s">
        <v>350</v>
      </c>
      <c r="E518" s="408">
        <v>4200384269</v>
      </c>
      <c r="F518" s="760">
        <v>46100</v>
      </c>
      <c r="G518" s="380" t="s">
        <v>55</v>
      </c>
      <c r="H518" s="380"/>
      <c r="I518" s="388">
        <v>129600</v>
      </c>
      <c r="J518" s="380">
        <v>3</v>
      </c>
      <c r="K518" s="389">
        <f>I518/J518</f>
        <v>43200</v>
      </c>
      <c r="L518" s="387">
        <v>46478</v>
      </c>
      <c r="M518" s="387">
        <v>46843</v>
      </c>
      <c r="N518" s="680"/>
      <c r="O518" s="680"/>
      <c r="P518" s="363" t="s">
        <v>520</v>
      </c>
      <c r="Q518" s="380"/>
      <c r="R518" s="380"/>
      <c r="S518" s="363" t="s">
        <v>1110</v>
      </c>
      <c r="T518" s="363"/>
      <c r="U518" s="363" t="s">
        <v>1742</v>
      </c>
      <c r="V518" s="363"/>
      <c r="W518" s="363" t="s">
        <v>1112</v>
      </c>
      <c r="X518" s="363"/>
      <c r="Y518" s="363"/>
      <c r="Z518" s="363"/>
      <c r="AA518" s="363"/>
      <c r="AB518" s="363"/>
      <c r="AC518" s="363"/>
      <c r="AD518" s="363"/>
      <c r="AE518" s="363" t="s">
        <v>834</v>
      </c>
      <c r="AF518" s="380" t="s">
        <v>207</v>
      </c>
      <c r="AG518" s="380">
        <v>2</v>
      </c>
      <c r="AH518" s="363" t="s">
        <v>1272</v>
      </c>
    </row>
    <row r="519" spans="2:34" ht="15" customHeight="1" x14ac:dyDescent="0.3">
      <c r="B519" s="380" t="s">
        <v>6</v>
      </c>
      <c r="C519" s="409" t="s">
        <v>150</v>
      </c>
      <c r="D519" s="423" t="s">
        <v>350</v>
      </c>
      <c r="E519" s="408">
        <v>4200384269</v>
      </c>
      <c r="F519" s="760">
        <v>46100</v>
      </c>
      <c r="G519" s="380" t="s">
        <v>55</v>
      </c>
      <c r="H519" s="380">
        <v>1</v>
      </c>
      <c r="I519" s="388">
        <v>136200</v>
      </c>
      <c r="J519" s="380">
        <v>3</v>
      </c>
      <c r="K519" s="389">
        <f>I519/J519</f>
        <v>45400</v>
      </c>
      <c r="L519" s="387">
        <v>46844</v>
      </c>
      <c r="M519" s="387">
        <v>47208</v>
      </c>
      <c r="N519" s="680"/>
      <c r="O519" s="680"/>
      <c r="P519" s="363" t="s">
        <v>520</v>
      </c>
      <c r="Q519" s="380"/>
      <c r="R519" s="380"/>
      <c r="S519" s="363" t="s">
        <v>1743</v>
      </c>
      <c r="T519" s="363"/>
      <c r="U519" s="363" t="s">
        <v>1744</v>
      </c>
      <c r="V519" s="363"/>
      <c r="W519" s="363" t="s">
        <v>1745</v>
      </c>
      <c r="X519" s="363"/>
      <c r="Y519" s="363"/>
      <c r="Z519" s="363"/>
      <c r="AA519" s="363"/>
      <c r="AB519" s="363"/>
      <c r="AC519" s="363"/>
      <c r="AD519" s="363"/>
      <c r="AE519" s="363" t="s">
        <v>834</v>
      </c>
      <c r="AF519" s="380" t="s">
        <v>207</v>
      </c>
      <c r="AG519" s="380">
        <v>2</v>
      </c>
      <c r="AH519" s="363" t="s">
        <v>1272</v>
      </c>
    </row>
    <row r="520" spans="2:34" ht="15" customHeight="1" x14ac:dyDescent="0.3">
      <c r="B520" s="380" t="s">
        <v>6</v>
      </c>
      <c r="C520" s="482" t="s">
        <v>1746</v>
      </c>
      <c r="D520" s="483" t="s">
        <v>388</v>
      </c>
      <c r="E520" s="468">
        <v>5000146860</v>
      </c>
      <c r="F520" s="764">
        <v>46136</v>
      </c>
      <c r="G520" s="380" t="s">
        <v>55</v>
      </c>
      <c r="H520" s="380">
        <v>1</v>
      </c>
      <c r="I520" s="388">
        <v>89300</v>
      </c>
      <c r="J520" s="380">
        <v>2</v>
      </c>
      <c r="K520" s="389">
        <f>I520/J520</f>
        <v>44650</v>
      </c>
      <c r="L520" s="775">
        <v>46113</v>
      </c>
      <c r="M520" s="775">
        <v>46477</v>
      </c>
      <c r="N520" s="684"/>
      <c r="O520" s="684"/>
      <c r="P520" s="363" t="s">
        <v>520</v>
      </c>
      <c r="Q520" s="380"/>
      <c r="R520" s="380" t="s">
        <v>1</v>
      </c>
      <c r="S520" s="363" t="s">
        <v>467</v>
      </c>
      <c r="T520" s="363"/>
      <c r="U520" s="363" t="s">
        <v>1633</v>
      </c>
      <c r="V520" s="363"/>
      <c r="W520" s="363"/>
      <c r="X520" s="363"/>
      <c r="Y520" s="363"/>
      <c r="Z520" s="363"/>
      <c r="AA520" s="363"/>
      <c r="AB520" s="363"/>
      <c r="AC520" s="363"/>
      <c r="AD520" s="363"/>
      <c r="AE520" s="363" t="s">
        <v>619</v>
      </c>
      <c r="AF520" s="380" t="s">
        <v>63</v>
      </c>
      <c r="AG520" s="380">
        <v>3</v>
      </c>
      <c r="AH520" s="363" t="s">
        <v>667</v>
      </c>
    </row>
    <row r="521" spans="2:34" ht="15" customHeight="1" x14ac:dyDescent="0.3">
      <c r="B521" s="380" t="s">
        <v>6</v>
      </c>
      <c r="C521" s="482" t="s">
        <v>845</v>
      </c>
      <c r="D521" s="483" t="s">
        <v>846</v>
      </c>
      <c r="E521" s="468">
        <v>901984108</v>
      </c>
      <c r="F521" s="764">
        <v>46136</v>
      </c>
      <c r="G521" s="380" t="s">
        <v>55</v>
      </c>
      <c r="H521" s="380">
        <v>1</v>
      </c>
      <c r="I521" s="388">
        <v>98000</v>
      </c>
      <c r="J521" s="380">
        <v>3</v>
      </c>
      <c r="K521" s="389">
        <f>I521/2</f>
        <v>49000</v>
      </c>
      <c r="L521" s="775">
        <v>46023</v>
      </c>
      <c r="M521" s="775">
        <v>46387</v>
      </c>
      <c r="N521" s="684"/>
      <c r="O521" s="684"/>
      <c r="P521" s="363" t="s">
        <v>520</v>
      </c>
      <c r="Q521" s="380"/>
      <c r="R521" s="380" t="s">
        <v>1</v>
      </c>
      <c r="S521" s="390" t="s">
        <v>347</v>
      </c>
      <c r="T521" s="363" t="s">
        <v>1747</v>
      </c>
      <c r="U521" s="390" t="s">
        <v>348</v>
      </c>
      <c r="V521" s="363" t="s">
        <v>1966</v>
      </c>
      <c r="W521" s="363" t="s">
        <v>349</v>
      </c>
      <c r="X521" s="363" t="s">
        <v>2075</v>
      </c>
      <c r="Y521" s="363"/>
      <c r="Z521" s="363"/>
      <c r="AA521" s="363"/>
      <c r="AB521" s="363"/>
      <c r="AC521" s="363"/>
      <c r="AD521" s="363"/>
      <c r="AE521" s="363" t="s">
        <v>551</v>
      </c>
      <c r="AF521" s="380" t="s">
        <v>207</v>
      </c>
      <c r="AG521" s="380">
        <v>3</v>
      </c>
      <c r="AH521" s="363" t="s">
        <v>1967</v>
      </c>
    </row>
    <row r="522" spans="2:34" ht="15" customHeight="1" x14ac:dyDescent="0.3">
      <c r="B522" s="380" t="s">
        <v>6</v>
      </c>
      <c r="C522" s="430" t="s">
        <v>1151</v>
      </c>
      <c r="D522" s="445" t="s">
        <v>151</v>
      </c>
      <c r="E522" s="509">
        <v>4514137209</v>
      </c>
      <c r="F522" s="760">
        <v>46147</v>
      </c>
      <c r="G522" s="380" t="s">
        <v>55</v>
      </c>
      <c r="H522" s="380">
        <v>1</v>
      </c>
      <c r="I522" s="388">
        <v>285000</v>
      </c>
      <c r="J522" s="380">
        <v>3</v>
      </c>
      <c r="K522" s="389">
        <f t="shared" ref="K522:K534" si="24">I522/J522</f>
        <v>95000</v>
      </c>
      <c r="L522" s="775">
        <v>46143</v>
      </c>
      <c r="M522" s="775">
        <v>46507</v>
      </c>
      <c r="N522" s="684">
        <v>155308</v>
      </c>
      <c r="O522" s="684"/>
      <c r="P522" s="363" t="s">
        <v>520</v>
      </c>
      <c r="Q522" s="380"/>
      <c r="R522" s="380"/>
      <c r="S522" s="363" t="s">
        <v>348</v>
      </c>
      <c r="T522" s="363"/>
      <c r="U522" s="363" t="s">
        <v>349</v>
      </c>
      <c r="V522" s="363"/>
      <c r="W522" s="363" t="s">
        <v>738</v>
      </c>
      <c r="X522" s="363"/>
      <c r="Y522" s="363"/>
      <c r="Z522" s="363"/>
      <c r="AA522" s="363"/>
      <c r="AB522" s="363"/>
      <c r="AC522" s="363"/>
      <c r="AD522" s="363"/>
      <c r="AE522" s="363" t="s">
        <v>478</v>
      </c>
      <c r="AF522" s="380" t="s">
        <v>63</v>
      </c>
      <c r="AG522" s="380">
        <v>3</v>
      </c>
      <c r="AH522" s="363" t="s">
        <v>667</v>
      </c>
    </row>
    <row r="523" spans="2:34" ht="15" customHeight="1" x14ac:dyDescent="0.3">
      <c r="B523" s="380" t="s">
        <v>6</v>
      </c>
      <c r="C523" s="363" t="s">
        <v>1749</v>
      </c>
      <c r="D523" s="483" t="s">
        <v>841</v>
      </c>
      <c r="E523" s="468" t="s">
        <v>1750</v>
      </c>
      <c r="F523" s="760">
        <v>46144</v>
      </c>
      <c r="G523" s="380" t="s">
        <v>55</v>
      </c>
      <c r="H523" s="380">
        <v>2</v>
      </c>
      <c r="I523" s="388">
        <v>110000</v>
      </c>
      <c r="J523" s="380">
        <v>1</v>
      </c>
      <c r="K523" s="389">
        <f t="shared" si="24"/>
        <v>110000</v>
      </c>
      <c r="L523" s="775">
        <v>46113</v>
      </c>
      <c r="M523" s="775">
        <v>46477</v>
      </c>
      <c r="N523" s="684"/>
      <c r="O523" s="684"/>
      <c r="P523" s="363" t="s">
        <v>520</v>
      </c>
      <c r="Q523" s="380"/>
      <c r="R523" s="380"/>
      <c r="S523" s="363" t="s">
        <v>646</v>
      </c>
      <c r="T523" s="363"/>
      <c r="U523" s="363"/>
      <c r="V523" s="363"/>
      <c r="W523" s="363"/>
      <c r="X523" s="363"/>
      <c r="Y523" s="363"/>
      <c r="Z523" s="363"/>
      <c r="AA523" s="363"/>
      <c r="AB523" s="363"/>
      <c r="AC523" s="363"/>
      <c r="AD523" s="363"/>
      <c r="AE523" s="363" t="s">
        <v>485</v>
      </c>
      <c r="AF523" s="380" t="s">
        <v>63</v>
      </c>
      <c r="AG523" s="380">
        <v>2</v>
      </c>
      <c r="AH523" s="363" t="s">
        <v>1751</v>
      </c>
    </row>
    <row r="524" spans="2:34" ht="15" customHeight="1" x14ac:dyDescent="0.3">
      <c r="B524" s="380" t="s">
        <v>6</v>
      </c>
      <c r="C524" s="482" t="s">
        <v>679</v>
      </c>
      <c r="D524" s="483" t="s">
        <v>680</v>
      </c>
      <c r="E524" s="491">
        <v>7000296927</v>
      </c>
      <c r="F524" s="760">
        <v>46140</v>
      </c>
      <c r="G524" s="380" t="s">
        <v>55</v>
      </c>
      <c r="H524" s="380">
        <v>2</v>
      </c>
      <c r="I524" s="388">
        <v>180000</v>
      </c>
      <c r="J524" s="380">
        <v>2</v>
      </c>
      <c r="K524" s="389">
        <f t="shared" si="24"/>
        <v>90000</v>
      </c>
      <c r="L524" s="775">
        <v>46113</v>
      </c>
      <c r="M524" s="775">
        <v>46477</v>
      </c>
      <c r="N524" s="684"/>
      <c r="O524" s="684"/>
      <c r="P524" s="363" t="s">
        <v>520</v>
      </c>
      <c r="Q524" s="380"/>
      <c r="R524" s="380"/>
      <c r="S524" s="363" t="s">
        <v>467</v>
      </c>
      <c r="T524" s="363"/>
      <c r="U524" s="363" t="s">
        <v>1633</v>
      </c>
      <c r="V524" s="363"/>
      <c r="W524" s="363"/>
      <c r="X524" s="363"/>
      <c r="Y524" s="363"/>
      <c r="Z524" s="363"/>
      <c r="AA524" s="363"/>
      <c r="AB524" s="363"/>
      <c r="AC524" s="363"/>
      <c r="AD524" s="363"/>
      <c r="AE524" s="363" t="s">
        <v>485</v>
      </c>
      <c r="AF524" s="380" t="s">
        <v>63</v>
      </c>
      <c r="AG524" s="380">
        <v>2</v>
      </c>
      <c r="AH524" s="363" t="s">
        <v>1752</v>
      </c>
    </row>
    <row r="525" spans="2:34" ht="15" customHeight="1" x14ac:dyDescent="0.3">
      <c r="B525" s="380" t="s">
        <v>6</v>
      </c>
      <c r="C525" s="482" t="s">
        <v>830</v>
      </c>
      <c r="D525" s="483" t="s">
        <v>831</v>
      </c>
      <c r="E525" s="468">
        <v>3500126806</v>
      </c>
      <c r="F525" s="760">
        <v>46141</v>
      </c>
      <c r="G525" s="380" t="s">
        <v>55</v>
      </c>
      <c r="H525" s="380">
        <v>1</v>
      </c>
      <c r="I525" s="388">
        <v>120000</v>
      </c>
      <c r="J525" s="380">
        <v>3</v>
      </c>
      <c r="K525" s="389">
        <f t="shared" si="24"/>
        <v>40000</v>
      </c>
      <c r="L525" s="775">
        <v>46143</v>
      </c>
      <c r="M525" s="775">
        <v>46507</v>
      </c>
      <c r="N525" s="684"/>
      <c r="O525" s="684"/>
      <c r="P525" s="363" t="s">
        <v>520</v>
      </c>
      <c r="Q525" s="380"/>
      <c r="R525" s="380"/>
      <c r="S525" s="390" t="s">
        <v>348</v>
      </c>
      <c r="T525" s="363" t="s">
        <v>1733</v>
      </c>
      <c r="U525" s="363" t="s">
        <v>349</v>
      </c>
      <c r="V525" s="363"/>
      <c r="W525" s="363" t="s">
        <v>738</v>
      </c>
      <c r="X525" s="363"/>
      <c r="Y525" s="363"/>
      <c r="Z525" s="363"/>
      <c r="AA525" s="363"/>
      <c r="AB525" s="363"/>
      <c r="AC525" s="363"/>
      <c r="AD525" s="363"/>
      <c r="AE525" s="363" t="s">
        <v>834</v>
      </c>
      <c r="AF525" s="380" t="s">
        <v>207</v>
      </c>
      <c r="AG525" s="380">
        <v>3</v>
      </c>
      <c r="AH525" s="363" t="s">
        <v>1753</v>
      </c>
    </row>
    <row r="526" spans="2:34" ht="15" customHeight="1" x14ac:dyDescent="0.3">
      <c r="B526" s="380" t="s">
        <v>6</v>
      </c>
      <c r="C526" s="409" t="s">
        <v>1206</v>
      </c>
      <c r="D526" s="489" t="s">
        <v>323</v>
      </c>
      <c r="E526" s="408">
        <v>401249055</v>
      </c>
      <c r="F526" s="760">
        <v>46101</v>
      </c>
      <c r="G526" s="380" t="s">
        <v>55</v>
      </c>
      <c r="H526" s="380"/>
      <c r="I526" s="388">
        <v>196002</v>
      </c>
      <c r="J526" s="380">
        <v>2</v>
      </c>
      <c r="K526" s="389">
        <f t="shared" si="24"/>
        <v>98001</v>
      </c>
      <c r="L526" s="508">
        <v>46143</v>
      </c>
      <c r="M526" s="508">
        <v>46507</v>
      </c>
      <c r="N526" s="685"/>
      <c r="O526" s="685"/>
      <c r="P526" s="363" t="s">
        <v>520</v>
      </c>
      <c r="Q526" s="380"/>
      <c r="R526" s="380" t="s">
        <v>437</v>
      </c>
      <c r="S526" s="363" t="s">
        <v>1339</v>
      </c>
      <c r="T526" s="363"/>
      <c r="U526" s="363" t="s">
        <v>1644</v>
      </c>
      <c r="V526" s="363"/>
      <c r="W526" s="363"/>
      <c r="X526" s="363"/>
      <c r="Y526" s="363"/>
      <c r="Z526" s="363"/>
      <c r="AA526" s="363"/>
      <c r="AB526" s="363"/>
      <c r="AC526" s="363"/>
      <c r="AD526" s="363"/>
      <c r="AE526" s="363" t="s">
        <v>96</v>
      </c>
      <c r="AF526" s="380" t="s">
        <v>97</v>
      </c>
      <c r="AG526" s="380">
        <v>4</v>
      </c>
      <c r="AH526" s="363" t="s">
        <v>1754</v>
      </c>
    </row>
    <row r="527" spans="2:34" ht="15" customHeight="1" x14ac:dyDescent="0.3">
      <c r="B527" s="380" t="s">
        <v>6</v>
      </c>
      <c r="C527" s="409" t="s">
        <v>1206</v>
      </c>
      <c r="D527" s="489" t="s">
        <v>323</v>
      </c>
      <c r="E527" s="408">
        <v>401249055</v>
      </c>
      <c r="F527" s="760">
        <v>46101</v>
      </c>
      <c r="G527" s="380" t="s">
        <v>55</v>
      </c>
      <c r="H527" s="380">
        <v>2</v>
      </c>
      <c r="I527" s="388">
        <v>196002</v>
      </c>
      <c r="J527" s="380">
        <v>2</v>
      </c>
      <c r="K527" s="389">
        <f t="shared" si="24"/>
        <v>98001</v>
      </c>
      <c r="L527" s="508">
        <v>46508</v>
      </c>
      <c r="M527" s="508">
        <v>46873</v>
      </c>
      <c r="N527" s="685"/>
      <c r="O527" s="685"/>
      <c r="P527" s="363" t="s">
        <v>520</v>
      </c>
      <c r="Q527" s="380"/>
      <c r="R527" s="380" t="s">
        <v>437</v>
      </c>
      <c r="S527" s="363" t="s">
        <v>1755</v>
      </c>
      <c r="T527" s="363"/>
      <c r="U527" s="363" t="s">
        <v>1756</v>
      </c>
      <c r="V527" s="363"/>
      <c r="W527" s="363"/>
      <c r="X527" s="363"/>
      <c r="Y527" s="363"/>
      <c r="Z527" s="363"/>
      <c r="AA527" s="363"/>
      <c r="AB527" s="363"/>
      <c r="AC527" s="363"/>
      <c r="AD527" s="363"/>
      <c r="AE527" s="363" t="s">
        <v>96</v>
      </c>
      <c r="AF527" s="380" t="s">
        <v>97</v>
      </c>
      <c r="AG527" s="380">
        <v>4</v>
      </c>
      <c r="AH527" s="363" t="s">
        <v>1754</v>
      </c>
    </row>
    <row r="528" spans="2:34" ht="15" customHeight="1" x14ac:dyDescent="0.3">
      <c r="B528" s="380" t="s">
        <v>6</v>
      </c>
      <c r="C528" s="409" t="s">
        <v>195</v>
      </c>
      <c r="D528" s="423" t="s">
        <v>858</v>
      </c>
      <c r="E528" s="408" t="s">
        <v>1757</v>
      </c>
      <c r="F528" s="760">
        <v>46104</v>
      </c>
      <c r="G528" s="380" t="s">
        <v>55</v>
      </c>
      <c r="H528" s="380"/>
      <c r="I528" s="388">
        <v>281300</v>
      </c>
      <c r="J528" s="380">
        <v>4</v>
      </c>
      <c r="K528" s="389">
        <f t="shared" si="24"/>
        <v>70325</v>
      </c>
      <c r="L528" s="508">
        <v>46104</v>
      </c>
      <c r="M528" s="508">
        <v>46468</v>
      </c>
      <c r="N528" s="685">
        <v>155222</v>
      </c>
      <c r="O528" s="685">
        <v>4837</v>
      </c>
      <c r="P528" s="363" t="s">
        <v>520</v>
      </c>
      <c r="Q528" s="380"/>
      <c r="R528" s="380"/>
      <c r="S528" s="390" t="s">
        <v>1758</v>
      </c>
      <c r="T528" s="363" t="s">
        <v>1737</v>
      </c>
      <c r="U528" s="390" t="s">
        <v>1759</v>
      </c>
      <c r="V528" s="363" t="s">
        <v>2046</v>
      </c>
      <c r="W528" s="363" t="s">
        <v>1760</v>
      </c>
      <c r="X528" s="363"/>
      <c r="Y528" s="363" t="s">
        <v>1761</v>
      </c>
      <c r="Z528" s="363"/>
      <c r="AA528" s="363"/>
      <c r="AB528" s="363"/>
      <c r="AC528" s="363"/>
      <c r="AD528" s="363"/>
      <c r="AE528" s="363" t="s">
        <v>551</v>
      </c>
      <c r="AF528" s="380" t="s">
        <v>207</v>
      </c>
      <c r="AG528" s="380">
        <v>3</v>
      </c>
      <c r="AH528" s="363" t="s">
        <v>1762</v>
      </c>
    </row>
    <row r="529" spans="2:34" ht="15" customHeight="1" x14ac:dyDescent="0.3">
      <c r="B529" s="380" t="s">
        <v>6</v>
      </c>
      <c r="C529" s="409" t="s">
        <v>195</v>
      </c>
      <c r="D529" s="423" t="s">
        <v>858</v>
      </c>
      <c r="E529" s="408" t="s">
        <v>1757</v>
      </c>
      <c r="F529" s="760">
        <v>46104</v>
      </c>
      <c r="G529" s="380" t="s">
        <v>55</v>
      </c>
      <c r="H529" s="380"/>
      <c r="I529" s="388">
        <v>281300</v>
      </c>
      <c r="J529" s="380">
        <v>4</v>
      </c>
      <c r="K529" s="389">
        <f t="shared" si="24"/>
        <v>70325</v>
      </c>
      <c r="L529" s="508">
        <v>46469</v>
      </c>
      <c r="M529" s="508">
        <v>46834</v>
      </c>
      <c r="N529" s="685"/>
      <c r="O529" s="685"/>
      <c r="P529" s="363" t="s">
        <v>520</v>
      </c>
      <c r="Q529" s="380"/>
      <c r="R529" s="380"/>
      <c r="S529" s="363" t="s">
        <v>1763</v>
      </c>
      <c r="T529" s="363"/>
      <c r="U529" s="363" t="s">
        <v>1764</v>
      </c>
      <c r="V529" s="363"/>
      <c r="W529" s="363" t="s">
        <v>1765</v>
      </c>
      <c r="X529" s="363"/>
      <c r="Y529" s="363" t="s">
        <v>1766</v>
      </c>
      <c r="Z529" s="363"/>
      <c r="AA529" s="363"/>
      <c r="AB529" s="363"/>
      <c r="AC529" s="363"/>
      <c r="AD529" s="363"/>
      <c r="AE529" s="363" t="s">
        <v>551</v>
      </c>
      <c r="AF529" s="380" t="s">
        <v>207</v>
      </c>
      <c r="AG529" s="380">
        <v>3</v>
      </c>
      <c r="AH529" s="363" t="s">
        <v>1762</v>
      </c>
    </row>
    <row r="530" spans="2:34" ht="15" customHeight="1" x14ac:dyDescent="0.3">
      <c r="B530" s="380" t="s">
        <v>6</v>
      </c>
      <c r="C530" s="409" t="s">
        <v>195</v>
      </c>
      <c r="D530" s="423" t="s">
        <v>858</v>
      </c>
      <c r="E530" s="408" t="s">
        <v>1757</v>
      </c>
      <c r="F530" s="760">
        <v>46104</v>
      </c>
      <c r="G530" s="380" t="s">
        <v>55</v>
      </c>
      <c r="H530" s="380">
        <v>5</v>
      </c>
      <c r="I530" s="388">
        <v>281300</v>
      </c>
      <c r="J530" s="380">
        <v>4</v>
      </c>
      <c r="K530" s="389">
        <f t="shared" si="24"/>
        <v>70325</v>
      </c>
      <c r="L530" s="508">
        <v>46835</v>
      </c>
      <c r="M530" s="508">
        <v>47199</v>
      </c>
      <c r="N530" s="685"/>
      <c r="O530" s="685"/>
      <c r="P530" s="363" t="s">
        <v>520</v>
      </c>
      <c r="Q530" s="380"/>
      <c r="R530" s="380"/>
      <c r="S530" s="363" t="s">
        <v>1767</v>
      </c>
      <c r="T530" s="363"/>
      <c r="U530" s="363" t="s">
        <v>1768</v>
      </c>
      <c r="V530" s="363"/>
      <c r="W530" s="363" t="s">
        <v>1769</v>
      </c>
      <c r="X530" s="363"/>
      <c r="Y530" s="363" t="s">
        <v>1770</v>
      </c>
      <c r="Z530" s="363"/>
      <c r="AA530" s="363"/>
      <c r="AB530" s="363"/>
      <c r="AC530" s="363"/>
      <c r="AD530" s="363"/>
      <c r="AE530" s="363" t="s">
        <v>551</v>
      </c>
      <c r="AF530" s="380" t="s">
        <v>207</v>
      </c>
      <c r="AG530" s="380">
        <v>3</v>
      </c>
      <c r="AH530" s="363" t="s">
        <v>1762</v>
      </c>
    </row>
    <row r="531" spans="2:34" ht="15" customHeight="1" x14ac:dyDescent="0.3">
      <c r="B531" s="380" t="s">
        <v>6</v>
      </c>
      <c r="C531" s="409" t="s">
        <v>948</v>
      </c>
      <c r="D531" s="423" t="s">
        <v>949</v>
      </c>
      <c r="E531" s="380">
        <v>9000019753</v>
      </c>
      <c r="F531" s="760">
        <v>46149</v>
      </c>
      <c r="G531" s="380" t="s">
        <v>55</v>
      </c>
      <c r="H531" s="380">
        <v>4</v>
      </c>
      <c r="I531" s="388">
        <v>310400</v>
      </c>
      <c r="J531" s="380">
        <v>4</v>
      </c>
      <c r="K531" s="389">
        <f t="shared" si="24"/>
        <v>77600</v>
      </c>
      <c r="L531" s="508">
        <v>46143</v>
      </c>
      <c r="M531" s="508">
        <v>46507</v>
      </c>
      <c r="N531" s="685"/>
      <c r="O531" s="685"/>
      <c r="P531" s="363" t="s">
        <v>520</v>
      </c>
      <c r="Q531" s="380"/>
      <c r="R531" s="380"/>
      <c r="S531" s="390" t="s">
        <v>444</v>
      </c>
      <c r="T531" s="363" t="s">
        <v>1856</v>
      </c>
      <c r="U531" s="363" t="s">
        <v>1443</v>
      </c>
      <c r="V531" s="363"/>
      <c r="W531" s="363" t="s">
        <v>456</v>
      </c>
      <c r="X531" s="363"/>
      <c r="Y531" s="363" t="s">
        <v>457</v>
      </c>
      <c r="Z531" s="363"/>
      <c r="AA531" s="363"/>
      <c r="AB531" s="363"/>
      <c r="AC531" s="363"/>
      <c r="AD531" s="363"/>
      <c r="AE531" s="363" t="s">
        <v>551</v>
      </c>
      <c r="AF531" s="380" t="s">
        <v>207</v>
      </c>
      <c r="AG531" s="380">
        <v>4</v>
      </c>
      <c r="AH531" s="363" t="s">
        <v>1762</v>
      </c>
    </row>
    <row r="532" spans="2:34" ht="15" customHeight="1" x14ac:dyDescent="0.3">
      <c r="B532" s="380" t="s">
        <v>6</v>
      </c>
      <c r="C532" s="482" t="s">
        <v>663</v>
      </c>
      <c r="D532" s="483" t="s">
        <v>1114</v>
      </c>
      <c r="E532" s="468">
        <v>4508000076</v>
      </c>
      <c r="F532" s="760">
        <v>46127</v>
      </c>
      <c r="G532" s="380" t="s">
        <v>55</v>
      </c>
      <c r="H532" s="380">
        <v>4</v>
      </c>
      <c r="I532" s="388">
        <v>320000</v>
      </c>
      <c r="J532" s="380">
        <v>3</v>
      </c>
      <c r="K532" s="389">
        <f t="shared" si="24"/>
        <v>106666.66666666667</v>
      </c>
      <c r="L532" s="775">
        <v>46113</v>
      </c>
      <c r="M532" s="775">
        <v>46477</v>
      </c>
      <c r="N532" s="684"/>
      <c r="O532" s="684"/>
      <c r="P532" s="363" t="s">
        <v>520</v>
      </c>
      <c r="Q532" s="380"/>
      <c r="R532" s="380"/>
      <c r="S532" s="390" t="s">
        <v>1080</v>
      </c>
      <c r="T532" s="363" t="s">
        <v>1722</v>
      </c>
      <c r="U532" s="363" t="s">
        <v>1108</v>
      </c>
      <c r="V532" s="363"/>
      <c r="W532" s="363" t="s">
        <v>1109</v>
      </c>
      <c r="X532" s="363"/>
      <c r="Y532" s="363"/>
      <c r="Z532" s="363"/>
      <c r="AA532" s="363"/>
      <c r="AB532" s="363"/>
      <c r="AC532" s="363"/>
      <c r="AD532" s="363"/>
      <c r="AE532" s="363" t="s">
        <v>183</v>
      </c>
      <c r="AF532" s="380" t="s">
        <v>97</v>
      </c>
      <c r="AG532" s="380">
        <v>3</v>
      </c>
      <c r="AH532" s="363" t="s">
        <v>1771</v>
      </c>
    </row>
    <row r="533" spans="2:34" ht="15" customHeight="1" x14ac:dyDescent="0.3">
      <c r="B533" s="380" t="s">
        <v>6</v>
      </c>
      <c r="C533" s="409" t="s">
        <v>595</v>
      </c>
      <c r="D533" s="418" t="s">
        <v>1000</v>
      </c>
      <c r="E533" s="548">
        <v>3110016879</v>
      </c>
      <c r="F533" s="760">
        <v>46074</v>
      </c>
      <c r="G533" s="380" t="s">
        <v>55</v>
      </c>
      <c r="H533" s="380">
        <v>11</v>
      </c>
      <c r="I533" s="388">
        <v>660000</v>
      </c>
      <c r="J533" s="380">
        <v>3</v>
      </c>
      <c r="K533" s="389">
        <f t="shared" si="24"/>
        <v>220000</v>
      </c>
      <c r="L533" s="508">
        <v>46143</v>
      </c>
      <c r="M533" s="508">
        <v>46507</v>
      </c>
      <c r="N533" s="685"/>
      <c r="O533" s="685"/>
      <c r="P533" s="363" t="s">
        <v>520</v>
      </c>
      <c r="Q533" s="380"/>
      <c r="R533" s="380"/>
      <c r="S533" s="363" t="s">
        <v>348</v>
      </c>
      <c r="T533" s="363"/>
      <c r="U533" s="363" t="s">
        <v>349</v>
      </c>
      <c r="V533" s="363"/>
      <c r="W533" s="363" t="s">
        <v>738</v>
      </c>
      <c r="X533" s="363"/>
      <c r="Y533" s="363"/>
      <c r="Z533" s="363"/>
      <c r="AA533" s="363"/>
      <c r="AB533" s="363"/>
      <c r="AC533" s="363"/>
      <c r="AD533" s="363"/>
      <c r="AE533" s="363" t="s">
        <v>507</v>
      </c>
      <c r="AF533" s="380" t="s">
        <v>63</v>
      </c>
      <c r="AG533" s="380">
        <v>3</v>
      </c>
      <c r="AH533" s="363" t="s">
        <v>1772</v>
      </c>
    </row>
    <row r="534" spans="2:34" ht="15" customHeight="1" x14ac:dyDescent="0.3">
      <c r="B534" s="380" t="s">
        <v>6</v>
      </c>
      <c r="C534" s="409" t="s">
        <v>595</v>
      </c>
      <c r="D534" s="418" t="s">
        <v>1000</v>
      </c>
      <c r="E534" s="462">
        <v>3110016964</v>
      </c>
      <c r="F534" s="760">
        <v>46084</v>
      </c>
      <c r="G534" s="380" t="s">
        <v>55</v>
      </c>
      <c r="H534" s="380">
        <v>1</v>
      </c>
      <c r="I534" s="388">
        <v>75999.990000000005</v>
      </c>
      <c r="J534" s="380">
        <v>3</v>
      </c>
      <c r="K534" s="389">
        <f t="shared" si="24"/>
        <v>25333.33</v>
      </c>
      <c r="L534" s="508">
        <v>46143</v>
      </c>
      <c r="M534" s="508">
        <v>46507</v>
      </c>
      <c r="N534" s="685"/>
      <c r="O534" s="685"/>
      <c r="P534" s="363" t="s">
        <v>520</v>
      </c>
      <c r="Q534" s="380"/>
      <c r="R534" s="380"/>
      <c r="S534" s="363" t="s">
        <v>348</v>
      </c>
      <c r="T534" s="363"/>
      <c r="U534" s="363" t="s">
        <v>349</v>
      </c>
      <c r="V534" s="363"/>
      <c r="W534" s="363" t="s">
        <v>738</v>
      </c>
      <c r="X534" s="363"/>
      <c r="Y534" s="363"/>
      <c r="Z534" s="363"/>
      <c r="AA534" s="363"/>
      <c r="AB534" s="363"/>
      <c r="AC534" s="363"/>
      <c r="AD534" s="363"/>
      <c r="AE534" s="363" t="s">
        <v>507</v>
      </c>
      <c r="AF534" s="380" t="s">
        <v>63</v>
      </c>
      <c r="AG534" s="380">
        <v>3</v>
      </c>
      <c r="AH534" s="363" t="s">
        <v>1772</v>
      </c>
    </row>
    <row r="535" spans="2:34" ht="15" customHeight="1" x14ac:dyDescent="0.3">
      <c r="B535" s="380" t="s">
        <v>6</v>
      </c>
      <c r="C535" s="409" t="s">
        <v>614</v>
      </c>
      <c r="D535" s="418" t="s">
        <v>1016</v>
      </c>
      <c r="E535" s="694" t="s">
        <v>1773</v>
      </c>
      <c r="F535" s="760">
        <v>46150</v>
      </c>
      <c r="G535" s="380" t="s">
        <v>55</v>
      </c>
      <c r="H535" s="380">
        <v>12</v>
      </c>
      <c r="I535" s="388">
        <v>917280</v>
      </c>
      <c r="J535" s="380">
        <v>3</v>
      </c>
      <c r="K535" s="380"/>
      <c r="L535" s="508">
        <v>46174</v>
      </c>
      <c r="M535" s="508">
        <v>46538</v>
      </c>
      <c r="N535" s="685">
        <v>155336</v>
      </c>
      <c r="O535" s="685">
        <v>4189</v>
      </c>
      <c r="P535" s="363" t="s">
        <v>520</v>
      </c>
      <c r="Q535" s="380"/>
      <c r="R535" s="380"/>
      <c r="S535" s="363" t="s">
        <v>406</v>
      </c>
      <c r="T535" s="363"/>
      <c r="U535" s="363" t="s">
        <v>407</v>
      </c>
      <c r="V535" s="363"/>
      <c r="W535" s="363" t="s">
        <v>408</v>
      </c>
      <c r="X535" s="363"/>
      <c r="Y535" s="363"/>
      <c r="Z535" s="363"/>
      <c r="AA535" s="363"/>
      <c r="AB535" s="363"/>
      <c r="AC535" s="363"/>
      <c r="AD535" s="363"/>
      <c r="AE535" s="363" t="s">
        <v>619</v>
      </c>
      <c r="AF535" s="380" t="s">
        <v>63</v>
      </c>
      <c r="AG535" s="380">
        <v>3</v>
      </c>
      <c r="AH535" s="363" t="s">
        <v>1127</v>
      </c>
    </row>
    <row r="536" spans="2:34" ht="15" customHeight="1" x14ac:dyDescent="0.3">
      <c r="B536" s="380" t="s">
        <v>6</v>
      </c>
      <c r="C536" s="429" t="s">
        <v>609</v>
      </c>
      <c r="D536" s="418" t="s">
        <v>1016</v>
      </c>
      <c r="E536" s="419">
        <v>2100062247</v>
      </c>
      <c r="F536" s="760">
        <v>46153</v>
      </c>
      <c r="G536" s="380" t="s">
        <v>55</v>
      </c>
      <c r="H536" s="380">
        <v>1</v>
      </c>
      <c r="I536" s="388">
        <v>66300</v>
      </c>
      <c r="J536" s="380">
        <v>3</v>
      </c>
      <c r="K536" s="389">
        <f t="shared" ref="K536:K547" si="25">I536/J536</f>
        <v>22100</v>
      </c>
      <c r="L536" s="508">
        <v>46153</v>
      </c>
      <c r="M536" s="508">
        <v>46477</v>
      </c>
      <c r="N536" s="685">
        <v>155414</v>
      </c>
      <c r="O536" s="685">
        <v>4656</v>
      </c>
      <c r="P536" s="363" t="s">
        <v>520</v>
      </c>
      <c r="Q536" s="380"/>
      <c r="R536" s="380"/>
      <c r="S536" s="390" t="s">
        <v>1774</v>
      </c>
      <c r="T536" s="363" t="s">
        <v>2014</v>
      </c>
      <c r="U536" s="363" t="s">
        <v>1775</v>
      </c>
      <c r="V536" s="363"/>
      <c r="W536" s="363" t="s">
        <v>1776</v>
      </c>
      <c r="X536" s="363"/>
      <c r="Y536" s="363"/>
      <c r="Z536" s="363"/>
      <c r="AA536" s="363"/>
      <c r="AB536" s="363"/>
      <c r="AC536" s="363"/>
      <c r="AD536" s="363"/>
      <c r="AE536" s="363" t="s">
        <v>619</v>
      </c>
      <c r="AF536" s="380" t="s">
        <v>63</v>
      </c>
      <c r="AG536" s="380">
        <v>3</v>
      </c>
      <c r="AH536" s="363" t="s">
        <v>667</v>
      </c>
    </row>
    <row r="537" spans="2:34" ht="15" customHeight="1" x14ac:dyDescent="0.3">
      <c r="B537" s="380" t="s">
        <v>6</v>
      </c>
      <c r="C537" s="482" t="s">
        <v>800</v>
      </c>
      <c r="D537" s="483" t="s">
        <v>812</v>
      </c>
      <c r="E537" s="468">
        <v>2102601022</v>
      </c>
      <c r="F537" s="760">
        <v>46146</v>
      </c>
      <c r="G537" s="380" t="s">
        <v>55</v>
      </c>
      <c r="H537" s="380">
        <v>4</v>
      </c>
      <c r="I537" s="388">
        <v>270400</v>
      </c>
      <c r="J537" s="380">
        <v>2</v>
      </c>
      <c r="K537" s="389">
        <f t="shared" si="25"/>
        <v>135200</v>
      </c>
      <c r="L537" s="775">
        <v>46113</v>
      </c>
      <c r="M537" s="775">
        <v>46477</v>
      </c>
      <c r="N537" s="684"/>
      <c r="O537" s="684"/>
      <c r="P537" s="363" t="s">
        <v>520</v>
      </c>
      <c r="Q537" s="380"/>
      <c r="R537" s="380"/>
      <c r="S537" s="363" t="s">
        <v>467</v>
      </c>
      <c r="T537" s="363"/>
      <c r="U537" s="363" t="s">
        <v>1633</v>
      </c>
      <c r="V537" s="363"/>
      <c r="W537" s="363"/>
      <c r="X537" s="363"/>
      <c r="Y537" s="363"/>
      <c r="Z537" s="363"/>
      <c r="AA537" s="363"/>
      <c r="AB537" s="363"/>
      <c r="AC537" s="363"/>
      <c r="AD537" s="363"/>
      <c r="AE537" s="363" t="s">
        <v>485</v>
      </c>
      <c r="AF537" s="380" t="s">
        <v>63</v>
      </c>
      <c r="AG537" s="380">
        <v>2</v>
      </c>
      <c r="AH537" s="363" t="s">
        <v>667</v>
      </c>
    </row>
    <row r="538" spans="2:34" ht="15" customHeight="1" x14ac:dyDescent="0.3">
      <c r="B538" s="380" t="s">
        <v>6</v>
      </c>
      <c r="C538" s="409" t="s">
        <v>857</v>
      </c>
      <c r="D538" s="423" t="s">
        <v>858</v>
      </c>
      <c r="E538" s="419" t="s">
        <v>1777</v>
      </c>
      <c r="F538" s="760">
        <v>46112</v>
      </c>
      <c r="G538" s="380" t="s">
        <v>55</v>
      </c>
      <c r="H538" s="380">
        <v>2</v>
      </c>
      <c r="I538" s="388">
        <v>384000</v>
      </c>
      <c r="J538" s="380">
        <v>3</v>
      </c>
      <c r="K538" s="389">
        <f>I538/3</f>
        <v>128000</v>
      </c>
      <c r="L538" s="508">
        <v>46113</v>
      </c>
      <c r="M538" s="508">
        <v>46477</v>
      </c>
      <c r="N538" s="685"/>
      <c r="O538" s="685"/>
      <c r="P538" s="363" t="s">
        <v>520</v>
      </c>
      <c r="Q538" s="380"/>
      <c r="R538" s="380" t="s">
        <v>1</v>
      </c>
      <c r="S538" s="390" t="s">
        <v>1080</v>
      </c>
      <c r="T538" s="363" t="s">
        <v>1778</v>
      </c>
      <c r="U538" s="363" t="s">
        <v>1108</v>
      </c>
      <c r="V538" s="363"/>
      <c r="W538" s="363" t="s">
        <v>1109</v>
      </c>
      <c r="X538" s="363" t="s">
        <v>1968</v>
      </c>
      <c r="Y538" s="363"/>
      <c r="Z538" s="363"/>
      <c r="AA538" s="363"/>
      <c r="AB538" s="363"/>
      <c r="AC538" s="363"/>
      <c r="AD538" s="363"/>
      <c r="AE538" s="363" t="s">
        <v>356</v>
      </c>
      <c r="AF538" s="380" t="s">
        <v>207</v>
      </c>
      <c r="AG538" s="380">
        <v>3</v>
      </c>
      <c r="AH538" s="363" t="s">
        <v>1779</v>
      </c>
    </row>
    <row r="539" spans="2:34" ht="15" customHeight="1" x14ac:dyDescent="0.3">
      <c r="B539" s="380" t="s">
        <v>6</v>
      </c>
      <c r="C539" s="482" t="s">
        <v>195</v>
      </c>
      <c r="D539" s="483" t="s">
        <v>447</v>
      </c>
      <c r="E539" s="380" t="s">
        <v>1780</v>
      </c>
      <c r="F539" s="753">
        <v>46156</v>
      </c>
      <c r="G539" s="380" t="s">
        <v>55</v>
      </c>
      <c r="H539" s="380"/>
      <c r="I539" s="388">
        <v>65500</v>
      </c>
      <c r="J539" s="380">
        <v>4</v>
      </c>
      <c r="K539" s="389">
        <f t="shared" si="25"/>
        <v>16375</v>
      </c>
      <c r="L539" s="387">
        <v>46161</v>
      </c>
      <c r="M539" s="387">
        <v>46525</v>
      </c>
      <c r="N539" s="680">
        <v>155405</v>
      </c>
      <c r="O539" s="680">
        <v>4763</v>
      </c>
      <c r="P539" s="363" t="s">
        <v>520</v>
      </c>
      <c r="Q539" s="380"/>
      <c r="R539" s="380"/>
      <c r="S539" s="390" t="s">
        <v>1781</v>
      </c>
      <c r="T539" s="363" t="s">
        <v>2014</v>
      </c>
      <c r="U539" s="363" t="s">
        <v>1782</v>
      </c>
      <c r="V539" s="363"/>
      <c r="W539" s="363" t="s">
        <v>1783</v>
      </c>
      <c r="X539" s="363"/>
      <c r="Y539" s="363" t="s">
        <v>1784</v>
      </c>
      <c r="Z539" s="363"/>
      <c r="AA539" s="363"/>
      <c r="AB539" s="363"/>
      <c r="AC539" s="363"/>
      <c r="AD539" s="363"/>
      <c r="AE539" s="363" t="s">
        <v>96</v>
      </c>
      <c r="AF539" s="380" t="s">
        <v>97</v>
      </c>
      <c r="AG539" s="380" t="s">
        <v>494</v>
      </c>
      <c r="AH539" s="363" t="s">
        <v>667</v>
      </c>
    </row>
    <row r="540" spans="2:34" ht="15" customHeight="1" x14ac:dyDescent="0.3">
      <c r="B540" s="380" t="s">
        <v>6</v>
      </c>
      <c r="C540" s="482" t="s">
        <v>195</v>
      </c>
      <c r="D540" s="483" t="s">
        <v>447</v>
      </c>
      <c r="E540" s="380" t="s">
        <v>1780</v>
      </c>
      <c r="F540" s="753">
        <v>46156</v>
      </c>
      <c r="G540" s="380" t="s">
        <v>55</v>
      </c>
      <c r="H540" s="380">
        <v>1</v>
      </c>
      <c r="I540" s="388">
        <v>65500</v>
      </c>
      <c r="J540" s="380">
        <v>4</v>
      </c>
      <c r="K540" s="389">
        <f t="shared" si="25"/>
        <v>16375</v>
      </c>
      <c r="L540" s="387">
        <v>46526</v>
      </c>
      <c r="M540" s="387">
        <v>46891</v>
      </c>
      <c r="N540" s="680"/>
      <c r="O540" s="680"/>
      <c r="P540" s="363" t="s">
        <v>520</v>
      </c>
      <c r="Q540" s="380"/>
      <c r="R540" s="380"/>
      <c r="S540" s="363" t="s">
        <v>1785</v>
      </c>
      <c r="T540" s="363"/>
      <c r="U540" s="363" t="s">
        <v>1786</v>
      </c>
      <c r="V540" s="363"/>
      <c r="W540" s="363" t="s">
        <v>1787</v>
      </c>
      <c r="X540" s="363"/>
      <c r="Y540" s="363" t="s">
        <v>1788</v>
      </c>
      <c r="Z540" s="363"/>
      <c r="AA540" s="363"/>
      <c r="AB540" s="363"/>
      <c r="AC540" s="363"/>
      <c r="AD540" s="363"/>
      <c r="AE540" s="363" t="s">
        <v>96</v>
      </c>
      <c r="AF540" s="380" t="s">
        <v>97</v>
      </c>
      <c r="AG540" s="380" t="s">
        <v>494</v>
      </c>
      <c r="AH540" s="363" t="s">
        <v>667</v>
      </c>
    </row>
    <row r="541" spans="2:34" ht="15" customHeight="1" x14ac:dyDescent="0.3">
      <c r="B541" s="380" t="s">
        <v>6</v>
      </c>
      <c r="C541" s="482" t="s">
        <v>1746</v>
      </c>
      <c r="D541" s="483" t="s">
        <v>1789</v>
      </c>
      <c r="E541" s="468">
        <v>5000146844</v>
      </c>
      <c r="F541" s="760">
        <v>46136</v>
      </c>
      <c r="G541" s="380" t="s">
        <v>55</v>
      </c>
      <c r="H541" s="380">
        <v>1</v>
      </c>
      <c r="I541" s="388">
        <v>120000</v>
      </c>
      <c r="J541" s="380">
        <v>3</v>
      </c>
      <c r="K541" s="389">
        <f t="shared" si="25"/>
        <v>40000</v>
      </c>
      <c r="L541" s="775">
        <v>46158</v>
      </c>
      <c r="M541" s="775">
        <v>46522</v>
      </c>
      <c r="N541" s="684"/>
      <c r="O541" s="684"/>
      <c r="P541" s="363" t="s">
        <v>520</v>
      </c>
      <c r="Q541" s="380"/>
      <c r="R541" s="380"/>
      <c r="S541" s="390" t="s">
        <v>1790</v>
      </c>
      <c r="T541" s="363" t="s">
        <v>1791</v>
      </c>
      <c r="U541" s="363" t="s">
        <v>1792</v>
      </c>
      <c r="V541" s="363"/>
      <c r="W541" s="363" t="s">
        <v>1793</v>
      </c>
      <c r="X541" s="363"/>
      <c r="Y541" s="363"/>
      <c r="Z541" s="363"/>
      <c r="AA541" s="363"/>
      <c r="AB541" s="363"/>
      <c r="AC541" s="363"/>
      <c r="AD541" s="363"/>
      <c r="AE541" s="363" t="s">
        <v>834</v>
      </c>
      <c r="AF541" s="380" t="s">
        <v>207</v>
      </c>
      <c r="AG541" s="380">
        <v>3</v>
      </c>
      <c r="AH541" s="363" t="s">
        <v>1794</v>
      </c>
    </row>
    <row r="542" spans="2:34" ht="15" customHeight="1" x14ac:dyDescent="0.3">
      <c r="B542" s="380" t="s">
        <v>6</v>
      </c>
      <c r="C542" s="409" t="s">
        <v>1002</v>
      </c>
      <c r="D542" s="418" t="s">
        <v>151</v>
      </c>
      <c r="E542" s="419">
        <v>4518005269</v>
      </c>
      <c r="F542" s="760">
        <v>46156</v>
      </c>
      <c r="G542" s="380" t="s">
        <v>55</v>
      </c>
      <c r="H542" s="380">
        <v>4</v>
      </c>
      <c r="I542" s="388">
        <v>186000</v>
      </c>
      <c r="J542" s="380">
        <v>1</v>
      </c>
      <c r="K542" s="389">
        <f t="shared" si="25"/>
        <v>186000</v>
      </c>
      <c r="L542" s="508">
        <v>46113</v>
      </c>
      <c r="M542" s="508">
        <v>46477</v>
      </c>
      <c r="N542" s="685"/>
      <c r="O542" s="685"/>
      <c r="P542" s="363" t="s">
        <v>520</v>
      </c>
      <c r="Q542" s="380"/>
      <c r="R542" s="380" t="s">
        <v>1</v>
      </c>
      <c r="S542" s="363" t="s">
        <v>646</v>
      </c>
      <c r="T542" s="363"/>
      <c r="U542" s="363"/>
      <c r="V542" s="363"/>
      <c r="W542" s="363"/>
      <c r="X542" s="363"/>
      <c r="Y542" s="363"/>
      <c r="Z542" s="363"/>
      <c r="AA542" s="363"/>
      <c r="AB542" s="363"/>
      <c r="AC542" s="363"/>
      <c r="AD542" s="363"/>
      <c r="AE542" s="363" t="s">
        <v>507</v>
      </c>
      <c r="AF542" s="380" t="s">
        <v>63</v>
      </c>
      <c r="AG542" s="380">
        <v>1</v>
      </c>
      <c r="AH542" s="363" t="s">
        <v>1795</v>
      </c>
    </row>
    <row r="543" spans="2:34" ht="15" customHeight="1" x14ac:dyDescent="0.3">
      <c r="B543" s="380" t="s">
        <v>6</v>
      </c>
      <c r="C543" s="482" t="s">
        <v>965</v>
      </c>
      <c r="D543" s="483" t="s">
        <v>1088</v>
      </c>
      <c r="E543" s="468">
        <v>5400089448</v>
      </c>
      <c r="F543" s="760">
        <v>46160</v>
      </c>
      <c r="G543" s="380" t="s">
        <v>55</v>
      </c>
      <c r="H543" s="380">
        <v>1</v>
      </c>
      <c r="I543" s="417">
        <v>109270</v>
      </c>
      <c r="J543" s="380">
        <v>4</v>
      </c>
      <c r="K543" s="389">
        <f t="shared" si="25"/>
        <v>27317.5</v>
      </c>
      <c r="L543" s="775">
        <v>46113</v>
      </c>
      <c r="M543" s="775">
        <v>46477</v>
      </c>
      <c r="N543" s="684"/>
      <c r="O543" s="684"/>
      <c r="P543" s="363" t="s">
        <v>520</v>
      </c>
      <c r="Q543" s="380"/>
      <c r="R543" s="380"/>
      <c r="S543" s="390" t="s">
        <v>397</v>
      </c>
      <c r="T543" s="363" t="s">
        <v>1874</v>
      </c>
      <c r="U543" s="363" t="s">
        <v>496</v>
      </c>
      <c r="V543" s="363"/>
      <c r="W543" s="363" t="s">
        <v>497</v>
      </c>
      <c r="X543" s="363"/>
      <c r="Y543" s="363" t="s">
        <v>498</v>
      </c>
      <c r="Z543" s="363"/>
      <c r="AA543" s="363"/>
      <c r="AB543" s="363"/>
      <c r="AC543" s="363"/>
      <c r="AD543" s="363"/>
      <c r="AE543" s="363" t="s">
        <v>96</v>
      </c>
      <c r="AF543" s="380" t="s">
        <v>97</v>
      </c>
      <c r="AG543" s="380" t="s">
        <v>494</v>
      </c>
      <c r="AH543" s="363" t="s">
        <v>667</v>
      </c>
    </row>
    <row r="544" spans="2:34" ht="15" customHeight="1" x14ac:dyDescent="0.3">
      <c r="B544" s="380" t="s">
        <v>6</v>
      </c>
      <c r="C544" s="409" t="s">
        <v>1796</v>
      </c>
      <c r="D544" s="434" t="s">
        <v>757</v>
      </c>
      <c r="E544" s="493">
        <v>2265007686</v>
      </c>
      <c r="F544" s="760">
        <v>46160</v>
      </c>
      <c r="G544" s="380" t="s">
        <v>55</v>
      </c>
      <c r="H544" s="380">
        <v>10</v>
      </c>
      <c r="I544" s="388">
        <v>835000</v>
      </c>
      <c r="J544" s="380">
        <v>3</v>
      </c>
      <c r="K544" s="389">
        <f t="shared" si="25"/>
        <v>278333.33333333331</v>
      </c>
      <c r="L544" s="508">
        <v>46113</v>
      </c>
      <c r="M544" s="508">
        <v>46477</v>
      </c>
      <c r="N544" s="685">
        <v>155335</v>
      </c>
      <c r="O544" s="685"/>
      <c r="P544" s="363" t="s">
        <v>520</v>
      </c>
      <c r="Q544" s="380"/>
      <c r="R544" s="380"/>
      <c r="S544" s="363" t="s">
        <v>1080</v>
      </c>
      <c r="T544" s="363"/>
      <c r="U544" s="363" t="s">
        <v>1108</v>
      </c>
      <c r="V544" s="363"/>
      <c r="W544" s="363" t="s">
        <v>1109</v>
      </c>
      <c r="X544" s="363"/>
      <c r="Y544" s="363"/>
      <c r="Z544" s="363"/>
      <c r="AA544" s="363"/>
      <c r="AB544" s="363"/>
      <c r="AC544" s="363"/>
      <c r="AD544" s="363"/>
      <c r="AE544" s="363" t="s">
        <v>507</v>
      </c>
      <c r="AF544" s="380" t="s">
        <v>63</v>
      </c>
      <c r="AG544" s="380">
        <v>3</v>
      </c>
      <c r="AH544" s="363" t="s">
        <v>667</v>
      </c>
    </row>
    <row r="545" spans="2:34" ht="15" customHeight="1" x14ac:dyDescent="0.3">
      <c r="B545" s="380" t="s">
        <v>6</v>
      </c>
      <c r="C545" s="551" t="s">
        <v>1797</v>
      </c>
      <c r="D545" s="483" t="s">
        <v>1798</v>
      </c>
      <c r="E545" s="468" t="s">
        <v>1799</v>
      </c>
      <c r="F545" s="760">
        <v>46154</v>
      </c>
      <c r="G545" s="380" t="s">
        <v>55</v>
      </c>
      <c r="H545" s="380"/>
      <c r="I545" s="388">
        <v>105000</v>
      </c>
      <c r="J545" s="380">
        <v>2</v>
      </c>
      <c r="K545" s="389">
        <f t="shared" si="25"/>
        <v>52500</v>
      </c>
      <c r="L545" s="775">
        <v>46158</v>
      </c>
      <c r="M545" s="775">
        <v>46522</v>
      </c>
      <c r="N545" s="684">
        <v>155374</v>
      </c>
      <c r="O545" s="684"/>
      <c r="P545" s="363" t="s">
        <v>520</v>
      </c>
      <c r="Q545" s="380"/>
      <c r="R545" s="380"/>
      <c r="S545" s="390" t="s">
        <v>1800</v>
      </c>
      <c r="T545" s="363" t="s">
        <v>1855</v>
      </c>
      <c r="U545" s="363" t="s">
        <v>1801</v>
      </c>
      <c r="V545" s="363"/>
      <c r="W545" s="363"/>
      <c r="X545" s="363"/>
      <c r="Y545" s="363"/>
      <c r="Z545" s="363"/>
      <c r="AA545" s="363"/>
      <c r="AB545" s="363"/>
      <c r="AC545" s="363"/>
      <c r="AD545" s="363"/>
      <c r="AE545" s="363" t="s">
        <v>183</v>
      </c>
      <c r="AF545" s="380" t="s">
        <v>97</v>
      </c>
      <c r="AG545" s="380">
        <v>3</v>
      </c>
      <c r="AH545" s="363" t="s">
        <v>1802</v>
      </c>
    </row>
    <row r="546" spans="2:34" ht="15" customHeight="1" x14ac:dyDescent="0.3">
      <c r="B546" s="380" t="s">
        <v>6</v>
      </c>
      <c r="C546" s="551" t="s">
        <v>1797</v>
      </c>
      <c r="D546" s="483" t="s">
        <v>1798</v>
      </c>
      <c r="E546" s="468" t="s">
        <v>1799</v>
      </c>
      <c r="F546" s="760">
        <v>46154</v>
      </c>
      <c r="G546" s="380" t="s">
        <v>55</v>
      </c>
      <c r="H546" s="380"/>
      <c r="I546" s="388">
        <v>105000</v>
      </c>
      <c r="J546" s="380">
        <v>2</v>
      </c>
      <c r="K546" s="389">
        <f t="shared" si="25"/>
        <v>52500</v>
      </c>
      <c r="L546" s="387">
        <v>46523</v>
      </c>
      <c r="M546" s="387">
        <v>46888</v>
      </c>
      <c r="N546" s="680"/>
      <c r="O546" s="680"/>
      <c r="P546" s="363" t="s">
        <v>520</v>
      </c>
      <c r="Q546" s="380"/>
      <c r="R546" s="380"/>
      <c r="S546" s="363" t="s">
        <v>1803</v>
      </c>
      <c r="T546" s="363"/>
      <c r="U546" s="363" t="s">
        <v>1804</v>
      </c>
      <c r="V546" s="363"/>
      <c r="W546" s="363"/>
      <c r="X546" s="363"/>
      <c r="Y546" s="363"/>
      <c r="Z546" s="363"/>
      <c r="AA546" s="363"/>
      <c r="AB546" s="363"/>
      <c r="AC546" s="363"/>
      <c r="AD546" s="363"/>
      <c r="AE546" s="363" t="s">
        <v>183</v>
      </c>
      <c r="AF546" s="380" t="s">
        <v>97</v>
      </c>
      <c r="AG546" s="380">
        <v>3</v>
      </c>
      <c r="AH546" s="363" t="s">
        <v>1802</v>
      </c>
    </row>
    <row r="547" spans="2:34" ht="15" customHeight="1" x14ac:dyDescent="0.3">
      <c r="B547" s="380" t="s">
        <v>6</v>
      </c>
      <c r="C547" s="551" t="s">
        <v>1797</v>
      </c>
      <c r="D547" s="483" t="s">
        <v>1798</v>
      </c>
      <c r="E547" s="468" t="s">
        <v>1799</v>
      </c>
      <c r="F547" s="760">
        <v>46154</v>
      </c>
      <c r="G547" s="380" t="s">
        <v>55</v>
      </c>
      <c r="H547" s="380">
        <v>1</v>
      </c>
      <c r="I547" s="388">
        <v>105000</v>
      </c>
      <c r="J547" s="380">
        <v>2</v>
      </c>
      <c r="K547" s="389">
        <f t="shared" si="25"/>
        <v>52500</v>
      </c>
      <c r="L547" s="387">
        <v>46889</v>
      </c>
      <c r="M547" s="387">
        <v>47253</v>
      </c>
      <c r="N547" s="680"/>
      <c r="O547" s="680"/>
      <c r="P547" s="363" t="s">
        <v>520</v>
      </c>
      <c r="Q547" s="380"/>
      <c r="R547" s="380"/>
      <c r="S547" s="363" t="s">
        <v>1805</v>
      </c>
      <c r="T547" s="363"/>
      <c r="U547" s="363" t="s">
        <v>1806</v>
      </c>
      <c r="V547" s="363"/>
      <c r="W547" s="363"/>
      <c r="X547" s="363"/>
      <c r="Y547" s="363"/>
      <c r="Z547" s="363"/>
      <c r="AA547" s="363"/>
      <c r="AB547" s="363"/>
      <c r="AC547" s="363"/>
      <c r="AD547" s="363"/>
      <c r="AE547" s="363" t="s">
        <v>183</v>
      </c>
      <c r="AF547" s="380" t="s">
        <v>97</v>
      </c>
      <c r="AG547" s="380">
        <v>3</v>
      </c>
      <c r="AH547" s="363" t="s">
        <v>1802</v>
      </c>
    </row>
    <row r="548" spans="2:34" ht="15" customHeight="1" x14ac:dyDescent="0.3">
      <c r="B548" s="380" t="s">
        <v>6</v>
      </c>
      <c r="C548" s="482" t="s">
        <v>614</v>
      </c>
      <c r="D548" s="483" t="s">
        <v>884</v>
      </c>
      <c r="E548" s="494" t="s">
        <v>1807</v>
      </c>
      <c r="F548" s="760">
        <v>46150</v>
      </c>
      <c r="G548" s="380" t="s">
        <v>55</v>
      </c>
      <c r="H548" s="380">
        <v>1</v>
      </c>
      <c r="I548" s="388">
        <v>76440</v>
      </c>
      <c r="J548" s="380">
        <v>3</v>
      </c>
      <c r="K548" s="389"/>
      <c r="L548" s="775">
        <v>46174</v>
      </c>
      <c r="M548" s="775">
        <v>46538</v>
      </c>
      <c r="N548" s="684"/>
      <c r="O548" s="684"/>
      <c r="P548" s="363" t="s">
        <v>520</v>
      </c>
      <c r="Q548" s="380"/>
      <c r="R548" s="380"/>
      <c r="S548" s="363" t="s">
        <v>406</v>
      </c>
      <c r="T548" s="363"/>
      <c r="U548" s="363" t="s">
        <v>407</v>
      </c>
      <c r="V548" s="363"/>
      <c r="W548" s="363" t="s">
        <v>1808</v>
      </c>
      <c r="X548" s="363"/>
      <c r="Y548" s="363"/>
      <c r="Z548" s="363"/>
      <c r="AA548" s="363"/>
      <c r="AB548" s="363"/>
      <c r="AC548" s="363"/>
      <c r="AD548" s="363"/>
      <c r="AE548" s="363" t="s">
        <v>281</v>
      </c>
      <c r="AF548" s="380" t="s">
        <v>97</v>
      </c>
      <c r="AG548" s="380">
        <v>3</v>
      </c>
      <c r="AH548" s="363" t="s">
        <v>1809</v>
      </c>
    </row>
    <row r="549" spans="2:34" ht="15" customHeight="1" x14ac:dyDescent="0.3">
      <c r="B549" s="380" t="s">
        <v>6</v>
      </c>
      <c r="C549" s="409" t="s">
        <v>771</v>
      </c>
      <c r="D549" s="423" t="s">
        <v>388</v>
      </c>
      <c r="E549" s="408">
        <v>6000065535</v>
      </c>
      <c r="F549" s="764">
        <v>46135</v>
      </c>
      <c r="G549" s="380" t="s">
        <v>55</v>
      </c>
      <c r="H549" s="380">
        <v>1</v>
      </c>
      <c r="I549" s="388">
        <v>70700</v>
      </c>
      <c r="J549" s="380">
        <v>2</v>
      </c>
      <c r="K549" s="389">
        <f t="shared" ref="K549:K555" si="26">I549/J549</f>
        <v>35350</v>
      </c>
      <c r="L549" s="508">
        <v>46113</v>
      </c>
      <c r="M549" s="508">
        <v>46477</v>
      </c>
      <c r="N549" s="685">
        <v>155479</v>
      </c>
      <c r="O549" s="685">
        <v>4621</v>
      </c>
      <c r="P549" s="363" t="s">
        <v>520</v>
      </c>
      <c r="Q549" s="380"/>
      <c r="R549" s="380"/>
      <c r="S549" s="390" t="s">
        <v>467</v>
      </c>
      <c r="T549" s="363" t="s">
        <v>2012</v>
      </c>
      <c r="U549" s="363" t="s">
        <v>1633</v>
      </c>
      <c r="V549" s="363"/>
      <c r="W549" s="363"/>
      <c r="X549" s="363"/>
      <c r="Y549" s="363"/>
      <c r="Z549" s="363"/>
      <c r="AA549" s="363"/>
      <c r="AB549" s="363"/>
      <c r="AC549" s="363"/>
      <c r="AD549" s="363"/>
      <c r="AE549" s="363" t="s">
        <v>619</v>
      </c>
      <c r="AF549" s="380" t="s">
        <v>63</v>
      </c>
      <c r="AG549" s="380">
        <v>2</v>
      </c>
      <c r="AH549" s="363" t="s">
        <v>667</v>
      </c>
    </row>
    <row r="550" spans="2:34" ht="15" customHeight="1" x14ac:dyDescent="0.3">
      <c r="B550" s="380" t="s">
        <v>6</v>
      </c>
      <c r="C550" s="482" t="s">
        <v>1810</v>
      </c>
      <c r="D550" s="483" t="s">
        <v>151</v>
      </c>
      <c r="E550" s="468">
        <v>6700005665</v>
      </c>
      <c r="F550" s="760">
        <v>46136</v>
      </c>
      <c r="G550" s="380" t="s">
        <v>55</v>
      </c>
      <c r="H550" s="380"/>
      <c r="I550" s="388">
        <v>80000.009999999995</v>
      </c>
      <c r="J550" s="380">
        <v>3</v>
      </c>
      <c r="K550" s="389">
        <f t="shared" si="26"/>
        <v>26666.67</v>
      </c>
      <c r="L550" s="775">
        <v>46054</v>
      </c>
      <c r="M550" s="775">
        <v>46418</v>
      </c>
      <c r="N550" s="684"/>
      <c r="O550" s="684"/>
      <c r="P550" s="363" t="s">
        <v>520</v>
      </c>
      <c r="Q550" s="380"/>
      <c r="R550" s="380"/>
      <c r="S550" s="390" t="s">
        <v>404</v>
      </c>
      <c r="T550" s="363" t="s">
        <v>1712</v>
      </c>
      <c r="U550" s="363" t="s">
        <v>406</v>
      </c>
      <c r="V550" s="363"/>
      <c r="W550" s="363" t="s">
        <v>407</v>
      </c>
      <c r="X550" s="363"/>
      <c r="Y550" s="363"/>
      <c r="Z550" s="363"/>
      <c r="AA550" s="363"/>
      <c r="AB550" s="363"/>
      <c r="AC550" s="363"/>
      <c r="AD550" s="363"/>
      <c r="AE550" s="363" t="s">
        <v>478</v>
      </c>
      <c r="AF550" s="380" t="s">
        <v>63</v>
      </c>
      <c r="AG550" s="380">
        <v>3</v>
      </c>
      <c r="AH550" s="363" t="s">
        <v>667</v>
      </c>
    </row>
    <row r="551" spans="2:34" ht="15" customHeight="1" x14ac:dyDescent="0.3">
      <c r="B551" s="380" t="s">
        <v>6</v>
      </c>
      <c r="C551" s="482" t="s">
        <v>1810</v>
      </c>
      <c r="D551" s="483" t="s">
        <v>151</v>
      </c>
      <c r="E551" s="468">
        <v>6700005665</v>
      </c>
      <c r="F551" s="760">
        <v>46136</v>
      </c>
      <c r="G551" s="380" t="s">
        <v>55</v>
      </c>
      <c r="H551" s="380"/>
      <c r="I551" s="388">
        <v>80000.009999999995</v>
      </c>
      <c r="J551" s="380">
        <v>3</v>
      </c>
      <c r="K551" s="389">
        <f t="shared" si="26"/>
        <v>26666.67</v>
      </c>
      <c r="L551" s="387">
        <v>46419</v>
      </c>
      <c r="M551" s="387">
        <v>46783</v>
      </c>
      <c r="N551" s="680"/>
      <c r="O551" s="680"/>
      <c r="P551" s="363" t="s">
        <v>520</v>
      </c>
      <c r="Q551" s="380"/>
      <c r="R551" s="380"/>
      <c r="S551" s="363" t="s">
        <v>408</v>
      </c>
      <c r="T551" s="363"/>
      <c r="U551" s="363" t="s">
        <v>1811</v>
      </c>
      <c r="V551" s="363"/>
      <c r="W551" s="363" t="s">
        <v>1812</v>
      </c>
      <c r="X551" s="363"/>
      <c r="Y551" s="363"/>
      <c r="Z551" s="363"/>
      <c r="AA551" s="363"/>
      <c r="AB551" s="363"/>
      <c r="AC551" s="363"/>
      <c r="AD551" s="363"/>
      <c r="AE551" s="363" t="s">
        <v>478</v>
      </c>
      <c r="AF551" s="380" t="s">
        <v>63</v>
      </c>
      <c r="AG551" s="380">
        <v>3</v>
      </c>
      <c r="AH551" s="363" t="s">
        <v>667</v>
      </c>
    </row>
    <row r="552" spans="2:34" ht="15" customHeight="1" x14ac:dyDescent="0.3">
      <c r="B552" s="380" t="s">
        <v>6</v>
      </c>
      <c r="C552" s="482" t="s">
        <v>1810</v>
      </c>
      <c r="D552" s="483" t="s">
        <v>151</v>
      </c>
      <c r="E552" s="468">
        <v>6700005665</v>
      </c>
      <c r="F552" s="760">
        <v>46136</v>
      </c>
      <c r="G552" s="380" t="s">
        <v>55</v>
      </c>
      <c r="H552" s="380">
        <v>1</v>
      </c>
      <c r="I552" s="388">
        <v>80000.009999999995</v>
      </c>
      <c r="J552" s="380">
        <v>3</v>
      </c>
      <c r="K552" s="389">
        <f t="shared" si="26"/>
        <v>26666.67</v>
      </c>
      <c r="L552" s="387">
        <v>46784</v>
      </c>
      <c r="M552" s="387">
        <v>47149</v>
      </c>
      <c r="N552" s="680"/>
      <c r="O552" s="680"/>
      <c r="P552" s="363" t="s">
        <v>520</v>
      </c>
      <c r="Q552" s="380"/>
      <c r="R552" s="380"/>
      <c r="S552" s="363" t="s">
        <v>1813</v>
      </c>
      <c r="T552" s="363"/>
      <c r="U552" s="363" t="s">
        <v>1814</v>
      </c>
      <c r="V552" s="363"/>
      <c r="W552" s="363" t="s">
        <v>1815</v>
      </c>
      <c r="X552" s="363"/>
      <c r="Y552" s="363"/>
      <c r="Z552" s="363"/>
      <c r="AA552" s="363"/>
      <c r="AB552" s="363"/>
      <c r="AC552" s="363"/>
      <c r="AD552" s="363"/>
      <c r="AE552" s="363" t="s">
        <v>478</v>
      </c>
      <c r="AF552" s="380" t="s">
        <v>63</v>
      </c>
      <c r="AG552" s="380">
        <v>3</v>
      </c>
      <c r="AH552" s="363" t="s">
        <v>667</v>
      </c>
    </row>
    <row r="553" spans="2:34" ht="15" customHeight="1" x14ac:dyDescent="0.3">
      <c r="B553" s="380" t="s">
        <v>6</v>
      </c>
      <c r="C553" s="409" t="s">
        <v>1816</v>
      </c>
      <c r="D553" s="423" t="s">
        <v>1012</v>
      </c>
      <c r="E553" s="488" t="s">
        <v>1817</v>
      </c>
      <c r="F553" s="760">
        <v>46132</v>
      </c>
      <c r="G553" s="380" t="s">
        <v>55</v>
      </c>
      <c r="H553" s="380"/>
      <c r="I553" s="388">
        <v>316800</v>
      </c>
      <c r="J553" s="380">
        <v>3</v>
      </c>
      <c r="K553" s="389">
        <f t="shared" si="26"/>
        <v>105600</v>
      </c>
      <c r="L553" s="508">
        <v>46023</v>
      </c>
      <c r="M553" s="508">
        <v>46387</v>
      </c>
      <c r="N553" s="685"/>
      <c r="O553" s="685"/>
      <c r="P553" s="363" t="s">
        <v>520</v>
      </c>
      <c r="Q553" s="380"/>
      <c r="R553" s="380"/>
      <c r="S553" s="390" t="s">
        <v>347</v>
      </c>
      <c r="T553" s="363" t="s">
        <v>1720</v>
      </c>
      <c r="U553" s="390" t="s">
        <v>348</v>
      </c>
      <c r="V553" s="363" t="s">
        <v>2062</v>
      </c>
      <c r="W553" s="363" t="s">
        <v>349</v>
      </c>
      <c r="X553" s="363"/>
      <c r="Y553" s="363"/>
      <c r="Z553" s="363"/>
      <c r="AA553" s="363"/>
      <c r="AB553" s="363"/>
      <c r="AC553" s="363"/>
      <c r="AD553" s="363"/>
      <c r="AE553" s="363" t="s">
        <v>619</v>
      </c>
      <c r="AF553" s="380" t="s">
        <v>63</v>
      </c>
      <c r="AG553" s="380">
        <v>3</v>
      </c>
      <c r="AH553" s="363" t="s">
        <v>667</v>
      </c>
    </row>
    <row r="554" spans="2:34" ht="15" customHeight="1" x14ac:dyDescent="0.3">
      <c r="B554" s="380" t="s">
        <v>6</v>
      </c>
      <c r="C554" s="409" t="s">
        <v>1816</v>
      </c>
      <c r="D554" s="423" t="s">
        <v>1012</v>
      </c>
      <c r="E554" s="488" t="s">
        <v>1817</v>
      </c>
      <c r="F554" s="760">
        <v>46132</v>
      </c>
      <c r="G554" s="380" t="s">
        <v>55</v>
      </c>
      <c r="H554" s="380"/>
      <c r="I554" s="388">
        <v>316800</v>
      </c>
      <c r="J554" s="380">
        <v>3</v>
      </c>
      <c r="K554" s="389">
        <f t="shared" si="26"/>
        <v>105600</v>
      </c>
      <c r="L554" s="387">
        <v>46388</v>
      </c>
      <c r="M554" s="387">
        <v>46752</v>
      </c>
      <c r="N554" s="680"/>
      <c r="O554" s="680"/>
      <c r="P554" s="363" t="s">
        <v>520</v>
      </c>
      <c r="Q554" s="380"/>
      <c r="R554" s="380"/>
      <c r="S554" s="363" t="s">
        <v>738</v>
      </c>
      <c r="T554" s="363"/>
      <c r="U554" s="363" t="s">
        <v>1077</v>
      </c>
      <c r="V554" s="363"/>
      <c r="W554" s="363" t="s">
        <v>1078</v>
      </c>
      <c r="X554" s="363"/>
      <c r="Y554" s="363"/>
      <c r="Z554" s="363"/>
      <c r="AA554" s="363"/>
      <c r="AB554" s="363"/>
      <c r="AC554" s="363"/>
      <c r="AD554" s="363"/>
      <c r="AE554" s="363" t="s">
        <v>619</v>
      </c>
      <c r="AF554" s="380" t="s">
        <v>63</v>
      </c>
      <c r="AG554" s="380">
        <v>3</v>
      </c>
      <c r="AH554" s="363" t="s">
        <v>667</v>
      </c>
    </row>
    <row r="555" spans="2:34" ht="15" customHeight="1" x14ac:dyDescent="0.3">
      <c r="B555" s="380" t="s">
        <v>6</v>
      </c>
      <c r="C555" s="409" t="s">
        <v>1816</v>
      </c>
      <c r="D555" s="423" t="s">
        <v>1012</v>
      </c>
      <c r="E555" s="488" t="s">
        <v>1817</v>
      </c>
      <c r="F555" s="760">
        <v>46132</v>
      </c>
      <c r="G555" s="380" t="s">
        <v>55</v>
      </c>
      <c r="H555" s="380">
        <v>3</v>
      </c>
      <c r="I555" s="388">
        <v>316800</v>
      </c>
      <c r="J555" s="380">
        <v>3</v>
      </c>
      <c r="K555" s="389">
        <f t="shared" si="26"/>
        <v>105600</v>
      </c>
      <c r="L555" s="387">
        <v>46753</v>
      </c>
      <c r="M555" s="387">
        <v>47118</v>
      </c>
      <c r="N555" s="680"/>
      <c r="O555" s="680"/>
      <c r="P555" s="363" t="s">
        <v>520</v>
      </c>
      <c r="Q555" s="380"/>
      <c r="R555" s="380"/>
      <c r="S555" s="363" t="s">
        <v>1818</v>
      </c>
      <c r="T555" s="363"/>
      <c r="U555" s="363" t="s">
        <v>1819</v>
      </c>
      <c r="V555" s="363"/>
      <c r="W555" s="363" t="s">
        <v>1820</v>
      </c>
      <c r="X555" s="363"/>
      <c r="Y555" s="363"/>
      <c r="Z555" s="363"/>
      <c r="AA555" s="363"/>
      <c r="AB555" s="363"/>
      <c r="AC555" s="363"/>
      <c r="AD555" s="363"/>
      <c r="AE555" s="363" t="s">
        <v>619</v>
      </c>
      <c r="AF555" s="380" t="s">
        <v>63</v>
      </c>
      <c r="AG555" s="380">
        <v>3</v>
      </c>
      <c r="AH555" s="363" t="s">
        <v>667</v>
      </c>
    </row>
    <row r="556" spans="2:34" ht="15" hidden="1" customHeight="1" x14ac:dyDescent="0.3">
      <c r="B556" s="380" t="s">
        <v>6</v>
      </c>
      <c r="C556" s="551" t="s">
        <v>1821</v>
      </c>
      <c r="D556" s="483" t="s">
        <v>176</v>
      </c>
      <c r="E556" s="468">
        <v>1365722343</v>
      </c>
      <c r="F556" s="760">
        <v>45909</v>
      </c>
      <c r="G556" s="380" t="s">
        <v>55</v>
      </c>
      <c r="H556" s="468">
        <v>5</v>
      </c>
      <c r="I556" s="388">
        <v>438100</v>
      </c>
      <c r="J556" s="380">
        <v>3</v>
      </c>
      <c r="K556" s="389">
        <f>I556/2</f>
        <v>219050</v>
      </c>
      <c r="L556" s="775">
        <v>45910</v>
      </c>
      <c r="M556" s="775">
        <v>46274</v>
      </c>
      <c r="N556" s="684">
        <v>155142</v>
      </c>
      <c r="O556" s="684">
        <v>4760</v>
      </c>
      <c r="P556" s="363" t="s">
        <v>19</v>
      </c>
      <c r="Q556" s="380" t="s">
        <v>1231</v>
      </c>
      <c r="R556" s="380"/>
      <c r="S556" s="390" t="s">
        <v>1822</v>
      </c>
      <c r="T556" s="363" t="s">
        <v>1673</v>
      </c>
      <c r="U556" s="390" t="s">
        <v>1664</v>
      </c>
      <c r="V556" s="363" t="s">
        <v>1673</v>
      </c>
      <c r="W556" s="390" t="s">
        <v>1665</v>
      </c>
      <c r="X556" s="363" t="s">
        <v>2076</v>
      </c>
      <c r="Y556" s="363"/>
      <c r="Z556" s="363"/>
      <c r="AA556" s="363"/>
      <c r="AB556" s="363"/>
      <c r="AC556" s="363"/>
      <c r="AD556" s="363"/>
      <c r="AE556" s="363" t="s">
        <v>183</v>
      </c>
      <c r="AF556" s="380" t="s">
        <v>97</v>
      </c>
      <c r="AG556" s="380">
        <v>2</v>
      </c>
      <c r="AH556" s="363" t="s">
        <v>1824</v>
      </c>
    </row>
    <row r="557" spans="2:34" ht="15" customHeight="1" x14ac:dyDescent="0.3">
      <c r="B557" s="380" t="s">
        <v>6</v>
      </c>
      <c r="C557" s="482" t="s">
        <v>655</v>
      </c>
      <c r="D557" s="483" t="s">
        <v>151</v>
      </c>
      <c r="E557" s="491">
        <v>2016202</v>
      </c>
      <c r="F557" s="760">
        <v>46150</v>
      </c>
      <c r="G557" s="380" t="s">
        <v>55</v>
      </c>
      <c r="H557" s="468">
        <v>4</v>
      </c>
      <c r="I557" s="388">
        <v>279360</v>
      </c>
      <c r="J557" s="380">
        <v>2</v>
      </c>
      <c r="K557" s="389">
        <f>I557/J557</f>
        <v>139680</v>
      </c>
      <c r="L557" s="775">
        <v>46113</v>
      </c>
      <c r="M557" s="775">
        <v>46477</v>
      </c>
      <c r="N557" s="684">
        <v>155337</v>
      </c>
      <c r="O557" s="684"/>
      <c r="P557" s="363" t="s">
        <v>520</v>
      </c>
      <c r="Q557" s="380"/>
      <c r="R557" s="380"/>
      <c r="S557" s="363" t="s">
        <v>467</v>
      </c>
      <c r="T557" s="363"/>
      <c r="U557" s="363" t="s">
        <v>1633</v>
      </c>
      <c r="V557" s="363"/>
      <c r="W557" s="363"/>
      <c r="X557" s="363"/>
      <c r="Y557" s="363"/>
      <c r="Z557" s="363"/>
      <c r="AA557" s="363"/>
      <c r="AB557" s="363"/>
      <c r="AC557" s="363"/>
      <c r="AD557" s="363"/>
      <c r="AE557" s="363" t="s">
        <v>478</v>
      </c>
      <c r="AF557" s="380" t="s">
        <v>63</v>
      </c>
      <c r="AG557" s="380">
        <v>3</v>
      </c>
      <c r="AH557" s="363" t="s">
        <v>667</v>
      </c>
    </row>
    <row r="558" spans="2:34" ht="15" customHeight="1" x14ac:dyDescent="0.3">
      <c r="B558" s="380" t="s">
        <v>6</v>
      </c>
      <c r="C558" s="409" t="s">
        <v>751</v>
      </c>
      <c r="D558" s="423" t="s">
        <v>752</v>
      </c>
      <c r="E558" s="380">
        <v>357000936</v>
      </c>
      <c r="F558" s="760">
        <v>46164</v>
      </c>
      <c r="G558" s="380" t="s">
        <v>55</v>
      </c>
      <c r="H558" s="408">
        <v>1</v>
      </c>
      <c r="I558" s="388">
        <v>89300</v>
      </c>
      <c r="J558" s="380">
        <v>3</v>
      </c>
      <c r="K558" s="389">
        <f>I558/J558</f>
        <v>29766.666666666668</v>
      </c>
      <c r="L558" s="508">
        <v>46174</v>
      </c>
      <c r="M558" s="508">
        <v>46538</v>
      </c>
      <c r="N558" s="685"/>
      <c r="O558" s="685"/>
      <c r="P558" s="363" t="s">
        <v>520</v>
      </c>
      <c r="Q558" s="380"/>
      <c r="R558" s="380"/>
      <c r="S558" s="381" t="s">
        <v>406</v>
      </c>
      <c r="T558" s="363"/>
      <c r="U558" s="363" t="s">
        <v>407</v>
      </c>
      <c r="V558" s="363"/>
      <c r="W558" s="363" t="s">
        <v>408</v>
      </c>
      <c r="X558" s="363"/>
      <c r="Y558" s="363"/>
      <c r="Z558" s="363"/>
      <c r="AA558" s="363"/>
      <c r="AB558" s="363"/>
      <c r="AC558" s="363"/>
      <c r="AD558" s="363"/>
      <c r="AE558" s="363" t="s">
        <v>1825</v>
      </c>
      <c r="AF558" s="380" t="s">
        <v>63</v>
      </c>
      <c r="AG558" s="380">
        <v>3</v>
      </c>
      <c r="AH558" s="363" t="s">
        <v>1626</v>
      </c>
    </row>
    <row r="559" spans="2:34" ht="15" customHeight="1" x14ac:dyDescent="0.3">
      <c r="B559" s="380" t="s">
        <v>6</v>
      </c>
      <c r="C559" s="482" t="s">
        <v>822</v>
      </c>
      <c r="D559" s="483" t="s">
        <v>823</v>
      </c>
      <c r="E559" s="494" t="s">
        <v>1827</v>
      </c>
      <c r="F559" s="764">
        <v>46157</v>
      </c>
      <c r="G559" s="380" t="s">
        <v>55</v>
      </c>
      <c r="H559" s="380">
        <v>1</v>
      </c>
      <c r="I559" s="388">
        <v>105000</v>
      </c>
      <c r="J559" s="380">
        <v>2</v>
      </c>
      <c r="K559" s="389">
        <f>I559/J559</f>
        <v>52500</v>
      </c>
      <c r="L559" s="775">
        <v>46128</v>
      </c>
      <c r="M559" s="775">
        <v>46492</v>
      </c>
      <c r="N559" s="684"/>
      <c r="O559" s="684"/>
      <c r="P559" s="363" t="s">
        <v>520</v>
      </c>
      <c r="Q559" s="380"/>
      <c r="R559" s="380"/>
      <c r="S559" s="390" t="s">
        <v>1828</v>
      </c>
      <c r="T559" s="363" t="s">
        <v>1730</v>
      </c>
      <c r="U559" s="363" t="s">
        <v>1829</v>
      </c>
      <c r="V559" s="363"/>
      <c r="W559" s="363"/>
      <c r="X559" s="363"/>
      <c r="Y559" s="363"/>
      <c r="Z559" s="363"/>
      <c r="AA559" s="363"/>
      <c r="AB559" s="363"/>
      <c r="AC559" s="363"/>
      <c r="AD559" s="363"/>
      <c r="AE559" s="363" t="s">
        <v>183</v>
      </c>
      <c r="AF559" s="380" t="s">
        <v>97</v>
      </c>
      <c r="AG559" s="380">
        <v>3</v>
      </c>
      <c r="AH559" s="363" t="s">
        <v>829</v>
      </c>
    </row>
    <row r="560" spans="2:34" ht="15" customHeight="1" x14ac:dyDescent="0.3">
      <c r="B560" s="380" t="s">
        <v>6</v>
      </c>
      <c r="C560" s="430" t="s">
        <v>1830</v>
      </c>
      <c r="D560" s="445" t="s">
        <v>1831</v>
      </c>
      <c r="E560" s="419">
        <v>4501930640</v>
      </c>
      <c r="F560" s="760">
        <v>46167</v>
      </c>
      <c r="G560" s="380" t="s">
        <v>55</v>
      </c>
      <c r="H560" s="380">
        <v>1</v>
      </c>
      <c r="I560" s="388">
        <v>93575</v>
      </c>
      <c r="J560" s="380">
        <v>3</v>
      </c>
      <c r="K560" s="389">
        <f>I560/J560</f>
        <v>31191.666666666668</v>
      </c>
      <c r="L560" s="775">
        <v>46157</v>
      </c>
      <c r="M560" s="775">
        <v>46521</v>
      </c>
      <c r="N560" s="684"/>
      <c r="O560" s="684"/>
      <c r="P560" s="363" t="s">
        <v>520</v>
      </c>
      <c r="Q560" s="380"/>
      <c r="R560" s="380"/>
      <c r="S560" s="390" t="s">
        <v>1832</v>
      </c>
      <c r="T560" s="363" t="s">
        <v>2077</v>
      </c>
      <c r="U560" s="363" t="s">
        <v>1833</v>
      </c>
      <c r="V560" s="363"/>
      <c r="W560" s="363" t="s">
        <v>1834</v>
      </c>
      <c r="X560" s="363"/>
      <c r="Y560" s="363"/>
      <c r="Z560" s="363"/>
      <c r="AA560" s="363"/>
      <c r="AB560" s="363"/>
      <c r="AC560" s="363"/>
      <c r="AD560" s="363"/>
      <c r="AE560" s="363" t="s">
        <v>619</v>
      </c>
      <c r="AF560" s="380" t="s">
        <v>63</v>
      </c>
      <c r="AG560" s="380">
        <v>3</v>
      </c>
      <c r="AH560" s="363" t="s">
        <v>667</v>
      </c>
    </row>
    <row r="561" spans="2:34" ht="15" customHeight="1" x14ac:dyDescent="0.3">
      <c r="B561" s="380" t="s">
        <v>6</v>
      </c>
      <c r="C561" s="409" t="s">
        <v>1014</v>
      </c>
      <c r="D561" s="418" t="s">
        <v>151</v>
      </c>
      <c r="E561" s="419">
        <v>4500596880</v>
      </c>
      <c r="F561" s="760">
        <v>46162</v>
      </c>
      <c r="G561" s="380" t="s">
        <v>55</v>
      </c>
      <c r="H561" s="380">
        <v>2</v>
      </c>
      <c r="I561" s="388">
        <v>180000</v>
      </c>
      <c r="J561" s="380">
        <v>3</v>
      </c>
      <c r="K561" s="389">
        <f>I561/J561</f>
        <v>60000</v>
      </c>
      <c r="L561" s="508">
        <v>46174</v>
      </c>
      <c r="M561" s="508">
        <v>46538</v>
      </c>
      <c r="N561" s="685"/>
      <c r="O561" s="685"/>
      <c r="P561" s="363" t="s">
        <v>520</v>
      </c>
      <c r="Q561" s="380"/>
      <c r="R561" s="380"/>
      <c r="S561" s="363" t="s">
        <v>406</v>
      </c>
      <c r="T561" s="363"/>
      <c r="U561" s="363" t="s">
        <v>407</v>
      </c>
      <c r="V561" s="363"/>
      <c r="W561" s="363" t="s">
        <v>408</v>
      </c>
      <c r="X561" s="363"/>
      <c r="Y561" s="363"/>
      <c r="Z561" s="363"/>
      <c r="AA561" s="363"/>
      <c r="AB561" s="363"/>
      <c r="AC561" s="363"/>
      <c r="AD561" s="363"/>
      <c r="AE561" s="363" t="s">
        <v>507</v>
      </c>
      <c r="AF561" s="380" t="s">
        <v>63</v>
      </c>
      <c r="AG561" s="380">
        <v>3</v>
      </c>
      <c r="AH561" s="363" t="s">
        <v>667</v>
      </c>
    </row>
    <row r="562" spans="2:34" ht="15" customHeight="1" x14ac:dyDescent="0.3">
      <c r="B562" s="380" t="s">
        <v>6</v>
      </c>
      <c r="C562" s="412" t="s">
        <v>614</v>
      </c>
      <c r="D562" s="510" t="s">
        <v>447</v>
      </c>
      <c r="E562" s="511" t="s">
        <v>1835</v>
      </c>
      <c r="F562" s="760">
        <v>46149</v>
      </c>
      <c r="G562" s="380" t="s">
        <v>55</v>
      </c>
      <c r="H562" s="408">
        <v>2</v>
      </c>
      <c r="I562" s="388">
        <v>152880</v>
      </c>
      <c r="J562" s="380">
        <v>3</v>
      </c>
      <c r="K562" s="389"/>
      <c r="L562" s="508">
        <v>46113</v>
      </c>
      <c r="M562" s="508">
        <v>46477</v>
      </c>
      <c r="N562" s="685"/>
      <c r="O562" s="685"/>
      <c r="P562" s="363" t="s">
        <v>520</v>
      </c>
      <c r="Q562" s="380"/>
      <c r="R562" s="380"/>
      <c r="S562" s="390" t="s">
        <v>1080</v>
      </c>
      <c r="T562" s="363" t="s">
        <v>1940</v>
      </c>
      <c r="U562" s="363" t="s">
        <v>1108</v>
      </c>
      <c r="V562" s="363"/>
      <c r="W562" s="363" t="s">
        <v>1109</v>
      </c>
      <c r="X562" s="363"/>
      <c r="Y562" s="363"/>
      <c r="Z562" s="363"/>
      <c r="AA562" s="363"/>
      <c r="AB562" s="363"/>
      <c r="AC562" s="363"/>
      <c r="AD562" s="363"/>
      <c r="AE562" s="363" t="s">
        <v>281</v>
      </c>
      <c r="AF562" s="380" t="s">
        <v>97</v>
      </c>
      <c r="AG562" s="380">
        <v>3</v>
      </c>
      <c r="AH562" s="363" t="s">
        <v>1836</v>
      </c>
    </row>
    <row r="563" spans="2:34" ht="15" customHeight="1" x14ac:dyDescent="0.3">
      <c r="B563" s="380" t="s">
        <v>6</v>
      </c>
      <c r="C563" s="409" t="s">
        <v>948</v>
      </c>
      <c r="D563" s="409" t="s">
        <v>987</v>
      </c>
      <c r="E563" s="380">
        <v>9000022562</v>
      </c>
      <c r="F563" s="760">
        <v>46167</v>
      </c>
      <c r="G563" s="380" t="s">
        <v>55</v>
      </c>
      <c r="H563" s="408">
        <v>1</v>
      </c>
      <c r="I563" s="388">
        <v>19400</v>
      </c>
      <c r="J563" s="380"/>
      <c r="K563" s="389"/>
      <c r="L563" s="508">
        <v>46113</v>
      </c>
      <c r="M563" s="387">
        <v>46477</v>
      </c>
      <c r="N563" s="680"/>
      <c r="O563" s="680">
        <v>4822</v>
      </c>
      <c r="P563" s="363" t="s">
        <v>520</v>
      </c>
      <c r="Q563" s="719"/>
      <c r="R563" s="380"/>
      <c r="S563" s="390" t="s">
        <v>397</v>
      </c>
      <c r="T563" s="363" t="s">
        <v>1863</v>
      </c>
      <c r="U563" s="390" t="s">
        <v>496</v>
      </c>
      <c r="V563" s="363" t="s">
        <v>2024</v>
      </c>
      <c r="W563" s="363" t="s">
        <v>497</v>
      </c>
      <c r="X563" s="363"/>
      <c r="Y563" s="363" t="s">
        <v>498</v>
      </c>
      <c r="Z563" s="363"/>
      <c r="AA563" s="363"/>
      <c r="AB563" s="363"/>
      <c r="AC563" s="363"/>
      <c r="AD563" s="363"/>
      <c r="AE563" s="363" t="s">
        <v>356</v>
      </c>
      <c r="AF563" s="380" t="s">
        <v>207</v>
      </c>
      <c r="AG563" s="380"/>
      <c r="AH563" s="363"/>
    </row>
    <row r="564" spans="2:34" ht="15" customHeight="1" x14ac:dyDescent="0.3">
      <c r="B564" s="380" t="s">
        <v>7</v>
      </c>
      <c r="C564" s="409" t="s">
        <v>975</v>
      </c>
      <c r="D564" s="409" t="s">
        <v>976</v>
      </c>
      <c r="E564" s="419">
        <v>6100015292</v>
      </c>
      <c r="F564" s="764">
        <v>46160</v>
      </c>
      <c r="G564" s="380" t="s">
        <v>55</v>
      </c>
      <c r="H564" s="380">
        <v>3</v>
      </c>
      <c r="I564" s="388">
        <v>336000</v>
      </c>
      <c r="J564" s="380">
        <v>3</v>
      </c>
      <c r="K564" s="389">
        <f>I564/J564</f>
        <v>112000</v>
      </c>
      <c r="L564" s="777">
        <v>46074</v>
      </c>
      <c r="M564" s="777">
        <v>46438</v>
      </c>
      <c r="N564" s="687"/>
      <c r="O564" s="687"/>
      <c r="P564" s="363" t="s">
        <v>520</v>
      </c>
      <c r="Q564" s="380"/>
      <c r="R564" s="380"/>
      <c r="S564" s="390" t="s">
        <v>1880</v>
      </c>
      <c r="T564" s="363" t="s">
        <v>1856</v>
      </c>
      <c r="U564" s="363" t="s">
        <v>1881</v>
      </c>
      <c r="V564" s="363"/>
      <c r="W564" s="363" t="s">
        <v>1882</v>
      </c>
      <c r="X564" s="363"/>
      <c r="Y564" s="363"/>
      <c r="Z564" s="363"/>
      <c r="AA564" s="363"/>
      <c r="AB564" s="363"/>
      <c r="AC564" s="363"/>
      <c r="AD564" s="363"/>
      <c r="AE564" s="363" t="s">
        <v>834</v>
      </c>
      <c r="AF564" s="380" t="s">
        <v>207</v>
      </c>
      <c r="AG564" s="380">
        <v>3</v>
      </c>
      <c r="AH564" s="363" t="s">
        <v>1581</v>
      </c>
    </row>
    <row r="565" spans="2:34" ht="15" customHeight="1" x14ac:dyDescent="0.3">
      <c r="B565" s="380" t="s">
        <v>7</v>
      </c>
      <c r="C565" s="553" t="s">
        <v>775</v>
      </c>
      <c r="D565" s="482" t="s">
        <v>1883</v>
      </c>
      <c r="E565" s="408">
        <v>2710002054</v>
      </c>
      <c r="F565" s="760">
        <v>46168</v>
      </c>
      <c r="G565" s="380" t="s">
        <v>55</v>
      </c>
      <c r="H565" s="380">
        <v>2</v>
      </c>
      <c r="I565" s="388">
        <v>188175</v>
      </c>
      <c r="J565" s="380">
        <v>3</v>
      </c>
      <c r="K565" s="389">
        <f>47775+46312.5</f>
        <v>94087.5</v>
      </c>
      <c r="L565" s="508">
        <v>46113</v>
      </c>
      <c r="M565" s="508">
        <v>46477</v>
      </c>
      <c r="N565" s="685"/>
      <c r="O565" s="685"/>
      <c r="P565" s="363" t="s">
        <v>520</v>
      </c>
      <c r="Q565" s="380"/>
      <c r="R565" s="380"/>
      <c r="S565" s="390" t="s">
        <v>1080</v>
      </c>
      <c r="T565" s="363" t="s">
        <v>1847</v>
      </c>
      <c r="U565" s="363" t="s">
        <v>1108</v>
      </c>
      <c r="V565" s="363" t="s">
        <v>1884</v>
      </c>
      <c r="W565" s="363" t="s">
        <v>1885</v>
      </c>
      <c r="X565" s="363"/>
      <c r="Y565" s="363"/>
      <c r="Z565" s="363"/>
      <c r="AA565" s="363"/>
      <c r="AB565" s="363"/>
      <c r="AC565" s="363"/>
      <c r="AD565" s="363"/>
      <c r="AE565" s="363" t="s">
        <v>551</v>
      </c>
      <c r="AF565" s="380" t="s">
        <v>207</v>
      </c>
      <c r="AG565" s="380">
        <v>3</v>
      </c>
      <c r="AH565" s="363" t="s">
        <v>1886</v>
      </c>
    </row>
    <row r="566" spans="2:34" ht="15" customHeight="1" x14ac:dyDescent="0.3">
      <c r="B566" s="380" t="s">
        <v>7</v>
      </c>
      <c r="C566" s="553" t="s">
        <v>775</v>
      </c>
      <c r="D566" s="482" t="s">
        <v>1883</v>
      </c>
      <c r="E566" s="408">
        <v>2710002053</v>
      </c>
      <c r="F566" s="760">
        <v>46168</v>
      </c>
      <c r="G566" s="380" t="s">
        <v>55</v>
      </c>
      <c r="H566" s="380">
        <v>2</v>
      </c>
      <c r="I566" s="388">
        <v>160875</v>
      </c>
      <c r="J566" s="380">
        <v>3</v>
      </c>
      <c r="K566" s="389">
        <f>36562.5+43875</f>
        <v>80437.5</v>
      </c>
      <c r="L566" s="508">
        <v>46113</v>
      </c>
      <c r="M566" s="508">
        <v>46477</v>
      </c>
      <c r="N566" s="685"/>
      <c r="O566" s="685"/>
      <c r="P566" s="363" t="s">
        <v>520</v>
      </c>
      <c r="Q566" s="380"/>
      <c r="R566" s="380"/>
      <c r="S566" s="390" t="s">
        <v>1080</v>
      </c>
      <c r="T566" s="363" t="s">
        <v>1854</v>
      </c>
      <c r="U566" s="363" t="s">
        <v>1108</v>
      </c>
      <c r="V566" s="363" t="s">
        <v>1884</v>
      </c>
      <c r="W566" s="363" t="s">
        <v>1885</v>
      </c>
      <c r="X566" s="363"/>
      <c r="Y566" s="363"/>
      <c r="Z566" s="363"/>
      <c r="AA566" s="363"/>
      <c r="AB566" s="363"/>
      <c r="AC566" s="363"/>
      <c r="AD566" s="363"/>
      <c r="AE566" s="363" t="s">
        <v>551</v>
      </c>
      <c r="AF566" s="380" t="s">
        <v>207</v>
      </c>
      <c r="AG566" s="380">
        <v>3</v>
      </c>
      <c r="AH566" s="363" t="s">
        <v>1886</v>
      </c>
    </row>
    <row r="567" spans="2:34" ht="15" customHeight="1" x14ac:dyDescent="0.3">
      <c r="B567" s="380" t="s">
        <v>7</v>
      </c>
      <c r="C567" s="482" t="s">
        <v>1887</v>
      </c>
      <c r="D567" s="482" t="s">
        <v>1031</v>
      </c>
      <c r="E567" s="468">
        <v>4514271746</v>
      </c>
      <c r="F567" s="760">
        <v>46175</v>
      </c>
      <c r="G567" s="380" t="s">
        <v>55</v>
      </c>
      <c r="H567" s="380">
        <v>1</v>
      </c>
      <c r="I567" s="388">
        <v>285000</v>
      </c>
      <c r="J567" s="380">
        <v>3</v>
      </c>
      <c r="K567" s="389">
        <f t="shared" ref="K567:K575" si="27">I567/J567</f>
        <v>95000</v>
      </c>
      <c r="L567" s="775">
        <v>46113</v>
      </c>
      <c r="M567" s="775">
        <v>46477</v>
      </c>
      <c r="N567" s="684"/>
      <c r="O567" s="684"/>
      <c r="P567" s="363" t="s">
        <v>520</v>
      </c>
      <c r="Q567" s="380"/>
      <c r="R567" s="380"/>
      <c r="S567" s="390" t="s">
        <v>1080</v>
      </c>
      <c r="T567" s="363" t="s">
        <v>2038</v>
      </c>
      <c r="U567" s="363" t="s">
        <v>1108</v>
      </c>
      <c r="V567" s="363"/>
      <c r="W567" s="363" t="s">
        <v>1885</v>
      </c>
      <c r="X567" s="363"/>
      <c r="Y567" s="363"/>
      <c r="Z567" s="363"/>
      <c r="AA567" s="363"/>
      <c r="AB567" s="363"/>
      <c r="AC567" s="363"/>
      <c r="AD567" s="363"/>
      <c r="AE567" s="363" t="s">
        <v>478</v>
      </c>
      <c r="AF567" s="380" t="s">
        <v>63</v>
      </c>
      <c r="AG567" s="380">
        <v>5</v>
      </c>
      <c r="AH567" s="363" t="s">
        <v>667</v>
      </c>
    </row>
    <row r="568" spans="2:34" ht="15" customHeight="1" x14ac:dyDescent="0.3">
      <c r="B568" s="380" t="s">
        <v>7</v>
      </c>
      <c r="C568" s="482" t="s">
        <v>1888</v>
      </c>
      <c r="D568" s="482" t="s">
        <v>151</v>
      </c>
      <c r="E568" s="468">
        <v>4504965642</v>
      </c>
      <c r="F568" s="760">
        <v>46112</v>
      </c>
      <c r="G568" s="380" t="s">
        <v>55</v>
      </c>
      <c r="H568" s="380">
        <v>4</v>
      </c>
      <c r="I568" s="388">
        <v>260000</v>
      </c>
      <c r="J568" s="380">
        <v>2</v>
      </c>
      <c r="K568" s="389">
        <f t="shared" si="27"/>
        <v>130000</v>
      </c>
      <c r="L568" s="775">
        <v>46023</v>
      </c>
      <c r="M568" s="775">
        <v>46387</v>
      </c>
      <c r="N568" s="684"/>
      <c r="O568" s="684"/>
      <c r="P568" s="363" t="s">
        <v>520</v>
      </c>
      <c r="Q568" s="380"/>
      <c r="R568" s="380"/>
      <c r="S568" s="390" t="s">
        <v>607</v>
      </c>
      <c r="T568" s="363" t="s">
        <v>1854</v>
      </c>
      <c r="U568" s="363" t="s">
        <v>1889</v>
      </c>
      <c r="V568" s="363"/>
      <c r="W568" s="363"/>
      <c r="X568" s="363"/>
      <c r="Y568" s="363"/>
      <c r="Z568" s="363"/>
      <c r="AA568" s="363"/>
      <c r="AB568" s="363"/>
      <c r="AC568" s="363"/>
      <c r="AD568" s="363"/>
      <c r="AE568" s="363" t="s">
        <v>478</v>
      </c>
      <c r="AF568" s="380" t="s">
        <v>63</v>
      </c>
      <c r="AG568" s="380">
        <v>2</v>
      </c>
      <c r="AH568" s="363" t="s">
        <v>667</v>
      </c>
    </row>
    <row r="569" spans="2:34" ht="15" customHeight="1" x14ac:dyDescent="0.3">
      <c r="B569" s="380" t="s">
        <v>7</v>
      </c>
      <c r="C569" s="482" t="s">
        <v>530</v>
      </c>
      <c r="D569" s="482" t="s">
        <v>1016</v>
      </c>
      <c r="E569" s="468" t="s">
        <v>1890</v>
      </c>
      <c r="F569" s="760">
        <v>46174</v>
      </c>
      <c r="G569" s="380" t="s">
        <v>55</v>
      </c>
      <c r="H569" s="380"/>
      <c r="I569" s="388">
        <f>563400/3</f>
        <v>187800</v>
      </c>
      <c r="J569" s="380">
        <v>3</v>
      </c>
      <c r="K569" s="389">
        <f t="shared" si="27"/>
        <v>62600</v>
      </c>
      <c r="L569" s="775">
        <v>46174</v>
      </c>
      <c r="M569" s="775">
        <v>46538</v>
      </c>
      <c r="N569" s="684"/>
      <c r="O569" s="684"/>
      <c r="P569" s="363" t="s">
        <v>520</v>
      </c>
      <c r="Q569" s="380"/>
      <c r="R569" s="380"/>
      <c r="S569" s="394" t="str" cm="1">
        <f t="array" ref="S569">TEXT(EDATE(L569,{0}),"dd/mm/yyy") &amp; " to " &amp; TEXT(EDATE(L569,{4})-1,"dd/mm/yyyy")</f>
        <v>01/06/2026 to 30/09/2026</v>
      </c>
      <c r="T569" s="363" t="s">
        <v>2032</v>
      </c>
      <c r="U569" s="381" t="str" cm="1">
        <f t="array" ref="U569">TEXT(EDATE(L569,{4}),"dd/mm/yyy") &amp; " to " &amp; TEXT(EDATE(L569,{8})-1,"dd/mm/yyyy")</f>
        <v>01/10/2026 to 31/01/2027</v>
      </c>
      <c r="V569" s="363"/>
      <c r="W569" s="381" t="str" cm="1">
        <f t="array" ref="W569">TEXT(EDATE(L569,{8}),"dd/mm/yyy") &amp; " to " &amp; TEXT(EDATE(L569,{12})-1,"dd/mm/yyyy")</f>
        <v>01/02/2027 to 31/05/2027</v>
      </c>
      <c r="X569" s="363"/>
      <c r="Y569" s="363"/>
      <c r="Z569" s="363"/>
      <c r="AA569" s="363"/>
      <c r="AB569" s="363"/>
      <c r="AC569" s="363"/>
      <c r="AD569" s="363"/>
      <c r="AE569" s="363" t="s">
        <v>619</v>
      </c>
      <c r="AF569" s="380" t="s">
        <v>63</v>
      </c>
      <c r="AG569" s="380">
        <v>3</v>
      </c>
      <c r="AH569" s="363" t="s">
        <v>667</v>
      </c>
    </row>
    <row r="570" spans="2:34" ht="15" customHeight="1" x14ac:dyDescent="0.3">
      <c r="B570" s="380" t="s">
        <v>7</v>
      </c>
      <c r="C570" s="482" t="s">
        <v>530</v>
      </c>
      <c r="D570" s="482" t="s">
        <v>1016</v>
      </c>
      <c r="E570" s="468" t="s">
        <v>1890</v>
      </c>
      <c r="F570" s="760">
        <v>46174</v>
      </c>
      <c r="G570" s="380" t="s">
        <v>55</v>
      </c>
      <c r="H570" s="380"/>
      <c r="I570" s="388">
        <f>563400/3</f>
        <v>187800</v>
      </c>
      <c r="J570" s="380">
        <v>3</v>
      </c>
      <c r="K570" s="389">
        <f t="shared" si="27"/>
        <v>62600</v>
      </c>
      <c r="L570" s="775">
        <v>46539</v>
      </c>
      <c r="M570" s="387">
        <v>46904</v>
      </c>
      <c r="N570" s="680"/>
      <c r="O570" s="680"/>
      <c r="P570" s="363" t="s">
        <v>520</v>
      </c>
      <c r="Q570" s="380"/>
      <c r="R570" s="380"/>
      <c r="S570" s="381" t="str" cm="1">
        <f t="array" ref="S570">TEXT(EDATE(L570,{0}),"dd/mm/yyy") &amp; " to " &amp; TEXT(EDATE(L570,{4})-1,"dd/mm/yyyy")</f>
        <v>01/06/2027 to 30/09/2027</v>
      </c>
      <c r="T570" s="363"/>
      <c r="U570" s="381" t="str" cm="1">
        <f t="array" ref="U570">TEXT(EDATE(L570,{4}),"dd/mm/yyy") &amp; " to " &amp; TEXT(EDATE(L570,{8})-1,"dd/mm/yyyy")</f>
        <v>01/10/2027 to 31/01/2028</v>
      </c>
      <c r="V570" s="363"/>
      <c r="W570" s="381" t="str" cm="1">
        <f t="array" ref="W570">TEXT(EDATE(L570,{8}),"dd/mm/yyy") &amp; " to " &amp; TEXT(EDATE(L570,{12})-1,"dd/mm/yyyy")</f>
        <v>01/02/2028 to 31/05/2028</v>
      </c>
      <c r="X570" s="363"/>
      <c r="Y570" s="363"/>
      <c r="Z570" s="363"/>
      <c r="AA570" s="363"/>
      <c r="AB570" s="363"/>
      <c r="AC570" s="363"/>
      <c r="AD570" s="363"/>
      <c r="AE570" s="363" t="s">
        <v>619</v>
      </c>
      <c r="AF570" s="380" t="s">
        <v>63</v>
      </c>
      <c r="AG570" s="380">
        <v>3</v>
      </c>
      <c r="AH570" s="363" t="s">
        <v>667</v>
      </c>
    </row>
    <row r="571" spans="2:34" ht="15" customHeight="1" x14ac:dyDescent="0.3">
      <c r="B571" s="380" t="s">
        <v>7</v>
      </c>
      <c r="C571" s="482" t="s">
        <v>530</v>
      </c>
      <c r="D571" s="482" t="s">
        <v>1016</v>
      </c>
      <c r="E571" s="468" t="s">
        <v>1890</v>
      </c>
      <c r="F571" s="760">
        <v>46174</v>
      </c>
      <c r="G571" s="380" t="s">
        <v>55</v>
      </c>
      <c r="H571" s="380">
        <v>2</v>
      </c>
      <c r="I571" s="388">
        <f>563400/3</f>
        <v>187800</v>
      </c>
      <c r="J571" s="380">
        <v>3</v>
      </c>
      <c r="K571" s="389">
        <f t="shared" si="27"/>
        <v>62600</v>
      </c>
      <c r="L571" s="775">
        <v>46905</v>
      </c>
      <c r="M571" s="387">
        <v>47269</v>
      </c>
      <c r="N571" s="680"/>
      <c r="O571" s="680"/>
      <c r="P571" s="363" t="s">
        <v>520</v>
      </c>
      <c r="Q571" s="380"/>
      <c r="R571" s="380"/>
      <c r="S571" s="381" t="str" cm="1">
        <f t="array" ref="S571">TEXT(EDATE(L571,{0}),"dd/mm/yyy") &amp; " to " &amp; TEXT(EDATE(L571,{4})-1,"dd/mm/yyyy")</f>
        <v>01/06/2028 to 30/09/2028</v>
      </c>
      <c r="T571" s="363"/>
      <c r="U571" s="381" t="str" cm="1">
        <f t="array" ref="U571">TEXT(EDATE(L571,{4}),"dd/mm/yyy") &amp; " to " &amp; TEXT(EDATE(L571,{8})-1,"dd/mm/yyyy")</f>
        <v>01/10/2028 to 31/01/2029</v>
      </c>
      <c r="V571" s="363"/>
      <c r="W571" s="381" t="str" cm="1">
        <f t="array" ref="W571">TEXT(EDATE($L571,{8}),"dd/mm/yyy") &amp; " to " &amp; TEXT(EDATE($L571,{12})-1,"dd/mm/yyyy")</f>
        <v>01/02/2029 to 31/05/2029</v>
      </c>
      <c r="X571" s="363"/>
      <c r="Y571" s="363"/>
      <c r="Z571" s="363"/>
      <c r="AA571" s="363"/>
      <c r="AB571" s="363"/>
      <c r="AC571" s="363"/>
      <c r="AD571" s="363"/>
      <c r="AE571" s="363" t="s">
        <v>619</v>
      </c>
      <c r="AF571" s="380" t="s">
        <v>63</v>
      </c>
      <c r="AG571" s="380">
        <v>3</v>
      </c>
      <c r="AH571" s="363" t="s">
        <v>667</v>
      </c>
    </row>
    <row r="572" spans="2:34" ht="15" customHeight="1" x14ac:dyDescent="0.3">
      <c r="B572" s="380" t="s">
        <v>7</v>
      </c>
      <c r="C572" s="430" t="s">
        <v>1891</v>
      </c>
      <c r="D572" s="430" t="s">
        <v>1892</v>
      </c>
      <c r="E572" s="419">
        <v>4514063024</v>
      </c>
      <c r="F572" s="765">
        <v>46133</v>
      </c>
      <c r="G572" s="380" t="s">
        <v>55</v>
      </c>
      <c r="H572" s="464">
        <v>1</v>
      </c>
      <c r="I572" s="388">
        <v>50000</v>
      </c>
      <c r="J572" s="380">
        <v>3</v>
      </c>
      <c r="K572" s="389">
        <f t="shared" si="27"/>
        <v>16666.666666666668</v>
      </c>
      <c r="L572" s="488">
        <v>46023</v>
      </c>
      <c r="M572" s="488">
        <v>46387</v>
      </c>
      <c r="N572" s="686"/>
      <c r="O572" s="686"/>
      <c r="P572" s="363" t="s">
        <v>520</v>
      </c>
      <c r="Q572" s="380"/>
      <c r="R572" s="380"/>
      <c r="S572" s="394" t="str" cm="1">
        <f t="array" ref="S572">TEXT(EDATE(L572,{0}),"dd/mm/yyy") &amp; " to " &amp; TEXT(EDATE(L572,{4})-1,"dd/mm/yyyy")</f>
        <v>01/01/2026 to 30/04/2026</v>
      </c>
      <c r="T572" s="363" t="s">
        <v>1852</v>
      </c>
      <c r="U572" s="381" t="str" cm="1">
        <f t="array" ref="U572">TEXT(EDATE(L572,{4}),"dd/mm/yyy") &amp; " to " &amp; TEXT(EDATE(L572,{8})-1,"dd/mm/yyyy")</f>
        <v>01/05/2026 to 31/08/2026</v>
      </c>
      <c r="V572" s="363"/>
      <c r="W572" s="381" t="str" cm="1">
        <f t="array" ref="W572">TEXT(EDATE($L572,{8}),"dd/mm/yyy") &amp; " to " &amp; TEXT(EDATE($L572,{12})-1,"dd/mm/yyyy")</f>
        <v>01/09/2026 to 31/12/2026</v>
      </c>
      <c r="X572" s="363"/>
      <c r="Y572" s="363"/>
      <c r="Z572" s="363"/>
      <c r="AA572" s="363"/>
      <c r="AB572" s="363"/>
      <c r="AC572" s="363"/>
      <c r="AD572" s="363"/>
      <c r="AE572" s="363" t="s">
        <v>478</v>
      </c>
      <c r="AF572" s="380" t="s">
        <v>63</v>
      </c>
      <c r="AG572" s="380">
        <v>5</v>
      </c>
      <c r="AH572" s="363" t="s">
        <v>667</v>
      </c>
    </row>
    <row r="573" spans="2:34" ht="15" customHeight="1" x14ac:dyDescent="0.3">
      <c r="B573" s="380" t="s">
        <v>7</v>
      </c>
      <c r="C573" s="482" t="s">
        <v>130</v>
      </c>
      <c r="D573" s="483" t="s">
        <v>940</v>
      </c>
      <c r="E573" s="468">
        <v>6800051961</v>
      </c>
      <c r="F573" s="760">
        <v>46132</v>
      </c>
      <c r="G573" s="380" t="s">
        <v>55</v>
      </c>
      <c r="H573" s="380">
        <v>1</v>
      </c>
      <c r="I573" s="388">
        <v>89500</v>
      </c>
      <c r="J573" s="380">
        <v>3</v>
      </c>
      <c r="K573" s="389">
        <f t="shared" si="27"/>
        <v>29833.333333333332</v>
      </c>
      <c r="L573" s="508">
        <v>46143</v>
      </c>
      <c r="M573" s="508">
        <v>46507</v>
      </c>
      <c r="N573" s="685"/>
      <c r="O573" s="685"/>
      <c r="P573" s="363" t="s">
        <v>520</v>
      </c>
      <c r="Q573" s="380"/>
      <c r="R573" s="380"/>
      <c r="S573" s="394" t="str" cm="1">
        <f t="array" ref="S573">TEXT(EDATE(L573,{0}),"dd/mm/yyy") &amp; " to " &amp; TEXT(EDATE(L573,{4})-1,"dd/mm/yyyy")</f>
        <v>01/05/2026 to 31/08/2026</v>
      </c>
      <c r="T573" s="363" t="s">
        <v>1712</v>
      </c>
      <c r="U573" s="381" t="str" cm="1">
        <f t="array" ref="U573">TEXT(EDATE(L573,{4}),"dd/mm/yyy") &amp; " to " &amp; TEXT(EDATE(L573,{8})-1,"dd/mm/yyyy")</f>
        <v>01/09/2026 to 31/12/2026</v>
      </c>
      <c r="V573" s="363"/>
      <c r="W573" s="381" t="str" cm="1">
        <f t="array" ref="W573">TEXT(EDATE($L573,{8}),"dd/mm/yyy") &amp; " to " &amp; TEXT(EDATE($L573,{12})-1,"dd/mm/yyyy")</f>
        <v>01/01/2027 to 30/04/2027</v>
      </c>
      <c r="X573" s="363"/>
      <c r="Y573" s="363"/>
      <c r="Z573" s="363"/>
      <c r="AA573" s="363"/>
      <c r="AB573" s="363"/>
      <c r="AC573" s="363"/>
      <c r="AD573" s="363"/>
      <c r="AE573" s="363" t="s">
        <v>1893</v>
      </c>
      <c r="AF573" s="380" t="s">
        <v>97</v>
      </c>
      <c r="AG573" s="380">
        <v>2</v>
      </c>
      <c r="AH573" s="363" t="s">
        <v>1894</v>
      </c>
    </row>
    <row r="574" spans="2:34" ht="15" customHeight="1" x14ac:dyDescent="0.3">
      <c r="B574" s="380" t="s">
        <v>7</v>
      </c>
      <c r="C574" s="482" t="s">
        <v>130</v>
      </c>
      <c r="D574" s="483" t="s">
        <v>940</v>
      </c>
      <c r="E574" s="411">
        <v>6800051960</v>
      </c>
      <c r="F574" s="760">
        <v>46132</v>
      </c>
      <c r="G574" s="380" t="s">
        <v>55</v>
      </c>
      <c r="H574" s="380">
        <v>5</v>
      </c>
      <c r="I574" s="388">
        <f>89500*5</f>
        <v>447500</v>
      </c>
      <c r="J574" s="380">
        <v>3</v>
      </c>
      <c r="K574" s="389">
        <f t="shared" si="27"/>
        <v>149166.66666666666</v>
      </c>
      <c r="L574" s="508">
        <v>46143</v>
      </c>
      <c r="M574" s="508">
        <v>46507</v>
      </c>
      <c r="N574" s="685"/>
      <c r="O574" s="685"/>
      <c r="P574" s="363" t="s">
        <v>520</v>
      </c>
      <c r="Q574" s="380"/>
      <c r="R574" s="380"/>
      <c r="S574" s="394" t="str" cm="1">
        <f t="array" ref="S574">TEXT(EDATE(L574,{0}),"dd/mm/yyy") &amp; " to " &amp; TEXT(EDATE(L574,{4})-1,"dd/mm/yyyy")</f>
        <v>01/05/2026 to 31/08/2026</v>
      </c>
      <c r="T574" s="363" t="s">
        <v>1712</v>
      </c>
      <c r="U574" s="381" t="str" cm="1">
        <f t="array" ref="U574">TEXT(EDATE(L574,{4}),"dd/mm/yyy") &amp; " to " &amp; TEXT(EDATE(L574,{8})-1,"dd/mm/yyyy")</f>
        <v>01/09/2026 to 31/12/2026</v>
      </c>
      <c r="V574" s="363"/>
      <c r="W574" s="381" t="str" cm="1">
        <f t="array" ref="W574">TEXT(EDATE($L574,{8}),"dd/mm/yyy") &amp; " to " &amp; TEXT(EDATE($L574,{12})-1,"dd/mm/yyyy")</f>
        <v>01/01/2027 to 30/04/2027</v>
      </c>
      <c r="X574" s="363"/>
      <c r="Y574" s="363"/>
      <c r="Z574" s="363"/>
      <c r="AA574" s="363"/>
      <c r="AB574" s="363"/>
      <c r="AC574" s="363"/>
      <c r="AD574" s="363"/>
      <c r="AE574" s="363" t="s">
        <v>1893</v>
      </c>
      <c r="AF574" s="380" t="s">
        <v>97</v>
      </c>
      <c r="AG574" s="380">
        <v>2</v>
      </c>
      <c r="AH574" s="363" t="s">
        <v>1894</v>
      </c>
    </row>
    <row r="575" spans="2:34" ht="15" customHeight="1" x14ac:dyDescent="0.3">
      <c r="B575" s="380" t="s">
        <v>7</v>
      </c>
      <c r="C575" s="482" t="s">
        <v>744</v>
      </c>
      <c r="D575" s="483" t="s">
        <v>176</v>
      </c>
      <c r="E575" s="468">
        <v>4500026344</v>
      </c>
      <c r="F575" s="760">
        <v>46092</v>
      </c>
      <c r="G575" s="380" t="s">
        <v>55</v>
      </c>
      <c r="H575" s="380">
        <v>2</v>
      </c>
      <c r="I575" s="388">
        <v>222750</v>
      </c>
      <c r="J575" s="380">
        <v>2</v>
      </c>
      <c r="K575" s="389">
        <f t="shared" si="27"/>
        <v>111375</v>
      </c>
      <c r="L575" s="775">
        <v>46092</v>
      </c>
      <c r="M575" s="775">
        <v>46456</v>
      </c>
      <c r="N575" s="684">
        <v>155386</v>
      </c>
      <c r="O575" s="684">
        <v>4474</v>
      </c>
      <c r="P575" s="363" t="s">
        <v>520</v>
      </c>
      <c r="Q575" s="380"/>
      <c r="R575" s="380"/>
      <c r="S575" s="394" t="str" cm="1">
        <f t="array" ref="S575">TEXT(EDATE($L575,{0}),"dd/mm/yyy") &amp; " to " &amp; TEXT(EDATE($L575,{6})-1,"dd/mm/yyyy")</f>
        <v>11/03/2026 to 10/09/2026</v>
      </c>
      <c r="T575" s="363" t="s">
        <v>2078</v>
      </c>
      <c r="U575" s="381" t="str" cm="1">
        <f t="array" ref="U575">TEXT(EDATE($L575,{6}),"dd/mm/yyy") &amp; " to " &amp; TEXT(EDATE($L575,{12})-1,"dd/mm/yyyy")</f>
        <v>11/09/2026 to 10/03/2027</v>
      </c>
      <c r="V575" s="363" t="s">
        <v>2079</v>
      </c>
      <c r="W575" s="363"/>
      <c r="X575" s="363"/>
      <c r="Y575" s="363"/>
      <c r="Z575" s="363"/>
      <c r="AA575" s="363"/>
      <c r="AB575" s="363"/>
      <c r="AC575" s="363"/>
      <c r="AD575" s="363"/>
      <c r="AE575" s="363" t="s">
        <v>1893</v>
      </c>
      <c r="AF575" s="380" t="s">
        <v>97</v>
      </c>
      <c r="AG575" s="380">
        <v>2</v>
      </c>
      <c r="AH575" s="363" t="s">
        <v>667</v>
      </c>
    </row>
    <row r="576" spans="2:34" ht="15" customHeight="1" x14ac:dyDescent="0.3">
      <c r="B576" s="380" t="s">
        <v>7</v>
      </c>
      <c r="C576" s="412" t="s">
        <v>614</v>
      </c>
      <c r="D576" s="510" t="s">
        <v>447</v>
      </c>
      <c r="E576" s="467" t="s">
        <v>1895</v>
      </c>
      <c r="F576" s="761">
        <v>46171</v>
      </c>
      <c r="G576" s="380" t="s">
        <v>55</v>
      </c>
      <c r="H576" s="380">
        <v>1</v>
      </c>
      <c r="I576" s="388">
        <v>76440</v>
      </c>
      <c r="J576" s="380">
        <v>3</v>
      </c>
      <c r="K576" s="380"/>
      <c r="L576" s="508">
        <v>46174</v>
      </c>
      <c r="M576" s="508">
        <v>46538</v>
      </c>
      <c r="N576" s="685"/>
      <c r="O576" s="685"/>
      <c r="P576" s="363" t="s">
        <v>520</v>
      </c>
      <c r="Q576" s="380"/>
      <c r="R576" s="380"/>
      <c r="S576" s="394" t="str" cm="1">
        <f t="array" ref="S576">TEXT(EDATE(L576,{0}),"dd/mm/yyy") &amp; " to " &amp; TEXT(EDATE(L576,{4})-1,"dd/mm/yyyy")</f>
        <v>01/06/2026 to 30/09/2026</v>
      </c>
      <c r="T576" s="363" t="s">
        <v>1944</v>
      </c>
      <c r="U576" s="381" t="str" cm="1">
        <f t="array" ref="U576">TEXT(EDATE(L576,{4}),"dd/mm/yyy") &amp; " to " &amp; TEXT(EDATE(L576,{8})-1,"dd/mm/yyyy")</f>
        <v>01/10/2026 to 31/01/2027</v>
      </c>
      <c r="V576" s="363"/>
      <c r="W576" s="381" t="str" cm="1">
        <f t="array" ref="W576">TEXT(EDATE($L576,{8}),"dd/mm/yyy") &amp; " to " &amp; TEXT(EDATE($L576,{12})-1,"dd/mm/yyyy")</f>
        <v>01/02/2027 to 31/05/2027</v>
      </c>
      <c r="X576" s="363"/>
      <c r="Y576" s="363"/>
      <c r="Z576" s="363"/>
      <c r="AA576" s="363"/>
      <c r="AB576" s="363"/>
      <c r="AC576" s="363"/>
      <c r="AD576" s="363"/>
      <c r="AE576" s="363" t="s">
        <v>281</v>
      </c>
      <c r="AF576" s="380" t="s">
        <v>97</v>
      </c>
      <c r="AG576" s="380">
        <v>3</v>
      </c>
      <c r="AH576" s="363" t="s">
        <v>1896</v>
      </c>
    </row>
    <row r="577" spans="2:34" ht="15" customHeight="1" x14ac:dyDescent="0.3">
      <c r="B577" s="380" t="s">
        <v>7</v>
      </c>
      <c r="C577" s="478" t="s">
        <v>614</v>
      </c>
      <c r="D577" s="480" t="s">
        <v>447</v>
      </c>
      <c r="E577" s="495" t="s">
        <v>1897</v>
      </c>
      <c r="F577" s="761">
        <v>46091</v>
      </c>
      <c r="G577" s="380" t="s">
        <v>55</v>
      </c>
      <c r="H577" s="380">
        <v>1</v>
      </c>
      <c r="I577" s="388">
        <v>76440</v>
      </c>
      <c r="J577" s="380">
        <v>3</v>
      </c>
      <c r="K577" s="380"/>
      <c r="L577" s="775">
        <v>46143</v>
      </c>
      <c r="M577" s="775">
        <v>46507</v>
      </c>
      <c r="N577" s="684"/>
      <c r="O577" s="684">
        <v>4155</v>
      </c>
      <c r="P577" s="363" t="s">
        <v>520</v>
      </c>
      <c r="Q577" s="380"/>
      <c r="R577" s="380"/>
      <c r="S577" s="394" t="str" cm="1">
        <f t="array" ref="S577">TEXT(EDATE(L577,{0}),"dd/mm/yyy") &amp; " to " &amp; TEXT(EDATE(L577,{4})-1,"dd/mm/yyyy")</f>
        <v>01/05/2026 to 31/08/2026</v>
      </c>
      <c r="T577" s="363" t="s">
        <v>1941</v>
      </c>
      <c r="U577" s="381" t="str" cm="1">
        <f t="array" ref="U577">TEXT(EDATE(L577,{4}),"dd/mm/yyy") &amp; " to " &amp; TEXT(EDATE(L577,{8})-1,"dd/mm/yyyy")</f>
        <v>01/09/2026 to 31/12/2026</v>
      </c>
      <c r="V577" s="363"/>
      <c r="W577" s="381" t="str" cm="1">
        <f t="array" ref="W577">TEXT(EDATE($L577,{8}),"dd/mm/yyy") &amp; " to " &amp; TEXT(EDATE($L577,{12})-1,"dd/mm/yyyy")</f>
        <v>01/01/2027 to 30/04/2027</v>
      </c>
      <c r="X577" s="363"/>
      <c r="Y577" s="363"/>
      <c r="Z577" s="363"/>
      <c r="AA577" s="363"/>
      <c r="AB577" s="363"/>
      <c r="AC577" s="363"/>
      <c r="AD577" s="363"/>
      <c r="AE577" s="363" t="s">
        <v>281</v>
      </c>
      <c r="AF577" s="380" t="s">
        <v>97</v>
      </c>
      <c r="AG577" s="380">
        <v>3</v>
      </c>
      <c r="AH577" s="363" t="s">
        <v>1896</v>
      </c>
    </row>
    <row r="578" spans="2:34" ht="15" customHeight="1" x14ac:dyDescent="0.3">
      <c r="B578" s="380" t="s">
        <v>7</v>
      </c>
      <c r="C578" s="409" t="s">
        <v>614</v>
      </c>
      <c r="D578" s="489" t="s">
        <v>970</v>
      </c>
      <c r="E578" s="425">
        <v>4500050673</v>
      </c>
      <c r="F578" s="760">
        <v>46175</v>
      </c>
      <c r="G578" s="380" t="s">
        <v>55</v>
      </c>
      <c r="H578" s="380">
        <v>2</v>
      </c>
      <c r="I578" s="388">
        <f>I577*2</f>
        <v>152880</v>
      </c>
      <c r="J578" s="380">
        <v>3</v>
      </c>
      <c r="K578" s="380"/>
      <c r="L578" s="508">
        <v>46167</v>
      </c>
      <c r="M578" s="508">
        <v>46531</v>
      </c>
      <c r="N578" s="688"/>
      <c r="O578" s="688"/>
      <c r="P578" s="363" t="s">
        <v>520</v>
      </c>
      <c r="Q578" s="380"/>
      <c r="R578" s="380"/>
      <c r="S578" s="394" t="str" cm="1">
        <f t="array" ref="S578">TEXT(EDATE(L578,{0}),"dd/mm/yyy") &amp; " to " &amp; TEXT(EDATE(L578,{4})-1,"dd/mm/yyyy")</f>
        <v>25/05/2026 to 24/09/2026</v>
      </c>
      <c r="T578" s="363" t="s">
        <v>2037</v>
      </c>
      <c r="U578" s="381" t="str" cm="1">
        <f t="array" ref="U578">TEXT(EDATE(L578,{4}),"dd/mm/yyy") &amp; " to " &amp; TEXT(EDATE(L578,{8})-1,"dd/mm/yyyy")</f>
        <v>25/09/2026 to 24/01/2027</v>
      </c>
      <c r="V578" s="363"/>
      <c r="W578" s="381" t="str" cm="1">
        <f t="array" ref="W578">TEXT(EDATE($L578,{8}),"dd/mm/yyy") &amp; " to " &amp; TEXT(EDATE($L578,{12})-1,"dd/mm/yyyy")</f>
        <v>25/01/2027 to 24/05/2027</v>
      </c>
      <c r="X578" s="363"/>
      <c r="Y578" s="363"/>
      <c r="Z578" s="363"/>
      <c r="AA578" s="363"/>
      <c r="AB578" s="363"/>
      <c r="AC578" s="363"/>
      <c r="AD578" s="363"/>
      <c r="AE578" s="363" t="s">
        <v>281</v>
      </c>
      <c r="AF578" s="380" t="s">
        <v>97</v>
      </c>
      <c r="AG578" s="380">
        <v>3</v>
      </c>
      <c r="AH578" s="363" t="s">
        <v>1896</v>
      </c>
    </row>
    <row r="579" spans="2:34" ht="15" customHeight="1" x14ac:dyDescent="0.3">
      <c r="B579" s="380" t="s">
        <v>7</v>
      </c>
      <c r="C579" s="409" t="s">
        <v>130</v>
      </c>
      <c r="D579" s="434" t="s">
        <v>131</v>
      </c>
      <c r="E579" s="408">
        <v>6800052761</v>
      </c>
      <c r="F579" s="764">
        <v>46181</v>
      </c>
      <c r="G579" s="380" t="s">
        <v>55</v>
      </c>
      <c r="H579" s="408">
        <v>1</v>
      </c>
      <c r="I579" s="388">
        <v>90000</v>
      </c>
      <c r="J579" s="380">
        <v>3</v>
      </c>
      <c r="K579" s="389">
        <f>I579/J579</f>
        <v>30000</v>
      </c>
      <c r="L579" s="508">
        <v>46174</v>
      </c>
      <c r="M579" s="798">
        <v>46538</v>
      </c>
      <c r="N579" s="685">
        <v>155395</v>
      </c>
      <c r="O579" s="685">
        <v>4673</v>
      </c>
      <c r="P579" s="657" t="s">
        <v>520</v>
      </c>
      <c r="Q579" s="380"/>
      <c r="R579" s="380"/>
      <c r="S579" s="394" t="str" cm="1">
        <f t="array" ref="S579">TEXT(EDATE(L579,{0}),"dd/mm/yyy") &amp; " to " &amp; TEXT(EDATE(L579,{4})-1,"dd/mm/yyyy")</f>
        <v>01/06/2026 to 30/09/2026</v>
      </c>
      <c r="T579" s="718" t="s">
        <v>2032</v>
      </c>
      <c r="U579" s="381" t="str" cm="1">
        <f t="array" ref="U579">TEXT(EDATE(L579,{4}),"dd/mm/yyy") &amp; " to " &amp; TEXT(EDATE(L579,{8})-1,"dd/mm/yyyy")</f>
        <v>01/10/2026 to 31/01/2027</v>
      </c>
      <c r="V579" s="363"/>
      <c r="W579" s="381" t="str" cm="1">
        <f t="array" ref="W579">TEXT(EDATE($L579,{8}),"dd/mm/yyy") &amp; " to " &amp; TEXT(EDATE($L579,{12})-1,"dd/mm/yyyy")</f>
        <v>01/02/2027 to 31/05/2027</v>
      </c>
      <c r="X579" s="363"/>
      <c r="Y579" s="363"/>
      <c r="Z579" s="363"/>
      <c r="AA579" s="363"/>
      <c r="AB579" s="363"/>
      <c r="AC579" s="363"/>
      <c r="AD579" s="363"/>
      <c r="AE579" s="363" t="s">
        <v>485</v>
      </c>
      <c r="AF579" s="380" t="s">
        <v>63</v>
      </c>
      <c r="AG579" s="380">
        <v>2</v>
      </c>
      <c r="AH579" s="363" t="s">
        <v>1898</v>
      </c>
    </row>
    <row r="580" spans="2:34" ht="15" customHeight="1" x14ac:dyDescent="0.3">
      <c r="B580" s="380" t="s">
        <v>7</v>
      </c>
      <c r="C580" s="554" t="s">
        <v>508</v>
      </c>
      <c r="D580" s="521" t="s">
        <v>866</v>
      </c>
      <c r="E580" s="468" t="s">
        <v>1899</v>
      </c>
      <c r="F580" s="760">
        <v>46176</v>
      </c>
      <c r="G580" s="380" t="s">
        <v>55</v>
      </c>
      <c r="H580" s="522">
        <v>2</v>
      </c>
      <c r="I580" s="384">
        <v>185000</v>
      </c>
      <c r="J580" s="367">
        <v>3</v>
      </c>
      <c r="K580" s="370">
        <f>I580/2</f>
        <v>92500</v>
      </c>
      <c r="L580" s="778">
        <v>46188</v>
      </c>
      <c r="M580" s="799">
        <v>46552</v>
      </c>
      <c r="N580" s="684"/>
      <c r="O580" s="684"/>
      <c r="P580" s="657" t="s">
        <v>520</v>
      </c>
      <c r="S580" s="394" t="str" cm="1">
        <f t="array" ref="S580">TEXT(EDATE(L580,{0}),"dd/mm/yyy") &amp; " to " &amp; TEXT(EDATE(L580,{4})-1,"dd/mm/yyyy")</f>
        <v>15/06/2026 to 14/10/2026</v>
      </c>
      <c r="T580" s="376" t="s">
        <v>2080</v>
      </c>
      <c r="U580" s="381" t="str" cm="1">
        <f t="array" ref="U580">TEXT(EDATE(L580,{4}),"dd/mm/yyy") &amp; " to " &amp; TEXT(EDATE(L580,{8})-1,"dd/mm/yyyy")</f>
        <v>15/10/2026 to 14/02/2027</v>
      </c>
      <c r="V580" s="376" t="s">
        <v>1901</v>
      </c>
      <c r="W580" s="381" t="str" cm="1">
        <f t="array" ref="W580">TEXT(EDATE($L580,{8}),"dd/mm/yyy") &amp; " to " &amp; TEXT(EDATE($L580,{12})-1,"dd/mm/yyyy")</f>
        <v>15/02/2027 to 14/06/2027</v>
      </c>
      <c r="AE580" s="376" t="s">
        <v>96</v>
      </c>
      <c r="AF580" s="380" t="s">
        <v>97</v>
      </c>
      <c r="AG580" s="367">
        <v>2</v>
      </c>
      <c r="AH580" s="376" t="s">
        <v>1902</v>
      </c>
    </row>
    <row r="581" spans="2:34" ht="15" customHeight="1" x14ac:dyDescent="0.3">
      <c r="B581" s="380" t="s">
        <v>7</v>
      </c>
      <c r="C581" s="364" t="s">
        <v>1903</v>
      </c>
      <c r="D581" s="521" t="s">
        <v>151</v>
      </c>
      <c r="E581" s="419">
        <v>4501011273</v>
      </c>
      <c r="F581" s="760">
        <v>46168</v>
      </c>
      <c r="G581" s="525" t="s">
        <v>55</v>
      </c>
      <c r="H581" s="380">
        <v>1</v>
      </c>
      <c r="I581" s="384">
        <v>90000</v>
      </c>
      <c r="J581" s="367">
        <v>3</v>
      </c>
      <c r="K581" s="370">
        <f>I581/J581</f>
        <v>30000</v>
      </c>
      <c r="L581" s="778">
        <v>46113</v>
      </c>
      <c r="M581" s="799">
        <v>46477</v>
      </c>
      <c r="N581" s="684">
        <v>155455</v>
      </c>
      <c r="O581" s="684">
        <v>4636</v>
      </c>
      <c r="P581" s="657" t="s">
        <v>520</v>
      </c>
      <c r="S581" s="394" t="str" cm="1">
        <f t="array" ref="S581">TEXT(EDATE(L581,{0}),"dd/mm/yyy") &amp; " to " &amp; TEXT(EDATE(L581,{4})-1,"dd/mm/yyyy")</f>
        <v>01/04/2026 to 31/07/2026</v>
      </c>
      <c r="T581" s="376" t="s">
        <v>2018</v>
      </c>
      <c r="U581" s="381" t="str" cm="1">
        <f t="array" ref="U581">TEXT(EDATE(L581,{4}),"dd/mm/yyy") &amp; " to " &amp; TEXT(EDATE(L581,{8})-1,"dd/mm/yyyy")</f>
        <v>01/08/2026 to 30/11/2026</v>
      </c>
      <c r="W581" s="381" t="str" cm="1">
        <f t="array" ref="W581">TEXT(EDATE($L581,{8}),"dd/mm/yyy") &amp; " to " &amp; TEXT(EDATE($L581,{12})-1,"dd/mm/yyyy")</f>
        <v>01/12/2026 to 31/03/2027</v>
      </c>
      <c r="AE581" s="376" t="s">
        <v>478</v>
      </c>
      <c r="AF581" s="380" t="s">
        <v>63</v>
      </c>
      <c r="AG581" s="367">
        <v>2</v>
      </c>
      <c r="AH581" s="376" t="s">
        <v>667</v>
      </c>
    </row>
    <row r="582" spans="2:34" ht="15" customHeight="1" x14ac:dyDescent="0.3">
      <c r="B582" s="380" t="s">
        <v>7</v>
      </c>
      <c r="C582" s="364" t="s">
        <v>658</v>
      </c>
      <c r="D582" s="521" t="s">
        <v>388</v>
      </c>
      <c r="E582" s="468" t="s">
        <v>1904</v>
      </c>
      <c r="F582" s="760">
        <v>46126</v>
      </c>
      <c r="G582" s="525" t="s">
        <v>55</v>
      </c>
      <c r="H582" s="540">
        <v>1</v>
      </c>
      <c r="I582" s="384">
        <v>73500</v>
      </c>
      <c r="J582" s="367">
        <v>2</v>
      </c>
      <c r="K582" s="370">
        <f>I582/2</f>
        <v>36750</v>
      </c>
      <c r="L582" s="778">
        <v>46082</v>
      </c>
      <c r="M582" s="799">
        <v>46446</v>
      </c>
      <c r="N582" s="684">
        <v>155448</v>
      </c>
      <c r="O582" s="684">
        <v>4613</v>
      </c>
      <c r="P582" s="657" t="s">
        <v>520</v>
      </c>
      <c r="S582" s="394" t="str" cm="1">
        <f t="array" ref="S582">TEXT(EDATE($L582,{0}),"dd/mm/yyy") &amp; " to " &amp; TEXT(EDATE($L582,{6})-1,"dd/mm/yyyy")</f>
        <v>01/03/2026 to 31/08/2026</v>
      </c>
      <c r="T582" s="718" t="s">
        <v>2073</v>
      </c>
      <c r="U582" s="381" t="str" cm="1">
        <f t="array" ref="U582">TEXT(EDATE($L582,{6}),"dd/mm/yyy") &amp; " to " &amp; TEXT(EDATE($L582,{12})-1,"dd/mm/yyyy")</f>
        <v>01/09/2026 to 28/02/2027</v>
      </c>
      <c r="AE582" s="376" t="s">
        <v>619</v>
      </c>
      <c r="AF582" s="380" t="s">
        <v>63</v>
      </c>
      <c r="AG582" s="367">
        <v>3</v>
      </c>
      <c r="AH582" s="376" t="s">
        <v>667</v>
      </c>
    </row>
    <row r="583" spans="2:34" ht="15" customHeight="1" x14ac:dyDescent="0.3">
      <c r="B583" s="380" t="s">
        <v>7</v>
      </c>
      <c r="C583" s="526" t="s">
        <v>734</v>
      </c>
      <c r="D583" s="527" t="s">
        <v>323</v>
      </c>
      <c r="E583" s="419">
        <v>101289109</v>
      </c>
      <c r="F583" s="760">
        <v>46185</v>
      </c>
      <c r="G583" s="525" t="s">
        <v>55</v>
      </c>
      <c r="H583" s="380">
        <v>4</v>
      </c>
      <c r="I583" s="384">
        <v>322680</v>
      </c>
      <c r="J583" s="367">
        <v>3</v>
      </c>
      <c r="K583" s="370">
        <f>I583/J583</f>
        <v>107560</v>
      </c>
      <c r="L583" s="779">
        <v>46174</v>
      </c>
      <c r="M583" s="800">
        <v>46507</v>
      </c>
      <c r="N583" s="684">
        <v>155400</v>
      </c>
      <c r="O583" s="684">
        <v>4906</v>
      </c>
      <c r="P583" s="657" t="s">
        <v>520</v>
      </c>
      <c r="S583" s="394" t="str" cm="1">
        <f t="array" ref="S583">TEXT(EDATE($L583,{0}),"dd/mm/yyy") &amp; " to " &amp; TEXT(EDATE($L583,{4})-1,"dd/mm/yyyy")</f>
        <v>01/06/2026 to 30/09/2026</v>
      </c>
      <c r="T583" s="363" t="s">
        <v>2014</v>
      </c>
      <c r="U583" s="381" t="str" cm="1">
        <f t="array" ref="U583">TEXT(EDATE($L583,{4}),"dd/mm/yyy") &amp; " to " &amp; TEXT(EDATE($L583,{8})-1,"dd/mm/yyyy")</f>
        <v>01/10/2026 to 31/01/2027</v>
      </c>
      <c r="V583" s="363"/>
      <c r="W583" s="381" t="s">
        <v>457</v>
      </c>
      <c r="AE583" s="376" t="s">
        <v>96</v>
      </c>
      <c r="AF583" s="380" t="s">
        <v>97</v>
      </c>
      <c r="AG583" s="367" t="s">
        <v>494</v>
      </c>
      <c r="AH583" s="376" t="s">
        <v>1905</v>
      </c>
    </row>
    <row r="584" spans="2:34" ht="15" customHeight="1" x14ac:dyDescent="0.3">
      <c r="B584" s="380" t="s">
        <v>7</v>
      </c>
      <c r="C584" s="600" t="s">
        <v>775</v>
      </c>
      <c r="D584" s="733" t="s">
        <v>776</v>
      </c>
      <c r="E584" s="732">
        <v>2710002115</v>
      </c>
      <c r="F584" s="766">
        <v>46185</v>
      </c>
      <c r="G584" s="525" t="s">
        <v>55</v>
      </c>
      <c r="H584" s="380">
        <v>2</v>
      </c>
      <c r="I584" s="384">
        <v>129320</v>
      </c>
      <c r="J584" s="367">
        <v>3</v>
      </c>
      <c r="K584" s="370">
        <f>I584/2</f>
        <v>64660</v>
      </c>
      <c r="L584" s="780">
        <v>46113</v>
      </c>
      <c r="M584" s="782">
        <v>46477</v>
      </c>
      <c r="N584" s="689"/>
      <c r="O584" s="689"/>
      <c r="P584" s="363" t="s">
        <v>520</v>
      </c>
      <c r="S584" s="394" t="str" cm="1">
        <f t="array" ref="S584">TEXT(EDATE($L584,{0}),"dd/mm/yyy") &amp; " to " &amp; TEXT(EDATE($L584,{4})-1,"dd/mm/yyyy")</f>
        <v>01/04/2026 to 31/07/2026</v>
      </c>
      <c r="T584" s="376" t="s">
        <v>1874</v>
      </c>
      <c r="U584" s="381" t="str" cm="1">
        <f t="array" ref="U584">TEXT(EDATE($L584,{4}),"dd/mm/yyy") &amp; " to " &amp; TEXT(EDATE($L584,{8})-1,"dd/mm/yyyy")</f>
        <v>01/08/2026 to 30/11/2026</v>
      </c>
      <c r="V584" s="376" t="s">
        <v>1906</v>
      </c>
      <c r="W584" s="381" t="str" cm="1">
        <f t="array" ref="W584">TEXT(EDATE($L584,{8}),"dd/mm/yyy") &amp; " to " &amp; TEXT(EDATE($L584,{12})-1,"dd/mm/yyyy")</f>
        <v>01/12/2026 to 31/03/2027</v>
      </c>
      <c r="AE584" s="376" t="s">
        <v>551</v>
      </c>
      <c r="AF584" s="380" t="s">
        <v>207</v>
      </c>
      <c r="AG584" s="367">
        <v>3</v>
      </c>
      <c r="AH584" s="376" t="s">
        <v>1907</v>
      </c>
    </row>
    <row r="585" spans="2:34" ht="15" customHeight="1" x14ac:dyDescent="0.3">
      <c r="B585" s="380" t="s">
        <v>7</v>
      </c>
      <c r="C585" s="556" t="s">
        <v>658</v>
      </c>
      <c r="D585" s="557" t="s">
        <v>151</v>
      </c>
      <c r="E585" s="728">
        <v>6500016201</v>
      </c>
      <c r="F585" s="766">
        <v>46188</v>
      </c>
      <c r="G585" s="525" t="s">
        <v>55</v>
      </c>
      <c r="H585" s="540">
        <v>8</v>
      </c>
      <c r="I585" s="384">
        <v>448000</v>
      </c>
      <c r="J585" s="367">
        <v>1</v>
      </c>
      <c r="K585" s="370">
        <f t="shared" ref="K585:K592" si="28">I585/J585</f>
        <v>448000</v>
      </c>
      <c r="L585" s="781">
        <v>46113</v>
      </c>
      <c r="M585" s="801">
        <v>46477</v>
      </c>
      <c r="N585" s="690"/>
      <c r="O585" s="690"/>
      <c r="P585" s="363" t="s">
        <v>520</v>
      </c>
      <c r="S585" s="376" t="s">
        <v>646</v>
      </c>
      <c r="AE585" s="376" t="s">
        <v>507</v>
      </c>
      <c r="AF585" s="380" t="s">
        <v>63</v>
      </c>
      <c r="AG585" s="367">
        <v>2</v>
      </c>
      <c r="AH585" s="376" t="s">
        <v>1908</v>
      </c>
    </row>
    <row r="586" spans="2:34" ht="15" customHeight="1" x14ac:dyDescent="0.3">
      <c r="B586" s="380" t="s">
        <v>7</v>
      </c>
      <c r="C586" s="37" t="s">
        <v>1909</v>
      </c>
      <c r="D586" s="557" t="s">
        <v>151</v>
      </c>
      <c r="E586" s="174">
        <v>4601561729</v>
      </c>
      <c r="F586" s="766">
        <v>46189</v>
      </c>
      <c r="G586" s="525" t="s">
        <v>55</v>
      </c>
      <c r="H586" s="380">
        <v>2</v>
      </c>
      <c r="I586" s="384">
        <f>84999+84999</f>
        <v>169998</v>
      </c>
      <c r="J586" s="367">
        <v>3</v>
      </c>
      <c r="K586" s="370">
        <f t="shared" si="28"/>
        <v>56666</v>
      </c>
      <c r="L586" s="780">
        <v>46113</v>
      </c>
      <c r="M586" s="782">
        <v>46477</v>
      </c>
      <c r="N586" s="689"/>
      <c r="O586" s="689"/>
      <c r="P586" s="363" t="s">
        <v>520</v>
      </c>
      <c r="S586" s="394" t="str" cm="1">
        <f t="array" ref="S586">TEXT(EDATE($L586,{0}),"dd/mm/yyy") &amp; " to " &amp; TEXT(EDATE($L586,{4})-1,"dd/mm/yyyy")</f>
        <v>01/04/2026 to 31/07/2026</v>
      </c>
      <c r="T586" s="363" t="s">
        <v>1844</v>
      </c>
      <c r="U586" s="381" t="str" cm="1">
        <f t="array" ref="U586">TEXT(EDATE($L586,{4}),"dd/mm/yyy") &amp; " to " &amp; TEXT(EDATE($L586,{8})-1,"dd/mm/yyyy")</f>
        <v>01/08/2026 to 30/11/2026</v>
      </c>
      <c r="V586" s="363"/>
      <c r="W586" s="381" t="str" cm="1">
        <f t="array" ref="W586">TEXT(EDATE($L586,{8}),"dd/mm/yyy") &amp; " to " &amp; TEXT(EDATE($L586,{12})-1,"dd/mm/yyyy")</f>
        <v>01/12/2026 to 31/03/2027</v>
      </c>
      <c r="AE586" s="376" t="s">
        <v>478</v>
      </c>
      <c r="AF586" s="380" t="s">
        <v>63</v>
      </c>
      <c r="AG586" s="367">
        <v>3</v>
      </c>
      <c r="AH586" s="376" t="s">
        <v>667</v>
      </c>
    </row>
    <row r="587" spans="2:34" ht="15" customHeight="1" x14ac:dyDescent="0.3">
      <c r="B587" s="380" t="s">
        <v>7</v>
      </c>
      <c r="C587" s="556" t="s">
        <v>1069</v>
      </c>
      <c r="D587" s="557" t="s">
        <v>1137</v>
      </c>
      <c r="E587" s="50">
        <v>4400023545</v>
      </c>
      <c r="F587" s="766">
        <v>46191</v>
      </c>
      <c r="G587" s="525" t="s">
        <v>55</v>
      </c>
      <c r="H587" s="380">
        <v>1</v>
      </c>
      <c r="I587" s="384">
        <v>50000.01</v>
      </c>
      <c r="J587" s="367">
        <v>3</v>
      </c>
      <c r="K587" s="370">
        <f t="shared" si="28"/>
        <v>16666.670000000002</v>
      </c>
      <c r="L587" s="781">
        <v>46204</v>
      </c>
      <c r="M587" s="801">
        <v>46568</v>
      </c>
      <c r="N587" s="690"/>
      <c r="O587" s="690"/>
      <c r="P587" s="363" t="s">
        <v>520</v>
      </c>
      <c r="S587" s="381" t="str" cm="1">
        <f t="array" ref="S587">TEXT(EDATE($L587,{0}),"dd/mm/yyy") &amp; " to " &amp; TEXT(EDATE($L587,{4})-1,"dd/mm/yyyy")</f>
        <v>01/07/2026 to 31/10/2026</v>
      </c>
      <c r="T587" s="363"/>
      <c r="U587" s="381" t="str" cm="1">
        <f t="array" ref="U587">TEXT(EDATE($L587,{4}),"dd/mm/yyy") &amp; " to " &amp; TEXT(EDATE($L587,{8})-1,"dd/mm/yyyy")</f>
        <v>01/11/2026 to 28/02/2027</v>
      </c>
      <c r="V587" s="363"/>
      <c r="W587" s="381" t="str" cm="1">
        <f t="array" ref="W587">TEXT(EDATE($L587,{8}),"dd/mm/yyy") &amp; " to " &amp; TEXT(EDATE($L587,{12})-1,"dd/mm/yyyy")</f>
        <v>01/03/2027 to 30/06/2027</v>
      </c>
      <c r="AE587" s="376" t="s">
        <v>478</v>
      </c>
      <c r="AF587" s="380" t="s">
        <v>63</v>
      </c>
      <c r="AG587" s="367">
        <v>5</v>
      </c>
      <c r="AH587" s="376" t="s">
        <v>667</v>
      </c>
    </row>
    <row r="588" spans="2:34" ht="15" customHeight="1" x14ac:dyDescent="0.3">
      <c r="B588" s="380" t="s">
        <v>7</v>
      </c>
      <c r="C588" s="37" t="s">
        <v>1203</v>
      </c>
      <c r="D588" s="560" t="s">
        <v>997</v>
      </c>
      <c r="E588" s="50" t="s">
        <v>1910</v>
      </c>
      <c r="F588" s="766">
        <v>46191</v>
      </c>
      <c r="G588" s="525" t="s">
        <v>55</v>
      </c>
      <c r="H588" s="540">
        <v>1</v>
      </c>
      <c r="I588" s="384">
        <v>85000.05</v>
      </c>
      <c r="J588" s="367">
        <v>3</v>
      </c>
      <c r="K588" s="370">
        <f t="shared" si="28"/>
        <v>28333.350000000002</v>
      </c>
      <c r="L588" s="780">
        <v>46204</v>
      </c>
      <c r="M588" s="782">
        <v>46568</v>
      </c>
      <c r="N588" s="689"/>
      <c r="O588" s="689"/>
      <c r="P588" s="363" t="s">
        <v>520</v>
      </c>
      <c r="S588" s="381" t="str" cm="1">
        <f t="array" ref="S588">TEXT(EDATE($L588,{0}),"dd/mm/yyy") &amp; " to " &amp; TEXT(EDATE($L588,{4})-1,"dd/mm/yyyy")</f>
        <v>01/07/2026 to 31/10/2026</v>
      </c>
      <c r="U588" s="381" t="str" cm="1">
        <f t="array" ref="U588">TEXT(EDATE($L588,{4}),"dd/mm/yyy") &amp; " to " &amp; TEXT(EDATE($L588,{8})-1,"dd/mm/yyyy")</f>
        <v>01/11/2026 to 28/02/2027</v>
      </c>
      <c r="W588" s="381" t="str" cm="1">
        <f t="array" ref="W588">TEXT(EDATE($L588,{8}),"dd/mm/yyy") &amp; " to " &amp; TEXT(EDATE($L588,{12})-1,"dd/mm/yyyy")</f>
        <v>01/03/2027 to 30/06/2027</v>
      </c>
      <c r="AE588" s="376" t="s">
        <v>96</v>
      </c>
      <c r="AF588" s="380" t="s">
        <v>97</v>
      </c>
      <c r="AG588" s="367" t="s">
        <v>494</v>
      </c>
      <c r="AH588" s="376" t="s">
        <v>667</v>
      </c>
    </row>
    <row r="589" spans="2:34" ht="15" customHeight="1" x14ac:dyDescent="0.3">
      <c r="B589" s="380" t="s">
        <v>7</v>
      </c>
      <c r="C589" s="37" t="s">
        <v>1911</v>
      </c>
      <c r="D589" s="37" t="s">
        <v>1282</v>
      </c>
      <c r="E589" s="125">
        <v>9200017243</v>
      </c>
      <c r="F589" s="767">
        <v>46165</v>
      </c>
      <c r="G589" s="525" t="s">
        <v>55</v>
      </c>
      <c r="H589" s="380">
        <v>1</v>
      </c>
      <c r="I589" s="384">
        <v>91998</v>
      </c>
      <c r="J589" s="367">
        <v>3</v>
      </c>
      <c r="K589" s="370">
        <f t="shared" si="28"/>
        <v>30666</v>
      </c>
      <c r="L589" s="780">
        <v>46196</v>
      </c>
      <c r="M589" s="782">
        <v>46560</v>
      </c>
      <c r="N589" s="689"/>
      <c r="O589" s="689"/>
      <c r="P589" s="363" t="s">
        <v>520</v>
      </c>
      <c r="S589" s="394" t="str" cm="1">
        <f t="array" ref="S589">TEXT(EDATE($L589,{0}),"dd/mm/yyy") &amp; " to " &amp; TEXT(EDATE($L589,{4})-1,"dd/mm/yyyy")</f>
        <v>23/06/2026 to 22/10/2026</v>
      </c>
      <c r="T589" s="376" t="s">
        <v>1940</v>
      </c>
      <c r="U589" s="381" t="str" cm="1">
        <f t="array" ref="U589">TEXT(EDATE($L589,{4}),"dd/mm/yyy") &amp; " to " &amp; TEXT(EDATE($L589,{8})-1,"dd/mm/yyyy")</f>
        <v>23/10/2026 to 22/02/2027</v>
      </c>
      <c r="W589" s="381" t="str" cm="1">
        <f t="array" ref="W589">TEXT(EDATE($L589,{8}),"dd/mm/yyy") &amp; " to " &amp; TEXT(EDATE($L589,{12})-1,"dd/mm/yyyy")</f>
        <v>23/02/2027 to 22/06/2027</v>
      </c>
      <c r="AE589" s="376" t="s">
        <v>1912</v>
      </c>
      <c r="AF589" s="380" t="s">
        <v>97</v>
      </c>
      <c r="AG589" s="380">
        <v>3</v>
      </c>
      <c r="AH589" s="366" t="s">
        <v>1345</v>
      </c>
    </row>
    <row r="590" spans="2:34" ht="15" customHeight="1" x14ac:dyDescent="0.3">
      <c r="B590" s="380" t="s">
        <v>7</v>
      </c>
      <c r="C590" s="561" t="s">
        <v>604</v>
      </c>
      <c r="D590" s="561" t="s">
        <v>1913</v>
      </c>
      <c r="E590" s="50">
        <v>5700221111</v>
      </c>
      <c r="F590" s="766">
        <v>46182</v>
      </c>
      <c r="G590" s="525" t="s">
        <v>55</v>
      </c>
      <c r="H590" s="540">
        <v>1</v>
      </c>
      <c r="I590" s="384">
        <v>118335</v>
      </c>
      <c r="J590" s="367">
        <v>2</v>
      </c>
      <c r="K590" s="370">
        <f t="shared" si="28"/>
        <v>59167.5</v>
      </c>
      <c r="L590" s="782">
        <v>46170</v>
      </c>
      <c r="M590" s="782">
        <v>46534</v>
      </c>
      <c r="N590" s="689"/>
      <c r="O590" s="689"/>
      <c r="P590" s="363" t="s">
        <v>520</v>
      </c>
      <c r="S590" s="381" t="str" cm="1">
        <f t="array" ref="S590">TEXT(EDATE($L590,{0}),"dd/mm/yyy") &amp; " to " &amp; TEXT(EDATE($L590,{6})-1,"dd/mm/yyyy")</f>
        <v>28/05/2026 to 27/11/2026</v>
      </c>
      <c r="T590" s="382"/>
      <c r="U590" s="381" t="str" cm="1">
        <f t="array" ref="U590">TEXT(EDATE($L590,{6}),"dd/mm/yyy") &amp; " to " &amp; TEXT(EDATE($L590,{12})-1,"dd/mm/yyyy")</f>
        <v>28/11/2026 to 27/05/2027</v>
      </c>
      <c r="AE590" s="376" t="s">
        <v>1912</v>
      </c>
      <c r="AF590" s="380" t="s">
        <v>97</v>
      </c>
      <c r="AG590" s="367">
        <v>2</v>
      </c>
      <c r="AH590" s="366" t="s">
        <v>799</v>
      </c>
    </row>
    <row r="591" spans="2:34" ht="15" customHeight="1" x14ac:dyDescent="0.3">
      <c r="B591" s="380" t="s">
        <v>7</v>
      </c>
      <c r="C591" s="39" t="s">
        <v>130</v>
      </c>
      <c r="D591" s="562" t="s">
        <v>1572</v>
      </c>
      <c r="E591" s="330">
        <v>6800051942</v>
      </c>
      <c r="F591" s="766">
        <v>46129</v>
      </c>
      <c r="G591" s="525" t="s">
        <v>55</v>
      </c>
      <c r="H591" s="380">
        <v>1</v>
      </c>
      <c r="I591" s="384">
        <v>88000</v>
      </c>
      <c r="J591" s="367">
        <v>2</v>
      </c>
      <c r="K591" s="370">
        <f t="shared" si="28"/>
        <v>44000</v>
      </c>
      <c r="L591" s="619">
        <v>46126</v>
      </c>
      <c r="M591" s="619">
        <v>46490</v>
      </c>
      <c r="N591" s="691"/>
      <c r="O591" s="691"/>
      <c r="P591" s="363" t="s">
        <v>520</v>
      </c>
      <c r="S591" s="381" t="str" cm="1">
        <f t="array" ref="S591">TEXT(EDATE($L591,{0}),"dd/mm/yyy") &amp; " to " &amp; TEXT(EDATE($L591,{6})-1,"dd/mm/yyyy")</f>
        <v>14/04/2026 to 13/10/2026</v>
      </c>
      <c r="U591" s="381" t="str" cm="1">
        <f t="array" ref="U591">TEXT(EDATE($L591,{6}),"dd/mm/yyy") &amp; " to " &amp; TEXT(EDATE($L591,{12})-1,"dd/mm/yyyy")</f>
        <v>14/10/2026 to 13/04/2027</v>
      </c>
      <c r="AE591" s="376" t="s">
        <v>1893</v>
      </c>
      <c r="AF591" s="380" t="s">
        <v>97</v>
      </c>
      <c r="AG591" s="367">
        <v>2</v>
      </c>
      <c r="AH591" s="376" t="s">
        <v>1914</v>
      </c>
    </row>
    <row r="592" spans="2:34" ht="15" hidden="1" customHeight="1" x14ac:dyDescent="0.3">
      <c r="B592" s="380" t="s">
        <v>7</v>
      </c>
      <c r="C592" s="563" t="s">
        <v>1915</v>
      </c>
      <c r="D592" s="564" t="s">
        <v>1916</v>
      </c>
      <c r="E592" s="50">
        <v>6200828878</v>
      </c>
      <c r="F592" s="766">
        <v>46185</v>
      </c>
      <c r="G592" s="525" t="s">
        <v>55</v>
      </c>
      <c r="H592" s="540">
        <v>1</v>
      </c>
      <c r="I592" s="384">
        <v>75000</v>
      </c>
      <c r="J592" s="367">
        <v>3</v>
      </c>
      <c r="K592" s="370">
        <f t="shared" si="28"/>
        <v>25000</v>
      </c>
      <c r="L592" s="644">
        <v>46174</v>
      </c>
      <c r="M592" s="644">
        <v>46538</v>
      </c>
      <c r="P592" s="363" t="s">
        <v>998</v>
      </c>
      <c r="S592" s="381" t="str" cm="1">
        <f t="array" ref="S592">TEXT(EDATE($L592,{0}),"dd/mm/yyy") &amp; " to " &amp; TEXT(EDATE($L592,{4})-1,"dd/mm/yyyy")</f>
        <v>01/06/2026 to 30/09/2026</v>
      </c>
      <c r="U592" s="381" t="str" cm="1">
        <f t="array" ref="U592">TEXT(EDATE($L592,{4}),"dd/mm/yyy") &amp; " to " &amp; TEXT(EDATE($L592,{8})-1,"dd/mm/yyyy")</f>
        <v>01/10/2026 to 31/01/2027</v>
      </c>
      <c r="W592" s="381" t="str" cm="1">
        <f t="array" ref="W592">TEXT(EDATE($L592,{8}),"dd/mm/yyy") &amp; " to " &amp; TEXT(EDATE($L592,{12})-1,"dd/mm/yyyy")</f>
        <v>01/02/2027 to 31/05/2027</v>
      </c>
      <c r="AE592" s="376" t="s">
        <v>478</v>
      </c>
      <c r="AF592" s="380" t="s">
        <v>63</v>
      </c>
      <c r="AG592" s="367">
        <v>5</v>
      </c>
      <c r="AH592" s="376" t="s">
        <v>667</v>
      </c>
    </row>
    <row r="593" spans="2:34" ht="15" customHeight="1" x14ac:dyDescent="0.3">
      <c r="B593" s="380" t="s">
        <v>7</v>
      </c>
      <c r="C593" s="39" t="s">
        <v>614</v>
      </c>
      <c r="D593" s="562" t="s">
        <v>447</v>
      </c>
      <c r="E593" s="695" t="s">
        <v>1917</v>
      </c>
      <c r="F593" s="766">
        <v>46190</v>
      </c>
      <c r="G593" s="525" t="s">
        <v>55</v>
      </c>
      <c r="H593" s="380">
        <v>15</v>
      </c>
      <c r="I593" s="384">
        <v>1146599</v>
      </c>
      <c r="J593" s="367">
        <v>3</v>
      </c>
      <c r="K593" s="370"/>
      <c r="L593" s="619">
        <v>46204</v>
      </c>
      <c r="M593" s="619">
        <v>46538</v>
      </c>
      <c r="N593" s="691">
        <v>155338</v>
      </c>
      <c r="O593" s="691"/>
      <c r="P593" s="363" t="s">
        <v>520</v>
      </c>
      <c r="S593" s="394" t="str" cm="1">
        <f t="array" ref="S593">TEXT(EDATE($L593,{0}),"dd/mm/yyy") &amp; " to " &amp; TEXT(EDATE($L593,{4})-1,"dd/mm/yyyy")</f>
        <v>01/07/2026 to 31/10/2026</v>
      </c>
      <c r="T593" s="363" t="s">
        <v>2047</v>
      </c>
      <c r="U593" s="381" t="str" cm="1">
        <f t="array" ref="U593">TEXT(EDATE($L593,{4}),"dd/mm/yyy") &amp; " to " &amp; TEXT(EDATE($L593,{8})-1,"dd/mm/yyyy")</f>
        <v>01/11/2026 to 28/02/2027</v>
      </c>
      <c r="V593" s="363"/>
      <c r="W593" s="381" t="s">
        <v>1247</v>
      </c>
      <c r="AE593" s="376" t="s">
        <v>281</v>
      </c>
      <c r="AF593" s="380" t="s">
        <v>97</v>
      </c>
      <c r="AG593" s="367">
        <v>3</v>
      </c>
    </row>
    <row r="594" spans="2:34" ht="15" customHeight="1" x14ac:dyDescent="0.3">
      <c r="B594" s="380" t="s">
        <v>7</v>
      </c>
      <c r="C594" s="565" t="s">
        <v>1918</v>
      </c>
      <c r="D594" s="566" t="s">
        <v>388</v>
      </c>
      <c r="E594" s="269" t="s">
        <v>1919</v>
      </c>
      <c r="F594" s="766">
        <v>46195</v>
      </c>
      <c r="G594" s="525" t="s">
        <v>55</v>
      </c>
      <c r="H594" s="540">
        <v>3</v>
      </c>
      <c r="I594" s="384">
        <v>220500</v>
      </c>
      <c r="J594" s="367">
        <v>2</v>
      </c>
      <c r="K594" s="370">
        <f>I594/J594</f>
        <v>110250</v>
      </c>
      <c r="L594" s="783">
        <v>46174</v>
      </c>
      <c r="M594" s="783">
        <v>46538</v>
      </c>
      <c r="N594" s="692"/>
      <c r="O594" s="692"/>
      <c r="P594" s="363" t="s">
        <v>520</v>
      </c>
      <c r="S594" s="381" t="str" cm="1">
        <f t="array" ref="S594">TEXT(EDATE($L594,{0}),"dd/mm/yyy") &amp; " to " &amp; TEXT(EDATE($L594,{6})-1,"dd/mm/yyyy")</f>
        <v>01/06/2026 to 30/11/2026</v>
      </c>
      <c r="T594" s="382"/>
      <c r="U594" s="381" t="str" cm="1">
        <f t="array" ref="U594">TEXT(EDATE($L594,{6}),"dd/mm/yyy") &amp; " to " &amp; TEXT(EDATE($L594,{12})-1,"dd/mm/yyyy")</f>
        <v>01/12/2026 to 31/05/2027</v>
      </c>
      <c r="AE594" s="376" t="s">
        <v>478</v>
      </c>
      <c r="AF594" s="380" t="s">
        <v>63</v>
      </c>
      <c r="AG594" s="367">
        <v>5</v>
      </c>
      <c r="AH594" s="376" t="s">
        <v>667</v>
      </c>
    </row>
    <row r="595" spans="2:34" ht="15" customHeight="1" x14ac:dyDescent="0.3">
      <c r="B595" s="380" t="s">
        <v>7</v>
      </c>
      <c r="C595" s="565" t="s">
        <v>1346</v>
      </c>
      <c r="D595" s="566" t="s">
        <v>1920</v>
      </c>
      <c r="E595" s="269" t="s">
        <v>1921</v>
      </c>
      <c r="F595" s="766">
        <v>46133</v>
      </c>
      <c r="G595" s="525" t="s">
        <v>55</v>
      </c>
      <c r="H595" s="540">
        <v>1</v>
      </c>
      <c r="I595" s="384">
        <v>90000</v>
      </c>
      <c r="J595" s="367">
        <v>2</v>
      </c>
      <c r="K595" s="370">
        <f>I595/J595</f>
        <v>45000</v>
      </c>
      <c r="L595" s="783">
        <v>46113</v>
      </c>
      <c r="M595" s="783">
        <v>46477</v>
      </c>
      <c r="N595" s="692">
        <v>155470</v>
      </c>
      <c r="O595" s="692">
        <v>4590</v>
      </c>
      <c r="P595" s="363" t="s">
        <v>520</v>
      </c>
      <c r="S595" s="394" t="str" cm="1">
        <f t="array" ref="S595">TEXT(EDATE($L595,{0}),"dd/mm/yyy") &amp; " to " &amp; TEXT(EDATE($L595,{6})-1,"dd/mm/yyyy")</f>
        <v>01/04/2026 to 30/09/2026</v>
      </c>
      <c r="T595" s="376" t="s">
        <v>2018</v>
      </c>
      <c r="U595" s="381" t="str" cm="1">
        <f t="array" ref="U595">TEXT(EDATE($L595,{6}),"dd/mm/yyy") &amp; " to " &amp; TEXT(EDATE($L595,{12})-1,"dd/mm/yyyy")</f>
        <v>01/10/2026 to 31/03/2027</v>
      </c>
      <c r="AE595" s="376" t="s">
        <v>96</v>
      </c>
      <c r="AF595" s="380" t="s">
        <v>97</v>
      </c>
      <c r="AG595" s="367">
        <v>3</v>
      </c>
      <c r="AH595" s="376" t="s">
        <v>667</v>
      </c>
    </row>
    <row r="596" spans="2:34" ht="15" customHeight="1" x14ac:dyDescent="0.3">
      <c r="B596" s="380" t="s">
        <v>7</v>
      </c>
      <c r="C596" s="720" t="s">
        <v>508</v>
      </c>
      <c r="D596" s="730" t="s">
        <v>866</v>
      </c>
      <c r="E596" s="729" t="s">
        <v>1922</v>
      </c>
      <c r="F596" s="766">
        <v>46193</v>
      </c>
      <c r="G596" s="525" t="s">
        <v>55</v>
      </c>
      <c r="H596" s="540">
        <v>8</v>
      </c>
      <c r="I596" s="384">
        <v>740000</v>
      </c>
      <c r="J596" s="367">
        <v>3</v>
      </c>
      <c r="K596" s="370">
        <f>I596/2</f>
        <v>370000</v>
      </c>
      <c r="L596" s="784">
        <v>46204</v>
      </c>
      <c r="M596" s="784">
        <v>46568</v>
      </c>
      <c r="N596" s="723">
        <v>155351</v>
      </c>
      <c r="O596" s="723" t="s">
        <v>1969</v>
      </c>
      <c r="P596" s="363" t="s">
        <v>520</v>
      </c>
      <c r="S596" s="381" t="str" cm="1">
        <f t="array" ref="S596">TEXT(EDATE($L596,{0}),"dd/mm/yyy") &amp; " to " &amp; TEXT(EDATE($L596,{4})-1,"dd/mm/yyyy")</f>
        <v>01/07/2026 to 31/10/2026</v>
      </c>
      <c r="T596" s="363" t="s">
        <v>1900</v>
      </c>
      <c r="U596" s="381" t="str" cm="1">
        <f t="array" ref="U596">TEXT(EDATE($L596,{4}),"dd/mm/yyy") &amp; " to " &amp; TEXT(EDATE($L596,{8})-1,"dd/mm/yyyy")</f>
        <v>01/11/2026 to 28/02/2027</v>
      </c>
      <c r="V596" s="376" t="s">
        <v>1901</v>
      </c>
      <c r="W596" s="381" t="str" cm="1">
        <f t="array" ref="W596">TEXT(EDATE($L596,{8}),"dd/mm/yyy") &amp; " to " &amp; TEXT(EDATE($L596,{12})-1,"dd/mm/yyyy")</f>
        <v>01/03/2027 to 30/06/2027</v>
      </c>
      <c r="AE596" s="376" t="s">
        <v>96</v>
      </c>
      <c r="AF596" s="380" t="s">
        <v>97</v>
      </c>
      <c r="AG596" s="367" t="s">
        <v>494</v>
      </c>
      <c r="AH596" s="376" t="s">
        <v>1902</v>
      </c>
    </row>
    <row r="597" spans="2:34" ht="15" customHeight="1" x14ac:dyDescent="0.3">
      <c r="B597" s="380" t="s">
        <v>7</v>
      </c>
      <c r="C597" s="565" t="s">
        <v>1923</v>
      </c>
      <c r="D597" s="566" t="s">
        <v>757</v>
      </c>
      <c r="E597" s="50">
        <v>2265007719</v>
      </c>
      <c r="F597" s="766">
        <v>46165</v>
      </c>
      <c r="G597" s="525" t="s">
        <v>55</v>
      </c>
      <c r="H597" s="540">
        <v>1</v>
      </c>
      <c r="I597" s="384">
        <v>83499.899999999994</v>
      </c>
      <c r="J597" s="367">
        <v>3</v>
      </c>
      <c r="K597" s="370">
        <f>I597/J597</f>
        <v>27833.3</v>
      </c>
      <c r="L597" s="783">
        <v>46113</v>
      </c>
      <c r="M597" s="783">
        <v>46477</v>
      </c>
      <c r="N597" s="692">
        <v>155475</v>
      </c>
      <c r="O597" s="692">
        <v>4671</v>
      </c>
      <c r="P597" s="363" t="s">
        <v>520</v>
      </c>
      <c r="S597" s="394" t="str" cm="1">
        <f t="array" ref="S597">TEXT(EDATE($L597,{0}),"dd/mm/yyy") &amp; " to " &amp; TEXT(EDATE($L597,{4})-1,"dd/mm/yyyy")</f>
        <v>01/04/2026 to 31/07/2026</v>
      </c>
      <c r="T597" s="376" t="s">
        <v>2042</v>
      </c>
      <c r="U597" s="381" t="str" cm="1">
        <f t="array" ref="U597">TEXT(EDATE($L597,{4}),"dd/mm/yyy") &amp; " to " &amp; TEXT(EDATE($L597,{8})-1,"dd/mm/yyyy")</f>
        <v>01/08/2026 to 30/11/2026</v>
      </c>
      <c r="W597" s="381" t="str" cm="1">
        <f t="array" ref="W597">TEXT(EDATE($L597,{8}),"dd/mm/yyy") &amp; " to " &amp; TEXT(EDATE($L597,{12})-1,"dd/mm/yyyy")</f>
        <v>01/12/2026 to 31/03/2027</v>
      </c>
      <c r="AE597" s="376" t="s">
        <v>507</v>
      </c>
      <c r="AF597" s="380" t="s">
        <v>63</v>
      </c>
      <c r="AG597" s="367">
        <v>3</v>
      </c>
      <c r="AH597" s="376" t="s">
        <v>799</v>
      </c>
    </row>
    <row r="598" spans="2:34" ht="15" customHeight="1" x14ac:dyDescent="0.3">
      <c r="B598" s="380" t="s">
        <v>7</v>
      </c>
      <c r="C598" s="39" t="s">
        <v>926</v>
      </c>
      <c r="D598" s="232" t="s">
        <v>932</v>
      </c>
      <c r="E598" s="50" t="s">
        <v>1924</v>
      </c>
      <c r="F598" s="766">
        <v>46199</v>
      </c>
      <c r="G598" s="525" t="s">
        <v>55</v>
      </c>
      <c r="H598" s="380">
        <v>1</v>
      </c>
      <c r="I598" s="384">
        <v>78000</v>
      </c>
      <c r="J598" s="367">
        <v>3</v>
      </c>
      <c r="K598" s="370">
        <f>I598/J598</f>
        <v>26000</v>
      </c>
      <c r="L598" s="785">
        <v>46113</v>
      </c>
      <c r="M598" s="785">
        <v>46477</v>
      </c>
      <c r="N598" s="692">
        <v>155304</v>
      </c>
      <c r="O598" s="692">
        <v>4896</v>
      </c>
      <c r="P598" s="363" t="s">
        <v>520</v>
      </c>
      <c r="S598" s="394" t="str" cm="1">
        <f t="array" ref="S598">TEXT(EDATE($L598,{0}),"dd/mm/yyy") &amp; " to " &amp; TEXT(EDATE($L598,{4})-1,"dd/mm/yyyy")</f>
        <v>01/04/2026 to 31/07/2026</v>
      </c>
      <c r="T598" s="376" t="s">
        <v>1953</v>
      </c>
      <c r="U598" s="381" t="str" cm="1">
        <f t="array" ref="U598">TEXT(EDATE($L598,{4}),"dd/mm/yyy") &amp; " to " &amp; TEXT(EDATE($L598,{8})-1,"dd/mm/yyyy")</f>
        <v>01/08/2026 to 30/11/2026</v>
      </c>
      <c r="W598" s="381" t="str" cm="1">
        <f t="array" ref="W598">TEXT(EDATE($L598,{8}),"dd/mm/yyy") &amp; " to " &amp; TEXT(EDATE($L598,{12})-1,"dd/mm/yyyy")</f>
        <v>01/12/2026 to 31/03/2027</v>
      </c>
      <c r="AE598" s="376" t="s">
        <v>507</v>
      </c>
      <c r="AF598" s="380" t="s">
        <v>63</v>
      </c>
      <c r="AG598" s="367">
        <v>3</v>
      </c>
      <c r="AH598" s="376" t="s">
        <v>1345</v>
      </c>
    </row>
    <row r="599" spans="2:34" ht="15" customHeight="1" x14ac:dyDescent="0.3">
      <c r="B599" s="380" t="s">
        <v>7</v>
      </c>
      <c r="C599" s="565" t="s">
        <v>789</v>
      </c>
      <c r="D599" s="566" t="s">
        <v>1925</v>
      </c>
      <c r="E599" s="269">
        <v>8480253149</v>
      </c>
      <c r="F599" s="766">
        <v>46189</v>
      </c>
      <c r="G599" s="525" t="s">
        <v>55</v>
      </c>
      <c r="H599" s="380">
        <v>1</v>
      </c>
      <c r="I599" s="384">
        <v>82500</v>
      </c>
      <c r="J599" s="367">
        <v>3</v>
      </c>
      <c r="K599" s="370">
        <f>I599/J599</f>
        <v>27500</v>
      </c>
      <c r="L599" s="783">
        <v>46174</v>
      </c>
      <c r="M599" s="783">
        <v>46538</v>
      </c>
      <c r="N599" s="692">
        <v>155306</v>
      </c>
      <c r="O599" s="692">
        <v>3919</v>
      </c>
      <c r="P599" s="363" t="s">
        <v>520</v>
      </c>
      <c r="S599" s="394" t="str" cm="1">
        <f t="array" ref="S599">TEXT(EDATE($L599,{0}),"dd/mm/yyy") &amp; " to " &amp; TEXT(EDATE($L599,{4})-1,"dd/mm/yyyy")</f>
        <v>01/06/2026 to 30/09/2026</v>
      </c>
      <c r="T599" s="376" t="s">
        <v>1955</v>
      </c>
      <c r="U599" s="381" t="str" cm="1">
        <f t="array" ref="U599">TEXT(EDATE($L599,{4}),"dd/mm/yyy") &amp; " to " &amp; TEXT(EDATE($L599,{8})-1,"dd/mm/yyyy")</f>
        <v>01/10/2026 to 31/01/2027</v>
      </c>
      <c r="W599" s="381" t="str" cm="1">
        <f t="array" ref="W599">TEXT(EDATE($L599,{8}),"dd/mm/yyy") &amp; " to " &amp; TEXT(EDATE($L599,{12})-1,"dd/mm/yyyy")</f>
        <v>01/02/2027 to 31/05/2027</v>
      </c>
      <c r="AE599" s="376" t="s">
        <v>1912</v>
      </c>
      <c r="AF599" s="380" t="s">
        <v>97</v>
      </c>
      <c r="AG599" s="367">
        <v>3</v>
      </c>
      <c r="AH599" s="376" t="s">
        <v>1345</v>
      </c>
    </row>
    <row r="600" spans="2:34" ht="15" customHeight="1" x14ac:dyDescent="0.3">
      <c r="B600" s="380" t="s">
        <v>7</v>
      </c>
      <c r="C600" s="39" t="s">
        <v>727</v>
      </c>
      <c r="D600" s="232" t="s">
        <v>984</v>
      </c>
      <c r="E600" s="727">
        <v>4100041000</v>
      </c>
      <c r="F600" s="766">
        <v>46181</v>
      </c>
      <c r="G600" s="525" t="s">
        <v>55</v>
      </c>
      <c r="H600" s="540">
        <v>4</v>
      </c>
      <c r="I600" s="384">
        <v>644828</v>
      </c>
      <c r="J600" s="367">
        <v>3</v>
      </c>
      <c r="L600" s="619">
        <v>46174</v>
      </c>
      <c r="M600" s="619">
        <v>46538</v>
      </c>
      <c r="N600" s="691">
        <v>155406</v>
      </c>
      <c r="O600" s="691"/>
      <c r="P600" s="363" t="s">
        <v>520</v>
      </c>
      <c r="S600" s="394" t="str" cm="1">
        <f t="array" ref="S600">TEXT(EDATE($L600,{0}),"dd/mm/yyy") &amp; " to " &amp; TEXT(EDATE($L600,{4})-1,"dd/mm/yyyy")</f>
        <v>01/06/2026 to 30/09/2026</v>
      </c>
      <c r="T600" s="376" t="s">
        <v>2038</v>
      </c>
      <c r="U600" s="381" t="str" cm="1">
        <f t="array" ref="U600">TEXT(EDATE($L600,{4}),"dd/mm/yyy") &amp; " to " &amp; TEXT(EDATE($L600,{8})-1,"dd/mm/yyyy")</f>
        <v>01/10/2026 to 31/01/2027</v>
      </c>
      <c r="W600" s="381" t="str" cm="1">
        <f t="array" ref="W600">TEXT(EDATE($L600,{8}),"dd/mm/yyy") &amp; " to " &amp; TEXT(EDATE($L600,{12})-1,"dd/mm/yyyy")</f>
        <v>01/02/2027 to 31/05/2027</v>
      </c>
      <c r="AE600" s="376" t="s">
        <v>1912</v>
      </c>
      <c r="AF600" s="380" t="s">
        <v>97</v>
      </c>
      <c r="AG600" s="367">
        <v>3</v>
      </c>
      <c r="AH600" s="376" t="s">
        <v>1926</v>
      </c>
    </row>
    <row r="601" spans="2:34" ht="15" customHeight="1" x14ac:dyDescent="0.3">
      <c r="B601" s="380" t="s">
        <v>7</v>
      </c>
      <c r="C601" s="565" t="s">
        <v>1128</v>
      </c>
      <c r="D601" s="566" t="s">
        <v>1129</v>
      </c>
      <c r="E601" s="333">
        <v>4503070714</v>
      </c>
      <c r="F601" s="766">
        <v>46198</v>
      </c>
      <c r="G601" s="525" t="s">
        <v>55</v>
      </c>
      <c r="H601" s="380">
        <v>4</v>
      </c>
      <c r="I601" s="384">
        <v>281872</v>
      </c>
      <c r="J601" s="367">
        <v>4</v>
      </c>
      <c r="K601" s="370">
        <f>I601/J601</f>
        <v>70468</v>
      </c>
      <c r="L601" s="783">
        <v>46174</v>
      </c>
      <c r="M601" s="783">
        <v>46538</v>
      </c>
      <c r="N601" s="692">
        <v>155438</v>
      </c>
      <c r="O601" s="692">
        <v>4772</v>
      </c>
      <c r="P601" s="363" t="s">
        <v>520</v>
      </c>
      <c r="S601" s="394" t="str" cm="1">
        <f t="array" ref="S601">TEXT(EDATE($L601,{0}),"dd/mm/yyy") &amp; " to " &amp; TEXT(EDATE($L601,{3})-1,"dd/mm/yyyy")</f>
        <v>01/06/2026 to 31/08/2026</v>
      </c>
      <c r="T601" s="363" t="s">
        <v>2036</v>
      </c>
      <c r="U601" s="381" t="str" cm="1">
        <f t="array" ref="U601">TEXT(EDATE($L601,{3}),"dd/mm/yyy") &amp; " to " &amp; TEXT(EDATE($L601,{6})-1,"dd/mm/yyyy")</f>
        <v>01/09/2026 to 30/11/2026</v>
      </c>
      <c r="V601" s="363"/>
      <c r="W601" s="381" t="str" cm="1">
        <f t="array" ref="W601">TEXT(EDATE($L601,{6}),"dd/mm/yyy") &amp; " to " &amp; TEXT(EDATE($L601,{9})-1,"dd/mm/yyyy")</f>
        <v>01/12/2026 to 28/02/2027</v>
      </c>
      <c r="X601" s="363"/>
      <c r="Y601" s="381" t="str" cm="1">
        <f t="array" ref="Y601">TEXT(EDATE($L601,{9}),"dd/mm/yyy") &amp; " to " &amp; TEXT(EDATE($L601,{12})-1,"dd/mm/yyyy")</f>
        <v>01/03/2027 to 31/05/2027</v>
      </c>
      <c r="AE601" s="376" t="s">
        <v>1912</v>
      </c>
      <c r="AF601" s="380" t="s">
        <v>97</v>
      </c>
      <c r="AG601" s="367">
        <v>4</v>
      </c>
      <c r="AH601" s="376" t="s">
        <v>1345</v>
      </c>
    </row>
    <row r="602" spans="2:34" ht="15" customHeight="1" x14ac:dyDescent="0.3">
      <c r="B602" s="380" t="s">
        <v>7</v>
      </c>
      <c r="C602" s="376" t="s">
        <v>926</v>
      </c>
      <c r="D602" s="366" t="s">
        <v>151</v>
      </c>
      <c r="E602" s="367" t="s">
        <v>1927</v>
      </c>
      <c r="F602" s="768">
        <v>46197</v>
      </c>
      <c r="G602" s="367" t="s">
        <v>55</v>
      </c>
      <c r="H602" s="367">
        <v>1</v>
      </c>
      <c r="I602" s="384">
        <v>78000</v>
      </c>
      <c r="J602" s="367">
        <v>3</v>
      </c>
      <c r="K602" s="370">
        <f>I602/J602</f>
        <v>26000</v>
      </c>
      <c r="L602" s="644">
        <v>46174</v>
      </c>
      <c r="M602" s="644">
        <v>46538</v>
      </c>
      <c r="P602" s="376" t="s">
        <v>520</v>
      </c>
      <c r="S602" s="652" t="s">
        <v>406</v>
      </c>
      <c r="T602" s="376" t="s">
        <v>1949</v>
      </c>
      <c r="U602" s="376" t="s">
        <v>407</v>
      </c>
      <c r="W602" s="376" t="s">
        <v>408</v>
      </c>
      <c r="AE602" s="376" t="s">
        <v>507</v>
      </c>
      <c r="AF602" s="380" t="s">
        <v>63</v>
      </c>
      <c r="AG602" s="367">
        <v>3</v>
      </c>
      <c r="AH602" s="376" t="s">
        <v>1345</v>
      </c>
    </row>
    <row r="603" spans="2:34" ht="15" customHeight="1" x14ac:dyDescent="0.3">
      <c r="B603" s="367" t="s">
        <v>10</v>
      </c>
      <c r="C603" s="642" t="s">
        <v>817</v>
      </c>
      <c r="D603" s="630" t="s">
        <v>818</v>
      </c>
      <c r="E603" s="330">
        <v>242607532</v>
      </c>
      <c r="F603" s="769">
        <v>46197</v>
      </c>
      <c r="G603" s="367" t="s">
        <v>55</v>
      </c>
      <c r="H603" s="540">
        <v>3</v>
      </c>
      <c r="I603" s="389">
        <v>368112</v>
      </c>
      <c r="J603" s="367">
        <v>2</v>
      </c>
      <c r="K603" s="370">
        <f>I603/J603</f>
        <v>184056</v>
      </c>
      <c r="L603" s="786">
        <v>46174</v>
      </c>
      <c r="M603" s="786">
        <v>46538</v>
      </c>
      <c r="N603" s="693"/>
      <c r="O603" s="693"/>
      <c r="P603" s="376" t="s">
        <v>520</v>
      </c>
      <c r="S603" s="381" t="str" cm="1">
        <f t="array" ref="S603">TEXT(EDATE($L603,{0}),"dd/mm/yyy") &amp; " to " &amp; TEXT(EDATE($L603,{6})-1,"dd/mm/yyyy")</f>
        <v>01/06/2026 to 30/11/2026</v>
      </c>
      <c r="T603" s="382" t="s">
        <v>1971</v>
      </c>
      <c r="U603" s="381" t="str" cm="1">
        <f t="array" ref="U603">TEXT(EDATE($L603,{6}),"dd/mm/yyy") &amp; " to " &amp; TEXT(EDATE($L603,{12})-1,"dd/mm/yyyy")</f>
        <v>01/12/2026 to 31/05/2027</v>
      </c>
      <c r="AE603" s="376" t="s">
        <v>281</v>
      </c>
      <c r="AF603" s="380" t="s">
        <v>97</v>
      </c>
      <c r="AG603" s="367">
        <v>2</v>
      </c>
      <c r="AH603" s="376" t="s">
        <v>1972</v>
      </c>
    </row>
    <row r="604" spans="2:34" ht="15" customHeight="1" x14ac:dyDescent="0.3">
      <c r="B604" s="367" t="s">
        <v>10</v>
      </c>
      <c r="C604" s="630" t="s">
        <v>614</v>
      </c>
      <c r="D604" s="643" t="s">
        <v>1016</v>
      </c>
      <c r="E604" s="353" t="s">
        <v>1973</v>
      </c>
      <c r="F604" s="770">
        <v>46188</v>
      </c>
      <c r="G604" s="367" t="s">
        <v>55</v>
      </c>
      <c r="H604" s="380">
        <v>1</v>
      </c>
      <c r="I604" s="645">
        <v>76440</v>
      </c>
      <c r="J604" s="367">
        <v>3</v>
      </c>
      <c r="K604" s="370"/>
      <c r="L604" s="786">
        <v>46174</v>
      </c>
      <c r="M604" s="786">
        <v>46538</v>
      </c>
      <c r="N604" s="693"/>
      <c r="O604" s="693"/>
      <c r="P604" s="376" t="s">
        <v>520</v>
      </c>
      <c r="S604" s="381" t="str" cm="1">
        <f t="array" ref="S604">TEXT(EDATE($L604,{0}),"dd/mm/yyy") &amp; " to " &amp; TEXT(EDATE($L604,{4})-1,"dd/mm/yyyy")</f>
        <v>01/06/2026 to 30/09/2026</v>
      </c>
      <c r="T604" s="363"/>
      <c r="U604" s="381" t="str" cm="1">
        <f t="array" ref="U604">TEXT(EDATE($L604,{4}),"dd/mm/yyy") &amp; " to " &amp; TEXT(EDATE($L604,{8})-1,"dd/mm/yyyy")</f>
        <v>01/10/2026 to 31/01/2027</v>
      </c>
      <c r="V604" s="363"/>
      <c r="W604" s="381" t="str" cm="1">
        <f t="array" ref="W604">TEXT(EDATE($L604,{8}),"dd/mm/yyy") &amp; " to " &amp; TEXT(EDATE($L604,{12})-1,"dd/mm/yyyy")</f>
        <v>01/02/2027 to 31/05/2027</v>
      </c>
      <c r="AE604" s="376" t="s">
        <v>619</v>
      </c>
      <c r="AF604" s="380" t="s">
        <v>63</v>
      </c>
      <c r="AG604" s="367">
        <v>3</v>
      </c>
      <c r="AH604" s="376" t="s">
        <v>1974</v>
      </c>
    </row>
    <row r="605" spans="2:34" ht="15" customHeight="1" x14ac:dyDescent="0.3">
      <c r="B605" s="367" t="s">
        <v>10</v>
      </c>
      <c r="C605" s="806" t="s">
        <v>1172</v>
      </c>
      <c r="D605" s="806" t="s">
        <v>1016</v>
      </c>
      <c r="E605" s="50">
        <v>7100181028</v>
      </c>
      <c r="F605" s="770">
        <v>46197</v>
      </c>
      <c r="G605" s="367" t="s">
        <v>55</v>
      </c>
      <c r="H605" s="380">
        <v>1</v>
      </c>
      <c r="I605" s="384">
        <v>81000</v>
      </c>
      <c r="J605" s="367">
        <v>3</v>
      </c>
      <c r="K605" s="370">
        <f>I605/J605</f>
        <v>27000</v>
      </c>
      <c r="L605" s="829">
        <v>46266</v>
      </c>
      <c r="M605" s="829">
        <v>46630</v>
      </c>
      <c r="N605" s="809"/>
      <c r="O605" s="809"/>
      <c r="P605" s="376" t="s">
        <v>520</v>
      </c>
      <c r="S605" s="381" t="str" cm="1">
        <f t="array" ref="S605">TEXT(EDATE($L605,{0}),"dd/mm/yyy") &amp; " to " &amp; TEXT(EDATE($L605,{4})-1,"dd/mm/yyyy")</f>
        <v>01/09/2026 to 31/12/2026</v>
      </c>
      <c r="T605" s="363"/>
      <c r="U605" s="381" t="str" cm="1">
        <f t="array" ref="U605">TEXT(EDATE($L605,{4}),"dd/mm/yyy") &amp; " to " &amp; TEXT(EDATE($L605,{8})-1,"dd/mm/yyyy")</f>
        <v>01/01/2027 to 30/04/2027</v>
      </c>
      <c r="W605" s="381" t="str" cm="1">
        <f t="array" ref="W605">TEXT(EDATE($L605,{8}),"dd/mm/yyy") &amp; " to " &amp; TEXT(EDATE($L605,{12})-1,"dd/mm/yyyy")</f>
        <v>01/05/2027 to 31/08/2027</v>
      </c>
      <c r="AE605" s="376" t="s">
        <v>619</v>
      </c>
      <c r="AF605" s="380" t="s">
        <v>63</v>
      </c>
      <c r="AG605" s="367">
        <v>3</v>
      </c>
      <c r="AH605" s="376" t="s">
        <v>667</v>
      </c>
    </row>
    <row r="606" spans="2:34" ht="15" customHeight="1" x14ac:dyDescent="0.3">
      <c r="B606" s="367" t="s">
        <v>10</v>
      </c>
      <c r="C606" s="806" t="s">
        <v>1172</v>
      </c>
      <c r="D606" s="806" t="s">
        <v>1016</v>
      </c>
      <c r="E606" s="50">
        <v>7100181028</v>
      </c>
      <c r="F606" s="770">
        <v>46197</v>
      </c>
      <c r="G606" s="367" t="s">
        <v>55</v>
      </c>
      <c r="H606" s="540">
        <v>1</v>
      </c>
      <c r="I606" s="384">
        <v>81000</v>
      </c>
      <c r="J606" s="367">
        <v>3</v>
      </c>
      <c r="K606" s="370">
        <f>I606/J606</f>
        <v>27000</v>
      </c>
      <c r="L606" s="829">
        <v>46174</v>
      </c>
      <c r="M606" s="829">
        <v>46538</v>
      </c>
      <c r="N606" s="809"/>
      <c r="O606" s="809"/>
      <c r="P606" s="376" t="s">
        <v>520</v>
      </c>
      <c r="S606" s="381" t="str" cm="1">
        <f t="array" ref="S606">TEXT(EDATE($L606,{0}),"dd/mm/yyy") &amp; " to " &amp; TEXT(EDATE($L606,{4})-1,"dd/mm/yyyy")</f>
        <v>01/06/2026 to 30/09/2026</v>
      </c>
      <c r="U606" s="381" t="str" cm="1">
        <f t="array" ref="U606">TEXT(EDATE($L606,{4}),"dd/mm/yyy") &amp; " to " &amp; TEXT(EDATE($L606,{8})-1,"dd/mm/yyyy")</f>
        <v>01/10/2026 to 31/01/2027</v>
      </c>
      <c r="W606" s="381" t="str" cm="1">
        <f t="array" ref="W606">TEXT(EDATE($L606,{8}),"dd/mm/yyy") &amp; " to " &amp; TEXT(EDATE($L606,{12})-1,"dd/mm/yyyy")</f>
        <v>01/02/2027 to 31/05/2027</v>
      </c>
      <c r="AE606" s="376" t="s">
        <v>619</v>
      </c>
      <c r="AF606" s="380" t="s">
        <v>63</v>
      </c>
      <c r="AG606" s="367">
        <v>3</v>
      </c>
      <c r="AH606" s="376" t="s">
        <v>667</v>
      </c>
    </row>
    <row r="607" spans="2:34" ht="15" customHeight="1" x14ac:dyDescent="0.3">
      <c r="B607" s="367" t="s">
        <v>10</v>
      </c>
      <c r="C607" s="630" t="s">
        <v>1032</v>
      </c>
      <c r="D607" s="630" t="s">
        <v>1036</v>
      </c>
      <c r="E607" s="805">
        <v>4430018620</v>
      </c>
      <c r="F607" s="770">
        <v>46193</v>
      </c>
      <c r="G607" s="367" t="s">
        <v>55</v>
      </c>
      <c r="H607" s="540">
        <v>3</v>
      </c>
      <c r="I607" s="384">
        <v>381000</v>
      </c>
      <c r="J607" s="367">
        <v>2</v>
      </c>
      <c r="K607" s="370">
        <f>I607/J607</f>
        <v>190500</v>
      </c>
      <c r="L607" s="786">
        <v>46204</v>
      </c>
      <c r="M607" s="786">
        <v>46568</v>
      </c>
      <c r="N607" s="693"/>
      <c r="O607" s="693"/>
      <c r="P607" s="376" t="s">
        <v>520</v>
      </c>
      <c r="S607" s="381" t="str" cm="1">
        <f t="array" ref="S607">TEXT(EDATE($L607,{0}),"dd/mm/yyy") &amp; " to " &amp; TEXT(EDATE($L607,{6})-1,"dd/mm/yyyy")</f>
        <v>01/07/2026 to 31/12/2026</v>
      </c>
      <c r="T607" s="533"/>
      <c r="U607" s="381" t="str" cm="1">
        <f t="array" ref="U607">TEXT(EDATE($L607,{6}),"dd/mm/yyy") &amp; " to " &amp; TEXT(EDATE($L607,{12})-1,"dd/mm/yyyy")</f>
        <v>01/01/2027 to 30/06/2027</v>
      </c>
      <c r="W607" s="381"/>
      <c r="AE607" s="376" t="s">
        <v>1975</v>
      </c>
      <c r="AF607" s="380" t="s">
        <v>207</v>
      </c>
      <c r="AG607" s="367">
        <v>3</v>
      </c>
      <c r="AH607" s="376" t="s">
        <v>1898</v>
      </c>
    </row>
    <row r="608" spans="2:34" ht="15" customHeight="1" x14ac:dyDescent="0.3">
      <c r="B608" s="367" t="s">
        <v>10</v>
      </c>
      <c r="C608" s="810" t="s">
        <v>959</v>
      </c>
      <c r="D608" s="810" t="s">
        <v>1976</v>
      </c>
      <c r="E608" s="50">
        <v>4521075304</v>
      </c>
      <c r="F608" s="770">
        <v>46209</v>
      </c>
      <c r="G608" s="367" t="s">
        <v>55</v>
      </c>
      <c r="H608" s="380">
        <v>1</v>
      </c>
      <c r="I608" s="384">
        <v>70000</v>
      </c>
      <c r="J608" s="367">
        <v>3</v>
      </c>
      <c r="K608" s="370">
        <f>I608/J608</f>
        <v>23333.333333333332</v>
      </c>
      <c r="L608" s="830">
        <v>46174</v>
      </c>
      <c r="M608" s="830">
        <v>46538</v>
      </c>
      <c r="N608" s="809"/>
      <c r="O608" s="809"/>
      <c r="P608" s="376" t="s">
        <v>520</v>
      </c>
      <c r="S608" s="381" t="str" cm="1">
        <f t="array" ref="S608">TEXT(EDATE($L608,{0}),"dd/mm/yyy") &amp; " to " &amp; TEXT(EDATE($L608,{4})-1,"dd/mm/yyyy")</f>
        <v>01/06/2026 to 30/09/2026</v>
      </c>
      <c r="T608" s="363"/>
      <c r="U608" s="381" t="str" cm="1">
        <f t="array" ref="U608">TEXT(EDATE($L608,{4}),"dd/mm/yyy") &amp; " to " &amp; TEXT(EDATE($L608,{8})-1,"dd/mm/yyyy")</f>
        <v>01/10/2026 to 31/01/2027</v>
      </c>
      <c r="V608" s="363"/>
      <c r="W608" s="381" t="str" cm="1">
        <f t="array" ref="W608">TEXT(EDATE($L608,{8}),"dd/mm/yyy") &amp; " to " &amp; TEXT(EDATE($L608,{12})-1,"dd/mm/yyyy")</f>
        <v>01/02/2027 to 31/05/2027</v>
      </c>
      <c r="AE608" s="376" t="s">
        <v>507</v>
      </c>
      <c r="AF608" s="380" t="s">
        <v>63</v>
      </c>
      <c r="AG608" s="367">
        <v>3</v>
      </c>
      <c r="AH608" s="376" t="s">
        <v>667</v>
      </c>
    </row>
    <row r="609" spans="2:34" ht="15" customHeight="1" x14ac:dyDescent="0.3">
      <c r="B609" s="367" t="s">
        <v>10</v>
      </c>
      <c r="C609" s="630" t="s">
        <v>863</v>
      </c>
      <c r="D609" s="630" t="s">
        <v>864</v>
      </c>
      <c r="E609" s="125">
        <v>4504690834</v>
      </c>
      <c r="F609" s="769">
        <v>46204</v>
      </c>
      <c r="G609" s="367" t="s">
        <v>55</v>
      </c>
      <c r="H609" s="380">
        <v>1</v>
      </c>
      <c r="I609" s="384">
        <v>67000</v>
      </c>
      <c r="J609" s="367">
        <v>2</v>
      </c>
      <c r="K609" s="370">
        <f>I609/J609</f>
        <v>33500</v>
      </c>
      <c r="L609" s="786">
        <v>46204</v>
      </c>
      <c r="M609" s="786">
        <v>46568</v>
      </c>
      <c r="N609" s="693"/>
      <c r="O609" s="693"/>
      <c r="P609" s="376" t="s">
        <v>520</v>
      </c>
      <c r="S609" s="381" t="str" cm="1">
        <f t="array" ref="S609">TEXT(EDATE($L609,{0}),"dd/mm/yyy") &amp; " to " &amp; TEXT(EDATE($L609,{6})-1,"dd/mm/yyyy")</f>
        <v>01/07/2026 to 31/12/2026</v>
      </c>
      <c r="T609" s="533"/>
      <c r="U609" s="381" t="str" cm="1">
        <f t="array" ref="U609">TEXT(EDATE($L609,{6}),"dd/mm/yyy") &amp; " to " &amp; TEXT(EDATE($L609,{12})-1,"dd/mm/yyyy")</f>
        <v>01/01/2027 to 30/06/2027</v>
      </c>
      <c r="AE609" s="376" t="s">
        <v>507</v>
      </c>
      <c r="AF609" s="380" t="s">
        <v>63</v>
      </c>
      <c r="AG609" s="367">
        <v>2</v>
      </c>
      <c r="AH609" s="376" t="s">
        <v>667</v>
      </c>
    </row>
    <row r="610" spans="2:34" ht="15" customHeight="1" x14ac:dyDescent="0.3">
      <c r="B610" s="367" t="s">
        <v>10</v>
      </c>
      <c r="C610" s="812" t="s">
        <v>1978</v>
      </c>
      <c r="D610" s="806" t="s">
        <v>151</v>
      </c>
      <c r="E610" s="269" t="s">
        <v>1979</v>
      </c>
      <c r="F610" s="770">
        <v>46171</v>
      </c>
      <c r="G610" s="367" t="s">
        <v>55</v>
      </c>
      <c r="H610" s="367">
        <v>4</v>
      </c>
      <c r="I610" s="384">
        <v>360000</v>
      </c>
      <c r="J610" s="367">
        <v>3</v>
      </c>
      <c r="K610" s="370">
        <f>I610/2</f>
        <v>180000</v>
      </c>
      <c r="L610" s="829">
        <v>46023</v>
      </c>
      <c r="M610" s="829">
        <v>46387</v>
      </c>
      <c r="N610" s="809">
        <v>155309</v>
      </c>
      <c r="O610" s="809">
        <v>3044</v>
      </c>
      <c r="P610" s="376" t="s">
        <v>520</v>
      </c>
      <c r="S610" s="394" t="str" cm="1">
        <f t="array" ref="S610">TEXT(EDATE($L610,{0}),"dd/mm/yyy") &amp; " to " &amp; TEXT(EDATE($L610,{4})-1,"dd/mm/yyyy")</f>
        <v>01/01/2026 to 30/04/2026</v>
      </c>
      <c r="T610" s="363" t="s">
        <v>1955</v>
      </c>
      <c r="U610" s="381" t="str" cm="1">
        <f t="array" ref="U610">TEXT(EDATE($L610,{4}),"dd/mm/yyy") &amp; " to " &amp; TEXT(EDATE($L610,{8})-1,"dd/mm/yyyy")</f>
        <v>01/05/2026 to 31/08/2026</v>
      </c>
      <c r="V610" s="363"/>
      <c r="W610" s="381" t="str" cm="1">
        <f t="array" ref="W610">TEXT(EDATE($L610,{8}),"dd/mm/yyy") &amp; " to " &amp; TEXT(EDATE($L610,{12})-1,"dd/mm/yyyy")</f>
        <v>01/09/2026 to 31/12/2026</v>
      </c>
      <c r="AE610" s="376" t="s">
        <v>478</v>
      </c>
      <c r="AF610" s="380" t="s">
        <v>63</v>
      </c>
      <c r="AG610" s="367">
        <v>3</v>
      </c>
      <c r="AH610" s="376" t="s">
        <v>667</v>
      </c>
    </row>
    <row r="611" spans="2:34" ht="15" customHeight="1" x14ac:dyDescent="0.3">
      <c r="B611" s="367" t="s">
        <v>10</v>
      </c>
      <c r="C611" s="630" t="s">
        <v>195</v>
      </c>
      <c r="D611" s="806" t="s">
        <v>447</v>
      </c>
      <c r="E611" s="183" t="s">
        <v>1980</v>
      </c>
      <c r="F611" s="770">
        <v>46211</v>
      </c>
      <c r="G611" s="367" t="s">
        <v>55</v>
      </c>
      <c r="H611" s="651">
        <v>8</v>
      </c>
      <c r="I611" s="384">
        <v>513520</v>
      </c>
      <c r="J611" s="367">
        <v>4</v>
      </c>
      <c r="K611" s="370">
        <f>I611/J611</f>
        <v>128380</v>
      </c>
      <c r="L611" s="644">
        <v>46237</v>
      </c>
      <c r="M611" s="644">
        <v>46601</v>
      </c>
      <c r="P611" s="376" t="s">
        <v>520</v>
      </c>
      <c r="S611" s="381" t="str" cm="1">
        <f t="array" ref="S611">TEXT(EDATE($L611,{0}),"dd/mm/yyy") &amp; " to " &amp; TEXT(EDATE($L611,{3})-1,"dd/mm/yyyy")</f>
        <v>03/08/2026 to 02/11/2026</v>
      </c>
      <c r="T611" s="363"/>
      <c r="U611" s="381" t="str" cm="1">
        <f t="array" ref="U611">TEXT(EDATE($L611,{3}),"dd/mm/yyy") &amp; " to " &amp; TEXT(EDATE($L611,{6})-1,"dd/mm/yyyy")</f>
        <v>03/11/2026 to 02/02/2027</v>
      </c>
      <c r="V611" s="363"/>
      <c r="W611" s="381" t="str" cm="1">
        <f t="array" ref="W611">TEXT(EDATE($L611,{6}),"dd/mm/yyy") &amp; " to " &amp; TEXT(EDATE($L611,{9})-1,"dd/mm/yyyy")</f>
        <v>03/02/2027 to 02/05/2027</v>
      </c>
      <c r="X611" s="363"/>
      <c r="Y611" s="381" t="str" cm="1">
        <f t="array" ref="Y611">TEXT(EDATE($L611,{9}),"dd/mm/yyy") &amp; " to " &amp; TEXT(EDATE($L611,{12})-1,"dd/mm/yyyy")</f>
        <v>03/05/2027 to 02/08/2027</v>
      </c>
      <c r="AE611" s="376" t="s">
        <v>96</v>
      </c>
      <c r="AF611" s="380" t="s">
        <v>97</v>
      </c>
      <c r="AG611" s="367" t="s">
        <v>494</v>
      </c>
      <c r="AH611" s="376" t="s">
        <v>667</v>
      </c>
    </row>
    <row r="612" spans="2:34" ht="15" customHeight="1" x14ac:dyDescent="0.3">
      <c r="B612" s="367" t="s">
        <v>10</v>
      </c>
      <c r="C612" s="812" t="s">
        <v>845</v>
      </c>
      <c r="D612" s="806" t="s">
        <v>846</v>
      </c>
      <c r="E612" s="50">
        <v>901987168</v>
      </c>
      <c r="F612" s="770">
        <v>46204</v>
      </c>
      <c r="G612" s="367" t="s">
        <v>55</v>
      </c>
      <c r="H612" s="813">
        <v>2</v>
      </c>
      <c r="I612" s="384">
        <v>196000</v>
      </c>
      <c r="J612" s="367">
        <v>3</v>
      </c>
      <c r="K612" s="370">
        <f>I612/2</f>
        <v>98000</v>
      </c>
      <c r="L612" s="644">
        <v>46212</v>
      </c>
      <c r="M612" s="644">
        <v>46576</v>
      </c>
      <c r="N612" s="677">
        <v>155326</v>
      </c>
      <c r="O612" s="677">
        <v>4645</v>
      </c>
      <c r="P612" s="376" t="s">
        <v>520</v>
      </c>
      <c r="S612" s="394" t="str" cm="1">
        <f t="array" ref="S612">TEXT(EDATE($L612,{0}),"dd/mm/yyy") &amp; " to " &amp; TEXT(EDATE($L612,{4})-1,"dd/mm/yyyy")</f>
        <v>09/07/2026 to 08/11/2026</v>
      </c>
      <c r="T612" s="363" t="s">
        <v>1964</v>
      </c>
      <c r="U612" s="381" t="str" cm="1">
        <f t="array" ref="U612">TEXT(EDATE($L612,{4}),"dd/mm/yyy") &amp; " to " &amp; TEXT(EDATE($L612,{8})-1,"dd/mm/yyyy")</f>
        <v>09/11/2026 to 08/03/2027</v>
      </c>
      <c r="V612" s="363"/>
      <c r="W612" s="381" t="str" cm="1">
        <f t="array" ref="W612">TEXT(EDATE($L612,{8}),"dd/mm/yyy") &amp; " to " &amp; TEXT(EDATE($L612,{12})-1,"dd/mm/yyyy")</f>
        <v>09/03/2027 to 08/07/2027</v>
      </c>
      <c r="AE612" s="376" t="s">
        <v>834</v>
      </c>
      <c r="AF612" s="380" t="s">
        <v>207</v>
      </c>
      <c r="AG612" s="367">
        <v>3</v>
      </c>
      <c r="AH612" s="376" t="s">
        <v>1981</v>
      </c>
    </row>
    <row r="613" spans="2:34" ht="15" customHeight="1" x14ac:dyDescent="0.3">
      <c r="B613" s="367" t="s">
        <v>10</v>
      </c>
      <c r="C613" s="812" t="s">
        <v>845</v>
      </c>
      <c r="D613" s="806" t="s">
        <v>846</v>
      </c>
      <c r="E613" s="50">
        <v>901985480</v>
      </c>
      <c r="F613" s="770">
        <v>46167</v>
      </c>
      <c r="G613" s="367" t="s">
        <v>55</v>
      </c>
      <c r="H613" s="814">
        <v>1</v>
      </c>
      <c r="I613" s="384">
        <v>98000</v>
      </c>
      <c r="J613" s="367">
        <v>3</v>
      </c>
      <c r="K613" s="370">
        <f>I613/2</f>
        <v>49000</v>
      </c>
      <c r="L613" s="829">
        <v>46213</v>
      </c>
      <c r="M613" s="829">
        <v>46577</v>
      </c>
      <c r="N613" s="809">
        <v>155330</v>
      </c>
      <c r="O613" s="809">
        <v>4577</v>
      </c>
      <c r="P613" s="376" t="s">
        <v>520</v>
      </c>
      <c r="S613" s="394" t="str" cm="1">
        <f t="array" ref="S613">TEXT(EDATE($L613,{0}),"dd/mm/yyy") &amp; " to " &amp; TEXT(EDATE($L613,{4})-1,"dd/mm/yyyy")</f>
        <v>10/07/2026 to 09/11/2026</v>
      </c>
      <c r="T613" s="363" t="s">
        <v>1982</v>
      </c>
      <c r="U613" s="381" t="str" cm="1">
        <f t="array" ref="U613">TEXT(EDATE($L613,{4}),"dd/mm/yyy") &amp; " to " &amp; TEXT(EDATE($L613,{8})-1,"dd/mm/yyyy")</f>
        <v>10/11/2026 to 09/03/2027</v>
      </c>
      <c r="V613" s="363" t="s">
        <v>2081</v>
      </c>
      <c r="W613" s="381" t="str" cm="1">
        <f t="array" ref="W613">TEXT(EDATE($L613,{8}),"dd/mm/yyy") &amp; " to " &amp; TEXT(EDATE($L613,{12})-1,"dd/mm/yyyy")</f>
        <v>10/03/2027 to 09/07/2027</v>
      </c>
      <c r="X613" s="363" t="s">
        <v>2082</v>
      </c>
      <c r="AE613" s="376" t="s">
        <v>834</v>
      </c>
      <c r="AF613" s="380" t="s">
        <v>207</v>
      </c>
      <c r="AG613" s="367">
        <v>3</v>
      </c>
      <c r="AH613" s="376" t="s">
        <v>1981</v>
      </c>
    </row>
    <row r="614" spans="2:34" ht="15" customHeight="1" x14ac:dyDescent="0.3">
      <c r="B614" s="367" t="s">
        <v>10</v>
      </c>
      <c r="C614" s="630" t="s">
        <v>1041</v>
      </c>
      <c r="D614" s="632" t="s">
        <v>1016</v>
      </c>
      <c r="E614" s="50">
        <v>4220021773</v>
      </c>
      <c r="F614" s="770">
        <v>46176</v>
      </c>
      <c r="G614" s="367" t="s">
        <v>55</v>
      </c>
      <c r="H614" s="380">
        <v>3</v>
      </c>
      <c r="I614" s="384">
        <v>218592</v>
      </c>
      <c r="J614" s="367">
        <v>3</v>
      </c>
      <c r="K614" s="370">
        <f t="shared" ref="K614:K619" si="29">I614/J614</f>
        <v>72864</v>
      </c>
      <c r="L614" s="786">
        <v>46113</v>
      </c>
      <c r="M614" s="786">
        <v>46477</v>
      </c>
      <c r="N614" s="693"/>
      <c r="O614" s="693"/>
      <c r="P614" s="376" t="s">
        <v>520</v>
      </c>
      <c r="S614" s="394" t="str" cm="1">
        <f t="array" ref="S614">TEXT(EDATE($L614,{0}),"dd/mm/yyy") &amp; " to " &amp; TEXT(EDATE($L614,{4})-1,"dd/mm/yyyy")</f>
        <v>01/04/2026 to 31/07/2026</v>
      </c>
      <c r="T614" s="376" t="s">
        <v>1949</v>
      </c>
      <c r="U614" s="381" t="str" cm="1">
        <f t="array" ref="U614">TEXT(EDATE($L614,{4}),"dd/mm/yyy") &amp; " to " &amp; TEXT(EDATE($L614,{8})-1,"dd/mm/yyyy")</f>
        <v>01/08/2026 to 30/11/2026</v>
      </c>
      <c r="W614" s="381" t="str" cm="1">
        <f t="array" ref="W614">TEXT(EDATE($L614,{8}),"dd/mm/yyy") &amp; " to " &amp; TEXT(EDATE($L614,{12})-1,"dd/mm/yyyy")</f>
        <v>01/12/2026 to 31/03/2027</v>
      </c>
      <c r="AE614" s="376" t="s">
        <v>619</v>
      </c>
      <c r="AF614" s="380" t="s">
        <v>63</v>
      </c>
      <c r="AG614" s="367">
        <v>3</v>
      </c>
      <c r="AH614" s="376" t="s">
        <v>1984</v>
      </c>
    </row>
    <row r="615" spans="2:34" ht="15" customHeight="1" x14ac:dyDescent="0.3">
      <c r="B615" s="367" t="s">
        <v>10</v>
      </c>
      <c r="C615" s="630" t="s">
        <v>565</v>
      </c>
      <c r="D615" s="630" t="s">
        <v>566</v>
      </c>
      <c r="E615" s="125">
        <v>1011707698</v>
      </c>
      <c r="F615" s="770">
        <v>46196</v>
      </c>
      <c r="G615" s="367" t="s">
        <v>55</v>
      </c>
      <c r="H615" s="540">
        <v>1</v>
      </c>
      <c r="I615" s="384">
        <v>80000</v>
      </c>
      <c r="J615" s="367">
        <v>2</v>
      </c>
      <c r="K615" s="370">
        <f t="shared" si="29"/>
        <v>40000</v>
      </c>
      <c r="L615" s="786">
        <v>46200</v>
      </c>
      <c r="M615" s="786">
        <v>46564</v>
      </c>
      <c r="N615" s="693"/>
      <c r="O615" s="693"/>
      <c r="P615" s="376" t="s">
        <v>520</v>
      </c>
      <c r="S615" s="381" t="str" cm="1">
        <f t="array" ref="S615">TEXT(EDATE($L615,{0}),"dd/mm/yyy") &amp; " to " &amp; TEXT(EDATE($L615,{6})-1,"dd/mm/yyyy")</f>
        <v>27/06/2026 to 26/12/2026</v>
      </c>
      <c r="T615" s="533"/>
      <c r="U615" s="381" t="str" cm="1">
        <f t="array" ref="U615">TEXT(EDATE($L615,{6}),"dd/mm/yyy") &amp; " to " &amp; TEXT(EDATE($L615,{12})-1,"dd/mm/yyyy")</f>
        <v>27/12/2026 to 26/06/2027</v>
      </c>
      <c r="AE615" s="376" t="s">
        <v>551</v>
      </c>
      <c r="AF615" s="380" t="s">
        <v>207</v>
      </c>
      <c r="AG615" s="367">
        <v>1</v>
      </c>
      <c r="AH615" s="376" t="s">
        <v>667</v>
      </c>
    </row>
    <row r="616" spans="2:34" ht="15" customHeight="1" x14ac:dyDescent="0.3">
      <c r="B616" s="367" t="s">
        <v>10</v>
      </c>
      <c r="C616" s="806" t="s">
        <v>1985</v>
      </c>
      <c r="D616" s="806" t="s">
        <v>447</v>
      </c>
      <c r="E616" s="269">
        <v>3300015405</v>
      </c>
      <c r="F616" s="770">
        <v>46200</v>
      </c>
      <c r="G616" s="367" t="s">
        <v>55</v>
      </c>
      <c r="H616" s="380">
        <v>1</v>
      </c>
      <c r="I616" s="384">
        <v>115851</v>
      </c>
      <c r="J616" s="367">
        <v>4</v>
      </c>
      <c r="K616" s="370">
        <f t="shared" si="29"/>
        <v>28962.75</v>
      </c>
      <c r="L616" s="829">
        <v>46143</v>
      </c>
      <c r="M616" s="829">
        <v>46507</v>
      </c>
      <c r="N616" s="677">
        <v>155334</v>
      </c>
      <c r="O616" s="677">
        <v>4662</v>
      </c>
      <c r="P616" s="376" t="s">
        <v>520</v>
      </c>
      <c r="S616" s="394" t="str" cm="1">
        <f t="array" ref="S616">TEXT(EDATE($L616,{0}),"dd/mm/yyy") &amp; " to " &amp; TEXT(EDATE($L616,{3})-1,"dd/mm/yyyy")</f>
        <v>01/05/2026 to 31/07/2026</v>
      </c>
      <c r="T616" s="363" t="s">
        <v>1964</v>
      </c>
      <c r="U616" s="381" t="str" cm="1">
        <f t="array" ref="U616">TEXT(EDATE($L616,{3}),"dd/mm/yyy") &amp; " to " &amp; TEXT(EDATE($L616,{6})-1,"dd/mm/yyyy")</f>
        <v>01/08/2026 to 31/10/2026</v>
      </c>
      <c r="V616" s="363"/>
      <c r="W616" s="381" t="str" cm="1">
        <f t="array" ref="W616">TEXT(EDATE($L616,{6}),"dd/mm/yyy") &amp; " to " &amp; TEXT(EDATE($L616,{9})-1,"dd/mm/yyyy")</f>
        <v>01/11/2026 to 31/01/2027</v>
      </c>
      <c r="X616" s="363"/>
      <c r="Y616" s="381" t="str" cm="1">
        <f t="array" ref="Y616">TEXT(EDATE($L616,{9}),"dd/mm/yyy") &amp; " to " &amp; TEXT(EDATE($L616,{12})-1,"dd/mm/yyyy")</f>
        <v>01/02/2027 to 30/04/2027</v>
      </c>
      <c r="AE616" s="376" t="s">
        <v>1912</v>
      </c>
      <c r="AF616" s="380" t="s">
        <v>97</v>
      </c>
      <c r="AG616" s="367" t="s">
        <v>494</v>
      </c>
      <c r="AH616" s="376" t="s">
        <v>835</v>
      </c>
    </row>
    <row r="617" spans="2:34" ht="15" customHeight="1" x14ac:dyDescent="0.3">
      <c r="B617" s="367" t="s">
        <v>10</v>
      </c>
      <c r="C617" s="630" t="s">
        <v>1986</v>
      </c>
      <c r="D617" s="630" t="s">
        <v>1987</v>
      </c>
      <c r="E617" s="50">
        <v>4601565464</v>
      </c>
      <c r="F617" s="770">
        <v>46203</v>
      </c>
      <c r="G617" s="367" t="s">
        <v>55</v>
      </c>
      <c r="H617" s="380">
        <v>1</v>
      </c>
      <c r="I617" s="384">
        <v>85000</v>
      </c>
      <c r="J617" s="367">
        <v>1</v>
      </c>
      <c r="K617" s="370">
        <f t="shared" si="29"/>
        <v>85000</v>
      </c>
      <c r="L617" s="786">
        <v>46204</v>
      </c>
      <c r="M617" s="786">
        <v>46568</v>
      </c>
      <c r="P617" s="376" t="s">
        <v>520</v>
      </c>
      <c r="S617" s="376" t="s">
        <v>1988</v>
      </c>
      <c r="AE617" s="376" t="s">
        <v>478</v>
      </c>
      <c r="AF617" s="380" t="s">
        <v>63</v>
      </c>
      <c r="AG617" s="367">
        <v>3</v>
      </c>
      <c r="AH617" s="376" t="s">
        <v>667</v>
      </c>
    </row>
    <row r="618" spans="2:34" ht="15" customHeight="1" x14ac:dyDescent="0.3">
      <c r="B618" s="367" t="s">
        <v>10</v>
      </c>
      <c r="C618" s="630" t="s">
        <v>1989</v>
      </c>
      <c r="D618" s="630" t="s">
        <v>1987</v>
      </c>
      <c r="E618" s="50">
        <v>4601565693</v>
      </c>
      <c r="F618" s="770">
        <v>46203</v>
      </c>
      <c r="G618" s="367" t="s">
        <v>55</v>
      </c>
      <c r="H618" s="380">
        <v>1</v>
      </c>
      <c r="I618" s="384">
        <v>85000</v>
      </c>
      <c r="J618" s="367">
        <v>1</v>
      </c>
      <c r="K618" s="370">
        <f t="shared" si="29"/>
        <v>85000</v>
      </c>
      <c r="L618" s="786">
        <v>46204</v>
      </c>
      <c r="M618" s="786">
        <v>46568</v>
      </c>
      <c r="P618" s="376" t="s">
        <v>520</v>
      </c>
      <c r="S618" s="376" t="s">
        <v>1988</v>
      </c>
      <c r="AE618" s="376" t="s">
        <v>478</v>
      </c>
      <c r="AF618" s="380" t="s">
        <v>63</v>
      </c>
      <c r="AG618" s="367">
        <v>3</v>
      </c>
      <c r="AH618" s="376" t="s">
        <v>667</v>
      </c>
    </row>
    <row r="619" spans="2:34" ht="15" customHeight="1" x14ac:dyDescent="0.3">
      <c r="B619" s="367" t="s">
        <v>10</v>
      </c>
      <c r="C619" s="630" t="s">
        <v>1990</v>
      </c>
      <c r="D619" s="630" t="s">
        <v>1987</v>
      </c>
      <c r="E619" s="50">
        <v>4601565681</v>
      </c>
      <c r="F619" s="770">
        <v>46203</v>
      </c>
      <c r="G619" s="367" t="s">
        <v>55</v>
      </c>
      <c r="H619" s="540">
        <v>1</v>
      </c>
      <c r="I619" s="384">
        <v>85000</v>
      </c>
      <c r="J619" s="367">
        <v>1</v>
      </c>
      <c r="K619" s="370">
        <f t="shared" si="29"/>
        <v>85000</v>
      </c>
      <c r="L619" s="786">
        <v>46204</v>
      </c>
      <c r="M619" s="786">
        <v>46568</v>
      </c>
      <c r="P619" s="376" t="s">
        <v>520</v>
      </c>
      <c r="S619" s="376" t="s">
        <v>1988</v>
      </c>
      <c r="AE619" s="376" t="s">
        <v>478</v>
      </c>
      <c r="AF619" s="380" t="s">
        <v>63</v>
      </c>
      <c r="AG619" s="367">
        <v>3</v>
      </c>
      <c r="AH619" s="376" t="s">
        <v>667</v>
      </c>
    </row>
    <row r="620" spans="2:34" ht="15" customHeight="1" x14ac:dyDescent="0.3">
      <c r="B620" s="367" t="s">
        <v>10</v>
      </c>
      <c r="C620" s="630" t="s">
        <v>935</v>
      </c>
      <c r="D620" s="630" t="s">
        <v>176</v>
      </c>
      <c r="E620" s="120" t="s">
        <v>1991</v>
      </c>
      <c r="F620" s="769">
        <v>46219</v>
      </c>
      <c r="G620" s="367" t="s">
        <v>55</v>
      </c>
      <c r="H620" s="380">
        <v>1</v>
      </c>
      <c r="I620" s="384">
        <v>98500</v>
      </c>
      <c r="J620" s="367">
        <v>2</v>
      </c>
      <c r="K620" s="370"/>
      <c r="L620" s="786">
        <v>46113</v>
      </c>
      <c r="M620" s="786">
        <v>46477</v>
      </c>
      <c r="O620" s="677">
        <v>4211</v>
      </c>
      <c r="P620" s="376" t="s">
        <v>520</v>
      </c>
      <c r="S620" s="394" t="str" cm="1">
        <f t="array" ref="S620">TEXT(EDATE($L620,{0}),"dd/mm/yyy") &amp; " to " &amp; TEXT(EDATE($L620,{6})-1,"dd/mm/yyyy")</f>
        <v>01/04/2026 to 30/09/2026</v>
      </c>
      <c r="T620" s="704" t="s">
        <v>1950</v>
      </c>
      <c r="U620" s="381" t="str" cm="1">
        <f t="array" ref="U620">TEXT(EDATE($L620,{6}),"dd/mm/yyy") &amp; " to " &amp; TEXT(EDATE($L620,{12})-1,"dd/mm/yyyy")</f>
        <v>01/10/2026 to 31/03/2027</v>
      </c>
      <c r="AE620" s="376" t="s">
        <v>1893</v>
      </c>
      <c r="AF620" s="380" t="s">
        <v>97</v>
      </c>
      <c r="AG620" s="367">
        <v>2</v>
      </c>
      <c r="AH620" s="376" t="s">
        <v>1573</v>
      </c>
    </row>
    <row r="621" spans="2:34" ht="15" customHeight="1" x14ac:dyDescent="0.3">
      <c r="B621" s="367" t="s">
        <v>10</v>
      </c>
      <c r="C621" s="812" t="s">
        <v>1113</v>
      </c>
      <c r="D621" s="806" t="s">
        <v>1114</v>
      </c>
      <c r="E621" s="269">
        <v>700006603</v>
      </c>
      <c r="F621" s="770">
        <v>46229</v>
      </c>
      <c r="G621" s="367" t="s">
        <v>55</v>
      </c>
      <c r="H621" s="540">
        <v>2</v>
      </c>
      <c r="I621" s="384">
        <v>190048</v>
      </c>
      <c r="J621" s="367">
        <v>3</v>
      </c>
      <c r="K621" s="370">
        <f>I621/2</f>
        <v>95024</v>
      </c>
      <c r="L621" s="829">
        <v>46113</v>
      </c>
      <c r="M621" s="829">
        <v>46477</v>
      </c>
      <c r="N621" s="677">
        <v>155396</v>
      </c>
      <c r="O621" s="677">
        <v>4608</v>
      </c>
      <c r="P621" s="376" t="s">
        <v>520</v>
      </c>
      <c r="S621" s="394" t="str" cm="1">
        <f t="array" ref="S621">TEXT(EDATE($L621,{0}),"dd/mm/yyy") &amp; " to " &amp; TEXT(EDATE($L621,{4})-1,"dd/mm/yyyy")</f>
        <v>01/04/2026 to 31/07/2026</v>
      </c>
      <c r="T621" s="363" t="s">
        <v>2083</v>
      </c>
      <c r="U621" s="381" t="str" cm="1">
        <f t="array" ref="U621">TEXT(EDATE($L621,{4}),"dd/mm/yyy") &amp; " to " &amp; TEXT(EDATE($L621,{8})-1,"dd/mm/yyyy")</f>
        <v>01/08/2026 to 30/11/2026</v>
      </c>
      <c r="V621" s="363" t="s">
        <v>2084</v>
      </c>
      <c r="W621" s="381" t="str" cm="1">
        <f t="array" ref="W621">TEXT(EDATE($L621,{8}),"dd/mm/yyy") &amp; " to " &amp; TEXT(EDATE($L621,{12})-1,"dd/mm/yyyy")</f>
        <v>01/12/2026 to 31/03/2027</v>
      </c>
      <c r="AE621" s="376" t="s">
        <v>1893</v>
      </c>
      <c r="AF621" s="380" t="s">
        <v>97</v>
      </c>
      <c r="AG621" s="367">
        <v>3</v>
      </c>
      <c r="AH621" s="376" t="s">
        <v>1992</v>
      </c>
    </row>
    <row r="622" spans="2:34" ht="15" customHeight="1" x14ac:dyDescent="0.3">
      <c r="B622" s="367" t="s">
        <v>10</v>
      </c>
      <c r="C622" s="630" t="s">
        <v>614</v>
      </c>
      <c r="D622" s="643" t="s">
        <v>1016</v>
      </c>
      <c r="E622" s="737" t="s">
        <v>1993</v>
      </c>
      <c r="F622" s="770">
        <v>46189</v>
      </c>
      <c r="G622" s="367" t="s">
        <v>55</v>
      </c>
      <c r="H622" s="380">
        <v>7</v>
      </c>
      <c r="I622" s="384">
        <v>535080</v>
      </c>
      <c r="J622" s="367">
        <v>3</v>
      </c>
      <c r="L622" s="786">
        <v>46174</v>
      </c>
      <c r="M622" s="786">
        <v>46538</v>
      </c>
      <c r="P622" s="376" t="s">
        <v>520</v>
      </c>
      <c r="S622" s="381" t="str" cm="1">
        <f t="array" ref="S622">TEXT(EDATE($L622,{0}),"dd/mm/yyy") &amp; " to " &amp; TEXT(EDATE($L622,{4})-1,"dd/mm/yyyy")</f>
        <v>01/06/2026 to 30/09/2026</v>
      </c>
      <c r="U622" s="381" t="str" cm="1">
        <f t="array" ref="U622">TEXT(EDATE($L622,{4}),"dd/mm/yyy") &amp; " to " &amp; TEXT(EDATE($L622,{8})-1,"dd/mm/yyyy")</f>
        <v>01/10/2026 to 31/01/2027</v>
      </c>
      <c r="W622" s="381" t="str" cm="1">
        <f t="array" ref="W622">TEXT(EDATE($L622,{8}),"dd/mm/yyy") &amp; " to " &amp; TEXT(EDATE($L622,{12})-1,"dd/mm/yyyy")</f>
        <v>01/02/2027 to 31/05/2027</v>
      </c>
      <c r="AE622" s="376" t="s">
        <v>619</v>
      </c>
      <c r="AF622" s="380" t="s">
        <v>63</v>
      </c>
      <c r="AG622" s="367">
        <v>3</v>
      </c>
      <c r="AH622" s="659">
        <v>1</v>
      </c>
    </row>
    <row r="623" spans="2:34" ht="15" customHeight="1" x14ac:dyDescent="0.3">
      <c r="B623" s="367" t="s">
        <v>10</v>
      </c>
      <c r="C623" s="806" t="s">
        <v>789</v>
      </c>
      <c r="D623" s="806" t="s">
        <v>629</v>
      </c>
      <c r="E623" s="831">
        <v>8480253150</v>
      </c>
      <c r="F623" s="770">
        <v>46219</v>
      </c>
      <c r="G623" s="367" t="s">
        <v>55</v>
      </c>
      <c r="H623" s="367">
        <v>10</v>
      </c>
      <c r="I623" s="384">
        <v>764400</v>
      </c>
      <c r="J623" s="367">
        <v>3</v>
      </c>
      <c r="L623" s="829">
        <v>46174</v>
      </c>
      <c r="M623" s="829">
        <v>46538</v>
      </c>
      <c r="N623" s="677">
        <v>155339</v>
      </c>
      <c r="P623" s="376" t="s">
        <v>520</v>
      </c>
      <c r="S623" s="394" t="str" cm="1">
        <f t="array" ref="S623">TEXT(EDATE($L623,{0}),"dd/mm/yyy") &amp; " to " &amp; TEXT(EDATE($L623,{4})-1,"dd/mm/yyyy")</f>
        <v>01/06/2026 to 30/09/2026</v>
      </c>
      <c r="T623" s="376" t="s">
        <v>2085</v>
      </c>
      <c r="U623" s="381" t="str" cm="1">
        <f t="array" ref="U623">TEXT(EDATE($L623,{4}),"dd/mm/yyy") &amp; " to " &amp; TEXT(EDATE($L623,{8})-1,"dd/mm/yyyy")</f>
        <v>01/10/2026 to 31/01/2027</v>
      </c>
      <c r="W623" s="381" t="str" cm="1">
        <f t="array" ref="W623">TEXT(EDATE($L623,{8}),"dd/mm/yyy") &amp; " to " &amp; TEXT(EDATE($L623,{12})-1,"dd/mm/yyyy")</f>
        <v>01/02/2027 to 31/05/2027</v>
      </c>
      <c r="AE623" s="376" t="s">
        <v>485</v>
      </c>
      <c r="AF623" s="380" t="s">
        <v>63</v>
      </c>
      <c r="AG623" s="367">
        <v>3</v>
      </c>
      <c r="AH623" s="659">
        <v>1</v>
      </c>
    </row>
    <row r="624" spans="2:34" ht="15" customHeight="1" x14ac:dyDescent="0.3">
      <c r="B624" s="367" t="s">
        <v>10</v>
      </c>
      <c r="C624" s="630" t="s">
        <v>982</v>
      </c>
      <c r="D624" s="630" t="s">
        <v>801</v>
      </c>
      <c r="E624" s="125" t="s">
        <v>1994</v>
      </c>
      <c r="F624" s="770">
        <v>46186</v>
      </c>
      <c r="G624" s="367" t="s">
        <v>55</v>
      </c>
      <c r="H624" s="380">
        <v>1</v>
      </c>
      <c r="I624" s="384">
        <v>90000</v>
      </c>
      <c r="J624" s="367">
        <v>2</v>
      </c>
      <c r="L624" s="786">
        <v>46174</v>
      </c>
      <c r="M624" s="786">
        <v>46538</v>
      </c>
      <c r="P624" s="376" t="s">
        <v>520</v>
      </c>
      <c r="R624" s="367" t="s">
        <v>1</v>
      </c>
      <c r="S624" s="381" t="str" cm="1">
        <f t="array" ref="S624">TEXT(EDATE($L624,{0}),"dd/mm/yyy") &amp; " to " &amp; TEXT(EDATE($L624,{6})-1,"dd/mm/yyyy")</f>
        <v>01/06/2026 to 30/11/2026</v>
      </c>
      <c r="T624" s="533"/>
      <c r="U624" s="381" t="str" cm="1">
        <f t="array" ref="U624">TEXT(EDATE($L624,{6}),"dd/mm/yyy") &amp; " to " &amp; TEXT(EDATE($L624,{12})-1,"dd/mm/yyyy")</f>
        <v>01/12/2026 to 31/05/2027</v>
      </c>
      <c r="AE624" s="376" t="s">
        <v>485</v>
      </c>
      <c r="AF624" s="380" t="s">
        <v>63</v>
      </c>
      <c r="AG624" s="367">
        <v>2</v>
      </c>
      <c r="AH624" s="659">
        <v>1</v>
      </c>
    </row>
    <row r="625" spans="2:34" ht="15" customHeight="1" x14ac:dyDescent="0.3">
      <c r="B625" s="367" t="s">
        <v>10</v>
      </c>
      <c r="C625" s="806" t="s">
        <v>1061</v>
      </c>
      <c r="D625" s="806" t="s">
        <v>841</v>
      </c>
      <c r="E625" s="50">
        <v>327050092</v>
      </c>
      <c r="F625" s="770">
        <v>46203</v>
      </c>
      <c r="G625" s="367" t="s">
        <v>55</v>
      </c>
      <c r="H625" s="380">
        <v>1</v>
      </c>
      <c r="I625" s="384">
        <v>94500</v>
      </c>
      <c r="J625" s="367">
        <v>3</v>
      </c>
      <c r="K625" s="370">
        <f>I625/J625</f>
        <v>31500</v>
      </c>
      <c r="L625" s="829">
        <v>46174</v>
      </c>
      <c r="M625" s="829">
        <v>46538</v>
      </c>
      <c r="P625" s="376" t="s">
        <v>520</v>
      </c>
      <c r="R625" s="367" t="s">
        <v>1</v>
      </c>
      <c r="S625" s="381" t="str" cm="1">
        <f t="array" ref="S625">TEXT(EDATE($L625,{0}),"dd/mm/yyy") &amp; " to " &amp; TEXT(EDATE($L625,{4})-1,"dd/mm/yyyy")</f>
        <v>01/06/2026 to 30/09/2026</v>
      </c>
      <c r="U625" s="381" t="str" cm="1">
        <f t="array" ref="U625">TEXT(EDATE($L625,{4}),"dd/mm/yyy") &amp; " to " &amp; TEXT(EDATE($L625,{8})-1,"dd/mm/yyyy")</f>
        <v>01/10/2026 to 31/01/2027</v>
      </c>
      <c r="W625" s="381" t="str" cm="1">
        <f t="array" ref="W625">TEXT(EDATE($L625,{8}),"dd/mm/yyy") &amp; " to " &amp; TEXT(EDATE($L625,{12})-1,"dd/mm/yyyy")</f>
        <v>01/02/2027 to 31/05/2027</v>
      </c>
      <c r="AE625" s="376" t="s">
        <v>485</v>
      </c>
      <c r="AF625" s="380" t="s">
        <v>63</v>
      </c>
      <c r="AG625" s="367">
        <v>2</v>
      </c>
      <c r="AH625" s="376" t="s">
        <v>1995</v>
      </c>
    </row>
    <row r="626" spans="2:34" ht="15" customHeight="1" x14ac:dyDescent="0.3">
      <c r="B626" s="367" t="s">
        <v>10</v>
      </c>
      <c r="C626" s="630" t="s">
        <v>195</v>
      </c>
      <c r="D626" s="643" t="s">
        <v>151</v>
      </c>
      <c r="E626" s="275" t="s">
        <v>1996</v>
      </c>
      <c r="F626" s="770">
        <v>46220</v>
      </c>
      <c r="G626" s="367" t="s">
        <v>55</v>
      </c>
      <c r="H626" s="380"/>
      <c r="I626" s="384">
        <v>558000</v>
      </c>
      <c r="J626" s="367">
        <v>4</v>
      </c>
      <c r="K626" s="370">
        <f>I626/J626</f>
        <v>139500</v>
      </c>
      <c r="L626" s="786">
        <v>46220</v>
      </c>
      <c r="M626" s="786">
        <v>46584</v>
      </c>
      <c r="P626" s="376" t="s">
        <v>520</v>
      </c>
      <c r="S626" s="394" t="str" cm="1">
        <f t="array" ref="S626">TEXT(EDATE($L626,{0}),"dd/mm/yyy") &amp; " to " &amp; TEXT(EDATE($L626,{3})-1,"dd/mm/yyyy")</f>
        <v>17/07/2026 to 16/10/2026</v>
      </c>
      <c r="T626" s="363" t="s">
        <v>2059</v>
      </c>
      <c r="U626" s="381" t="str" cm="1">
        <f t="array" ref="U626">TEXT(EDATE($L626,{3}),"dd/mm/yyy") &amp; " to " &amp; TEXT(EDATE($L626,{6})-1,"dd/mm/yyyy")</f>
        <v>17/10/2026 to 16/01/2027</v>
      </c>
      <c r="V626" s="363"/>
      <c r="W626" s="381" t="str" cm="1">
        <f t="array" ref="W626">TEXT(EDATE($L626,{6}),"dd/mm/yyy") &amp; " to " &amp; TEXT(EDATE($L626,{9})-1,"dd/mm/yyyy")</f>
        <v>17/01/2027 to 16/04/2027</v>
      </c>
      <c r="X626" s="363"/>
      <c r="Y626" s="381" t="str" cm="1">
        <f t="array" ref="Y626">TEXT(EDATE($L626,{9}),"dd/mm/yyy") &amp; " to " &amp; TEXT(EDATE($L626,{12})-1,"dd/mm/yyyy")</f>
        <v>17/04/2027 to 16/07/2027</v>
      </c>
      <c r="AE626" s="376" t="s">
        <v>478</v>
      </c>
      <c r="AF626" s="380" t="s">
        <v>63</v>
      </c>
      <c r="AG626" s="367">
        <v>4</v>
      </c>
      <c r="AH626" s="376" t="s">
        <v>1997</v>
      </c>
    </row>
    <row r="627" spans="2:34" ht="15" customHeight="1" x14ac:dyDescent="0.3">
      <c r="B627" s="367" t="s">
        <v>10</v>
      </c>
      <c r="C627" s="630" t="s">
        <v>195</v>
      </c>
      <c r="D627" s="643" t="s">
        <v>151</v>
      </c>
      <c r="E627" s="275" t="s">
        <v>1996</v>
      </c>
      <c r="F627" s="770">
        <v>46220</v>
      </c>
      <c r="G627" s="367" t="s">
        <v>55</v>
      </c>
      <c r="H627" s="540">
        <v>9</v>
      </c>
      <c r="I627" s="384">
        <v>558000</v>
      </c>
      <c r="J627" s="367">
        <v>4</v>
      </c>
      <c r="K627" s="370">
        <f>I627/J627</f>
        <v>139500</v>
      </c>
      <c r="L627" s="786">
        <v>46585</v>
      </c>
      <c r="M627" s="786">
        <v>46950</v>
      </c>
      <c r="P627" s="376" t="s">
        <v>520</v>
      </c>
      <c r="S627" s="381" t="str" cm="1">
        <f t="array" ref="S627">TEXT(EDATE($L627,{0}),"dd/mm/yyy") &amp; " to " &amp; TEXT(EDATE($L627,{3})-1,"dd/mm/yyyy")</f>
        <v>17/07/2027 to 16/10/2027</v>
      </c>
      <c r="T627" s="363"/>
      <c r="U627" s="381" t="str" cm="1">
        <f t="array" ref="U627">TEXT(EDATE($L627,{3}),"dd/mm/yyy") &amp; " to " &amp; TEXT(EDATE($L627,{6})-1,"dd/mm/yyyy")</f>
        <v>17/10/2027 to 16/01/2028</v>
      </c>
      <c r="V627" s="363"/>
      <c r="W627" s="381" t="str" cm="1">
        <f t="array" ref="W627">TEXT(EDATE($L627,{6}),"dd/mm/yyy") &amp; " to " &amp; TEXT(EDATE($L627,{9})-1,"dd/mm/yyyy")</f>
        <v>17/01/2028 to 16/04/2028</v>
      </c>
      <c r="X627" s="363"/>
      <c r="Y627" s="381" t="str" cm="1">
        <f t="array" ref="Y627">TEXT(EDATE($L627,{9}),"dd/mm/yyy") &amp; " to " &amp; TEXT(EDATE($L627,{12})-1,"dd/mm/yyyy")</f>
        <v>17/04/2028 to 16/07/2028</v>
      </c>
      <c r="AE627" s="376" t="s">
        <v>478</v>
      </c>
      <c r="AF627" s="380" t="s">
        <v>63</v>
      </c>
      <c r="AG627" s="367">
        <v>4</v>
      </c>
      <c r="AH627" s="376" t="s">
        <v>1997</v>
      </c>
    </row>
    <row r="628" spans="2:34" ht="15" customHeight="1" x14ac:dyDescent="0.3">
      <c r="B628" s="367" t="s">
        <v>10</v>
      </c>
      <c r="C628" s="630" t="s">
        <v>663</v>
      </c>
      <c r="D628" s="806" t="s">
        <v>1227</v>
      </c>
      <c r="E628" s="832">
        <v>4508124633</v>
      </c>
      <c r="F628" s="770">
        <v>46212</v>
      </c>
      <c r="G628" s="367" t="s">
        <v>55</v>
      </c>
      <c r="H628" s="540">
        <v>9</v>
      </c>
      <c r="I628" s="384">
        <v>720000</v>
      </c>
      <c r="J628" s="367">
        <v>3</v>
      </c>
      <c r="K628" s="370">
        <f>I628/J628</f>
        <v>240000</v>
      </c>
      <c r="L628" s="829">
        <v>46204</v>
      </c>
      <c r="M628" s="829">
        <v>46568</v>
      </c>
      <c r="P628" s="376" t="s">
        <v>520</v>
      </c>
      <c r="S628" s="381" t="str" cm="1">
        <f t="array" ref="S628">TEXT(EDATE($L628,{0}),"dd/mm/yyy") &amp; " to " &amp; TEXT(EDATE($L628,{4})-1,"dd/mm/yyyy")</f>
        <v>01/07/2026 to 31/10/2026</v>
      </c>
      <c r="U628" s="381" t="str" cm="1">
        <f t="array" ref="U628">TEXT(EDATE($L628,{4}),"dd/mm/yyy") &amp; " to " &amp; TEXT(EDATE($L628,{8})-1,"dd/mm/yyyy")</f>
        <v>01/11/2026 to 28/02/2027</v>
      </c>
      <c r="W628" s="381" t="str" cm="1">
        <f t="array" ref="W628">TEXT(EDATE($L628,{8}),"dd/mm/yyy") &amp; " to " &amp; TEXT(EDATE($L628,{12})-1,"dd/mm/yyyy")</f>
        <v>01/03/2027 to 30/06/2027</v>
      </c>
      <c r="AE628" s="376" t="s">
        <v>478</v>
      </c>
      <c r="AF628" s="380" t="s">
        <v>63</v>
      </c>
      <c r="AG628" s="367">
        <v>3</v>
      </c>
      <c r="AH628" s="376" t="s">
        <v>667</v>
      </c>
    </row>
    <row r="629" spans="2:34" ht="15" customHeight="1" x14ac:dyDescent="0.3">
      <c r="B629" s="367" t="s">
        <v>10</v>
      </c>
      <c r="C629" s="816" t="s">
        <v>990</v>
      </c>
      <c r="D629" s="816" t="s">
        <v>991</v>
      </c>
      <c r="E629" s="122">
        <v>115571838</v>
      </c>
      <c r="F629" s="770">
        <v>46227</v>
      </c>
      <c r="G629" s="367" t="s">
        <v>55</v>
      </c>
      <c r="H629" s="380">
        <v>3</v>
      </c>
      <c r="I629" s="384">
        <v>244800</v>
      </c>
      <c r="J629" s="367">
        <v>2</v>
      </c>
      <c r="K629" s="370"/>
      <c r="L629" s="830">
        <v>46174</v>
      </c>
      <c r="M629" s="830">
        <v>46538</v>
      </c>
      <c r="P629" s="376" t="s">
        <v>520</v>
      </c>
      <c r="S629" s="381" t="str" cm="1">
        <f t="array" ref="S629">TEXT(EDATE($L629,{0}),"dd/mm/yyy") &amp; " to " &amp; TEXT(EDATE($L629,{6})-1,"dd/mm/yyyy")</f>
        <v>01/06/2026 to 30/11/2026</v>
      </c>
      <c r="T629" s="704" t="s">
        <v>1998</v>
      </c>
      <c r="U629" s="381" t="str" cm="1">
        <f t="array" ref="U629">TEXT(EDATE($L629,{6}),"dd/mm/yyy") &amp; " to " &amp; TEXT(EDATE($L629,{12})-1,"dd/mm/yyyy")</f>
        <v>01/12/2026 to 31/05/2027</v>
      </c>
      <c r="AE629" s="376" t="s">
        <v>485</v>
      </c>
      <c r="AF629" s="380" t="s">
        <v>63</v>
      </c>
      <c r="AG629" s="367">
        <v>2</v>
      </c>
      <c r="AH629" s="376" t="s">
        <v>1999</v>
      </c>
    </row>
    <row r="630" spans="2:34" ht="15" customHeight="1" x14ac:dyDescent="0.3">
      <c r="B630" s="367" t="s">
        <v>10</v>
      </c>
      <c r="C630" s="630" t="s">
        <v>195</v>
      </c>
      <c r="D630" s="818" t="s">
        <v>1051</v>
      </c>
      <c r="E630" s="220" t="s">
        <v>2000</v>
      </c>
      <c r="F630" s="770">
        <v>46219</v>
      </c>
      <c r="G630" s="367" t="s">
        <v>55</v>
      </c>
      <c r="H630" s="380"/>
      <c r="I630" s="384">
        <v>497859.84000000003</v>
      </c>
      <c r="J630" s="367">
        <v>3</v>
      </c>
      <c r="K630" s="370">
        <f>I630/J630</f>
        <v>165953.28</v>
      </c>
      <c r="L630" s="786">
        <v>46219</v>
      </c>
      <c r="M630" s="786">
        <v>46583</v>
      </c>
      <c r="P630" s="376" t="s">
        <v>520</v>
      </c>
      <c r="S630" s="381" t="str" cm="1">
        <f t="array" ref="S630">TEXT(EDATE($L630,{0}),"dd/mm/yyy") &amp; " to " &amp; TEXT(EDATE($L630,{4})-1,"dd/mm/yyyy")</f>
        <v>16/07/2026 to 15/11/2026</v>
      </c>
      <c r="U630" s="381" t="str" cm="1">
        <f t="array" ref="U630">TEXT(EDATE($L630,{4}),"dd/mm/yyy") &amp; " to " &amp; TEXT(EDATE($L630,{8})-1,"dd/mm/yyyy")</f>
        <v>16/11/2026 to 15/03/2027</v>
      </c>
      <c r="W630" s="381" t="str" cm="1">
        <f t="array" ref="W630">TEXT(EDATE($L630,{8}),"dd/mm/yyy") &amp; " to " &amp; TEXT(EDATE($L630,{12})-1,"dd/mm/yyyy")</f>
        <v>16/03/2027 to 15/07/2027</v>
      </c>
      <c r="AE630" s="376" t="s">
        <v>281</v>
      </c>
      <c r="AF630" s="380" t="s">
        <v>97</v>
      </c>
      <c r="AG630" s="367">
        <v>3</v>
      </c>
      <c r="AH630" s="376" t="s">
        <v>667</v>
      </c>
    </row>
    <row r="631" spans="2:34" ht="15" customHeight="1" x14ac:dyDescent="0.3">
      <c r="B631" s="367" t="s">
        <v>10</v>
      </c>
      <c r="C631" s="630" t="s">
        <v>195</v>
      </c>
      <c r="D631" s="819" t="s">
        <v>1051</v>
      </c>
      <c r="E631" s="222" t="s">
        <v>2000</v>
      </c>
      <c r="F631" s="771">
        <v>46219</v>
      </c>
      <c r="G631" s="367" t="s">
        <v>55</v>
      </c>
      <c r="H631" s="540">
        <v>6</v>
      </c>
      <c r="I631" s="384">
        <v>497859.84000000003</v>
      </c>
      <c r="J631" s="367">
        <v>3</v>
      </c>
      <c r="K631" s="370">
        <f>I631/J631</f>
        <v>165953.28</v>
      </c>
      <c r="L631" s="786">
        <v>46584</v>
      </c>
      <c r="M631" s="786">
        <v>46949</v>
      </c>
      <c r="P631" s="376" t="s">
        <v>520</v>
      </c>
      <c r="S631" s="381" t="str" cm="1">
        <f t="array" ref="S631">TEXT(EDATE($L631,{0}),"dd/mm/yyy") &amp; " to " &amp; TEXT(EDATE($L631,{4})-1,"dd/mm/yyyy")</f>
        <v>16/07/2027 to 15/11/2027</v>
      </c>
      <c r="U631" s="381" t="str" cm="1">
        <f t="array" ref="U631">TEXT(EDATE($L631,{4}),"dd/mm/yyy") &amp; " to " &amp; TEXT(EDATE($L631,{8})-1,"dd/mm/yyyy")</f>
        <v>16/11/2027 to 15/03/2028</v>
      </c>
      <c r="W631" s="381" t="str" cm="1">
        <f t="array" ref="W631">TEXT(EDATE($L631,{8}),"dd/mm/yyy") &amp; " to " &amp; TEXT(EDATE($L631,{12})-1,"dd/mm/yyyy")</f>
        <v>16/03/2028 to 15/07/2028</v>
      </c>
      <c r="AE631" s="376" t="s">
        <v>281</v>
      </c>
      <c r="AF631" s="380" t="s">
        <v>97</v>
      </c>
      <c r="AG631" s="367">
        <v>3</v>
      </c>
      <c r="AH631" s="376" t="s">
        <v>667</v>
      </c>
    </row>
    <row r="632" spans="2:34" ht="15" customHeight="1" x14ac:dyDescent="0.3">
      <c r="B632" s="367" t="s">
        <v>10</v>
      </c>
      <c r="C632" s="822" t="s">
        <v>614</v>
      </c>
      <c r="D632" s="823" t="s">
        <v>970</v>
      </c>
      <c r="E632" s="269">
        <v>4500050863</v>
      </c>
      <c r="F632" s="770">
        <v>46225</v>
      </c>
      <c r="G632" s="380" t="s">
        <v>55</v>
      </c>
      <c r="H632" s="380">
        <v>2</v>
      </c>
      <c r="I632" s="384">
        <v>152880</v>
      </c>
      <c r="J632" s="367">
        <v>3</v>
      </c>
      <c r="L632" s="829">
        <v>46113</v>
      </c>
      <c r="M632" s="829">
        <v>46477</v>
      </c>
      <c r="P632" s="376" t="s">
        <v>520</v>
      </c>
      <c r="S632" s="394" t="str" cm="1">
        <f t="array" ref="S632">TEXT(EDATE($L632,{0}),"dd/mm/yyy") &amp; " to " &amp; TEXT(EDATE($L632,{4})-1,"dd/mm/yyyy")</f>
        <v>01/04/2026 to 31/07/2026</v>
      </c>
      <c r="T632" s="376" t="s">
        <v>2001</v>
      </c>
      <c r="U632" s="381" t="str" cm="1">
        <f t="array" ref="U632">TEXT(EDATE($L632,{4}),"dd/mm/yyy") &amp; " to " &amp; TEXT(EDATE($L632,{8})-1,"dd/mm/yyyy")</f>
        <v>01/08/2026 to 30/11/2026</v>
      </c>
      <c r="W632" s="381" t="str" cm="1">
        <f t="array" ref="W632">TEXT(EDATE($L632,{8}),"dd/mm/yyy") &amp; " to " &amp; TEXT(EDATE($L632,{12})-1,"dd/mm/yyyy")</f>
        <v>01/12/2026 to 31/03/2027</v>
      </c>
      <c r="AE632" s="376" t="s">
        <v>281</v>
      </c>
      <c r="AF632" s="380" t="s">
        <v>97</v>
      </c>
      <c r="AG632" s="367">
        <v>3</v>
      </c>
      <c r="AH632" s="376" t="s">
        <v>1999</v>
      </c>
    </row>
    <row r="633" spans="2:34" ht="15" customHeight="1" x14ac:dyDescent="0.3">
      <c r="B633" s="367" t="s">
        <v>10</v>
      </c>
      <c r="C633" s="822" t="s">
        <v>1032</v>
      </c>
      <c r="D633" s="823" t="s">
        <v>2002</v>
      </c>
      <c r="E633" s="269">
        <v>2880002596</v>
      </c>
      <c r="F633" s="770">
        <v>46218</v>
      </c>
      <c r="G633" s="380" t="s">
        <v>55</v>
      </c>
      <c r="H633" s="380">
        <v>1</v>
      </c>
      <c r="I633" s="384">
        <v>100000</v>
      </c>
      <c r="J633" s="367">
        <v>2</v>
      </c>
      <c r="K633" s="370">
        <f>I633/J633</f>
        <v>50000</v>
      </c>
      <c r="L633" s="829">
        <v>46204</v>
      </c>
      <c r="M633" s="829">
        <v>46568</v>
      </c>
      <c r="N633" s="677">
        <v>155469</v>
      </c>
      <c r="O633" s="677">
        <v>4908</v>
      </c>
      <c r="P633" s="376" t="s">
        <v>520</v>
      </c>
      <c r="S633" s="394" t="str" cm="1">
        <f t="array" ref="S633">TEXT(EDATE($L633,{0}),"dd/mm/yyy") &amp; " to " &amp; TEXT(EDATE($L633,{6})-1,"dd/mm/yyyy")</f>
        <v>01/07/2026 to 31/12/2026</v>
      </c>
      <c r="T633" s="704" t="s">
        <v>2077</v>
      </c>
      <c r="U633" s="381" t="str" cm="1">
        <f t="array" ref="U633">TEXT(EDATE($L633,{6}),"dd/mm/yyy") &amp; " to " &amp; TEXT(EDATE($L633,{12})-1,"dd/mm/yyyy")</f>
        <v>01/01/2027 to 30/06/2027</v>
      </c>
      <c r="W633" s="381"/>
      <c r="AE633" s="376" t="s">
        <v>96</v>
      </c>
      <c r="AF633" s="380" t="s">
        <v>97</v>
      </c>
      <c r="AG633" s="367">
        <v>3</v>
      </c>
      <c r="AH633" s="376" t="s">
        <v>1898</v>
      </c>
    </row>
    <row r="634" spans="2:34" ht="15" customHeight="1" x14ac:dyDescent="0.3">
      <c r="B634" s="367" t="s">
        <v>10</v>
      </c>
      <c r="C634" s="696" t="s">
        <v>1589</v>
      </c>
      <c r="D634" s="643" t="s">
        <v>1317</v>
      </c>
      <c r="E634" s="183" t="s">
        <v>2003</v>
      </c>
      <c r="F634" s="770">
        <v>46036</v>
      </c>
      <c r="G634" s="380" t="s">
        <v>55</v>
      </c>
      <c r="H634" s="380">
        <v>2</v>
      </c>
      <c r="I634" s="384">
        <v>160000</v>
      </c>
      <c r="J634" s="367">
        <v>2</v>
      </c>
      <c r="K634" s="370">
        <f>I634/J634</f>
        <v>80000</v>
      </c>
      <c r="L634" s="786">
        <v>46023</v>
      </c>
      <c r="M634" s="786">
        <v>46387</v>
      </c>
      <c r="P634" s="376" t="s">
        <v>520</v>
      </c>
      <c r="S634" s="394" t="str" cm="1">
        <f t="array" ref="S634">TEXT(EDATE($L634,{0}),"dd/mm/yyy") &amp; " to " &amp; TEXT(EDATE($L634,{6})-1,"dd/mm/yyyy")</f>
        <v>01/01/2026 to 30/06/2026</v>
      </c>
      <c r="T634" s="376" t="s">
        <v>1964</v>
      </c>
      <c r="U634" s="381" t="str" cm="1">
        <f t="array" ref="U634">TEXT(EDATE($L634,{6}),"dd/mm/yyy") &amp; " to " &amp; TEXT(EDATE($L634,{12})-1,"dd/mm/yyyy")</f>
        <v>01/07/2026 to 31/12/2026</v>
      </c>
      <c r="AE634" s="376" t="s">
        <v>478</v>
      </c>
      <c r="AF634" s="380" t="s">
        <v>63</v>
      </c>
      <c r="AG634" s="367">
        <v>3</v>
      </c>
      <c r="AH634" s="376" t="s">
        <v>667</v>
      </c>
    </row>
    <row r="635" spans="2:34" ht="15" customHeight="1" x14ac:dyDescent="0.3">
      <c r="B635" s="367" t="s">
        <v>10</v>
      </c>
      <c r="C635" s="642" t="s">
        <v>975</v>
      </c>
      <c r="D635" s="630" t="s">
        <v>1136</v>
      </c>
      <c r="E635" s="50">
        <v>6100016245</v>
      </c>
      <c r="F635" s="770">
        <v>46212</v>
      </c>
      <c r="G635" s="380" t="s">
        <v>55</v>
      </c>
      <c r="H635" s="698">
        <v>2</v>
      </c>
      <c r="I635" s="384">
        <v>224000</v>
      </c>
      <c r="J635" s="367">
        <v>3</v>
      </c>
      <c r="K635" s="370">
        <f>I635/2</f>
        <v>112000</v>
      </c>
      <c r="L635" s="644">
        <v>46235</v>
      </c>
      <c r="M635" s="644">
        <v>46599</v>
      </c>
      <c r="P635" s="376" t="s">
        <v>520</v>
      </c>
      <c r="S635" s="381" t="str" cm="1">
        <f t="array" ref="S635">TEXT(EDATE($L635,{0}),"dd/mm/yyy") &amp; " to " &amp; TEXT(EDATE($L635,{4})-1,"dd/mm/yyyy")</f>
        <v>01/08/2026 to 30/11/2026</v>
      </c>
      <c r="U635" s="381" t="str" cm="1">
        <f t="array" ref="U635">TEXT(EDATE($L635,{4}),"dd/mm/yyy") &amp; " to " &amp; TEXT(EDATE($L635,{8})-1,"dd/mm/yyyy")</f>
        <v>01/12/2026 to 31/03/2027</v>
      </c>
      <c r="W635" s="381" t="str" cm="1">
        <f t="array" ref="W635">TEXT(EDATE($L635,{8}),"dd/mm/yyy") &amp; " to " &amp; TEXT(EDATE($L635,{12})-1,"dd/mm/yyyy")</f>
        <v>01/04/2027 to 31/07/2027</v>
      </c>
      <c r="AE635" s="376" t="s">
        <v>1975</v>
      </c>
      <c r="AF635" s="380" t="s">
        <v>207</v>
      </c>
      <c r="AG635" s="367">
        <v>3</v>
      </c>
      <c r="AH635" s="376" t="s">
        <v>2004</v>
      </c>
    </row>
    <row r="636" spans="2:34" ht="15" customHeight="1" x14ac:dyDescent="0.3">
      <c r="B636" s="367" t="s">
        <v>10</v>
      </c>
      <c r="C636" s="806" t="s">
        <v>685</v>
      </c>
      <c r="D636" s="806" t="s">
        <v>1031</v>
      </c>
      <c r="E636" s="805">
        <v>4514486733</v>
      </c>
      <c r="F636" s="770">
        <v>46224</v>
      </c>
      <c r="G636" s="525" t="s">
        <v>55</v>
      </c>
      <c r="H636" s="380">
        <v>2</v>
      </c>
      <c r="I636" s="384">
        <v>100000</v>
      </c>
      <c r="J636" s="367">
        <v>3</v>
      </c>
      <c r="K636" s="370">
        <f>I636/J636</f>
        <v>33333.333333333336</v>
      </c>
      <c r="L636" s="829">
        <v>46174</v>
      </c>
      <c r="M636" s="829">
        <v>46538</v>
      </c>
      <c r="P636" s="376" t="s">
        <v>520</v>
      </c>
      <c r="S636" s="381" t="str" cm="1">
        <f t="array" ref="S636">TEXT(EDATE($L636,{0}),"dd/mm/yyy") &amp; " to " &amp; TEXT(EDATE($L636,{4})-1,"dd/mm/yyyy")</f>
        <v>01/06/2026 to 30/09/2026</v>
      </c>
      <c r="U636" s="381" t="str" cm="1">
        <f t="array" ref="U636">TEXT(EDATE($L636,{4}),"dd/mm/yyy") &amp; " to " &amp; TEXT(EDATE($L636,{8})-1,"dd/mm/yyyy")</f>
        <v>01/10/2026 to 31/01/2027</v>
      </c>
      <c r="W636" s="381" t="str" cm="1">
        <f t="array" ref="W636">TEXT(EDATE($L636,{8}),"dd/mm/yyy") &amp; " to " &amp; TEXT(EDATE($L636,{12})-1,"dd/mm/yyyy")</f>
        <v>01/02/2027 to 31/05/2027</v>
      </c>
      <c r="AE636" s="376" t="s">
        <v>478</v>
      </c>
      <c r="AF636" s="380" t="s">
        <v>63</v>
      </c>
      <c r="AG636" s="367">
        <v>3</v>
      </c>
      <c r="AH636" s="376" t="s">
        <v>667</v>
      </c>
    </row>
    <row r="637" spans="2:34" ht="15" customHeight="1" x14ac:dyDescent="0.3">
      <c r="B637" s="367" t="s">
        <v>10</v>
      </c>
      <c r="C637" s="806" t="s">
        <v>1216</v>
      </c>
      <c r="D637" s="806" t="s">
        <v>176</v>
      </c>
      <c r="E637" s="824">
        <v>1500003998</v>
      </c>
      <c r="F637" s="770">
        <v>46224</v>
      </c>
      <c r="G637" s="525" t="s">
        <v>55</v>
      </c>
      <c r="H637" s="540">
        <v>1</v>
      </c>
      <c r="I637" s="384">
        <v>101000</v>
      </c>
      <c r="J637" s="367">
        <v>3</v>
      </c>
      <c r="K637" s="370"/>
      <c r="L637" s="829">
        <v>46224</v>
      </c>
      <c r="M637" s="829">
        <v>46588</v>
      </c>
      <c r="P637" s="376" t="s">
        <v>520</v>
      </c>
      <c r="S637" s="381" t="str" cm="1">
        <f t="array" ref="S637">TEXT(EDATE($L637,{0}),"dd/mm/yyy") &amp; " to " &amp; TEXT(EDATE($L637,{4})-1,"dd/mm/yyyy")</f>
        <v>21/07/2026 to 20/11/2026</v>
      </c>
      <c r="U637" s="381" t="str" cm="1">
        <f t="array" ref="U637">TEXT(EDATE($L637,{4}),"dd/mm/yyy") &amp; " to " &amp; TEXT(EDATE($L637,{8})-1,"dd/mm/yyyy")</f>
        <v>21/11/2026 to 20/03/2027</v>
      </c>
      <c r="W637" s="381" t="str" cm="1">
        <f t="array" ref="W637">TEXT(EDATE($L637,{8}),"dd/mm/yyy") &amp; " to " &amp; TEXT(EDATE($L637,{12})-1,"dd/mm/yyyy")</f>
        <v>21/03/2027 to 20/07/2027</v>
      </c>
      <c r="AE637" s="376" t="s">
        <v>1893</v>
      </c>
      <c r="AF637" s="380" t="s">
        <v>97</v>
      </c>
      <c r="AG637" s="367">
        <v>3</v>
      </c>
      <c r="AH637" s="376" t="s">
        <v>2005</v>
      </c>
    </row>
    <row r="638" spans="2:34" ht="15" customHeight="1" x14ac:dyDescent="0.3">
      <c r="B638" s="367" t="s">
        <v>10</v>
      </c>
      <c r="C638" s="826" t="s">
        <v>1032</v>
      </c>
      <c r="D638" s="806" t="s">
        <v>693</v>
      </c>
      <c r="E638" s="805">
        <v>3430064019</v>
      </c>
      <c r="F638" s="770">
        <v>46225</v>
      </c>
      <c r="G638" s="525" t="s">
        <v>55</v>
      </c>
      <c r="H638" s="380">
        <v>10</v>
      </c>
      <c r="I638" s="384">
        <v>617040</v>
      </c>
      <c r="J638" s="367">
        <v>3</v>
      </c>
      <c r="K638" s="370">
        <f t="shared" ref="K638:K643" si="30">I638/J638</f>
        <v>205680</v>
      </c>
      <c r="L638" s="829">
        <v>46113</v>
      </c>
      <c r="M638" s="829">
        <v>46477</v>
      </c>
      <c r="N638" s="677">
        <v>155450</v>
      </c>
      <c r="O638" s="677" t="s">
        <v>2086</v>
      </c>
      <c r="P638" s="376" t="s">
        <v>520</v>
      </c>
      <c r="S638" s="394" t="str" cm="1">
        <f t="array" ref="S638">TEXT(EDATE($L638,{0}),"dd/mm/yyy") &amp; " to " &amp; TEXT(EDATE($L638,{4})-1,"dd/mm/yyyy")</f>
        <v>01/04/2026 to 31/07/2026</v>
      </c>
      <c r="T638" s="376" t="s">
        <v>2056</v>
      </c>
      <c r="U638" s="381" t="str" cm="1">
        <f t="array" ref="U638">TEXT(EDATE($L638,{4}),"dd/mm/yyy") &amp; " to " &amp; TEXT(EDATE($L638,{8})-1,"dd/mm/yyyy")</f>
        <v>01/08/2026 to 30/11/2026</v>
      </c>
      <c r="W638" s="381" t="str" cm="1">
        <f t="array" ref="W638">TEXT(EDATE($L638,{8}),"dd/mm/yyy") &amp; " to " &amp; TEXT(EDATE($L638,{12})-1,"dd/mm/yyyy")</f>
        <v>01/12/2026 to 31/03/2027</v>
      </c>
      <c r="AE638" s="376" t="s">
        <v>128</v>
      </c>
      <c r="AF638" s="380" t="s">
        <v>129</v>
      </c>
      <c r="AG638" s="367">
        <v>2</v>
      </c>
      <c r="AH638" s="376" t="s">
        <v>1898</v>
      </c>
    </row>
    <row r="639" spans="2:34" ht="15" customHeight="1" x14ac:dyDescent="0.3">
      <c r="B639" s="367" t="s">
        <v>10</v>
      </c>
      <c r="C639" s="827" t="s">
        <v>2006</v>
      </c>
      <c r="D639" s="828" t="s">
        <v>2007</v>
      </c>
      <c r="E639" s="805">
        <v>262720297</v>
      </c>
      <c r="F639" s="770">
        <v>46216</v>
      </c>
      <c r="G639" s="525" t="s">
        <v>55</v>
      </c>
      <c r="H639" s="540">
        <v>3</v>
      </c>
      <c r="I639" s="384">
        <v>495000</v>
      </c>
      <c r="J639" s="367">
        <v>3</v>
      </c>
      <c r="K639" s="370">
        <f t="shared" si="30"/>
        <v>165000</v>
      </c>
      <c r="L639" s="830">
        <v>46204</v>
      </c>
      <c r="M639" s="830">
        <v>46477</v>
      </c>
      <c r="P639" s="376" t="s">
        <v>520</v>
      </c>
      <c r="R639" s="367" t="s">
        <v>1</v>
      </c>
      <c r="S639" s="381" t="s">
        <v>496</v>
      </c>
      <c r="T639" s="363"/>
      <c r="U639" s="381" t="s">
        <v>497</v>
      </c>
      <c r="V639" s="363"/>
      <c r="W639" s="381" t="s">
        <v>498</v>
      </c>
      <c r="AE639" s="376" t="s">
        <v>128</v>
      </c>
      <c r="AF639" s="380" t="s">
        <v>129</v>
      </c>
      <c r="AG639" s="367">
        <v>2</v>
      </c>
      <c r="AH639" s="376" t="s">
        <v>1898</v>
      </c>
    </row>
    <row r="640" spans="2:34" ht="15" customHeight="1" x14ac:dyDescent="0.3">
      <c r="B640" s="367" t="s">
        <v>10</v>
      </c>
      <c r="C640" s="699" t="s">
        <v>1062</v>
      </c>
      <c r="D640" s="700" t="s">
        <v>388</v>
      </c>
      <c r="E640" s="805">
        <v>4700033648</v>
      </c>
      <c r="F640" s="770">
        <v>46226</v>
      </c>
      <c r="G640" s="525" t="s">
        <v>55</v>
      </c>
      <c r="H640" s="380">
        <v>1</v>
      </c>
      <c r="I640" s="384">
        <v>94500</v>
      </c>
      <c r="J640" s="367">
        <v>2</v>
      </c>
      <c r="K640" s="370">
        <f t="shared" si="30"/>
        <v>47250</v>
      </c>
      <c r="L640" s="786">
        <v>46204</v>
      </c>
      <c r="M640" s="786">
        <v>46568</v>
      </c>
      <c r="P640" s="376" t="s">
        <v>520</v>
      </c>
      <c r="S640" s="381" t="str" cm="1">
        <f t="array" ref="S640">TEXT(EDATE($L640,{0}),"dd/mm/yyy") &amp; " to " &amp; TEXT(EDATE($L640,{6})-1,"dd/mm/yyyy")</f>
        <v>01/07/2026 to 31/12/2026</v>
      </c>
      <c r="U640" s="381" t="str" cm="1">
        <f t="array" ref="U640">TEXT(EDATE($L640,{6}),"dd/mm/yyy") &amp; " to " &amp; TEXT(EDATE($L640,{12})-1,"dd/mm/yyyy")</f>
        <v>01/01/2027 to 30/06/2027</v>
      </c>
      <c r="AE640" s="376" t="s">
        <v>619</v>
      </c>
      <c r="AF640" s="380" t="s">
        <v>63</v>
      </c>
      <c r="AG640" s="367">
        <v>2</v>
      </c>
      <c r="AH640" s="376" t="s">
        <v>1898</v>
      </c>
    </row>
    <row r="641" spans="1:34" ht="15" customHeight="1" x14ac:dyDescent="0.3">
      <c r="B641" s="367" t="s">
        <v>10</v>
      </c>
      <c r="C641" s="826" t="s">
        <v>1095</v>
      </c>
      <c r="D641" s="823" t="s">
        <v>1016</v>
      </c>
      <c r="E641" s="805">
        <v>9709884514</v>
      </c>
      <c r="F641" s="770">
        <v>46211</v>
      </c>
      <c r="G641" s="525" t="s">
        <v>55</v>
      </c>
      <c r="H641" s="540">
        <v>13</v>
      </c>
      <c r="I641" s="384">
        <v>1040000</v>
      </c>
      <c r="J641" s="367">
        <v>4</v>
      </c>
      <c r="K641" s="370">
        <f t="shared" si="30"/>
        <v>260000</v>
      </c>
      <c r="L641" s="829">
        <v>46204</v>
      </c>
      <c r="M641" s="829">
        <v>46568</v>
      </c>
      <c r="N641" s="677">
        <v>155367</v>
      </c>
      <c r="O641" s="677">
        <v>4691</v>
      </c>
      <c r="P641" s="376" t="s">
        <v>520</v>
      </c>
      <c r="S641" s="394" t="str" cm="1">
        <f t="array" ref="S641">TEXT(EDATE($L641,{0}),"dd/mm/yyy") &amp; " to " &amp; TEXT(EDATE($L641,{3})-1,"dd/mm/yyyy")</f>
        <v>01/07/2026 to 30/09/2026</v>
      </c>
      <c r="T641" s="363" t="s">
        <v>1962</v>
      </c>
      <c r="U641" s="381" t="str" cm="1">
        <f t="array" ref="U641">TEXT(EDATE($L641,{3}),"dd/mm/yyy") &amp; " to " &amp; TEXT(EDATE($L641,{6})-1,"dd/mm/yyyy")</f>
        <v>01/10/2026 to 31/12/2026</v>
      </c>
      <c r="V641" s="363"/>
      <c r="W641" s="381" t="str" cm="1">
        <f t="array" ref="W641">TEXT(EDATE($L641,{6}),"dd/mm/yyy") &amp; " to " &amp; TEXT(EDATE($L641,{9})-1,"dd/mm/yyyy")</f>
        <v>01/01/2027 to 31/03/2027</v>
      </c>
      <c r="X641" s="363"/>
      <c r="Y641" s="381" t="str" cm="1">
        <f t="array" ref="Y641">TEXT(EDATE($L641,{9}),"dd/mm/yyy") &amp; " to " &amp; TEXT(EDATE($L641,{12})-1,"dd/mm/yyyy")</f>
        <v>01/04/2027 to 30/06/2027</v>
      </c>
      <c r="AE641" s="376" t="s">
        <v>619</v>
      </c>
      <c r="AF641" s="380" t="s">
        <v>63</v>
      </c>
      <c r="AG641" s="367">
        <v>4</v>
      </c>
      <c r="AH641" s="376" t="s">
        <v>667</v>
      </c>
    </row>
    <row r="642" spans="1:34" ht="15" customHeight="1" x14ac:dyDescent="0.3">
      <c r="B642" s="367" t="s">
        <v>10</v>
      </c>
      <c r="C642" s="699" t="s">
        <v>2008</v>
      </c>
      <c r="D642" s="818" t="s">
        <v>1114</v>
      </c>
      <c r="E642" s="701">
        <v>8000195793</v>
      </c>
      <c r="F642" s="769">
        <v>46231</v>
      </c>
      <c r="G642" s="525" t="s">
        <v>55</v>
      </c>
      <c r="H642" s="540">
        <v>1</v>
      </c>
      <c r="I642" s="549">
        <v>98325</v>
      </c>
      <c r="J642" s="540">
        <v>3</v>
      </c>
      <c r="K642" s="370">
        <f t="shared" si="30"/>
        <v>32775</v>
      </c>
      <c r="L642" s="787">
        <v>46204</v>
      </c>
      <c r="M642" s="787">
        <v>46568</v>
      </c>
      <c r="P642" s="376" t="s">
        <v>520</v>
      </c>
      <c r="S642" s="706" t="str" cm="1">
        <f t="array" ref="S642">TEXT(EDATE($L642,{0}),"dd/mm/yyy") &amp; " to " &amp; TEXT(EDATE($L642,{4})-1,"dd/mm/yyyy")</f>
        <v>01/07/2026 to 31/10/2026</v>
      </c>
      <c r="U642" s="706" t="str" cm="1">
        <f t="array" ref="U642">TEXT(EDATE($L642,{4}),"dd/mm/yyy") &amp; " to " &amp; TEXT(EDATE($L642,{8})-1,"dd/mm/yyyy")</f>
        <v>01/11/2026 to 28/02/2027</v>
      </c>
      <c r="W642" s="706" t="str" cm="1">
        <f t="array" ref="W642">TEXT(EDATE($L642,{8}),"dd/mm/yyy") &amp; " to " &amp; TEXT(EDATE($L642,{12})-1,"dd/mm/yyyy")</f>
        <v>01/03/2027 to 30/06/2027</v>
      </c>
      <c r="AE642" s="376" t="s">
        <v>1893</v>
      </c>
      <c r="AF642" s="380" t="s">
        <v>97</v>
      </c>
      <c r="AG642" s="367">
        <v>2</v>
      </c>
      <c r="AH642" s="376" t="s">
        <v>667</v>
      </c>
    </row>
    <row r="643" spans="1:34" ht="15" customHeight="1" x14ac:dyDescent="0.3">
      <c r="B643" s="367" t="s">
        <v>10</v>
      </c>
      <c r="C643" s="699" t="s">
        <v>2009</v>
      </c>
      <c r="D643" s="806" t="s">
        <v>151</v>
      </c>
      <c r="E643" s="805">
        <v>4514522681</v>
      </c>
      <c r="F643" s="770">
        <v>46232</v>
      </c>
      <c r="G643" s="525" t="s">
        <v>55</v>
      </c>
      <c r="H643" s="380">
        <v>10</v>
      </c>
      <c r="I643" s="388">
        <v>500000</v>
      </c>
      <c r="J643" s="380">
        <v>3</v>
      </c>
      <c r="K643" s="389">
        <f t="shared" si="30"/>
        <v>166666.66666666666</v>
      </c>
      <c r="L643" s="829">
        <v>46174</v>
      </c>
      <c r="M643" s="829">
        <v>46538</v>
      </c>
      <c r="N643" s="680"/>
      <c r="O643" s="680"/>
      <c r="P643" s="363" t="s">
        <v>520</v>
      </c>
      <c r="Q643" s="380"/>
      <c r="R643" s="380"/>
      <c r="S643" s="381" t="str" cm="1">
        <f t="array" ref="S643">TEXT(EDATE($L643,{0}),"dd/mm/yyy") &amp; " to " &amp; TEXT(EDATE($L643,{4})-1,"dd/mm/yyyy")</f>
        <v>01/06/2026 to 30/09/2026</v>
      </c>
      <c r="T643" s="363"/>
      <c r="U643" s="381" t="str" cm="1">
        <f t="array" ref="U643">TEXT(EDATE($L643,{4}),"dd/mm/yyy") &amp; " to " &amp; TEXT(EDATE($L643,{8})-1,"dd/mm/yyyy")</f>
        <v>01/10/2026 to 31/01/2027</v>
      </c>
      <c r="V643" s="363"/>
      <c r="W643" s="381" t="str" cm="1">
        <f t="array" ref="W643">TEXT(EDATE($L643,{8}),"dd/mm/yyy") &amp; " to " &amp; TEXT(EDATE($L643,{12})-1,"dd/mm/yyyy")</f>
        <v>01/02/2027 to 31/05/2027</v>
      </c>
      <c r="X643" s="363"/>
      <c r="Y643" s="363"/>
      <c r="Z643" s="363"/>
      <c r="AA643" s="363"/>
      <c r="AB643" s="363"/>
      <c r="AC643" s="363"/>
      <c r="AD643" s="363"/>
      <c r="AE643" s="363" t="s">
        <v>478</v>
      </c>
      <c r="AF643" s="380" t="s">
        <v>63</v>
      </c>
      <c r="AG643" s="380">
        <v>5</v>
      </c>
      <c r="AH643" s="363" t="s">
        <v>667</v>
      </c>
    </row>
    <row r="644" spans="1:34" ht="15" customHeight="1" x14ac:dyDescent="0.3">
      <c r="B644" s="367" t="s">
        <v>10</v>
      </c>
      <c r="C644" s="826" t="s">
        <v>2010</v>
      </c>
      <c r="D644" s="806" t="s">
        <v>1022</v>
      </c>
      <c r="E644" s="824">
        <v>1421087162</v>
      </c>
      <c r="F644" s="770">
        <v>46224</v>
      </c>
      <c r="G644" s="525" t="s">
        <v>55</v>
      </c>
      <c r="H644" s="380">
        <v>1</v>
      </c>
      <c r="I644" s="388">
        <v>88700</v>
      </c>
      <c r="J644" s="380">
        <v>2</v>
      </c>
      <c r="K644" s="389"/>
      <c r="L644" s="829">
        <v>46204</v>
      </c>
      <c r="M644" s="829">
        <v>46568</v>
      </c>
      <c r="N644" s="680"/>
      <c r="O644" s="680"/>
      <c r="P644" s="363" t="s">
        <v>520</v>
      </c>
      <c r="Q644" s="380"/>
      <c r="R644" s="380"/>
      <c r="S644" s="381" t="str" cm="1">
        <f t="array" ref="S644">TEXT(EDATE($L644,{0}),"dd/mm/yyy") &amp; " to " &amp; TEXT(EDATE($L644,{6})-1,"dd/mm/yyyy")</f>
        <v>01/07/2026 to 31/12/2026</v>
      </c>
      <c r="T644" s="363" t="s">
        <v>2087</v>
      </c>
      <c r="U644" s="381" t="str" cm="1">
        <f t="array" ref="U644">TEXT(EDATE($L644,{6}),"dd/mm/yyy") &amp; " to " &amp; TEXT(EDATE($L644,{12})-1,"dd/mm/yyyy")</f>
        <v>01/01/2027 to 30/06/2027</v>
      </c>
      <c r="V644" s="363"/>
      <c r="W644" s="363"/>
      <c r="X644" s="363"/>
      <c r="Y644" s="363"/>
      <c r="Z644" s="363"/>
      <c r="AA644" s="363"/>
      <c r="AB644" s="363"/>
      <c r="AC644" s="363"/>
      <c r="AD644" s="363"/>
      <c r="AE644" s="363" t="s">
        <v>485</v>
      </c>
      <c r="AF644" s="380" t="s">
        <v>63</v>
      </c>
      <c r="AG644" s="380">
        <v>2</v>
      </c>
      <c r="AH644" s="363" t="s">
        <v>1060</v>
      </c>
    </row>
    <row r="645" spans="1:34" ht="15" customHeight="1" x14ac:dyDescent="0.3">
      <c r="B645" s="367" t="s">
        <v>8</v>
      </c>
      <c r="C645" s="707" t="s">
        <v>1103</v>
      </c>
      <c r="D645" s="708" t="s">
        <v>1088</v>
      </c>
      <c r="E645" s="50" t="s">
        <v>2088</v>
      </c>
      <c r="F645" s="766">
        <v>46237</v>
      </c>
      <c r="G645" s="319" t="s">
        <v>55</v>
      </c>
      <c r="I645" s="384">
        <v>66000</v>
      </c>
      <c r="J645" s="367">
        <v>4</v>
      </c>
      <c r="K645" s="9">
        <f t="shared" ref="K645:K651" si="31">I645/J645</f>
        <v>16500</v>
      </c>
      <c r="L645" s="619">
        <v>46235</v>
      </c>
      <c r="M645" s="619">
        <v>46599</v>
      </c>
      <c r="P645" s="58" t="s">
        <v>520</v>
      </c>
      <c r="S645" s="57" t="str" cm="1">
        <f t="array" ref="S645">TEXT(EDATE($L645,{0}),"dd/mm/yyy") &amp; " to " &amp; TEXT(EDATE($L645,{3})-1,"dd/mm/yyyy")</f>
        <v>01/08/2026 to 31/10/2026</v>
      </c>
      <c r="T645" s="58"/>
      <c r="U645" s="57" t="str" cm="1">
        <f t="array" ref="U645">TEXT(EDATE($L645,{3}),"dd/mm/yyy") &amp; " to " &amp; TEXT(EDATE($L645,{6})-1,"dd/mm/yyyy")</f>
        <v>01/11/2026 to 31/01/2027</v>
      </c>
      <c r="V645" s="58"/>
      <c r="W645" s="57" t="str" cm="1">
        <f t="array" ref="W645">TEXT(EDATE($L645,{6}),"dd/mm/yyy") &amp; " to " &amp; TEXT(EDATE($L645,{9})-1,"dd/mm/yyyy")</f>
        <v>01/02/2027 to 30/04/2027</v>
      </c>
      <c r="X645" s="58"/>
      <c r="Y645" s="57" t="str" cm="1">
        <f t="array" ref="Y645">TEXT(EDATE($L645,{9}),"dd/mm/yyy") &amp; " to " &amp; TEXT(EDATE($L645,{12})-1,"dd/mm/yyyy")</f>
        <v>01/05/2027 to 31/07/2027</v>
      </c>
      <c r="AE645" s="376" t="s">
        <v>96</v>
      </c>
      <c r="AF645" s="380" t="s">
        <v>97</v>
      </c>
      <c r="AG645" s="367" t="s">
        <v>494</v>
      </c>
      <c r="AH645" s="376" t="s">
        <v>2089</v>
      </c>
    </row>
    <row r="646" spans="1:34" ht="15" customHeight="1" x14ac:dyDescent="0.3">
      <c r="B646" s="367" t="s">
        <v>8</v>
      </c>
      <c r="C646" s="707" t="s">
        <v>1103</v>
      </c>
      <c r="D646" s="708" t="s">
        <v>1088</v>
      </c>
      <c r="E646" s="50" t="s">
        <v>2088</v>
      </c>
      <c r="F646" s="766">
        <v>46237</v>
      </c>
      <c r="G646" s="319" t="s">
        <v>55</v>
      </c>
      <c r="H646" s="367">
        <v>1</v>
      </c>
      <c r="I646" s="384">
        <v>66000</v>
      </c>
      <c r="J646" s="367">
        <v>4</v>
      </c>
      <c r="K646" s="9">
        <f t="shared" si="31"/>
        <v>16500</v>
      </c>
      <c r="L646" s="788">
        <v>46600</v>
      </c>
      <c r="M646" s="788">
        <v>46965</v>
      </c>
      <c r="P646" s="58" t="s">
        <v>520</v>
      </c>
      <c r="S646" s="57" t="str" cm="1">
        <f t="array" ref="S646">TEXT(EDATE($L646,{0}),"dd/mm/yyy") &amp; " to " &amp; TEXT(EDATE($L646,{3})-1,"dd/mm/yyyy")</f>
        <v>01/08/2027 to 31/10/2027</v>
      </c>
      <c r="T646" s="58"/>
      <c r="U646" s="57" t="str" cm="1">
        <f t="array" ref="U646">TEXT(EDATE($L646,{3}),"dd/mm/yyy") &amp; " to " &amp; TEXT(EDATE($L646,{6})-1,"dd/mm/yyyy")</f>
        <v>01/11/2027 to 31/01/2028</v>
      </c>
      <c r="V646" s="58"/>
      <c r="W646" s="57" t="str" cm="1">
        <f t="array" ref="W646">TEXT(EDATE($L646,{6}),"dd/mm/yyy") &amp; " to " &amp; TEXT(EDATE($L646,{9})-1,"dd/mm/yyyy")</f>
        <v>01/02/2028 to 30/04/2028</v>
      </c>
      <c r="X646" s="58"/>
      <c r="Y646" s="57" t="str" cm="1">
        <f t="array" ref="Y646">TEXT(EDATE($L646,{9}),"dd/mm/yyy") &amp; " to " &amp; TEXT(EDATE($L646,{12})-1,"dd/mm/yyyy")</f>
        <v>01/05/2028 to 31/07/2028</v>
      </c>
      <c r="AE646" s="376" t="s">
        <v>96</v>
      </c>
      <c r="AF646" s="380" t="s">
        <v>97</v>
      </c>
      <c r="AG646" s="367" t="s">
        <v>494</v>
      </c>
      <c r="AH646" s="376" t="s">
        <v>2089</v>
      </c>
    </row>
    <row r="647" spans="1:34" ht="15" customHeight="1" x14ac:dyDescent="0.3">
      <c r="B647" s="367" t="s">
        <v>8</v>
      </c>
      <c r="C647" s="630" t="s">
        <v>150</v>
      </c>
      <c r="D647" s="818" t="s">
        <v>447</v>
      </c>
      <c r="E647" s="805">
        <v>4200390534</v>
      </c>
      <c r="F647" s="770">
        <v>46179</v>
      </c>
      <c r="G647" s="319" t="s">
        <v>55</v>
      </c>
      <c r="H647" s="380">
        <v>3</v>
      </c>
      <c r="I647" s="384">
        <v>195000</v>
      </c>
      <c r="J647" s="367">
        <v>2</v>
      </c>
      <c r="K647" s="9">
        <f t="shared" si="31"/>
        <v>97500</v>
      </c>
      <c r="L647" s="786">
        <v>46204</v>
      </c>
      <c r="M647" s="786">
        <v>46568</v>
      </c>
      <c r="P647" s="58" t="s">
        <v>520</v>
      </c>
      <c r="S647" s="381" t="str" cm="1">
        <f t="array" ref="S647">TEXT(EDATE($L647,{0}),"dd/mm/yyy") &amp; " to " &amp; TEXT(EDATE($L647,{6})-1,"dd/mm/yyyy")</f>
        <v>01/07/2026 to 31/12/2026</v>
      </c>
      <c r="T647" s="363"/>
      <c r="U647" s="381" t="str" cm="1">
        <f t="array" ref="U647">TEXT(EDATE($L647,{6}),"dd/mm/yyy") &amp; " to " &amp; TEXT(EDATE($L647,{12})-1,"dd/mm/yyyy")</f>
        <v>01/01/2027 to 30/06/2027</v>
      </c>
      <c r="AE647" s="376" t="s">
        <v>96</v>
      </c>
      <c r="AF647" s="380" t="s">
        <v>97</v>
      </c>
      <c r="AG647" s="367" t="s">
        <v>494</v>
      </c>
      <c r="AH647" s="376" t="s">
        <v>667</v>
      </c>
    </row>
    <row r="648" spans="1:34" ht="15" customHeight="1" x14ac:dyDescent="0.3">
      <c r="B648" s="367" t="s">
        <v>8</v>
      </c>
      <c r="C648" s="630" t="s">
        <v>1796</v>
      </c>
      <c r="D648" s="632" t="s">
        <v>757</v>
      </c>
      <c r="E648" s="715">
        <v>2265008138</v>
      </c>
      <c r="F648" s="770">
        <v>46239</v>
      </c>
      <c r="G648" s="319" t="s">
        <v>55</v>
      </c>
      <c r="H648" s="380">
        <v>2</v>
      </c>
      <c r="I648" s="384">
        <v>166999.79999999999</v>
      </c>
      <c r="J648" s="367">
        <v>3</v>
      </c>
      <c r="K648" s="9">
        <f t="shared" si="31"/>
        <v>55666.6</v>
      </c>
      <c r="L648" s="786">
        <v>46113</v>
      </c>
      <c r="M648" s="786">
        <v>46477</v>
      </c>
      <c r="N648" s="677">
        <v>155476</v>
      </c>
      <c r="O648" s="677">
        <v>4669</v>
      </c>
      <c r="P648" s="58" t="s">
        <v>520</v>
      </c>
      <c r="S648" s="394" t="str" cm="1">
        <f t="array" ref="S648">TEXT(EDATE($L648,{0}),"dd/mm/yyy") &amp; " to " &amp; TEXT(EDATE($L648,{4})-1,"dd/mm/yyyy")</f>
        <v>01/04/2026 to 31/07/2026</v>
      </c>
      <c r="T648" s="363" t="s">
        <v>2038</v>
      </c>
      <c r="U648" s="381" t="str" cm="1">
        <f t="array" ref="U648">TEXT(EDATE($L648,{4}),"dd/mm/yyy") &amp; " to " &amp; TEXT(EDATE($L648,{8})-1,"dd/mm/yyyy")</f>
        <v>01/08/2026 to 30/11/2026</v>
      </c>
      <c r="V648" s="363"/>
      <c r="W648" s="381" t="str" cm="1">
        <f t="array" ref="W648">TEXT(EDATE($L648,{8}),"dd/mm/yyy") &amp; " to " &amp; TEXT(EDATE($L648,{12})-1,"dd/mm/yyyy")</f>
        <v>01/12/2026 to 31/03/2027</v>
      </c>
      <c r="AE648" s="376" t="s">
        <v>507</v>
      </c>
      <c r="AF648" s="380" t="s">
        <v>63</v>
      </c>
      <c r="AG648" s="367">
        <v>3</v>
      </c>
      <c r="AH648" s="376" t="s">
        <v>1898</v>
      </c>
    </row>
    <row r="649" spans="1:34" ht="15" customHeight="1" x14ac:dyDescent="0.3">
      <c r="B649" s="367" t="s">
        <v>8</v>
      </c>
      <c r="C649" s="806" t="s">
        <v>195</v>
      </c>
      <c r="D649" s="806" t="s">
        <v>447</v>
      </c>
      <c r="E649" s="805" t="s">
        <v>2090</v>
      </c>
      <c r="F649" s="770">
        <v>46241</v>
      </c>
      <c r="G649" s="319" t="s">
        <v>55</v>
      </c>
      <c r="H649" s="540">
        <v>1</v>
      </c>
      <c r="I649" s="384">
        <v>65500</v>
      </c>
      <c r="J649" s="367">
        <v>4</v>
      </c>
      <c r="K649" s="9">
        <f t="shared" si="31"/>
        <v>16375</v>
      </c>
      <c r="L649" s="829">
        <v>46242</v>
      </c>
      <c r="M649" s="829">
        <v>46606</v>
      </c>
      <c r="P649" s="58" t="s">
        <v>520</v>
      </c>
      <c r="S649" s="57" t="str" cm="1">
        <f t="array" ref="S649">TEXT(EDATE($L649,{0}),"dd/mm/yyy") &amp; " to " &amp; TEXT(EDATE($L649,{3})-1,"dd/mm/yyyy")</f>
        <v>08/08/2026 to 07/11/2026</v>
      </c>
      <c r="T649" s="58"/>
      <c r="U649" s="57" t="str" cm="1">
        <f t="array" ref="U649">TEXT(EDATE($L649,{3}),"dd/mm/yyy") &amp; " to " &amp; TEXT(EDATE($L649,{6})-1,"dd/mm/yyyy")</f>
        <v>08/11/2026 to 07/02/2027</v>
      </c>
      <c r="V649" s="58"/>
      <c r="W649" s="57" t="str" cm="1">
        <f t="array" ref="W649">TEXT(EDATE($L649,{6}),"dd/mm/yyy") &amp; " to " &amp; TEXT(EDATE($L649,{9})-1,"dd/mm/yyyy")</f>
        <v>08/02/2027 to 07/05/2027</v>
      </c>
      <c r="X649" s="58"/>
      <c r="Y649" s="57" t="str" cm="1">
        <f t="array" ref="Y649">TEXT(EDATE($L649,{9}),"dd/mm/yyy") &amp; " to " &amp; TEXT(EDATE($L649,{12})-1,"dd/mm/yyyy")</f>
        <v>08/05/2027 to 07/08/2027</v>
      </c>
      <c r="AE649" s="376" t="s">
        <v>96</v>
      </c>
      <c r="AF649" s="380" t="s">
        <v>97</v>
      </c>
      <c r="AG649" s="367" t="s">
        <v>494</v>
      </c>
      <c r="AH649" s="376" t="s">
        <v>667</v>
      </c>
    </row>
    <row r="650" spans="1:34" ht="15" customHeight="1" x14ac:dyDescent="0.3">
      <c r="B650" s="367" t="s">
        <v>8</v>
      </c>
      <c r="C650" s="810" t="s">
        <v>1063</v>
      </c>
      <c r="D650" s="810" t="s">
        <v>2091</v>
      </c>
      <c r="E650" s="833" t="s">
        <v>2092</v>
      </c>
      <c r="F650" s="770">
        <v>46227</v>
      </c>
      <c r="G650" s="319" t="s">
        <v>55</v>
      </c>
      <c r="H650" s="380">
        <v>7</v>
      </c>
      <c r="I650" s="384">
        <v>595000</v>
      </c>
      <c r="J650" s="367">
        <v>3</v>
      </c>
      <c r="K650" s="9">
        <f t="shared" si="31"/>
        <v>198333.33333333334</v>
      </c>
      <c r="L650" s="830">
        <v>46204</v>
      </c>
      <c r="M650" s="830">
        <v>46568</v>
      </c>
      <c r="N650" s="677">
        <v>155444</v>
      </c>
      <c r="O650" s="677">
        <v>4897</v>
      </c>
      <c r="P650" s="58" t="s">
        <v>520</v>
      </c>
      <c r="S650" s="394" t="str" cm="1">
        <f t="array" ref="S650">TEXT(EDATE($L650,{0}),"dd/mm/yyy") &amp; " to " &amp; TEXT(EDATE($L650,{4})-1,"dd/mm/yyyy")</f>
        <v>01/07/2026 to 31/10/2026</v>
      </c>
      <c r="T650" s="363" t="s">
        <v>2060</v>
      </c>
      <c r="U650" s="381" t="str" cm="1">
        <f t="array" ref="U650">TEXT(EDATE($L650,{4}),"dd/mm/yyy") &amp; " to " &amp; TEXT(EDATE($L650,{8})-1,"dd/mm/yyyy")</f>
        <v>01/11/2026 to 28/02/2027</v>
      </c>
      <c r="V650" s="363"/>
      <c r="W650" s="381" t="str" cm="1">
        <f t="array" ref="W650">TEXT(EDATE($L650,{8}),"dd/mm/yyy") &amp; " to " &amp; TEXT(EDATE($L650,{12})-1,"dd/mm/yyyy")</f>
        <v>01/03/2027 to 30/06/2027</v>
      </c>
      <c r="AE650" s="376" t="s">
        <v>507</v>
      </c>
      <c r="AF650" s="380" t="s">
        <v>63</v>
      </c>
      <c r="AG650" s="367">
        <v>3</v>
      </c>
      <c r="AH650" s="376" t="s">
        <v>835</v>
      </c>
    </row>
    <row r="651" spans="1:34" ht="15" customHeight="1" x14ac:dyDescent="0.3">
      <c r="A651" s="376" t="s">
        <v>2093</v>
      </c>
      <c r="B651" s="367" t="s">
        <v>8</v>
      </c>
      <c r="C651" s="630" t="s">
        <v>195</v>
      </c>
      <c r="D651" s="386" t="s">
        <v>196</v>
      </c>
      <c r="E651" s="380" t="s">
        <v>2094</v>
      </c>
      <c r="F651" s="768">
        <v>46244</v>
      </c>
      <c r="G651" s="319" t="s">
        <v>55</v>
      </c>
      <c r="H651" s="380"/>
      <c r="I651" s="384">
        <v>846300</v>
      </c>
      <c r="J651" s="367">
        <v>4</v>
      </c>
      <c r="K651" s="9">
        <f t="shared" si="31"/>
        <v>211575</v>
      </c>
      <c r="L651" s="644">
        <v>46299</v>
      </c>
      <c r="M651" s="644">
        <v>46663</v>
      </c>
      <c r="P651" s="363" t="s">
        <v>520</v>
      </c>
      <c r="S651" s="381" t="str" cm="1">
        <f t="array" ref="S651">TEXT(EDATE($L651,{0}),"dd/mm/yyy") &amp; " to " &amp; TEXT(EDATE($L651,{3})-1,"dd/mm/yyyy")</f>
        <v>04/10/2026 to 03/01/2027</v>
      </c>
      <c r="T651" s="363"/>
      <c r="U651" s="381" t="str" cm="1">
        <f t="array" ref="U651">TEXT(EDATE($L651,{3}),"dd/mm/yyy") &amp; " to " &amp; TEXT(EDATE($L651,{6})-1,"dd/mm/yyyy")</f>
        <v>04/01/2027 to 03/04/2027</v>
      </c>
      <c r="V651" s="363"/>
      <c r="W651" s="381" t="str" cm="1">
        <f t="array" ref="W651">TEXT(EDATE($L651,{6}),"dd/mm/yyy") &amp; " to " &amp; TEXT(EDATE($L651,{9})-1,"dd/mm/yyyy")</f>
        <v>04/04/2027 to 03/07/2027</v>
      </c>
      <c r="X651" s="363"/>
      <c r="Y651" s="381" t="str" cm="1">
        <f t="array" ref="Y651">TEXT(EDATE($L651,{9}),"dd/mm/yyy") &amp; " to " &amp; TEXT(EDATE($L651,{12})-1,"dd/mm/yyyy")</f>
        <v>04/07/2027 to 03/10/2027</v>
      </c>
      <c r="AE651" s="376" t="s">
        <v>2095</v>
      </c>
      <c r="AF651" s="380" t="s">
        <v>207</v>
      </c>
      <c r="AG651" s="380">
        <v>3</v>
      </c>
      <c r="AH651" s="376" t="s">
        <v>667</v>
      </c>
    </row>
    <row r="652" spans="1:34" ht="15" customHeight="1" x14ac:dyDescent="0.3">
      <c r="B652" s="367" t="s">
        <v>8</v>
      </c>
      <c r="C652" s="630" t="s">
        <v>195</v>
      </c>
      <c r="D652" s="386" t="s">
        <v>196</v>
      </c>
      <c r="E652" s="380" t="s">
        <v>2094</v>
      </c>
      <c r="F652" s="768">
        <v>46244</v>
      </c>
      <c r="G652" s="319" t="s">
        <v>55</v>
      </c>
      <c r="I652" s="384">
        <v>846300</v>
      </c>
      <c r="J652" s="367">
        <v>4</v>
      </c>
      <c r="K652" s="9">
        <f t="shared" ref="K652:K680" si="32">I652/J652</f>
        <v>211575</v>
      </c>
      <c r="L652" s="644">
        <v>46664</v>
      </c>
      <c r="M652" s="644">
        <v>47029</v>
      </c>
      <c r="P652" s="363" t="s">
        <v>520</v>
      </c>
      <c r="S652" s="381" t="str" cm="1">
        <f t="array" ref="S652">TEXT(EDATE($L652,{0}),"dd/mm/yyy") &amp; " to " &amp; TEXT(EDATE($L652,{3})-1,"dd/mm/yyyy")</f>
        <v>04/10/2027 to 03/01/2028</v>
      </c>
      <c r="T652" s="363"/>
      <c r="U652" s="381" t="str" cm="1">
        <f t="array" ref="U652">TEXT(EDATE($L652,{3}),"dd/mm/yyy") &amp; " to " &amp; TEXT(EDATE($L652,{6})-1,"dd/mm/yyyy")</f>
        <v>04/01/2028 to 03/04/2028</v>
      </c>
      <c r="V652" s="363"/>
      <c r="W652" s="381" t="str" cm="1">
        <f t="array" ref="W652">TEXT(EDATE($L652,{6}),"dd/mm/yyy") &amp; " to " &amp; TEXT(EDATE($L652,{9})-1,"dd/mm/yyyy")</f>
        <v>04/04/2028 to 03/07/2028</v>
      </c>
      <c r="X652" s="363"/>
      <c r="Y652" s="381" t="str" cm="1">
        <f t="array" ref="Y652">TEXT(EDATE($L652,{9}),"dd/mm/yyy") &amp; " to " &amp; TEXT(EDATE($L652,{12})-1,"dd/mm/yyyy")</f>
        <v>04/07/2028 to 03/10/2028</v>
      </c>
      <c r="AE652" s="376" t="s">
        <v>2095</v>
      </c>
      <c r="AF652" s="380" t="s">
        <v>207</v>
      </c>
      <c r="AG652" s="380">
        <v>3</v>
      </c>
      <c r="AH652" s="376" t="s">
        <v>667</v>
      </c>
    </row>
    <row r="653" spans="1:34" ht="15" customHeight="1" x14ac:dyDescent="0.3">
      <c r="B653" s="367" t="s">
        <v>8</v>
      </c>
      <c r="C653" s="630" t="s">
        <v>195</v>
      </c>
      <c r="D653" s="386" t="s">
        <v>196</v>
      </c>
      <c r="E653" s="380" t="s">
        <v>2094</v>
      </c>
      <c r="F653" s="768">
        <v>46244</v>
      </c>
      <c r="G653" s="319" t="s">
        <v>55</v>
      </c>
      <c r="I653" s="384">
        <v>846300</v>
      </c>
      <c r="J653" s="367">
        <v>4</v>
      </c>
      <c r="K653" s="9">
        <f t="shared" si="32"/>
        <v>211575</v>
      </c>
      <c r="L653" s="644">
        <v>47030</v>
      </c>
      <c r="M653" s="644">
        <v>47394</v>
      </c>
      <c r="P653" s="363" t="s">
        <v>520</v>
      </c>
      <c r="S653" s="381" t="str" cm="1">
        <f t="array" ref="S653">TEXT(EDATE($L653,{0}),"dd/mm/yyy") &amp; " to " &amp; TEXT(EDATE($L653,{3})-1,"dd/mm/yyyy")</f>
        <v>04/10/2028 to 03/01/2029</v>
      </c>
      <c r="T653" s="363"/>
      <c r="U653" s="381" t="str" cm="1">
        <f t="array" ref="U653">TEXT(EDATE($L653,{3}),"dd/mm/yyy") &amp; " to " &amp; TEXT(EDATE($L653,{6})-1,"dd/mm/yyyy")</f>
        <v>04/01/2029 to 03/04/2029</v>
      </c>
      <c r="V653" s="363"/>
      <c r="W653" s="381" t="str" cm="1">
        <f t="array" ref="W653">TEXT(EDATE($L653,{6}),"dd/mm/yyy") &amp; " to " &amp; TEXT(EDATE($L653,{9})-1,"dd/mm/yyyy")</f>
        <v>04/04/2029 to 03/07/2029</v>
      </c>
      <c r="X653" s="363"/>
      <c r="Y653" s="381" t="str" cm="1">
        <f t="array" ref="Y653">TEXT(EDATE($L653,{9}),"dd/mm/yyy") &amp; " to " &amp; TEXT(EDATE($L653,{12})-1,"dd/mm/yyyy")</f>
        <v>04/07/2029 to 03/10/2029</v>
      </c>
      <c r="AE653" s="376" t="s">
        <v>2095</v>
      </c>
      <c r="AF653" s="380" t="s">
        <v>207</v>
      </c>
      <c r="AG653" s="380">
        <v>3</v>
      </c>
      <c r="AH653" s="376" t="s">
        <v>667</v>
      </c>
    </row>
    <row r="654" spans="1:34" ht="15" customHeight="1" x14ac:dyDescent="0.3">
      <c r="B654" s="367" t="s">
        <v>8</v>
      </c>
      <c r="C654" s="630" t="s">
        <v>195</v>
      </c>
      <c r="D654" s="386" t="s">
        <v>196</v>
      </c>
      <c r="E654" s="380" t="s">
        <v>2094</v>
      </c>
      <c r="F654" s="768">
        <v>46244</v>
      </c>
      <c r="G654" s="319" t="s">
        <v>55</v>
      </c>
      <c r="I654" s="384">
        <v>846300</v>
      </c>
      <c r="J654" s="367">
        <v>4</v>
      </c>
      <c r="K654" s="9">
        <f t="shared" si="32"/>
        <v>211575</v>
      </c>
      <c r="L654" s="644">
        <v>47395</v>
      </c>
      <c r="M654" s="644">
        <v>47759</v>
      </c>
      <c r="P654" s="363" t="s">
        <v>520</v>
      </c>
      <c r="S654" s="381" t="str" cm="1">
        <f t="array" ref="S654">TEXT(EDATE($L654,{0}),"dd/mm/yyy") &amp; " to " &amp; TEXT(EDATE($L654,{3})-1,"dd/mm/yyyy")</f>
        <v>04/10/2029 to 03/01/2030</v>
      </c>
      <c r="T654" s="363"/>
      <c r="U654" s="381" t="str" cm="1">
        <f t="array" ref="U654">TEXT(EDATE($L654,{3}),"dd/mm/yyy") &amp; " to " &amp; TEXT(EDATE($L654,{6})-1,"dd/mm/yyyy")</f>
        <v>04/01/2030 to 03/04/2030</v>
      </c>
      <c r="V654" s="363"/>
      <c r="W654" s="381" t="str" cm="1">
        <f t="array" ref="W654">TEXT(EDATE($L654,{6}),"dd/mm/yyy") &amp; " to " &amp; TEXT(EDATE($L654,{9})-1,"dd/mm/yyyy")</f>
        <v>04/04/2030 to 03/07/2030</v>
      </c>
      <c r="X654" s="363"/>
      <c r="Y654" s="381" t="str" cm="1">
        <f t="array" ref="Y654">TEXT(EDATE($L654,{9}),"dd/mm/yyy") &amp; " to " &amp; TEXT(EDATE($L654,{12})-1,"dd/mm/yyyy")</f>
        <v>04/07/2030 to 03/10/2030</v>
      </c>
      <c r="AE654" s="376" t="s">
        <v>2095</v>
      </c>
      <c r="AF654" s="380" t="s">
        <v>207</v>
      </c>
      <c r="AG654" s="380">
        <v>3</v>
      </c>
      <c r="AH654" s="376" t="s">
        <v>667</v>
      </c>
    </row>
    <row r="655" spans="1:34" ht="15" customHeight="1" x14ac:dyDescent="0.3">
      <c r="B655" s="367" t="s">
        <v>8</v>
      </c>
      <c r="C655" s="630" t="s">
        <v>195</v>
      </c>
      <c r="D655" s="386" t="s">
        <v>196</v>
      </c>
      <c r="E655" s="380" t="s">
        <v>2094</v>
      </c>
      <c r="F655" s="768">
        <v>46244</v>
      </c>
      <c r="G655" s="319" t="s">
        <v>55</v>
      </c>
      <c r="H655" s="367">
        <v>13</v>
      </c>
      <c r="I655" s="384">
        <v>846300</v>
      </c>
      <c r="J655" s="367">
        <v>4</v>
      </c>
      <c r="K655" s="9">
        <f t="shared" si="32"/>
        <v>211575</v>
      </c>
      <c r="L655" s="644">
        <v>47760</v>
      </c>
      <c r="M655" s="644">
        <v>48124</v>
      </c>
      <c r="P655" s="363" t="s">
        <v>520</v>
      </c>
      <c r="S655" s="381" t="str" cm="1">
        <f t="array" ref="S655">TEXT(EDATE($L655,{0}),"dd/mm/yyy") &amp; " to " &amp; TEXT(EDATE($L655,{3})-1,"dd/mm/yyyy")</f>
        <v>04/10/2030 to 03/01/2031</v>
      </c>
      <c r="T655" s="363"/>
      <c r="U655" s="381" t="str" cm="1">
        <f t="array" ref="U655">TEXT(EDATE($L655,{3}),"dd/mm/yyy") &amp; " to " &amp; TEXT(EDATE($L655,{6})-1,"dd/mm/yyyy")</f>
        <v>04/01/2031 to 03/04/2031</v>
      </c>
      <c r="V655" s="363"/>
      <c r="W655" s="381" t="str" cm="1">
        <f t="array" ref="W655">TEXT(EDATE($L655,{6}),"dd/mm/yyy") &amp; " to " &amp; TEXT(EDATE($L655,{9})-1,"dd/mm/yyyy")</f>
        <v>04/04/2031 to 03/07/2031</v>
      </c>
      <c r="X655" s="363"/>
      <c r="Y655" s="381" t="str" cm="1">
        <f t="array" ref="Y655">TEXT(EDATE($L655,{9}),"dd/mm/yyy") &amp; " to " &amp; TEXT(EDATE($L655,{12})-1,"dd/mm/yyyy")</f>
        <v>04/07/2031 to 03/10/2031</v>
      </c>
      <c r="AE655" s="376" t="s">
        <v>2095</v>
      </c>
      <c r="AF655" s="380" t="s">
        <v>207</v>
      </c>
      <c r="AG655" s="380">
        <v>3</v>
      </c>
      <c r="AH655" s="376" t="s">
        <v>667</v>
      </c>
    </row>
    <row r="656" spans="1:34" ht="15" customHeight="1" x14ac:dyDescent="0.3">
      <c r="B656" s="367" t="s">
        <v>8</v>
      </c>
      <c r="C656" s="806" t="s">
        <v>2096</v>
      </c>
      <c r="D656" s="806" t="s">
        <v>176</v>
      </c>
      <c r="E656" s="834" t="s">
        <v>2097</v>
      </c>
      <c r="F656" s="770">
        <v>46245</v>
      </c>
      <c r="G656" s="319" t="s">
        <v>55</v>
      </c>
      <c r="H656" s="540">
        <v>1</v>
      </c>
      <c r="I656" s="384">
        <v>105000</v>
      </c>
      <c r="J656" s="367">
        <v>3</v>
      </c>
      <c r="K656" s="9">
        <f t="shared" si="32"/>
        <v>35000</v>
      </c>
      <c r="L656" s="829">
        <v>46204</v>
      </c>
      <c r="M656" s="829">
        <v>46568</v>
      </c>
      <c r="P656" s="363" t="s">
        <v>520</v>
      </c>
      <c r="S656" s="381" t="str" cm="1">
        <f t="array" ref="S656">TEXT(EDATE($L656,{0}),"dd/mm/yyy") &amp; " to " &amp; TEXT(EDATE($L656,{4})-1,"dd/mm/yyyy")</f>
        <v>01/07/2026 to 31/10/2026</v>
      </c>
      <c r="T656" s="363"/>
      <c r="U656" s="381" t="str" cm="1">
        <f t="array" ref="U656">TEXT(EDATE($L656,{4}),"dd/mm/yyy") &amp; " to " &amp; TEXT(EDATE($L656,{8})-1,"dd/mm/yyyy")</f>
        <v>01/11/2026 to 28/02/2027</v>
      </c>
      <c r="V656" s="363"/>
      <c r="W656" s="381" t="str" cm="1">
        <f t="array" ref="W656">TEXT(EDATE($L656,{8}),"dd/mm/yyy") &amp; " to " &amp; TEXT(EDATE($L656,{12})-1,"dd/mm/yyyy")</f>
        <v>01/03/2027 to 30/06/2027</v>
      </c>
      <c r="AE656" s="376" t="s">
        <v>1893</v>
      </c>
      <c r="AF656" s="380" t="s">
        <v>97</v>
      </c>
      <c r="AG656" s="367">
        <v>3</v>
      </c>
      <c r="AH656" s="376" t="s">
        <v>2098</v>
      </c>
    </row>
    <row r="657" spans="1:34" ht="15" customHeight="1" x14ac:dyDescent="0.3">
      <c r="B657" s="367" t="s">
        <v>8</v>
      </c>
      <c r="C657" s="806" t="s">
        <v>1087</v>
      </c>
      <c r="D657" s="806" t="s">
        <v>1088</v>
      </c>
      <c r="E657" s="805" t="s">
        <v>2099</v>
      </c>
      <c r="F657" s="770">
        <v>46238</v>
      </c>
      <c r="G657" s="319" t="s">
        <v>55</v>
      </c>
      <c r="H657" s="540">
        <v>2</v>
      </c>
      <c r="I657" s="384">
        <v>240000</v>
      </c>
      <c r="J657" s="367">
        <v>2</v>
      </c>
      <c r="K657" s="9">
        <f t="shared" si="32"/>
        <v>120000</v>
      </c>
      <c r="L657" s="829">
        <v>46235</v>
      </c>
      <c r="M657" s="829">
        <v>46599</v>
      </c>
      <c r="P657" s="363" t="s">
        <v>520</v>
      </c>
      <c r="S657" s="381" t="str" cm="1">
        <f t="array" ref="S657">TEXT(EDATE($L657,{0}),"dd/mm/yyy") &amp; " to " &amp; TEXT(EDATE($L657,{6})-1,"dd/mm/yyyy")</f>
        <v>01/08/2026 to 31/01/2027</v>
      </c>
      <c r="T657" s="363"/>
      <c r="U657" s="381" t="str" cm="1">
        <f t="array" ref="U657">TEXT(EDATE($L657,{6}),"dd/mm/yyy") &amp; " to " &amp; TEXT(EDATE($L657,{12})-1,"dd/mm/yyyy")</f>
        <v>01/02/2027 to 31/07/2027</v>
      </c>
      <c r="AE657" s="376" t="s">
        <v>96</v>
      </c>
      <c r="AF657" s="380" t="s">
        <v>97</v>
      </c>
      <c r="AG657" s="367">
        <v>8</v>
      </c>
      <c r="AH657" s="376" t="s">
        <v>2100</v>
      </c>
    </row>
    <row r="658" spans="1:34" ht="15" customHeight="1" x14ac:dyDescent="0.3">
      <c r="B658" s="367" t="s">
        <v>8</v>
      </c>
      <c r="C658" s="630" t="s">
        <v>1174</v>
      </c>
      <c r="D658" s="818" t="s">
        <v>447</v>
      </c>
      <c r="E658" s="716" t="s">
        <v>2101</v>
      </c>
      <c r="F658" s="770">
        <v>46244</v>
      </c>
      <c r="G658" s="319" t="s">
        <v>55</v>
      </c>
      <c r="H658" s="380">
        <v>4</v>
      </c>
      <c r="I658" s="384">
        <v>244945.92000000001</v>
      </c>
      <c r="J658" s="367">
        <v>3</v>
      </c>
      <c r="K658" s="9">
        <f t="shared" si="32"/>
        <v>81648.639999999999</v>
      </c>
      <c r="L658" s="786">
        <v>46218</v>
      </c>
      <c r="M658" s="786">
        <v>46582</v>
      </c>
      <c r="P658" s="363" t="s">
        <v>520</v>
      </c>
      <c r="S658" s="381" t="str" cm="1">
        <f t="array" ref="S658">TEXT(EDATE($L658,{0}),"dd/mm/yyy") &amp; " to " &amp; TEXT(EDATE($L658,{4})-1,"dd/mm/yyyy")</f>
        <v>15/07/2026 to 14/11/2026</v>
      </c>
      <c r="T658" s="363"/>
      <c r="U658" s="381" t="str" cm="1">
        <f t="array" ref="U658">TEXT(EDATE($L658,{4}),"dd/mm/yyy") &amp; " to " &amp; TEXT(EDATE($L658,{8})-1,"dd/mm/yyyy")</f>
        <v>15/11/2026 to 14/03/2027</v>
      </c>
      <c r="V658" s="363"/>
      <c r="W658" s="381" t="str" cm="1">
        <f t="array" ref="W658">TEXT(EDATE($L658,{8}),"dd/mm/yyy") &amp; " to " &amp; TEXT(EDATE($L658,{12})-1,"dd/mm/yyyy")</f>
        <v>15/03/2027 to 14/07/2027</v>
      </c>
      <c r="AE658" s="376" t="s">
        <v>281</v>
      </c>
      <c r="AF658" s="367" t="s">
        <v>97</v>
      </c>
      <c r="AG658" s="367">
        <v>3</v>
      </c>
      <c r="AH658" s="376" t="s">
        <v>667</v>
      </c>
    </row>
    <row r="659" spans="1:34" ht="15" customHeight="1" x14ac:dyDescent="0.3">
      <c r="A659" s="376" t="s">
        <v>2102</v>
      </c>
      <c r="B659" s="367" t="s">
        <v>8</v>
      </c>
      <c r="C659" s="806" t="s">
        <v>527</v>
      </c>
      <c r="D659" s="806" t="s">
        <v>151</v>
      </c>
      <c r="E659" s="805" t="s">
        <v>2103</v>
      </c>
      <c r="F659" s="770">
        <v>46248</v>
      </c>
      <c r="G659" s="319" t="s">
        <v>55</v>
      </c>
      <c r="H659" s="367">
        <v>2</v>
      </c>
      <c r="I659" s="384">
        <v>177984</v>
      </c>
      <c r="J659" s="367">
        <v>3</v>
      </c>
      <c r="K659" s="9">
        <f t="shared" si="32"/>
        <v>59328</v>
      </c>
      <c r="L659" s="829">
        <v>46266</v>
      </c>
      <c r="M659" s="829">
        <v>46630</v>
      </c>
      <c r="P659" s="363" t="s">
        <v>520</v>
      </c>
      <c r="S659" s="381" t="str" cm="1">
        <f t="array" ref="S659">TEXT(EDATE($L659,{0}),"dd/mm/yyy") &amp; " to " &amp; TEXT(EDATE($L659,{4})-1,"dd/mm/yyyy")</f>
        <v>01/09/2026 to 31/12/2026</v>
      </c>
      <c r="U659" s="381" t="str" cm="1">
        <f t="array" ref="U659">TEXT(EDATE($L659,{4}),"dd/mm/yyy") &amp; " to " &amp; TEXT(EDATE($L659,{8})-1,"dd/mm/yyyy")</f>
        <v>01/01/2027 to 30/04/2027</v>
      </c>
      <c r="W659" s="381" t="str" cm="1">
        <f t="array" ref="W659">TEXT(EDATE($L659,{8}),"dd/mm/yyy") &amp; " to " &amp; TEXT(EDATE($L659,{12})-1,"dd/mm/yyyy")</f>
        <v>01/05/2027 to 31/08/2027</v>
      </c>
      <c r="AE659" s="376" t="s">
        <v>507</v>
      </c>
      <c r="AF659" s="367" t="s">
        <v>63</v>
      </c>
      <c r="AG659" s="367">
        <v>3</v>
      </c>
      <c r="AH659" s="376" t="s">
        <v>799</v>
      </c>
    </row>
    <row r="660" spans="1:34" ht="15" customHeight="1" x14ac:dyDescent="0.3">
      <c r="A660" s="376" t="s">
        <v>2102</v>
      </c>
      <c r="B660" s="367" t="s">
        <v>8</v>
      </c>
      <c r="C660" s="806" t="s">
        <v>527</v>
      </c>
      <c r="D660" s="806" t="s">
        <v>151</v>
      </c>
      <c r="E660" s="805" t="s">
        <v>2104</v>
      </c>
      <c r="F660" s="768">
        <v>46245</v>
      </c>
      <c r="G660" s="319" t="s">
        <v>55</v>
      </c>
      <c r="H660" s="367">
        <v>1</v>
      </c>
      <c r="I660" s="384">
        <v>88992</v>
      </c>
      <c r="J660" s="367">
        <v>3</v>
      </c>
      <c r="K660" s="9">
        <f t="shared" si="32"/>
        <v>29664</v>
      </c>
      <c r="L660" s="829">
        <v>46266</v>
      </c>
      <c r="M660" s="829">
        <v>46630</v>
      </c>
      <c r="P660" s="363" t="s">
        <v>520</v>
      </c>
      <c r="S660" s="381" t="str" cm="1">
        <f t="array" ref="S660">TEXT(EDATE($L660,{0}),"dd/mm/yyy") &amp; " to " &amp; TEXT(EDATE($L660,{4})-1,"dd/mm/yyyy")</f>
        <v>01/09/2026 to 31/12/2026</v>
      </c>
      <c r="U660" s="381" t="str" cm="1">
        <f t="array" ref="U660">TEXT(EDATE($L660,{4}),"dd/mm/yyy") &amp; " to " &amp; TEXT(EDATE($L660,{8})-1,"dd/mm/yyyy")</f>
        <v>01/01/2027 to 30/04/2027</v>
      </c>
      <c r="W660" s="381" t="str" cm="1">
        <f t="array" ref="W660">TEXT(EDATE($L660,{8}),"dd/mm/yyy") &amp; " to " &amp; TEXT(EDATE($L660,{12})-1,"dd/mm/yyyy")</f>
        <v>01/05/2027 to 31/08/2027</v>
      </c>
      <c r="AE660" s="376" t="s">
        <v>507</v>
      </c>
      <c r="AF660" s="367" t="s">
        <v>63</v>
      </c>
      <c r="AG660" s="367">
        <v>3</v>
      </c>
      <c r="AH660" s="376" t="s">
        <v>799</v>
      </c>
    </row>
    <row r="661" spans="1:34" ht="15" customHeight="1" x14ac:dyDescent="0.3">
      <c r="B661" s="367" t="s">
        <v>8</v>
      </c>
      <c r="C661" s="810" t="s">
        <v>1155</v>
      </c>
      <c r="D661" s="828" t="s">
        <v>2105</v>
      </c>
      <c r="E661" s="805">
        <v>4300643744</v>
      </c>
      <c r="F661" s="770">
        <v>46245</v>
      </c>
      <c r="G661" s="319" t="s">
        <v>55</v>
      </c>
      <c r="H661" s="540">
        <v>1</v>
      </c>
      <c r="I661" s="384">
        <v>74000</v>
      </c>
      <c r="J661" s="367">
        <v>3</v>
      </c>
      <c r="K661" s="9">
        <f t="shared" si="32"/>
        <v>24666.666666666668</v>
      </c>
      <c r="L661" s="830">
        <v>46204</v>
      </c>
      <c r="M661" s="830">
        <v>46568</v>
      </c>
      <c r="P661" s="363" t="s">
        <v>520</v>
      </c>
      <c r="S661" s="381" t="str" cm="1">
        <f t="array" ref="S661">TEXT(EDATE($L661,{0}),"dd/mm/yyy") &amp; " to " &amp; TEXT(EDATE($L661,{4})-1,"dd/mm/yyyy")</f>
        <v>01/07/2026 to 31/10/2026</v>
      </c>
      <c r="U661" s="381" t="str" cm="1">
        <f t="array" ref="U661">TEXT(EDATE($L661,{4}),"dd/mm/yyy") &amp; " to " &amp; TEXT(EDATE($L661,{8})-1,"dd/mm/yyyy")</f>
        <v>01/11/2026 to 28/02/2027</v>
      </c>
      <c r="W661" s="381" t="str" cm="1">
        <f t="array" ref="W661">TEXT(EDATE($L661,{8}),"dd/mm/yyy") &amp; " to " &amp; TEXT(EDATE($L661,{12})-1,"dd/mm/yyyy")</f>
        <v>01/03/2027 to 30/06/2027</v>
      </c>
      <c r="AE661" s="376" t="s">
        <v>507</v>
      </c>
      <c r="AF661" s="367" t="s">
        <v>63</v>
      </c>
      <c r="AG661" s="367">
        <v>3</v>
      </c>
      <c r="AH661" s="376" t="s">
        <v>667</v>
      </c>
    </row>
    <row r="662" spans="1:34" ht="15" customHeight="1" x14ac:dyDescent="0.3">
      <c r="B662" s="367" t="s">
        <v>8</v>
      </c>
      <c r="C662" s="806" t="s">
        <v>1032</v>
      </c>
      <c r="D662" s="823" t="s">
        <v>1227</v>
      </c>
      <c r="E662" s="813">
        <v>2260063775</v>
      </c>
      <c r="F662" s="770">
        <v>46209</v>
      </c>
      <c r="G662" s="319" t="s">
        <v>55</v>
      </c>
      <c r="H662" s="380">
        <v>2</v>
      </c>
      <c r="I662" s="384">
        <v>160000.01999999999</v>
      </c>
      <c r="J662" s="367">
        <v>3</v>
      </c>
      <c r="K662" s="9">
        <f t="shared" si="32"/>
        <v>53333.34</v>
      </c>
      <c r="L662" s="829">
        <v>46113</v>
      </c>
      <c r="M662" s="829">
        <v>46477</v>
      </c>
      <c r="P662" s="363" t="s">
        <v>520</v>
      </c>
      <c r="S662" s="381" t="str" cm="1">
        <f t="array" ref="S662">TEXT(EDATE($L662,{0}),"dd/mm/yyy") &amp; " to " &amp; TEXT(EDATE($L662,{4})-1,"dd/mm/yyyy")</f>
        <v>01/04/2026 to 31/07/2026</v>
      </c>
      <c r="U662" s="381" t="str" cm="1">
        <f t="array" ref="U662">TEXT(EDATE($L662,{4}),"dd/mm/yyy") &amp; " to " &amp; TEXT(EDATE($L662,{8})-1,"dd/mm/yyyy")</f>
        <v>01/08/2026 to 30/11/2026</v>
      </c>
      <c r="W662" s="381" t="str" cm="1">
        <f t="array" ref="W662">TEXT(EDATE($L662,{8}),"dd/mm/yyy") &amp; " to " &amp; TEXT(EDATE($L662,{12})-1,"dd/mm/yyyy")</f>
        <v>01/12/2026 to 31/03/2027</v>
      </c>
      <c r="AE662" s="376" t="s">
        <v>507</v>
      </c>
      <c r="AF662" s="367" t="s">
        <v>63</v>
      </c>
      <c r="AG662" s="367">
        <v>3</v>
      </c>
      <c r="AH662" s="376" t="s">
        <v>667</v>
      </c>
    </row>
    <row r="663" spans="1:34" ht="15" customHeight="1" x14ac:dyDescent="0.3">
      <c r="B663" s="367" t="s">
        <v>8</v>
      </c>
      <c r="C663" s="630" t="s">
        <v>1221</v>
      </c>
      <c r="D663" s="734" t="s">
        <v>1159</v>
      </c>
      <c r="E663" s="805">
        <v>3300006886</v>
      </c>
      <c r="F663" s="770">
        <v>46245</v>
      </c>
      <c r="G663" s="319" t="s">
        <v>55</v>
      </c>
      <c r="H663" s="651">
        <v>7</v>
      </c>
      <c r="I663" s="384">
        <v>418222</v>
      </c>
      <c r="J663" s="367">
        <v>2</v>
      </c>
      <c r="K663" s="9">
        <f t="shared" si="32"/>
        <v>209111</v>
      </c>
      <c r="L663" s="786">
        <v>46235</v>
      </c>
      <c r="M663" s="786">
        <v>46599</v>
      </c>
      <c r="P663" s="363" t="s">
        <v>520</v>
      </c>
      <c r="S663" s="381" t="str" cm="1">
        <f t="array" ref="S663">TEXT(EDATE($L663,{0}),"dd/mm/yyy") &amp; " to " &amp; TEXT(EDATE($L663,{6})-1,"dd/mm/yyyy")</f>
        <v>01/08/2026 to 31/01/2027</v>
      </c>
      <c r="T663" s="363"/>
      <c r="U663" s="381" t="str" cm="1">
        <f t="array" ref="U663">TEXT(EDATE($L663,{6}),"dd/mm/yyy") &amp; " to " &amp; TEXT(EDATE($L663,{12})-1,"dd/mm/yyyy")</f>
        <v>01/02/2027 to 31/07/2027</v>
      </c>
      <c r="AE663" s="376" t="s">
        <v>507</v>
      </c>
      <c r="AF663" s="367" t="s">
        <v>63</v>
      </c>
      <c r="AG663" s="367">
        <v>3</v>
      </c>
      <c r="AH663" s="376" t="s">
        <v>667</v>
      </c>
    </row>
    <row r="664" spans="1:34" ht="15" customHeight="1" x14ac:dyDescent="0.3">
      <c r="A664" s="376" t="s">
        <v>2102</v>
      </c>
      <c r="B664" s="367" t="s">
        <v>8</v>
      </c>
      <c r="C664" s="806" t="s">
        <v>1229</v>
      </c>
      <c r="D664" s="823" t="s">
        <v>1230</v>
      </c>
      <c r="E664" s="805">
        <v>5500012534</v>
      </c>
      <c r="F664" s="770">
        <v>46248</v>
      </c>
      <c r="G664" s="319" t="s">
        <v>55</v>
      </c>
      <c r="H664" s="380">
        <v>1</v>
      </c>
      <c r="I664" s="384">
        <v>85999.98</v>
      </c>
      <c r="J664" s="367">
        <v>3</v>
      </c>
      <c r="K664" s="9">
        <f t="shared" si="32"/>
        <v>28666.66</v>
      </c>
      <c r="L664" s="829">
        <v>46266</v>
      </c>
      <c r="M664" s="829">
        <v>46630</v>
      </c>
      <c r="P664" s="363" t="s">
        <v>520</v>
      </c>
      <c r="S664" s="381" t="str" cm="1">
        <f t="array" ref="S664">TEXT(EDATE($L664,{0}),"dd/mm/yyy") &amp; " to " &amp; TEXT(EDATE($L664,{4})-1,"dd/mm/yyyy")</f>
        <v>01/09/2026 to 31/12/2026</v>
      </c>
      <c r="U664" s="381" t="str" cm="1">
        <f t="array" ref="U664">TEXT(EDATE($L664,{4}),"dd/mm/yyy") &amp; " to " &amp; TEXT(EDATE($L664,{8})-1,"dd/mm/yyyy")</f>
        <v>01/01/2027 to 30/04/2027</v>
      </c>
      <c r="W664" s="381" t="str" cm="1">
        <f t="array" ref="W664">TEXT(EDATE($L664,{8}),"dd/mm/yyy") &amp; " to " &amp; TEXT(EDATE($L664,{12})-1,"dd/mm/yyyy")</f>
        <v>01/05/2027 to 31/08/2027</v>
      </c>
      <c r="AE664" s="376" t="s">
        <v>96</v>
      </c>
      <c r="AF664" s="367" t="s">
        <v>97</v>
      </c>
      <c r="AG664" s="367">
        <v>2</v>
      </c>
      <c r="AH664" s="376" t="s">
        <v>667</v>
      </c>
    </row>
    <row r="665" spans="1:34" ht="15" customHeight="1" x14ac:dyDescent="0.3">
      <c r="B665" s="367" t="s">
        <v>8</v>
      </c>
      <c r="C665" s="810" t="s">
        <v>2106</v>
      </c>
      <c r="D665" s="828" t="s">
        <v>1892</v>
      </c>
      <c r="E665" s="805">
        <v>4514634984</v>
      </c>
      <c r="F665" s="770">
        <v>46255</v>
      </c>
      <c r="G665" s="319" t="s">
        <v>55</v>
      </c>
      <c r="H665" s="380">
        <v>1</v>
      </c>
      <c r="I665" s="384">
        <v>50000</v>
      </c>
      <c r="J665" s="367">
        <v>3</v>
      </c>
      <c r="K665" s="9">
        <f t="shared" si="32"/>
        <v>16666.666666666668</v>
      </c>
      <c r="L665" s="830">
        <v>46143</v>
      </c>
      <c r="M665" s="830">
        <v>46507</v>
      </c>
      <c r="P665" s="363" t="s">
        <v>520</v>
      </c>
      <c r="S665" s="381" t="str" cm="1">
        <f t="array" ref="S665">TEXT(EDATE($L665,{0}),"dd/mm/yyy") &amp; " to " &amp; TEXT(EDATE($L665,{4})-1,"dd/mm/yyyy")</f>
        <v>01/05/2026 to 31/08/2026</v>
      </c>
      <c r="U665" s="381" t="str" cm="1">
        <f t="array" ref="U665">TEXT(EDATE($L665,{4}),"dd/mm/yyy") &amp; " to " &amp; TEXT(EDATE($L665,{8})-1,"dd/mm/yyyy")</f>
        <v>01/09/2026 to 31/12/2026</v>
      </c>
      <c r="W665" s="381" t="str" cm="1">
        <f t="array" ref="W665">TEXT(EDATE($L665,{8}),"dd/mm/yyy") &amp; " to " &amp; TEXT(EDATE($L665,{12})-1,"dd/mm/yyyy")</f>
        <v>01/01/2027 to 30/04/2027</v>
      </c>
      <c r="AE665" s="376" t="s">
        <v>478</v>
      </c>
      <c r="AF665" s="367" t="s">
        <v>63</v>
      </c>
      <c r="AG665" s="367">
        <v>3</v>
      </c>
      <c r="AH665" s="376" t="s">
        <v>799</v>
      </c>
    </row>
    <row r="666" spans="1:34" ht="15" customHeight="1" x14ac:dyDescent="0.3">
      <c r="B666" s="367" t="s">
        <v>8</v>
      </c>
      <c r="C666" s="806" t="s">
        <v>2107</v>
      </c>
      <c r="D666" s="823" t="s">
        <v>151</v>
      </c>
      <c r="E666" s="813">
        <v>4700007699</v>
      </c>
      <c r="F666" s="770">
        <v>46253</v>
      </c>
      <c r="G666" s="319" t="s">
        <v>55</v>
      </c>
      <c r="H666" s="380"/>
      <c r="I666" s="384">
        <v>89601</v>
      </c>
      <c r="J666" s="367">
        <v>3</v>
      </c>
      <c r="K666" s="9">
        <f t="shared" si="32"/>
        <v>29867</v>
      </c>
      <c r="L666" s="829">
        <v>46174</v>
      </c>
      <c r="M666" s="829">
        <v>46538</v>
      </c>
      <c r="P666" s="363" t="s">
        <v>520</v>
      </c>
      <c r="S666" s="381" t="str" cm="1">
        <f t="array" ref="S666">TEXT(EDATE($L666,{0}),"dd/mm/yyy") &amp; " to " &amp; TEXT(EDATE($L666,{4})-1,"dd/mm/yyyy")</f>
        <v>01/06/2026 to 30/09/2026</v>
      </c>
      <c r="U666" s="381" t="str" cm="1">
        <f t="array" ref="U666">TEXT(EDATE($L666,{4}),"dd/mm/yyy") &amp; " to " &amp; TEXT(EDATE($L666,{8})-1,"dd/mm/yyyy")</f>
        <v>01/10/2026 to 31/01/2027</v>
      </c>
      <c r="W666" s="381" t="str" cm="1">
        <f t="array" ref="W666">TEXT(EDATE($L666,{8}),"dd/mm/yyy") &amp; " to " &amp; TEXT(EDATE($L666,{12})-1,"dd/mm/yyyy")</f>
        <v>01/02/2027 to 31/05/2027</v>
      </c>
      <c r="AE666" s="376" t="s">
        <v>478</v>
      </c>
      <c r="AF666" s="367" t="s">
        <v>63</v>
      </c>
      <c r="AG666" s="367">
        <v>3</v>
      </c>
      <c r="AH666" s="376" t="s">
        <v>2108</v>
      </c>
    </row>
    <row r="667" spans="1:34" ht="15" customHeight="1" x14ac:dyDescent="0.3">
      <c r="B667" s="367" t="s">
        <v>8</v>
      </c>
      <c r="C667" s="806" t="s">
        <v>2107</v>
      </c>
      <c r="D667" s="823" t="s">
        <v>151</v>
      </c>
      <c r="E667" s="813">
        <v>4700007699</v>
      </c>
      <c r="F667" s="770">
        <v>46253</v>
      </c>
      <c r="G667" s="319" t="s">
        <v>55</v>
      </c>
      <c r="H667" s="380"/>
      <c r="I667" s="384">
        <v>89601</v>
      </c>
      <c r="J667" s="367">
        <v>3</v>
      </c>
      <c r="K667" s="9">
        <f t="shared" si="32"/>
        <v>29867</v>
      </c>
      <c r="L667" s="829">
        <v>46539</v>
      </c>
      <c r="M667" s="829">
        <v>46904</v>
      </c>
      <c r="P667" s="363" t="s">
        <v>520</v>
      </c>
      <c r="S667" s="381" t="str" cm="1">
        <f t="array" ref="S667">TEXT(EDATE($L667,{0}),"dd/mm/yyy") &amp; " to " &amp; TEXT(EDATE($L667,{4})-1,"dd/mm/yyyy")</f>
        <v>01/06/2027 to 30/09/2027</v>
      </c>
      <c r="U667" s="381" t="str" cm="1">
        <f t="array" ref="U667">TEXT(EDATE($L667,{4}),"dd/mm/yyy") &amp; " to " &amp; TEXT(EDATE($L667,{8})-1,"dd/mm/yyyy")</f>
        <v>01/10/2027 to 31/01/2028</v>
      </c>
      <c r="W667" s="381" t="str" cm="1">
        <f t="array" ref="W667">TEXT(EDATE($L667,{8}),"dd/mm/yyy") &amp; " to " &amp; TEXT(EDATE($L667,{12})-1,"dd/mm/yyyy")</f>
        <v>01/02/2028 to 31/05/2028</v>
      </c>
      <c r="AE667" s="376" t="s">
        <v>478</v>
      </c>
      <c r="AF667" s="367" t="s">
        <v>63</v>
      </c>
      <c r="AG667" s="367">
        <v>3</v>
      </c>
      <c r="AH667" s="376" t="s">
        <v>2108</v>
      </c>
    </row>
    <row r="668" spans="1:34" ht="15" customHeight="1" x14ac:dyDescent="0.3">
      <c r="B668" s="367" t="s">
        <v>8</v>
      </c>
      <c r="C668" s="806" t="s">
        <v>2107</v>
      </c>
      <c r="D668" s="823" t="s">
        <v>151</v>
      </c>
      <c r="E668" s="813">
        <v>4700007699</v>
      </c>
      <c r="F668" s="770">
        <v>46253</v>
      </c>
      <c r="G668" s="319" t="s">
        <v>55</v>
      </c>
      <c r="H668" s="367">
        <v>1</v>
      </c>
      <c r="I668" s="384">
        <v>89601</v>
      </c>
      <c r="J668" s="367">
        <v>3</v>
      </c>
      <c r="K668" s="9">
        <f t="shared" si="32"/>
        <v>29867</v>
      </c>
      <c r="L668" s="829">
        <v>46905</v>
      </c>
      <c r="M668" s="829">
        <v>47269</v>
      </c>
      <c r="P668" s="363" t="s">
        <v>520</v>
      </c>
      <c r="S668" s="381" t="str" cm="1">
        <f t="array" ref="S668">TEXT(EDATE($L668,{0}),"dd/mm/yyy") &amp; " to " &amp; TEXT(EDATE($L668,{4})-1,"dd/mm/yyyy")</f>
        <v>01/06/2028 to 30/09/2028</v>
      </c>
      <c r="U668" s="381" t="str" cm="1">
        <f t="array" ref="U668">TEXT(EDATE($L668,{4}),"dd/mm/yyy") &amp; " to " &amp; TEXT(EDATE($L668,{8})-1,"dd/mm/yyyy")</f>
        <v>01/10/2028 to 31/01/2029</v>
      </c>
      <c r="W668" s="381" t="str" cm="1">
        <f t="array" ref="W668">TEXT(EDATE($L668,{8}),"dd/mm/yyy") &amp; " to " &amp; TEXT(EDATE($L668,{12})-1,"dd/mm/yyyy")</f>
        <v>01/02/2029 to 31/05/2029</v>
      </c>
      <c r="AE668" s="376" t="s">
        <v>478</v>
      </c>
      <c r="AF668" s="367" t="s">
        <v>63</v>
      </c>
      <c r="AG668" s="367">
        <v>3</v>
      </c>
      <c r="AH668" s="376" t="s">
        <v>2108</v>
      </c>
    </row>
    <row r="669" spans="1:34" ht="15" customHeight="1" x14ac:dyDescent="0.3">
      <c r="B669" s="367" t="s">
        <v>8</v>
      </c>
      <c r="C669" s="630" t="s">
        <v>1199</v>
      </c>
      <c r="D669" s="632" t="s">
        <v>151</v>
      </c>
      <c r="E669" s="735">
        <v>75803</v>
      </c>
      <c r="F669" s="770">
        <v>46226</v>
      </c>
      <c r="G669" s="319" t="s">
        <v>55</v>
      </c>
      <c r="H669" s="380">
        <v>2</v>
      </c>
      <c r="I669" s="384">
        <v>130000</v>
      </c>
      <c r="J669" s="367">
        <v>2</v>
      </c>
      <c r="K669" s="9">
        <f t="shared" si="32"/>
        <v>65000</v>
      </c>
      <c r="L669" s="786">
        <v>46204</v>
      </c>
      <c r="M669" s="786">
        <v>46568</v>
      </c>
      <c r="P669" s="363" t="s">
        <v>520</v>
      </c>
      <c r="S669" s="381" t="str" cm="1">
        <f t="array" ref="S669">TEXT(EDATE($L669,{0}),"dd/mm/yyy") &amp; " to " &amp; TEXT(EDATE($L669,{6})-1,"dd/mm/yyyy")</f>
        <v>01/07/2026 to 31/12/2026</v>
      </c>
      <c r="T669" s="363"/>
      <c r="U669" s="381" t="str" cm="1">
        <f t="array" ref="U669">TEXT(EDATE($L669,{6}),"dd/mm/yyy") &amp; " to " &amp; TEXT(EDATE($L669,{12})-1,"dd/mm/yyyy")</f>
        <v>01/01/2027 to 30/06/2027</v>
      </c>
      <c r="AE669" s="376" t="s">
        <v>478</v>
      </c>
      <c r="AF669" s="367" t="s">
        <v>63</v>
      </c>
      <c r="AG669" s="367">
        <v>3</v>
      </c>
      <c r="AH669" s="376" t="s">
        <v>667</v>
      </c>
    </row>
    <row r="670" spans="1:34" ht="15" customHeight="1" x14ac:dyDescent="0.3">
      <c r="B670" s="367" t="s">
        <v>8</v>
      </c>
      <c r="C670" s="806" t="s">
        <v>2109</v>
      </c>
      <c r="D670" s="806" t="s">
        <v>1088</v>
      </c>
      <c r="E670" s="805">
        <v>5891311886</v>
      </c>
      <c r="F670" s="770">
        <v>46258</v>
      </c>
      <c r="G670" s="319" t="s">
        <v>55</v>
      </c>
      <c r="H670" s="367">
        <v>3</v>
      </c>
      <c r="I670" s="384">
        <v>311850</v>
      </c>
      <c r="J670" s="367">
        <v>3</v>
      </c>
      <c r="K670" s="9">
        <f t="shared" si="32"/>
        <v>103950</v>
      </c>
      <c r="L670" s="829">
        <v>46235</v>
      </c>
      <c r="M670" s="829">
        <v>46599</v>
      </c>
      <c r="P670" s="363" t="s">
        <v>520</v>
      </c>
      <c r="S670" s="381" t="str" cm="1">
        <f t="array" ref="S670">TEXT(EDATE($L670,{0}),"dd/mm/yyy") &amp; " to " &amp; TEXT(EDATE($L670,{4})-1,"dd/mm/yyyy")</f>
        <v>01/08/2026 to 30/11/2026</v>
      </c>
      <c r="U670" s="381" t="str" cm="1">
        <f t="array" ref="U670">TEXT(EDATE($L670,{4}),"dd/mm/yyy") &amp; " to " &amp; TEXT(EDATE($L670,{8})-1,"dd/mm/yyyy")</f>
        <v>01/12/2026 to 31/03/2027</v>
      </c>
      <c r="W670" s="381" t="str" cm="1">
        <f t="array" ref="W670">TEXT(EDATE($L670,{8}),"dd/mm/yyy") &amp; " to " &amp; TEXT(EDATE($L670,{12})-1,"dd/mm/yyyy")</f>
        <v>01/04/2027 to 31/07/2027</v>
      </c>
      <c r="AE670" s="376" t="s">
        <v>96</v>
      </c>
      <c r="AF670" s="367" t="s">
        <v>97</v>
      </c>
      <c r="AG670" s="367" t="s">
        <v>494</v>
      </c>
      <c r="AH670" s="376" t="s">
        <v>667</v>
      </c>
    </row>
    <row r="671" spans="1:34" ht="15" customHeight="1" x14ac:dyDescent="0.3">
      <c r="B671" s="367" t="s">
        <v>8</v>
      </c>
      <c r="C671" s="806" t="s">
        <v>2109</v>
      </c>
      <c r="D671" s="806" t="s">
        <v>1088</v>
      </c>
      <c r="E671" s="805">
        <v>5891255256</v>
      </c>
      <c r="F671" s="770">
        <v>46120</v>
      </c>
      <c r="G671" s="319" t="s">
        <v>55</v>
      </c>
      <c r="H671" s="367">
        <v>1</v>
      </c>
      <c r="I671" s="384">
        <v>103599.9</v>
      </c>
      <c r="J671" s="367">
        <v>3</v>
      </c>
      <c r="K671" s="9">
        <f t="shared" si="32"/>
        <v>34533.299999999996</v>
      </c>
      <c r="L671" s="829">
        <v>46235</v>
      </c>
      <c r="M671" s="829">
        <v>46599</v>
      </c>
      <c r="P671" s="363" t="s">
        <v>520</v>
      </c>
      <c r="S671" s="381" t="str" cm="1">
        <f t="array" ref="S671">TEXT(EDATE($L671,{0}),"dd/mm/yyy") &amp; " to " &amp; TEXT(EDATE($L671,{4})-1,"dd/mm/yyyy")</f>
        <v>01/08/2026 to 30/11/2026</v>
      </c>
      <c r="U671" s="381" t="str" cm="1">
        <f t="array" ref="U671">TEXT(EDATE($L671,{4}),"dd/mm/yyy") &amp; " to " &amp; TEXT(EDATE($L671,{8})-1,"dd/mm/yyyy")</f>
        <v>01/12/2026 to 31/03/2027</v>
      </c>
      <c r="W671" s="381" t="str" cm="1">
        <f t="array" ref="W671">TEXT(EDATE($L671,{8}),"dd/mm/yyy") &amp; " to " &amp; TEXT(EDATE($L671,{12})-1,"dd/mm/yyyy")</f>
        <v>01/04/2027 to 31/07/2027</v>
      </c>
      <c r="AE671" s="376" t="s">
        <v>96</v>
      </c>
      <c r="AF671" s="367" t="s">
        <v>97</v>
      </c>
      <c r="AG671" s="367" t="s">
        <v>494</v>
      </c>
      <c r="AH671" s="376" t="s">
        <v>667</v>
      </c>
    </row>
    <row r="672" spans="1:34" ht="15" hidden="1" customHeight="1" x14ac:dyDescent="0.3">
      <c r="B672" s="367" t="s">
        <v>8</v>
      </c>
      <c r="C672" s="806" t="s">
        <v>195</v>
      </c>
      <c r="D672" s="806" t="s">
        <v>447</v>
      </c>
      <c r="E672" s="813" t="s">
        <v>2110</v>
      </c>
      <c r="F672" s="770">
        <v>46256</v>
      </c>
      <c r="G672" s="319" t="s">
        <v>55</v>
      </c>
      <c r="I672" s="384">
        <v>130000</v>
      </c>
      <c r="J672" s="367">
        <v>4</v>
      </c>
      <c r="K672" s="9">
        <f t="shared" si="32"/>
        <v>32500</v>
      </c>
      <c r="L672" s="829">
        <v>46256</v>
      </c>
      <c r="M672" s="829">
        <v>46620</v>
      </c>
      <c r="P672" s="363" t="s">
        <v>998</v>
      </c>
      <c r="S672" s="381" t="str" cm="1">
        <f t="array" ref="S672">TEXT(EDATE($L672,{0}),"dd/mm/yyy") &amp; " to " &amp; TEXT(EDATE($L672,{3})-1,"dd/mm/yyyy")</f>
        <v>22/08/2026 to 21/11/2026</v>
      </c>
      <c r="T672" s="363"/>
      <c r="U672" s="381" t="str" cm="1">
        <f t="array" ref="U672">TEXT(EDATE($L672,{3}),"dd/mm/yyy") &amp; " to " &amp; TEXT(EDATE($L672,{6})-1,"dd/mm/yyyy")</f>
        <v>22/11/2026 to 21/02/2027</v>
      </c>
      <c r="V672" s="363"/>
      <c r="W672" s="381" t="str" cm="1">
        <f t="array" ref="W672">TEXT(EDATE($L672,{6}),"dd/mm/yyy") &amp; " to " &amp; TEXT(EDATE($L672,{9})-1,"dd/mm/yyyy")</f>
        <v>22/02/2027 to 21/05/2027</v>
      </c>
      <c r="X672" s="363"/>
      <c r="Y672" s="381" t="str" cm="1">
        <f t="array" ref="Y672">TEXT(EDATE($L672,{9}),"dd/mm/yyy") &amp; " to " &amp; TEXT(EDATE($L672,{12})-1,"dd/mm/yyyy")</f>
        <v>22/05/2027 to 21/08/2027</v>
      </c>
      <c r="AE672" s="376" t="s">
        <v>96</v>
      </c>
      <c r="AF672" s="367" t="s">
        <v>97</v>
      </c>
      <c r="AG672" s="367" t="s">
        <v>494</v>
      </c>
      <c r="AH672" s="376" t="s">
        <v>667</v>
      </c>
    </row>
    <row r="673" spans="2:34" ht="15" hidden="1" customHeight="1" x14ac:dyDescent="0.3">
      <c r="B673" s="367" t="s">
        <v>8</v>
      </c>
      <c r="C673" s="806" t="s">
        <v>195</v>
      </c>
      <c r="D673" s="806" t="s">
        <v>447</v>
      </c>
      <c r="E673" s="813" t="s">
        <v>2110</v>
      </c>
      <c r="F673" s="770">
        <v>46256</v>
      </c>
      <c r="G673" s="319" t="s">
        <v>55</v>
      </c>
      <c r="I673" s="384">
        <v>130000</v>
      </c>
      <c r="J673" s="367">
        <v>4</v>
      </c>
      <c r="K673" s="9">
        <f t="shared" si="32"/>
        <v>32500</v>
      </c>
      <c r="L673" s="829">
        <v>46621</v>
      </c>
      <c r="M673" s="829">
        <v>46986</v>
      </c>
      <c r="P673" s="363" t="s">
        <v>998</v>
      </c>
      <c r="S673" s="381" t="str" cm="1">
        <f t="array" ref="S673">TEXT(EDATE($L673,{0}),"dd/mm/yyy") &amp; " to " &amp; TEXT(EDATE($L673,{3})-1,"dd/mm/yyyy")</f>
        <v>22/08/2027 to 21/11/2027</v>
      </c>
      <c r="T673" s="363"/>
      <c r="U673" s="381" t="str" cm="1">
        <f t="array" ref="U673">TEXT(EDATE($L673,{3}),"dd/mm/yyy") &amp; " to " &amp; TEXT(EDATE($L673,{6})-1,"dd/mm/yyyy")</f>
        <v>22/11/2027 to 21/02/2028</v>
      </c>
      <c r="V673" s="363"/>
      <c r="W673" s="381" t="str" cm="1">
        <f t="array" ref="W673">TEXT(EDATE($L673,{6}),"dd/mm/yyy") &amp; " to " &amp; TEXT(EDATE($L673,{9})-1,"dd/mm/yyyy")</f>
        <v>22/02/2028 to 21/05/2028</v>
      </c>
      <c r="X673" s="363"/>
      <c r="Y673" s="381" t="str" cm="1">
        <f t="array" ref="Y673">TEXT(EDATE($L673,{9}),"dd/mm/yyy") &amp; " to " &amp; TEXT(EDATE($L673,{12})-1,"dd/mm/yyyy")</f>
        <v>22/05/2028 to 21/08/2028</v>
      </c>
      <c r="AE673" s="376" t="s">
        <v>96</v>
      </c>
      <c r="AF673" s="367" t="s">
        <v>97</v>
      </c>
      <c r="AG673" s="367" t="s">
        <v>494</v>
      </c>
      <c r="AH673" s="376" t="s">
        <v>667</v>
      </c>
    </row>
    <row r="674" spans="2:34" ht="15" hidden="1" customHeight="1" x14ac:dyDescent="0.3">
      <c r="B674" s="367" t="s">
        <v>8</v>
      </c>
      <c r="C674" s="806" t="s">
        <v>195</v>
      </c>
      <c r="D674" s="806" t="s">
        <v>447</v>
      </c>
      <c r="E674" s="813" t="s">
        <v>2110</v>
      </c>
      <c r="F674" s="770">
        <v>46256</v>
      </c>
      <c r="G674" s="319" t="s">
        <v>55</v>
      </c>
      <c r="H674" s="380">
        <v>2</v>
      </c>
      <c r="I674" s="384">
        <v>130000</v>
      </c>
      <c r="J674" s="367">
        <v>4</v>
      </c>
      <c r="K674" s="9">
        <f t="shared" si="32"/>
        <v>32500</v>
      </c>
      <c r="L674" s="829">
        <v>46987</v>
      </c>
      <c r="M674" s="829">
        <v>47351</v>
      </c>
      <c r="P674" s="363" t="s">
        <v>998</v>
      </c>
      <c r="S674" s="381" t="str" cm="1">
        <f t="array" ref="S674">TEXT(EDATE($L674,{0}),"dd/mm/yyy") &amp; " to " &amp; TEXT(EDATE($L674,{3})-1,"dd/mm/yyyy")</f>
        <v>22/08/2028 to 21/11/2028</v>
      </c>
      <c r="T674" s="363"/>
      <c r="U674" s="381" t="str" cm="1">
        <f t="array" ref="U674">TEXT(EDATE($L674,{3}),"dd/mm/yyy") &amp; " to " &amp; TEXT(EDATE($L674,{6})-1,"dd/mm/yyyy")</f>
        <v>22/11/2028 to 21/02/2029</v>
      </c>
      <c r="V674" s="363"/>
      <c r="W674" s="381" t="str" cm="1">
        <f t="array" ref="W674">TEXT(EDATE($L674,{6}),"dd/mm/yyy") &amp; " to " &amp; TEXT(EDATE($L674,{9})-1,"dd/mm/yyyy")</f>
        <v>22/02/2029 to 21/05/2029</v>
      </c>
      <c r="X674" s="363"/>
      <c r="Y674" s="381" t="str" cm="1">
        <f t="array" ref="Y674">TEXT(EDATE($L674,{9}),"dd/mm/yyy") &amp; " to " &amp; TEXT(EDATE($L674,{12})-1,"dd/mm/yyyy")</f>
        <v>22/05/2029 to 21/08/2029</v>
      </c>
      <c r="AE674" s="376" t="s">
        <v>96</v>
      </c>
      <c r="AF674" s="367" t="s">
        <v>97</v>
      </c>
      <c r="AG674" s="367" t="s">
        <v>494</v>
      </c>
      <c r="AH674" s="376" t="s">
        <v>667</v>
      </c>
    </row>
    <row r="675" spans="2:34" ht="15" customHeight="1" x14ac:dyDescent="0.3">
      <c r="B675" s="367" t="s">
        <v>8</v>
      </c>
      <c r="C675" s="630" t="s">
        <v>1160</v>
      </c>
      <c r="D675" s="632" t="s">
        <v>151</v>
      </c>
      <c r="E675" s="735" t="s">
        <v>2111</v>
      </c>
      <c r="F675" s="770">
        <v>46259</v>
      </c>
      <c r="G675" s="319" t="s">
        <v>55</v>
      </c>
      <c r="H675" s="380">
        <v>2</v>
      </c>
      <c r="I675" s="384">
        <v>169998</v>
      </c>
      <c r="J675" s="367">
        <v>3</v>
      </c>
      <c r="K675" s="9">
        <f t="shared" si="32"/>
        <v>56666</v>
      </c>
      <c r="L675" s="786">
        <v>46204</v>
      </c>
      <c r="M675" s="786">
        <v>46568</v>
      </c>
      <c r="P675" s="363" t="s">
        <v>520</v>
      </c>
      <c r="S675" s="381" t="str" cm="1">
        <f t="array" ref="S675">TEXT(EDATE($L675,{0}),"dd/mm/yyy") &amp; " to " &amp; TEXT(EDATE($L675,{4})-1,"dd/mm/yyyy")</f>
        <v>01/07/2026 to 31/10/2026</v>
      </c>
      <c r="U675" s="381" t="str" cm="1">
        <f t="array" ref="U675">TEXT(EDATE($L675,{4}),"dd/mm/yyy") &amp; " to " &amp; TEXT(EDATE($L675,{8})-1,"dd/mm/yyyy")</f>
        <v>01/11/2026 to 28/02/2027</v>
      </c>
      <c r="W675" s="381" t="str" cm="1">
        <f t="array" ref="W675">TEXT(EDATE($L675,{8}),"dd/mm/yyy") &amp; " to " &amp; TEXT(EDATE($L675,{12})-1,"dd/mm/yyyy")</f>
        <v>01/03/2027 to 30/06/2027</v>
      </c>
      <c r="AE675" s="376" t="s">
        <v>478</v>
      </c>
      <c r="AF675" s="367" t="s">
        <v>63</v>
      </c>
      <c r="AG675" s="367">
        <v>3</v>
      </c>
      <c r="AH675" s="376" t="s">
        <v>2112</v>
      </c>
    </row>
    <row r="676" spans="2:34" ht="15" hidden="1" customHeight="1" x14ac:dyDescent="0.3">
      <c r="B676" s="367" t="s">
        <v>8</v>
      </c>
      <c r="C676" s="630" t="s">
        <v>2096</v>
      </c>
      <c r="D676" s="630" t="s">
        <v>823</v>
      </c>
      <c r="E676" s="738" t="s">
        <v>2113</v>
      </c>
      <c r="F676" s="770">
        <v>46253</v>
      </c>
      <c r="G676" s="319" t="s">
        <v>55</v>
      </c>
      <c r="H676" s="380">
        <v>1</v>
      </c>
      <c r="I676" s="384">
        <v>105000</v>
      </c>
      <c r="J676" s="367">
        <v>3</v>
      </c>
      <c r="K676" s="9">
        <f t="shared" si="32"/>
        <v>35000</v>
      </c>
      <c r="L676" s="786">
        <v>46266</v>
      </c>
      <c r="M676" s="786">
        <v>46630</v>
      </c>
      <c r="P676" s="363" t="s">
        <v>998</v>
      </c>
      <c r="R676" s="367" t="s">
        <v>1</v>
      </c>
      <c r="S676" s="381" t="str" cm="1">
        <f t="array" ref="S676">TEXT(EDATE($L676,{0}),"dd/mm/yyy") &amp; " to " &amp; TEXT(EDATE($L676,{4})-1,"dd/mm/yyyy")</f>
        <v>01/09/2026 to 31/12/2026</v>
      </c>
      <c r="U676" s="381" t="str" cm="1">
        <f t="array" ref="U676">TEXT(EDATE($L676,{4}),"dd/mm/yyy") &amp; " to " &amp; TEXT(EDATE($L676,{8})-1,"dd/mm/yyyy")</f>
        <v>01/01/2027 to 30/04/2027</v>
      </c>
      <c r="W676" s="381" t="str" cm="1">
        <f t="array" ref="W676">TEXT(EDATE($L676,{8}),"dd/mm/yyy") &amp; " to " &amp; TEXT(EDATE($L676,{12})-1,"dd/mm/yyyy")</f>
        <v>01/05/2027 to 31/08/2027</v>
      </c>
      <c r="AE676" s="376" t="s">
        <v>1893</v>
      </c>
      <c r="AF676" s="367" t="s">
        <v>97</v>
      </c>
      <c r="AG676" s="367">
        <v>3</v>
      </c>
      <c r="AH676" s="376" t="s">
        <v>2114</v>
      </c>
    </row>
    <row r="677" spans="2:34" ht="15" hidden="1" customHeight="1" x14ac:dyDescent="0.3">
      <c r="B677" s="367" t="s">
        <v>8</v>
      </c>
      <c r="C677" s="739" t="s">
        <v>658</v>
      </c>
      <c r="D677" s="630" t="s">
        <v>151</v>
      </c>
      <c r="E677" s="651">
        <v>6500019066</v>
      </c>
      <c r="F677" s="770">
        <v>46255</v>
      </c>
      <c r="G677" s="319" t="s">
        <v>55</v>
      </c>
      <c r="H677" s="380">
        <v>1</v>
      </c>
      <c r="I677" s="384">
        <v>56000</v>
      </c>
      <c r="J677" s="367">
        <v>1</v>
      </c>
      <c r="K677" s="9">
        <f t="shared" si="32"/>
        <v>56000</v>
      </c>
      <c r="L677" s="786">
        <v>46226</v>
      </c>
      <c r="M677" s="786">
        <v>46592</v>
      </c>
      <c r="P677" s="363" t="s">
        <v>998</v>
      </c>
      <c r="S677" s="376" t="s">
        <v>2115</v>
      </c>
      <c r="AE677" s="376" t="s">
        <v>507</v>
      </c>
      <c r="AF677" s="367" t="s">
        <v>63</v>
      </c>
      <c r="AG677" s="367">
        <v>2</v>
      </c>
      <c r="AH677" s="376" t="s">
        <v>2116</v>
      </c>
    </row>
    <row r="678" spans="2:34" ht="15" customHeight="1" x14ac:dyDescent="0.3">
      <c r="B678" s="367" t="s">
        <v>8</v>
      </c>
      <c r="C678" s="642" t="s">
        <v>975</v>
      </c>
      <c r="D678" s="630" t="s">
        <v>1136</v>
      </c>
      <c r="E678" s="805">
        <v>6100016647</v>
      </c>
      <c r="F678" s="770">
        <v>46234</v>
      </c>
      <c r="G678" s="319" t="s">
        <v>55</v>
      </c>
      <c r="H678" s="380">
        <v>2</v>
      </c>
      <c r="I678" s="384">
        <v>224000</v>
      </c>
      <c r="J678" s="367">
        <v>3</v>
      </c>
      <c r="K678" s="9">
        <f>I678/2</f>
        <v>112000</v>
      </c>
      <c r="L678" s="786">
        <v>46235</v>
      </c>
      <c r="M678" s="786">
        <v>46599</v>
      </c>
      <c r="P678" s="363" t="s">
        <v>520</v>
      </c>
      <c r="S678" s="381" t="str" cm="1">
        <f t="array" ref="S678">TEXT(EDATE($L678,{0}),"dd/mm/yyy") &amp; " to " &amp; TEXT(EDATE($L678,{4})-1,"dd/mm/yyyy")</f>
        <v>01/08/2026 to 30/11/2026</v>
      </c>
      <c r="U678" s="381" t="str" cm="1">
        <f t="array" ref="U678">TEXT(EDATE($L678,{4}),"dd/mm/yyy") &amp; " to " &amp; TEXT(EDATE($L678,{8})-1,"dd/mm/yyyy")</f>
        <v>01/12/2026 to 31/03/2027</v>
      </c>
      <c r="W678" s="381" t="str" cm="1">
        <f t="array" ref="W678">TEXT(EDATE($L678,{8}),"dd/mm/yyy") &amp; " to " &amp; TEXT(EDATE($L678,{12})-1,"dd/mm/yyyy")</f>
        <v>01/04/2027 to 31/07/2027</v>
      </c>
      <c r="AE678" s="376" t="s">
        <v>834</v>
      </c>
      <c r="AF678" s="367" t="s">
        <v>207</v>
      </c>
      <c r="AG678" s="367">
        <v>3</v>
      </c>
      <c r="AH678" s="659">
        <v>0.5</v>
      </c>
    </row>
    <row r="679" spans="2:34" ht="15" customHeight="1" x14ac:dyDescent="0.3">
      <c r="B679" s="367" t="s">
        <v>8</v>
      </c>
      <c r="C679" s="806" t="s">
        <v>663</v>
      </c>
      <c r="D679" s="806" t="s">
        <v>1016</v>
      </c>
      <c r="E679" s="805">
        <v>4508199164</v>
      </c>
      <c r="F679" s="770">
        <v>46263</v>
      </c>
      <c r="G679" s="319" t="s">
        <v>55</v>
      </c>
      <c r="H679" s="380">
        <v>6</v>
      </c>
      <c r="I679" s="384">
        <v>480000</v>
      </c>
      <c r="J679" s="367">
        <v>3</v>
      </c>
      <c r="K679" s="9">
        <f t="shared" si="32"/>
        <v>160000</v>
      </c>
      <c r="L679" s="829">
        <v>46204</v>
      </c>
      <c r="M679" s="829">
        <v>46568</v>
      </c>
      <c r="P679" s="363" t="s">
        <v>520</v>
      </c>
      <c r="S679" s="381" t="str" cm="1">
        <f t="array" ref="S679">TEXT(EDATE($L679,{0}),"dd/mm/yyy") &amp; " to " &amp; TEXT(EDATE($L679,{4})-1,"dd/mm/yyyy")</f>
        <v>01/07/2026 to 31/10/2026</v>
      </c>
      <c r="U679" s="381" t="str" cm="1">
        <f t="array" ref="U679">TEXT(EDATE($L679,{4}),"dd/mm/yyy") &amp; " to " &amp; TEXT(EDATE($L679,{8})-1,"dd/mm/yyyy")</f>
        <v>01/11/2026 to 28/02/2027</v>
      </c>
      <c r="W679" s="381" t="str" cm="1">
        <f t="array" ref="W679">TEXT(EDATE($L679,{8}),"dd/mm/yyy") &amp; " to " &amp; TEXT(EDATE($L679,{12})-1,"dd/mm/yyyy")</f>
        <v>01/03/2027 to 30/06/2027</v>
      </c>
      <c r="AE679" s="376" t="s">
        <v>619</v>
      </c>
      <c r="AF679" s="367" t="s">
        <v>63</v>
      </c>
      <c r="AG679" s="367">
        <v>3</v>
      </c>
      <c r="AH679" s="376" t="s">
        <v>2117</v>
      </c>
    </row>
    <row r="680" spans="2:34" ht="15" customHeight="1" x14ac:dyDescent="0.3">
      <c r="B680" s="367" t="s">
        <v>2118</v>
      </c>
      <c r="C680" s="806" t="s">
        <v>905</v>
      </c>
      <c r="D680" s="806" t="s">
        <v>151</v>
      </c>
      <c r="E680" s="813">
        <v>1100037274</v>
      </c>
      <c r="F680" s="770">
        <v>46165</v>
      </c>
      <c r="G680" s="319" t="s">
        <v>55</v>
      </c>
      <c r="H680" s="813">
        <v>2</v>
      </c>
      <c r="I680" s="384">
        <v>134000</v>
      </c>
      <c r="J680" s="367">
        <v>2</v>
      </c>
      <c r="K680" s="9">
        <f t="shared" si="32"/>
        <v>67000</v>
      </c>
      <c r="L680" s="829">
        <v>46235</v>
      </c>
      <c r="M680" s="829">
        <v>46599</v>
      </c>
      <c r="P680" s="363" t="s">
        <v>520</v>
      </c>
      <c r="S680" s="381" t="str" cm="1">
        <f t="array" ref="S680">TEXT(EDATE($L680,{0}),"dd/mm/yyy") &amp; " to " &amp; TEXT(EDATE($L680,{6})-1,"dd/mm/yyyy")</f>
        <v>01/08/2026 to 31/01/2027</v>
      </c>
      <c r="T680" s="363"/>
      <c r="U680" s="381" t="str" cm="1">
        <f t="array" ref="U680">TEXT(EDATE($L680,{6}),"dd/mm/yyy") &amp; " to " &amp; TEXT(EDATE($L680,{12})-1,"dd/mm/yyyy")</f>
        <v>01/02/2027 to 31/07/2027</v>
      </c>
      <c r="AE680" s="376" t="s">
        <v>478</v>
      </c>
      <c r="AF680" s="367" t="s">
        <v>63</v>
      </c>
      <c r="AG680" s="367">
        <v>3</v>
      </c>
      <c r="AH680" s="376" t="s">
        <v>667</v>
      </c>
    </row>
    <row r="681" spans="2:34" ht="15" hidden="1" customHeight="1" x14ac:dyDescent="0.3">
      <c r="B681" s="367" t="s">
        <v>2118</v>
      </c>
      <c r="C681" s="810" t="s">
        <v>1656</v>
      </c>
      <c r="D681" s="810" t="s">
        <v>2119</v>
      </c>
      <c r="G681" s="319" t="s">
        <v>55</v>
      </c>
      <c r="H681" s="367">
        <v>1</v>
      </c>
      <c r="I681" s="384">
        <v>80000</v>
      </c>
      <c r="L681" s="644">
        <v>46353</v>
      </c>
      <c r="M681" s="644">
        <v>46717</v>
      </c>
      <c r="P681" s="376" t="s">
        <v>998</v>
      </c>
      <c r="AE681" s="376" t="s">
        <v>834</v>
      </c>
      <c r="AF681" s="367" t="s">
        <v>207</v>
      </c>
    </row>
    <row r="682" spans="2:34" ht="15" customHeight="1" x14ac:dyDescent="0.3">
      <c r="B682" s="367" t="s">
        <v>2118</v>
      </c>
      <c r="C682" s="630" t="s">
        <v>2120</v>
      </c>
      <c r="D682" s="630" t="s">
        <v>388</v>
      </c>
      <c r="E682" s="805">
        <v>3800119532</v>
      </c>
      <c r="F682" s="770">
        <v>46267</v>
      </c>
      <c r="G682" s="319" t="s">
        <v>55</v>
      </c>
      <c r="H682" s="367">
        <v>1</v>
      </c>
      <c r="I682" s="384">
        <v>58000</v>
      </c>
      <c r="J682" s="367">
        <v>2</v>
      </c>
      <c r="K682" s="370">
        <f>I682/J682</f>
        <v>29000</v>
      </c>
      <c r="L682" s="786">
        <v>46266</v>
      </c>
      <c r="M682" s="786">
        <v>46630</v>
      </c>
      <c r="P682" s="363" t="s">
        <v>520</v>
      </c>
      <c r="S682" s="381" t="str" cm="1">
        <f t="array" ref="S682">TEXT(EDATE($L682,{0}),"dd/mm/yyy") &amp; " to " &amp; TEXT(EDATE($L682,{6})-1,"dd/mm/yyyy")</f>
        <v>01/09/2026 to 28/02/2027</v>
      </c>
      <c r="T682" s="363"/>
      <c r="U682" s="381" t="str" cm="1">
        <f t="array" ref="U682">TEXT(EDATE($L682,{6}),"dd/mm/yyy") &amp; " to " &amp; TEXT(EDATE($L682,{12})-1,"dd/mm/yyyy")</f>
        <v>01/03/2027 to 31/08/2027</v>
      </c>
      <c r="AE682" s="376" t="s">
        <v>478</v>
      </c>
      <c r="AF682" s="367" t="s">
        <v>63</v>
      </c>
      <c r="AG682" s="367">
        <v>3</v>
      </c>
      <c r="AH682" s="376" t="s">
        <v>667</v>
      </c>
    </row>
    <row r="683" spans="2:34" ht="15" hidden="1" customHeight="1" x14ac:dyDescent="0.3">
      <c r="B683" s="367" t="s">
        <v>2118</v>
      </c>
      <c r="C683" s="810" t="s">
        <v>150</v>
      </c>
      <c r="D683" s="810" t="s">
        <v>398</v>
      </c>
      <c r="E683" s="805">
        <v>4300038999</v>
      </c>
      <c r="F683" s="770">
        <v>44936</v>
      </c>
      <c r="G683" s="319" t="s">
        <v>55</v>
      </c>
      <c r="H683" s="380">
        <v>1</v>
      </c>
      <c r="I683" s="388"/>
      <c r="J683" s="380">
        <v>3</v>
      </c>
      <c r="K683" s="380"/>
      <c r="L683" s="835">
        <v>46014</v>
      </c>
      <c r="M683" s="830">
        <v>46743</v>
      </c>
      <c r="P683" s="363" t="s">
        <v>998</v>
      </c>
      <c r="AE683" s="376" t="s">
        <v>128</v>
      </c>
      <c r="AF683" s="367" t="s">
        <v>129</v>
      </c>
      <c r="AG683" s="367">
        <v>2</v>
      </c>
    </row>
    <row r="684" spans="2:34" ht="15" customHeight="1" x14ac:dyDescent="0.3">
      <c r="B684" s="367" t="s">
        <v>2118</v>
      </c>
      <c r="C684" s="742" t="s">
        <v>727</v>
      </c>
      <c r="D684" s="742" t="s">
        <v>2121</v>
      </c>
      <c r="E684" s="746">
        <v>4100042900</v>
      </c>
      <c r="F684" s="743">
        <v>46181</v>
      </c>
      <c r="G684" s="368" t="s">
        <v>703</v>
      </c>
      <c r="H684" s="540">
        <v>1</v>
      </c>
      <c r="I684" s="388">
        <v>521948</v>
      </c>
      <c r="J684" s="380">
        <v>3</v>
      </c>
      <c r="K684" s="380"/>
      <c r="L684" s="789">
        <v>46174</v>
      </c>
      <c r="M684" s="802">
        <v>46538</v>
      </c>
      <c r="P684" s="376" t="s">
        <v>520</v>
      </c>
      <c r="S684" s="394" t="str" cm="1">
        <f t="array" ref="S684">TEXT(EDATE($L684,{0}),"dd/mm/yyy") &amp; " to " &amp; TEXT(EDATE($L684,{4})-1,"dd/mm/yyyy")</f>
        <v>01/06/2026 to 30/09/2026</v>
      </c>
      <c r="T684" s="376" t="s">
        <v>2038</v>
      </c>
      <c r="U684" s="381" t="str" cm="1">
        <f t="array" ref="U684">TEXT(EDATE($L684,{4}),"dd/mm/yyy") &amp; " to " &amp; TEXT(EDATE($L684,{8})-1,"dd/mm/yyyy")</f>
        <v>01/10/2026 to 31/01/2027</v>
      </c>
      <c r="W684" s="381" t="str" cm="1">
        <f t="array" ref="W684">TEXT(EDATE($L684,{8}),"dd/mm/yyy") &amp; " to " &amp; TEXT(EDATE($L684,{12})-1,"dd/mm/yyyy")</f>
        <v>01/02/2027 to 31/05/2027</v>
      </c>
      <c r="AE684" s="376" t="s">
        <v>281</v>
      </c>
      <c r="AF684" s="367" t="s">
        <v>97</v>
      </c>
      <c r="AG684" s="367">
        <v>3</v>
      </c>
    </row>
    <row r="685" spans="2:34" ht="15" customHeight="1" x14ac:dyDescent="0.3">
      <c r="B685" s="367" t="s">
        <v>2118</v>
      </c>
      <c r="C685" s="744" t="s">
        <v>1240</v>
      </c>
      <c r="D685" s="744" t="s">
        <v>1241</v>
      </c>
      <c r="E685" s="747" t="s">
        <v>2122</v>
      </c>
      <c r="F685" s="745">
        <v>46274</v>
      </c>
      <c r="G685" s="319" t="s">
        <v>55</v>
      </c>
      <c r="H685" s="380">
        <v>1</v>
      </c>
      <c r="I685" s="645">
        <v>60400</v>
      </c>
      <c r="J685" s="380">
        <v>2</v>
      </c>
      <c r="K685" s="389">
        <f t="shared" ref="K685:K692" si="33">I685/J685</f>
        <v>30200</v>
      </c>
      <c r="L685" s="790">
        <v>46266</v>
      </c>
      <c r="M685" s="773">
        <v>46630</v>
      </c>
      <c r="P685" s="376" t="s">
        <v>520</v>
      </c>
      <c r="S685" s="381" t="str" cm="1">
        <f t="array" ref="S685">TEXT(EDATE($L685,{0}),"dd/mm/yyy") &amp; " to " &amp; TEXT(EDATE($L685,{6})-1,"dd/mm/yyyy")</f>
        <v>01/09/2026 to 28/02/2027</v>
      </c>
      <c r="T685" s="363"/>
      <c r="U685" s="381" t="str" cm="1">
        <f t="array" ref="U685">TEXT(EDATE($L685,{6}),"dd/mm/yyy") &amp; " to " &amp; TEXT(EDATE($L685,{12})-1,"dd/mm/yyyy")</f>
        <v>01/03/2027 to 31/08/2027</v>
      </c>
      <c r="AE685" s="376" t="s">
        <v>485</v>
      </c>
      <c r="AF685" s="367" t="s">
        <v>63</v>
      </c>
      <c r="AG685" s="367">
        <v>2</v>
      </c>
      <c r="AH685" s="376" t="s">
        <v>667</v>
      </c>
    </row>
    <row r="686" spans="2:34" ht="15" customHeight="1" x14ac:dyDescent="0.3">
      <c r="B686" s="367" t="s">
        <v>2118</v>
      </c>
      <c r="C686" s="527" t="s">
        <v>2123</v>
      </c>
      <c r="D686" s="527" t="s">
        <v>1031</v>
      </c>
      <c r="E686" s="748">
        <v>4514720574</v>
      </c>
      <c r="F686" s="743">
        <v>46273</v>
      </c>
      <c r="G686" s="319" t="s">
        <v>55</v>
      </c>
      <c r="H686" s="380">
        <v>11</v>
      </c>
      <c r="I686" s="384">
        <v>550000</v>
      </c>
      <c r="J686" s="367">
        <v>3</v>
      </c>
      <c r="K686" s="389">
        <f t="shared" si="33"/>
        <v>183333.33333333334</v>
      </c>
      <c r="L686" s="772">
        <v>46235</v>
      </c>
      <c r="M686" s="772">
        <v>46599</v>
      </c>
      <c r="P686" s="376" t="s">
        <v>520</v>
      </c>
      <c r="S686" s="381" t="str" cm="1">
        <f t="array" ref="S686">TEXT(EDATE($L686,{0}),"dd/mm/yyy") &amp; " to " &amp; TEXT(EDATE($L686,{4})-1,"dd/mm/yyyy")</f>
        <v>01/08/2026 to 30/11/2026</v>
      </c>
      <c r="U686" s="381" t="str" cm="1">
        <f t="array" ref="U686">TEXT(EDATE($L686,{4}),"dd/mm/yyy") &amp; " to " &amp; TEXT(EDATE($L686,{8})-1,"dd/mm/yyyy")</f>
        <v>01/12/2026 to 31/03/2027</v>
      </c>
      <c r="W686" s="381" t="str" cm="1">
        <f t="array" ref="W686">TEXT(EDATE($L686,{8}),"dd/mm/yyy") &amp; " to " &amp; TEXT(EDATE($L686,{12})-1,"dd/mm/yyyy")</f>
        <v>01/04/2027 to 31/07/2027</v>
      </c>
      <c r="AE686" s="376" t="s">
        <v>2124</v>
      </c>
      <c r="AF686" s="367" t="s">
        <v>63</v>
      </c>
      <c r="AG686" s="367">
        <v>3</v>
      </c>
      <c r="AH686" s="376" t="s">
        <v>667</v>
      </c>
    </row>
    <row r="687" spans="2:34" ht="15" customHeight="1" x14ac:dyDescent="0.3">
      <c r="B687" s="367" t="s">
        <v>2118</v>
      </c>
      <c r="C687" s="527" t="s">
        <v>775</v>
      </c>
      <c r="D687" s="527" t="s">
        <v>1079</v>
      </c>
      <c r="E687" s="748">
        <v>2700034482</v>
      </c>
      <c r="F687" s="743">
        <v>46268</v>
      </c>
      <c r="G687" s="319" t="s">
        <v>55</v>
      </c>
      <c r="H687" s="380">
        <v>2</v>
      </c>
      <c r="I687" s="384">
        <v>185250</v>
      </c>
      <c r="J687" s="367">
        <v>3</v>
      </c>
      <c r="K687" s="389">
        <f t="shared" si="33"/>
        <v>61750</v>
      </c>
      <c r="L687" s="772">
        <v>46235</v>
      </c>
      <c r="M687" s="772">
        <v>46599</v>
      </c>
      <c r="P687" s="376" t="s">
        <v>520</v>
      </c>
      <c r="S687" s="381" t="str" cm="1">
        <f t="array" ref="S687">TEXT(EDATE($L687,{0}),"dd/mm/yyy") &amp; " to " &amp; TEXT(EDATE($L687,{4})-1,"dd/mm/yyyy")</f>
        <v>01/08/2026 to 30/11/2026</v>
      </c>
      <c r="U687" s="381" t="str" cm="1">
        <f t="array" ref="U687">TEXT(EDATE($L687,{4}),"dd/mm/yyy") &amp; " to " &amp; TEXT(EDATE($L687,{8})-1,"dd/mm/yyyy")</f>
        <v>01/12/2026 to 31/03/2027</v>
      </c>
      <c r="W687" s="381" t="str" cm="1">
        <f t="array" ref="W687">TEXT(EDATE($L687,{8}),"dd/mm/yyy") &amp; " to " &amp; TEXT(EDATE($L687,{12})-1,"dd/mm/yyyy")</f>
        <v>01/04/2027 to 31/07/2027</v>
      </c>
      <c r="AE687" s="376" t="s">
        <v>834</v>
      </c>
      <c r="AF687" s="367" t="s">
        <v>207</v>
      </c>
      <c r="AG687" s="367">
        <v>3</v>
      </c>
    </row>
    <row r="688" spans="2:34" ht="15" customHeight="1" x14ac:dyDescent="0.3">
      <c r="B688" s="367" t="s">
        <v>2118</v>
      </c>
      <c r="C688" s="744" t="s">
        <v>1222</v>
      </c>
      <c r="D688" s="744" t="s">
        <v>1223</v>
      </c>
      <c r="E688" s="747" t="s">
        <v>2125</v>
      </c>
      <c r="F688" s="745">
        <v>46272</v>
      </c>
      <c r="G688" s="319" t="s">
        <v>55</v>
      </c>
      <c r="H688" s="380">
        <v>1</v>
      </c>
      <c r="I688" s="384">
        <v>85500</v>
      </c>
      <c r="J688" s="367">
        <v>3</v>
      </c>
      <c r="K688" s="389">
        <f t="shared" si="33"/>
        <v>28500</v>
      </c>
      <c r="L688" s="773">
        <v>46113</v>
      </c>
      <c r="M688" s="773">
        <v>46477</v>
      </c>
      <c r="P688" s="376" t="s">
        <v>520</v>
      </c>
      <c r="S688" s="381" t="str" cm="1">
        <f t="array" ref="S688">TEXT(EDATE($L688,{0}),"dd/mm/yyy") &amp; " to " &amp; TEXT(EDATE($L688,{4})-1,"dd/mm/yyyy")</f>
        <v>01/04/2026 to 31/07/2026</v>
      </c>
      <c r="U688" s="381" t="str" cm="1">
        <f t="array" ref="U688">TEXT(EDATE($L688,{4}),"dd/mm/yyy") &amp; " to " &amp; TEXT(EDATE($L688,{8})-1,"dd/mm/yyyy")</f>
        <v>01/08/2026 to 30/11/2026</v>
      </c>
      <c r="W688" s="381" t="str" cm="1">
        <f t="array" ref="W688">TEXT(EDATE($L688,{8}),"dd/mm/yyy") &amp; " to " &amp; TEXT(EDATE($L688,{12})-1,"dd/mm/yyyy")</f>
        <v>01/12/2026 to 31/03/2027</v>
      </c>
      <c r="AE688" s="376" t="s">
        <v>507</v>
      </c>
      <c r="AF688" s="367" t="s">
        <v>63</v>
      </c>
      <c r="AG688" s="367">
        <v>3</v>
      </c>
      <c r="AH688" s="376" t="s">
        <v>2126</v>
      </c>
    </row>
    <row r="689" spans="2:34" ht="15" customHeight="1" x14ac:dyDescent="0.3">
      <c r="B689" s="367" t="s">
        <v>2118</v>
      </c>
      <c r="C689" s="750" t="s">
        <v>1156</v>
      </c>
      <c r="D689" s="751" t="s">
        <v>151</v>
      </c>
      <c r="E689" s="752" t="s">
        <v>2127</v>
      </c>
      <c r="F689" s="745">
        <v>46268</v>
      </c>
      <c r="G689" s="319" t="s">
        <v>55</v>
      </c>
      <c r="H689" s="380">
        <v>1</v>
      </c>
      <c r="I689" s="384">
        <v>75000</v>
      </c>
      <c r="J689" s="367">
        <v>3</v>
      </c>
      <c r="K689" s="389">
        <f t="shared" si="33"/>
        <v>25000</v>
      </c>
      <c r="L689" s="774">
        <v>46235</v>
      </c>
      <c r="M689" s="774">
        <v>46599</v>
      </c>
      <c r="P689" s="376" t="s">
        <v>520</v>
      </c>
      <c r="S689" s="706" t="str" cm="1">
        <f t="array" ref="S689">TEXT(EDATE($L689,{0}),"dd/mm/yyy") &amp; " to " &amp; TEXT(EDATE($L689,{4})-1,"dd/mm/yyyy")</f>
        <v>01/08/2026 to 30/11/2026</v>
      </c>
      <c r="U689" s="381" t="str" cm="1">
        <f t="array" ref="U689">TEXT(EDATE($L689,{4}),"dd/mm/yyy") &amp; " to " &amp; TEXT(EDATE($L689,{8})-1,"dd/mm/yyyy")</f>
        <v>01/12/2026 to 31/03/2027</v>
      </c>
      <c r="W689" s="381" t="str" cm="1">
        <f t="array" ref="W689">TEXT(EDATE($L689,{8}),"dd/mm/yyy") &amp; " to " &amp; TEXT(EDATE($L689,{12})-1,"dd/mm/yyyy")</f>
        <v>01/04/2027 to 31/07/2027</v>
      </c>
      <c r="AE689" s="376" t="s">
        <v>478</v>
      </c>
      <c r="AF689" s="367" t="s">
        <v>63</v>
      </c>
      <c r="AG689" s="367">
        <v>2</v>
      </c>
      <c r="AH689" s="376" t="s">
        <v>835</v>
      </c>
    </row>
    <row r="690" spans="2:34" ht="15" customHeight="1" x14ac:dyDescent="0.3">
      <c r="B690" s="367" t="s">
        <v>2118</v>
      </c>
      <c r="C690" s="363" t="s">
        <v>701</v>
      </c>
      <c r="D690" s="386" t="s">
        <v>702</v>
      </c>
      <c r="E690" s="419">
        <v>6000079727</v>
      </c>
      <c r="F690" s="753">
        <v>46133</v>
      </c>
      <c r="G690" s="407" t="s">
        <v>703</v>
      </c>
      <c r="H690" s="540"/>
      <c r="I690" s="388">
        <v>362744.94</v>
      </c>
      <c r="J690" s="380">
        <v>6</v>
      </c>
      <c r="K690" s="389">
        <f t="shared" si="33"/>
        <v>60457.49</v>
      </c>
      <c r="L690" s="644">
        <v>46183</v>
      </c>
      <c r="M690" s="644">
        <v>46547</v>
      </c>
      <c r="N690" s="677">
        <v>155480</v>
      </c>
      <c r="O690" s="677">
        <v>4853</v>
      </c>
      <c r="P690" s="376" t="s">
        <v>520</v>
      </c>
      <c r="S690" s="390" t="s">
        <v>2128</v>
      </c>
      <c r="T690" s="376" t="s">
        <v>2032</v>
      </c>
      <c r="U690" s="376" t="s">
        <v>2129</v>
      </c>
      <c r="W690" s="376" t="s">
        <v>2130</v>
      </c>
      <c r="Y690" s="376" t="s">
        <v>2131</v>
      </c>
      <c r="AA690" s="376" t="s">
        <v>2132</v>
      </c>
      <c r="AC690" s="376" t="s">
        <v>2133</v>
      </c>
      <c r="AE690" s="376" t="s">
        <v>128</v>
      </c>
      <c r="AF690" s="367" t="s">
        <v>129</v>
      </c>
      <c r="AH690" s="363" t="s">
        <v>715</v>
      </c>
    </row>
    <row r="691" spans="2:34" ht="15" customHeight="1" x14ac:dyDescent="0.3">
      <c r="B691" s="367" t="s">
        <v>2118</v>
      </c>
      <c r="C691" s="363" t="s">
        <v>701</v>
      </c>
      <c r="D691" s="386" t="s">
        <v>702</v>
      </c>
      <c r="E691" s="419">
        <v>6000079727</v>
      </c>
      <c r="F691" s="753">
        <v>46133</v>
      </c>
      <c r="G691" s="795" t="s">
        <v>703</v>
      </c>
      <c r="H691" s="380">
        <v>1</v>
      </c>
      <c r="I691" s="384">
        <v>380882.16</v>
      </c>
      <c r="J691" s="367">
        <v>6</v>
      </c>
      <c r="K691" s="389">
        <f t="shared" si="33"/>
        <v>63480.359999999993</v>
      </c>
      <c r="L691" s="644">
        <v>46548</v>
      </c>
      <c r="M691" s="644">
        <v>46913</v>
      </c>
      <c r="P691" s="376" t="s">
        <v>520</v>
      </c>
      <c r="S691" s="376" t="s">
        <v>2134</v>
      </c>
      <c r="U691" s="376" t="s">
        <v>2135</v>
      </c>
      <c r="W691" s="376" t="s">
        <v>2136</v>
      </c>
      <c r="Y691" s="376" t="s">
        <v>2137</v>
      </c>
      <c r="AA691" s="376" t="s">
        <v>2138</v>
      </c>
      <c r="AC691" s="376" t="s">
        <v>2139</v>
      </c>
      <c r="AE691" s="376" t="s">
        <v>128</v>
      </c>
      <c r="AF691" s="367" t="s">
        <v>129</v>
      </c>
      <c r="AH691" s="363" t="s">
        <v>715</v>
      </c>
    </row>
    <row r="692" spans="2:34" ht="15" customHeight="1" x14ac:dyDescent="0.3">
      <c r="B692" s="367" t="s">
        <v>2118</v>
      </c>
      <c r="C692" s="527" t="s">
        <v>530</v>
      </c>
      <c r="D692" s="742" t="s">
        <v>115</v>
      </c>
      <c r="E692" s="794" t="s">
        <v>2140</v>
      </c>
      <c r="F692" s="743">
        <v>46283</v>
      </c>
      <c r="H692" s="380"/>
      <c r="I692" s="384">
        <f>149381.1*3</f>
        <v>448143.30000000005</v>
      </c>
      <c r="J692" s="367">
        <v>2</v>
      </c>
      <c r="K692" s="370">
        <f t="shared" si="33"/>
        <v>224071.65000000002</v>
      </c>
      <c r="L692" s="772">
        <v>46290</v>
      </c>
      <c r="M692" s="772">
        <v>46654</v>
      </c>
      <c r="P692" s="376" t="s">
        <v>520</v>
      </c>
      <c r="S692" s="381" t="str" cm="1">
        <f t="array" ref="S692">TEXT(EDATE($L692,{0}),"dd/mm/yyy") &amp; " to " &amp; TEXT(EDATE($L692,{6})-1,"dd/mm/yyyy")</f>
        <v>25/09/2026 to 24/03/2027</v>
      </c>
      <c r="T692" s="363"/>
      <c r="U692" s="381" t="str" cm="1">
        <f t="array" ref="U692">TEXT(EDATE($L692,{6}),"dd/mm/yyy") &amp; " to " &amp; TEXT(EDATE($L692,{12})-1,"dd/mm/yyyy")</f>
        <v>25/03/2027 to 24/09/2027</v>
      </c>
      <c r="AE692" s="376" t="s">
        <v>128</v>
      </c>
      <c r="AF692" s="367" t="s">
        <v>129</v>
      </c>
      <c r="AG692" s="367">
        <v>2</v>
      </c>
      <c r="AH692" s="376" t="s">
        <v>2141</v>
      </c>
    </row>
    <row r="693" spans="2:34" ht="15" customHeight="1" x14ac:dyDescent="0.3">
      <c r="B693" s="367" t="s">
        <v>2118</v>
      </c>
      <c r="C693" s="527" t="s">
        <v>530</v>
      </c>
      <c r="D693" s="742" t="s">
        <v>115</v>
      </c>
      <c r="E693" s="794" t="s">
        <v>2140</v>
      </c>
      <c r="F693" s="743">
        <v>46283</v>
      </c>
      <c r="I693" s="384">
        <f>155028.06*3</f>
        <v>465084.18</v>
      </c>
      <c r="J693" s="367">
        <v>2</v>
      </c>
      <c r="K693" s="370">
        <f t="shared" ref="K693:K694" si="34">I693/J693</f>
        <v>232542.09</v>
      </c>
      <c r="L693" s="772">
        <v>46655</v>
      </c>
      <c r="M693" s="772">
        <v>47020</v>
      </c>
      <c r="P693" s="376" t="s">
        <v>520</v>
      </c>
      <c r="S693" s="381" t="str" cm="1">
        <f t="array" ref="S693">TEXT(EDATE($L693,{0}),"dd/mm/yyy") &amp; " to " &amp; TEXT(EDATE($L693,{6})-1,"dd/mm/yyyy")</f>
        <v>25/09/2027 to 24/03/2028</v>
      </c>
      <c r="U693" s="381" t="str" cm="1">
        <f t="array" ref="U693">TEXT(EDATE($L693,{6}),"dd/mm/yyy") &amp; " to " &amp; TEXT(EDATE($L693,{12})-1,"dd/mm/yyyy")</f>
        <v>25/03/2028 to 24/09/2028</v>
      </c>
      <c r="AE693" s="376" t="s">
        <v>128</v>
      </c>
      <c r="AF693" s="367" t="s">
        <v>129</v>
      </c>
      <c r="AG693" s="367">
        <v>2</v>
      </c>
      <c r="AH693" s="376" t="s">
        <v>2141</v>
      </c>
    </row>
    <row r="694" spans="2:34" ht="15" customHeight="1" x14ac:dyDescent="0.3">
      <c r="B694" s="367" t="s">
        <v>2118</v>
      </c>
      <c r="C694" s="527" t="s">
        <v>530</v>
      </c>
      <c r="D694" s="742" t="s">
        <v>115</v>
      </c>
      <c r="E694" s="794" t="s">
        <v>2140</v>
      </c>
      <c r="F694" s="743">
        <v>46283</v>
      </c>
      <c r="G694" s="319" t="s">
        <v>55</v>
      </c>
      <c r="H694" s="367">
        <v>3</v>
      </c>
      <c r="I694" s="384">
        <f>160886.88*3</f>
        <v>482660.64</v>
      </c>
      <c r="J694" s="367">
        <v>2</v>
      </c>
      <c r="K694" s="370">
        <f t="shared" si="34"/>
        <v>241330.32</v>
      </c>
      <c r="L694" s="772">
        <v>47021</v>
      </c>
      <c r="M694" s="772">
        <v>47385</v>
      </c>
      <c r="P694" s="376" t="s">
        <v>520</v>
      </c>
      <c r="S694" s="706" t="str" cm="1">
        <f t="array" ref="S694">TEXT(EDATE($L694,{0}),"dd/mm/yyy") &amp; " to " &amp; TEXT(EDATE($L694,{6})-1,"dd/mm/yyyy")</f>
        <v>25/09/2028 to 24/03/2029</v>
      </c>
      <c r="U694" s="381" t="str" cm="1">
        <f t="array" ref="U694">TEXT(EDATE($L694,{6}),"dd/mm/yyy") &amp; " to " &amp; TEXT(EDATE($L694,{12})-1,"dd/mm/yyyy")</f>
        <v>25/03/2029 to 24/09/2029</v>
      </c>
      <c r="AE694" s="376" t="s">
        <v>128</v>
      </c>
      <c r="AF694" s="367" t="s">
        <v>129</v>
      </c>
      <c r="AG694" s="367">
        <v>2</v>
      </c>
      <c r="AH694" s="376" t="s">
        <v>2141</v>
      </c>
    </row>
    <row r="695" spans="2:34" ht="15" customHeight="1" x14ac:dyDescent="0.3">
      <c r="B695" s="367" t="s">
        <v>2118</v>
      </c>
      <c r="C695" s="803" t="s">
        <v>1821</v>
      </c>
      <c r="D695" s="742" t="s">
        <v>176</v>
      </c>
      <c r="E695" s="794">
        <v>1365727673</v>
      </c>
      <c r="F695" s="743">
        <v>46283</v>
      </c>
      <c r="G695" s="319" t="s">
        <v>55</v>
      </c>
      <c r="H695" s="380">
        <v>5</v>
      </c>
      <c r="I695" s="384">
        <v>473640</v>
      </c>
      <c r="J695" s="367">
        <v>3</v>
      </c>
      <c r="K695" s="370">
        <f>I695/2</f>
        <v>236820</v>
      </c>
      <c r="L695" s="802">
        <v>46283</v>
      </c>
      <c r="M695" s="802">
        <v>46647</v>
      </c>
      <c r="P695" s="376" t="s">
        <v>520</v>
      </c>
      <c r="S695" s="381" t="str" cm="1">
        <f t="array" ref="S695">TEXT(EDATE($L695,{0}),"dd/mm/yyy") &amp; " to " &amp; TEXT(EDATE($L695,{4})-1,"dd/mm/yyyy")</f>
        <v>18/09/2026 to 17/01/2027</v>
      </c>
      <c r="T695" s="376" t="s">
        <v>2142</v>
      </c>
      <c r="U695" s="381" t="str" cm="1">
        <f t="array" ref="U695">TEXT(EDATE($L695,{4}),"dd/mm/yyy") &amp; " to " &amp; TEXT(EDATE($L695,{8})-1,"dd/mm/yyyy")</f>
        <v>18/01/2027 to 17/05/2027</v>
      </c>
      <c r="W695" s="381" t="str" cm="1">
        <f t="array" ref="W695">TEXT(EDATE($L695,{8}),"dd/mm/yyy") &amp; " to " &amp; TEXT(EDATE($L695,{12})-1,"dd/mm/yyyy")</f>
        <v>18/05/2027 to 17/09/2027</v>
      </c>
      <c r="X695" s="376" t="s">
        <v>2142</v>
      </c>
      <c r="AE695" s="376" t="s">
        <v>183</v>
      </c>
      <c r="AF695" s="367" t="s">
        <v>97</v>
      </c>
      <c r="AG695" s="367">
        <v>2</v>
      </c>
      <c r="AH695" s="376" t="s">
        <v>861</v>
      </c>
    </row>
    <row r="696" spans="2:34" ht="15" customHeight="1" x14ac:dyDescent="0.3">
      <c r="B696" s="367" t="s">
        <v>2118</v>
      </c>
      <c r="C696" s="744" t="s">
        <v>1172</v>
      </c>
      <c r="D696" s="744" t="s">
        <v>1016</v>
      </c>
      <c r="E696" s="747">
        <v>7100203225</v>
      </c>
      <c r="F696" s="745">
        <v>46282</v>
      </c>
      <c r="G696" s="319" t="s">
        <v>55</v>
      </c>
      <c r="H696" s="367">
        <v>1</v>
      </c>
      <c r="I696" s="384">
        <v>81000</v>
      </c>
      <c r="J696" s="367">
        <v>3</v>
      </c>
      <c r="K696" s="370">
        <f>I696/J696</f>
        <v>27000</v>
      </c>
      <c r="L696" s="773">
        <v>46282</v>
      </c>
      <c r="M696" s="773">
        <v>46646</v>
      </c>
      <c r="P696" s="376" t="s">
        <v>520</v>
      </c>
      <c r="S696" s="381" t="str" cm="1">
        <f t="array" ref="S696">TEXT(EDATE($L696,{0}),"dd/mm/yyy") &amp; " to " &amp; TEXT(EDATE($L696,{4})-1,"dd/mm/yyyy")</f>
        <v>17/09/2026 to 16/01/2027</v>
      </c>
      <c r="U696" s="381" t="str" cm="1">
        <f t="array" ref="U696">TEXT(EDATE($L696,{4}),"dd/mm/yyy") &amp; " to " &amp; TEXT(EDATE($L696,{8})-1,"dd/mm/yyyy")</f>
        <v>17/01/2027 to 16/05/2027</v>
      </c>
      <c r="W696" s="381" t="str" cm="1">
        <f t="array" ref="W696">TEXT(EDATE($L696,{8}),"dd/mm/yyy") &amp; " to " &amp; TEXT(EDATE($L696,{12})-1,"dd/mm/yyyy")</f>
        <v>17/05/2027 to 16/09/2027</v>
      </c>
      <c r="AE696" s="376" t="s">
        <v>619</v>
      </c>
      <c r="AF696" s="367" t="s">
        <v>63</v>
      </c>
      <c r="AG696" s="367">
        <v>3</v>
      </c>
      <c r="AH696" s="376" t="s">
        <v>667</v>
      </c>
    </row>
    <row r="697" spans="2:34" ht="15" customHeight="1" x14ac:dyDescent="0.3">
      <c r="B697" s="367" t="s">
        <v>2118</v>
      </c>
      <c r="C697" s="742" t="s">
        <v>716</v>
      </c>
      <c r="D697" s="742" t="s">
        <v>447</v>
      </c>
      <c r="E697" s="794" t="s">
        <v>2143</v>
      </c>
      <c r="F697" s="743">
        <v>46276</v>
      </c>
      <c r="G697" s="319" t="s">
        <v>55</v>
      </c>
      <c r="H697" s="367">
        <v>2</v>
      </c>
      <c r="I697" s="384">
        <v>154974</v>
      </c>
      <c r="J697" s="367">
        <v>3</v>
      </c>
      <c r="K697" s="370">
        <f>I697/J697</f>
        <v>51658</v>
      </c>
      <c r="L697" s="802">
        <v>46296</v>
      </c>
      <c r="M697" s="802">
        <v>46660</v>
      </c>
      <c r="P697" s="376" t="s">
        <v>520</v>
      </c>
      <c r="S697" s="381" t="str" cm="1">
        <f t="array" ref="S697">TEXT(EDATE($L697,{0}),"dd/mm/yyy") &amp; " to " &amp; TEXT(EDATE($L697,{4})-1,"dd/mm/yyyy")</f>
        <v>01/10/2026 to 31/01/2027</v>
      </c>
      <c r="U697" s="381" t="str" cm="1">
        <f t="array" ref="U697">TEXT(EDATE($L697,{4}),"dd/mm/yyy") &amp; " to " &amp; TEXT(EDATE($L697,{8})-1,"dd/mm/yyyy")</f>
        <v>01/02/2027 to 31/05/2027</v>
      </c>
      <c r="W697" s="381" t="str" cm="1">
        <f t="array" ref="W697">TEXT(EDATE($L697,{8}),"dd/mm/yyy") &amp; " to " &amp; TEXT(EDATE($L697,{12})-1,"dd/mm/yyyy")</f>
        <v>01/06/2027 to 30/09/2027</v>
      </c>
      <c r="AE697" s="376" t="s">
        <v>281</v>
      </c>
      <c r="AF697" s="367" t="s">
        <v>97</v>
      </c>
      <c r="AG697" s="367">
        <v>3</v>
      </c>
      <c r="AH697" s="376" t="s">
        <v>667</v>
      </c>
    </row>
    <row r="698" spans="2:34" ht="15" customHeight="1" x14ac:dyDescent="0.3">
      <c r="B698" s="367" t="s">
        <v>2118</v>
      </c>
      <c r="C698" s="527" t="s">
        <v>1288</v>
      </c>
      <c r="D698" s="742" t="s">
        <v>1114</v>
      </c>
      <c r="E698" s="794">
        <v>4505166708</v>
      </c>
      <c r="F698" s="743">
        <v>46280</v>
      </c>
      <c r="G698" s="319" t="s">
        <v>55</v>
      </c>
      <c r="H698" s="367">
        <v>10</v>
      </c>
      <c r="I698" s="384">
        <v>850000</v>
      </c>
      <c r="J698" s="367">
        <v>4</v>
      </c>
      <c r="K698" s="370">
        <f>I698/J698</f>
        <v>212500</v>
      </c>
      <c r="L698" s="772">
        <v>46266</v>
      </c>
      <c r="M698" s="772">
        <v>46630</v>
      </c>
      <c r="P698" s="376" t="s">
        <v>520</v>
      </c>
      <c r="S698" s="381" t="str" cm="1">
        <f t="array" ref="S698">TEXT(EDATE($L698,{0}),"dd/mm/yyy") &amp; " to " &amp; TEXT(EDATE($L698,{3})-1,"dd/mm/yyyy")</f>
        <v>01/09/2026 to 30/11/2026</v>
      </c>
      <c r="T698" s="363"/>
      <c r="U698" s="381" t="str" cm="1">
        <f t="array" ref="U698">TEXT(EDATE($L698,{3}),"dd/mm/yyy") &amp; " to " &amp; TEXT(EDATE($L698,{6})-1,"dd/mm/yyyy")</f>
        <v>01/12/2026 to 28/02/2027</v>
      </c>
      <c r="V698" s="363"/>
      <c r="W698" s="381" t="str" cm="1">
        <f t="array" ref="W698">TEXT(EDATE($L698,{6}),"dd/mm/yyy") &amp; " to " &amp; TEXT(EDATE($L698,{9})-1,"dd/mm/yyyy")</f>
        <v>01/03/2027 to 31/05/2027</v>
      </c>
      <c r="X698" s="363"/>
      <c r="Y698" s="381" t="str" cm="1">
        <f t="array" ref="Y698">TEXT(EDATE($L698,{9}),"dd/mm/yyy") &amp; " to " &amp; TEXT(EDATE($L698,{12})-1,"dd/mm/yyyy")</f>
        <v>01/06/2027 to 31/08/2027</v>
      </c>
      <c r="AE698" s="376" t="s">
        <v>183</v>
      </c>
      <c r="AF698" s="367" t="s">
        <v>97</v>
      </c>
      <c r="AG698" s="367">
        <v>4</v>
      </c>
      <c r="AH698" s="376" t="s">
        <v>2144</v>
      </c>
    </row>
  </sheetData>
  <autoFilter ref="A6:AH698" xr:uid="{8E55DAD9-2578-4620-9277-B416F198880E}">
    <filterColumn colId="15">
      <filters>
        <filter val="Renewed"/>
      </filters>
    </filterColumn>
  </autoFilter>
  <mergeCells count="2">
    <mergeCell ref="L5:M5"/>
    <mergeCell ref="A1:B1"/>
  </mergeCells>
  <conditionalFormatting sqref="B1048564:D1048576 F1048564:AH1048576">
    <cfRule type="expression" dxfId="24" priority="13514">
      <formula>$B1048564:$AH1048565&lt;&gt;""</formula>
    </cfRule>
  </conditionalFormatting>
  <conditionalFormatting sqref="C4">
    <cfRule type="duplicateValues" dxfId="23" priority="8"/>
  </conditionalFormatting>
  <conditionalFormatting sqref="D4">
    <cfRule type="duplicateValues" dxfId="22" priority="7"/>
  </conditionalFormatting>
  <conditionalFormatting sqref="E397:E644 E1:E395 E647:E1048576">
    <cfRule type="duplicateValues" dxfId="21" priority="13"/>
  </conditionalFormatting>
  <conditionalFormatting sqref="E645:E646">
    <cfRule type="duplicateValues" dxfId="20" priority="10"/>
  </conditionalFormatting>
  <conditionalFormatting sqref="G632:G645 C636:D644 B645:D645 I645:M645 G646:M646 C646:D650 B646:B679 B680:D689 I682:O683 Q683:AH683 X684:AH684 I684:R689 V685:AH685 X686:AH689 K690:R690 T690:AG690 B690:B698 H691:AG691 B692:D692 I692:R692 V692:AH694 F693:R693 C693:D694 F694 H694:R694 D695 I695:R695 V695:V697 X695:AH697 H696:R696 B696:D1048563 I697:R698 Z698:AH698 F699:AH1048563">
    <cfRule type="expression" dxfId="19" priority="11">
      <formula>$B632:$AH632&lt;&gt;""</formula>
    </cfRule>
  </conditionalFormatting>
  <conditionalFormatting sqref="G685:G689">
    <cfRule type="expression" dxfId="18" priority="5">
      <formula>$B685:$AH685&lt;&gt;""</formula>
    </cfRule>
  </conditionalFormatting>
  <conditionalFormatting sqref="G694:G698">
    <cfRule type="expression" dxfId="17" priority="2">
      <formula>$B694:$AH694&lt;&gt;""</formula>
    </cfRule>
  </conditionalFormatting>
  <conditionalFormatting sqref="T580:T581 V580:V581 X580:AE581 I580:K583 Q580:R584 AG580:AH588 V582:AE582 X583:AE584 T584 V584 F584:F601 I584:O601 Q585:AE585 C585:D595 X586:AE589 Q586:R601 T588:T589 V588:V589 AH589 V590:AE591 T591:T592 V592 X592:AE593 V594:AE595 T595 V596:V600 X596:AE600 T597 C597:D602 T599:T600 Z601:AE601 F602:R602 U602:AE602 D603 J603:R603 V603:AE603 F603:G610 B603:B644 X604:AE608 C604:D609 I604:R610 V605:V607 T606 V609:AE609 D610 X610:AE610 C611:D611 Z611:AE611 F611:R613 X612:AE612 D612:D613 Y613:AE613 T614 V614 X614:AE614 I614:R616 C614:D620 F614:G627 V615:AE615 Z616:AE616 I617:AE619 V620:AE620 I620:R630 D621 X621:AE623 T622:T623 V622:V623 C622:D634 V624:AE624 T625 V625 X625:AE625 Z626:AE627 T628 V628 X628:AE628 G628:G630 V629:AE629 T630:T632 V630:V633 X630:AE633 G631:R631 I632:R634 V634:AE634 T634:T638 D635 F635:R635 V635:V638 X635:AE639 I636:R644 T640 V640:AE640 Z641:AE641 X642:AE643 V644:AE644 N645:R646 L647:M647 O647:R647 V647:AE647 T647:T648 I647:K651 G647:G662 V648 X648:AE648 L648:R650 Z649:AE649 T650 V650 X650:AE650 L651:O651 C651:C655 F651:F655 Z651:AE655 AH651:AH655 Q651:R676 H652:H654 I652:O659 V656 X656:AE656 AG656:AH657 T656:T671 C656:D677 V657:AE657 V658:V662 X658:AH662 F660:O660 I661:O662 F663:O663 V663:AH663 G664:G666 I664:O666 V664:V668 X664:AH668 G667:O668 V669:AH669 I669:O670 G669:G679 V670:V671 X670:AH671 G671:O671 I672:O672 Z672:AH674 F673:F674 H673:O674 T675:T676 V675:V676 X675:AH676 I675:O679 Q677:AH677 D678 V678:V679 X678:AH679 Q678:R680 T678:T680 C679:D679 F680:O680 V680:AH680 F681:AH681 Q682:R682 T682 V682:AH682 G682:G683">
    <cfRule type="expression" dxfId="16" priority="18">
      <formula>$B580:$AH580&lt;&gt;""</formula>
    </cfRule>
  </conditionalFormatting>
  <conditionalFormatting sqref="T602 H655">
    <cfRule type="expression" dxfId="15" priority="13509">
      <formula>$B598:$AH598&lt;&gt;""</formula>
    </cfRule>
  </conditionalFormatting>
  <conditionalFormatting sqref="T684:T689 V686:V689">
    <cfRule type="expression" dxfId="14" priority="3">
      <formula>$B684:$AH684&lt;&gt;""</formula>
    </cfRule>
  </conditionalFormatting>
  <conditionalFormatting sqref="T692:T697">
    <cfRule type="expression" dxfId="13" priority="1">
      <formula>$B692:$AH692&lt;&gt;""</formula>
    </cfRule>
  </conditionalFormatting>
  <conditionalFormatting sqref="V642:V643 T642:T644">
    <cfRule type="expression" dxfId="12" priority="12">
      <formula>$B642:$AH642&lt;&gt;""</formula>
    </cfRule>
  </conditionalFormatting>
  <conditionalFormatting sqref="V684">
    <cfRule type="expression" dxfId="11" priority="6">
      <formula>$B684:$AH684&lt;&gt;""</formula>
    </cfRule>
  </conditionalFormatting>
  <conditionalFormatting sqref="AG590:AH650 Z645:AE646">
    <cfRule type="expression" dxfId="10" priority="9">
      <formula>$B590:$AH590&lt;&gt;""</formula>
    </cfRule>
  </conditionalFormatting>
  <pageMargins left="0.7" right="0.7" top="0.75" bottom="0.75" header="0.3" footer="0.3"/>
  <pageSetup scale="10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B0DD-F472-49A2-A3FB-3057BF537F60}">
  <sheetPr filterMode="1">
    <pageSetUpPr fitToPage="1"/>
  </sheetPr>
  <dimension ref="A1:AH679"/>
  <sheetViews>
    <sheetView workbookViewId="0">
      <pane ySplit="6" topLeftCell="A107" activePane="bottomLeft" state="frozen"/>
      <selection pane="bottomLeft" activeCell="I276" sqref="I276"/>
    </sheetView>
  </sheetViews>
  <sheetFormatPr defaultColWidth="9.109375" defaultRowHeight="15" customHeight="1" x14ac:dyDescent="0.3"/>
  <cols>
    <col min="1" max="1" width="7.88671875" style="376" customWidth="1"/>
    <col min="2" max="2" width="25.5546875" style="367" customWidth="1"/>
    <col min="3" max="3" width="41.88671875" style="376" customWidth="1"/>
    <col min="4" max="4" width="19.88671875" style="366" customWidth="1"/>
    <col min="5" max="5" width="37.88671875" style="367" customWidth="1"/>
    <col min="6" max="6" width="12.33203125" style="367" customWidth="1"/>
    <col min="7" max="7" width="16.44140625" style="367" customWidth="1"/>
    <col min="8" max="8" width="18.33203125" style="367" customWidth="1"/>
    <col min="9" max="9" width="16.5546875" style="384" customWidth="1"/>
    <col min="10" max="11" width="14.88671875" style="367" customWidth="1"/>
    <col min="12" max="12" width="13.5546875" style="369" customWidth="1"/>
    <col min="13" max="13" width="13" style="369" customWidth="1"/>
    <col min="14" max="14" width="14" style="660" customWidth="1"/>
    <col min="15" max="15" width="16.44140625" style="677" customWidth="1"/>
    <col min="16" max="16" width="20.88671875" style="376" customWidth="1"/>
    <col min="17" max="17" width="16.5546875" style="367" customWidth="1"/>
    <col min="18" max="18" width="22.33203125" style="367" customWidth="1"/>
    <col min="19" max="19" width="25.44140625" style="376" customWidth="1"/>
    <col min="20" max="20" width="24.109375" style="376" customWidth="1"/>
    <col min="21" max="21" width="25.5546875" style="376" customWidth="1"/>
    <col min="22" max="22" width="19.6640625" style="376" customWidth="1"/>
    <col min="23" max="23" width="26" style="376" customWidth="1"/>
    <col min="24" max="24" width="18.6640625" style="376" customWidth="1"/>
    <col min="25" max="25" width="26.109375" style="376" customWidth="1"/>
    <col min="26" max="26" width="26.6640625" style="376" customWidth="1"/>
    <col min="27" max="27" width="25.88671875" style="376" customWidth="1"/>
    <col min="28" max="28" width="10.6640625" style="376" customWidth="1"/>
    <col min="29" max="30" width="24.5546875" style="376" customWidth="1"/>
    <col min="31" max="31" width="15.44140625" style="376" customWidth="1"/>
    <col min="32" max="32" width="9.5546875" style="367" customWidth="1"/>
    <col min="33" max="33" width="9.44140625" style="367" customWidth="1"/>
    <col min="34" max="34" width="63.88671875" style="376" customWidth="1"/>
    <col min="35" max="35" width="11.5546875" style="376" bestFit="1" customWidth="1"/>
    <col min="36" max="38" width="9.109375" style="376"/>
    <col min="39" max="39" width="11.6640625" style="376" bestFit="1" customWidth="1"/>
    <col min="40" max="16384" width="9.109375" style="376"/>
  </cols>
  <sheetData>
    <row r="1" spans="1:34" ht="14.4" customHeight="1" x14ac:dyDescent="0.3">
      <c r="A1" s="837" t="s">
        <v>15</v>
      </c>
      <c r="B1" s="837"/>
      <c r="C1" s="365"/>
      <c r="D1" s="366" t="s">
        <v>16</v>
      </c>
      <c r="E1" s="702"/>
      <c r="F1" s="367" t="s">
        <v>1928</v>
      </c>
      <c r="G1" s="368"/>
      <c r="H1" s="367">
        <f>SUM(H7:H3000)</f>
        <v>1632</v>
      </c>
      <c r="J1" s="371">
        <f>I1*18%</f>
        <v>0</v>
      </c>
      <c r="K1" s="372">
        <f>J1+I1</f>
        <v>0</v>
      </c>
      <c r="L1" s="372">
        <f>I1*2%</f>
        <v>0</v>
      </c>
      <c r="M1" s="373">
        <f>I1+L1</f>
        <v>0</v>
      </c>
      <c r="N1" s="660">
        <f>K1-L1</f>
        <v>0</v>
      </c>
      <c r="O1" s="677">
        <f>I1-L1</f>
        <v>0</v>
      </c>
      <c r="R1" s="550" t="s">
        <v>1838</v>
      </c>
      <c r="S1" s="374"/>
      <c r="T1" s="375"/>
      <c r="U1" s="374"/>
      <c r="W1" s="377"/>
    </row>
    <row r="2" spans="1:34" ht="15" customHeight="1" x14ac:dyDescent="0.3">
      <c r="A2" s="653" t="s">
        <v>1930</v>
      </c>
      <c r="B2" s="376"/>
      <c r="C2" s="652"/>
      <c r="D2" s="366" t="s">
        <v>18</v>
      </c>
      <c r="G2" s="379"/>
      <c r="H2" s="367">
        <f>SUBTOTAL(9,H7:H3000)</f>
        <v>1</v>
      </c>
      <c r="J2" s="635" t="s">
        <v>20</v>
      </c>
      <c r="K2" s="636" t="s">
        <v>21</v>
      </c>
      <c r="L2" s="637" t="s">
        <v>22</v>
      </c>
      <c r="M2" s="638" t="s">
        <v>23</v>
      </c>
      <c r="N2" s="661" t="s">
        <v>24</v>
      </c>
      <c r="O2" s="678" t="s">
        <v>25</v>
      </c>
      <c r="R2" s="380">
        <v>2</v>
      </c>
      <c r="S2" s="381" t="e" cm="1">
        <f t="array" ref="S2">TEXT(EDATE($L2,{0}),"dd/mm/yyy") &amp; " to " &amp; TEXT(EDATE($L2,{6})-1,"dd/mm/yyyy")</f>
        <v>#VALUE!</v>
      </c>
      <c r="T2" s="533"/>
      <c r="U2" s="381" t="e" cm="1">
        <f t="array" ref="U2">TEXT(EDATE($L2,{6}),"dd/mm/yyy") &amp; " to " &amp; TEXT(EDATE($L2,{12})-1,"dd/mm/yyyy")</f>
        <v>#VALUE!</v>
      </c>
      <c r="V2" s="363"/>
      <c r="W2" s="363"/>
      <c r="X2" s="363"/>
      <c r="Y2" s="363"/>
    </row>
    <row r="3" spans="1:34" ht="14.4" x14ac:dyDescent="0.3">
      <c r="A3" s="376" t="s">
        <v>1840</v>
      </c>
      <c r="C3" s="555"/>
      <c r="D3" s="366" t="s">
        <v>1661</v>
      </c>
      <c r="E3" s="26"/>
      <c r="G3" s="369"/>
      <c r="H3" s="717">
        <f>H1-H2</f>
        <v>1631</v>
      </c>
      <c r="I3" s="384">
        <f>1103-1060</f>
        <v>43</v>
      </c>
      <c r="J3" s="370"/>
      <c r="K3" s="370"/>
      <c r="L3" s="372"/>
      <c r="M3" s="383"/>
      <c r="R3" s="380">
        <v>3</v>
      </c>
      <c r="S3" s="381" t="str" cm="1">
        <f t="array" ref="S3">TEXT(EDATE($L3,{0}),"dd/mm/yyy") &amp; " to " &amp; TEXT(EDATE($L3,{4})-1,"dd/mm/yyyy")</f>
        <v>00/01/1900 to 29/04/1900</v>
      </c>
      <c r="T3" s="363"/>
      <c r="U3" s="381" t="str" cm="1">
        <f t="array" ref="U3">TEXT(EDATE($L3,{4}),"dd/mm/yyy") &amp; " to " &amp; TEXT(EDATE($L3,{8})-1,"dd/mm/yyyy")</f>
        <v>30/04/1900 to 30/08/1900</v>
      </c>
      <c r="V3" s="363"/>
      <c r="W3" s="381" t="str" cm="1">
        <f t="array" ref="W3">TEXT(EDATE($L3,{8}),"dd/mm/yyy") &amp; " to " &amp; TEXT(EDATE($L3,{12})-1,"dd/mm/yyyy")</f>
        <v>31/08/1900 to 30/12/1900</v>
      </c>
      <c r="X3" s="363"/>
      <c r="Y3" s="363"/>
    </row>
    <row r="4" spans="1:34" ht="14.4" x14ac:dyDescent="0.3">
      <c r="A4" s="376" t="s">
        <v>1931</v>
      </c>
      <c r="C4" s="464"/>
      <c r="D4" s="183"/>
      <c r="E4" s="393"/>
      <c r="G4" s="369"/>
      <c r="J4" s="370"/>
      <c r="K4" s="370"/>
      <c r="L4" s="372"/>
      <c r="M4" s="383"/>
      <c r="R4" s="380">
        <v>4</v>
      </c>
      <c r="S4" s="381" t="str" cm="1">
        <f t="array" ref="S4">TEXT(EDATE($L4,{0}),"dd/mm/yyy") &amp; " to " &amp; TEXT(EDATE($L4,{3})-1,"dd/mm/yyyy")</f>
        <v>00/01/1900 to 30/03/1900</v>
      </c>
      <c r="T4" s="363"/>
      <c r="U4" s="381" t="str" cm="1">
        <f t="array" ref="U4">TEXT(EDATE($L4,{3}),"dd/mm/yyy") &amp; " to " &amp; TEXT(EDATE($L4,{6})-1,"dd/mm/yyyy")</f>
        <v>31/03/1900 to 29/06/1900</v>
      </c>
      <c r="V4" s="363"/>
      <c r="W4" s="381" t="str" cm="1">
        <f t="array" ref="W4">TEXT(EDATE($L4,{6}),"dd/mm/yyy") &amp; " to " &amp; TEXT(EDATE($L4,{9})-1,"dd/mm/yyyy")</f>
        <v>30/06/1900 to 29/09/1900</v>
      </c>
      <c r="X4" s="363"/>
      <c r="Y4" s="381" t="str" cm="1">
        <f t="array" ref="Y4">TEXT(EDATE($L4,{9}),"dd/mm/yyy") &amp; " to " &amp; TEXT(EDATE($L4,{12})-1,"dd/mm/yyyy")</f>
        <v>30/09/1900 to 30/12/1900</v>
      </c>
    </row>
    <row r="5" spans="1:34" ht="14.4" x14ac:dyDescent="0.3">
      <c r="J5" s="371"/>
      <c r="K5" s="371"/>
      <c r="L5" s="836"/>
      <c r="M5" s="836"/>
      <c r="P5" s="385"/>
    </row>
    <row r="6" spans="1:34" s="367" customFormat="1" ht="15.6" x14ac:dyDescent="0.3">
      <c r="B6" s="380" t="s">
        <v>27</v>
      </c>
      <c r="C6" s="386" t="s">
        <v>28</v>
      </c>
      <c r="D6" s="386" t="s">
        <v>29</v>
      </c>
      <c r="E6" s="380" t="s">
        <v>30</v>
      </c>
      <c r="F6" s="380" t="s">
        <v>31</v>
      </c>
      <c r="G6" s="380" t="s">
        <v>32</v>
      </c>
      <c r="H6" s="380" t="s">
        <v>33</v>
      </c>
      <c r="I6" s="533" t="s">
        <v>34</v>
      </c>
      <c r="J6" s="380" t="s">
        <v>35</v>
      </c>
      <c r="K6" s="539" t="s">
        <v>36</v>
      </c>
      <c r="L6" s="534" t="s">
        <v>37</v>
      </c>
      <c r="M6" s="534" t="s">
        <v>38</v>
      </c>
      <c r="N6" s="662" t="s">
        <v>1932</v>
      </c>
      <c r="O6" s="679" t="s">
        <v>1933</v>
      </c>
      <c r="P6" s="380" t="s">
        <v>39</v>
      </c>
      <c r="Q6" s="380" t="s">
        <v>40</v>
      </c>
      <c r="R6" s="380" t="s">
        <v>41</v>
      </c>
      <c r="S6" s="380" t="s">
        <v>42</v>
      </c>
      <c r="T6" s="380"/>
      <c r="U6" s="380" t="s">
        <v>43</v>
      </c>
      <c r="V6" s="380"/>
      <c r="W6" s="380" t="s">
        <v>44</v>
      </c>
      <c r="X6" s="380"/>
      <c r="Y6" s="380" t="s">
        <v>45</v>
      </c>
      <c r="Z6" s="380"/>
      <c r="AA6" s="380" t="s">
        <v>46</v>
      </c>
      <c r="AB6" s="380"/>
      <c r="AC6" s="380" t="s">
        <v>47</v>
      </c>
      <c r="AD6" s="380"/>
      <c r="AE6" s="380" t="s">
        <v>48</v>
      </c>
      <c r="AF6" s="380" t="s">
        <v>49</v>
      </c>
      <c r="AG6" s="380" t="s">
        <v>50</v>
      </c>
      <c r="AH6" s="380" t="s">
        <v>51</v>
      </c>
    </row>
    <row r="7" spans="1:34" ht="14.4" hidden="1" x14ac:dyDescent="0.3">
      <c r="B7" s="380" t="s">
        <v>14</v>
      </c>
      <c r="C7" s="363" t="s">
        <v>52</v>
      </c>
      <c r="D7" s="386" t="s">
        <v>53</v>
      </c>
      <c r="E7" s="380" t="s">
        <v>54</v>
      </c>
      <c r="F7" s="387">
        <v>44996</v>
      </c>
      <c r="G7" s="380" t="s">
        <v>55</v>
      </c>
      <c r="H7" s="380"/>
      <c r="I7" s="388">
        <v>91500</v>
      </c>
      <c r="J7" s="380">
        <v>3</v>
      </c>
      <c r="K7" s="389">
        <f t="shared" ref="K7:K70" si="0">I7/J7</f>
        <v>30500</v>
      </c>
      <c r="L7" s="381">
        <v>44998</v>
      </c>
      <c r="M7" s="381">
        <v>45363</v>
      </c>
      <c r="N7" s="663"/>
      <c r="O7" s="680"/>
      <c r="P7" s="381"/>
      <c r="Q7" s="387"/>
      <c r="R7" s="381"/>
      <c r="S7" s="390" t="s">
        <v>56</v>
      </c>
      <c r="T7" s="363" t="s">
        <v>57</v>
      </c>
      <c r="U7" s="390" t="s">
        <v>58</v>
      </c>
      <c r="V7" s="363" t="s">
        <v>59</v>
      </c>
      <c r="W7" s="390" t="s">
        <v>60</v>
      </c>
      <c r="X7" s="363" t="s">
        <v>61</v>
      </c>
      <c r="Y7" s="363"/>
      <c r="Z7" s="363"/>
      <c r="AA7" s="363"/>
      <c r="AB7" s="363"/>
      <c r="AC7" s="363"/>
      <c r="AD7" s="363"/>
      <c r="AE7" s="363" t="s">
        <v>62</v>
      </c>
      <c r="AF7" s="380" t="s">
        <v>63</v>
      </c>
      <c r="AG7" s="380">
        <v>4</v>
      </c>
      <c r="AH7" s="363"/>
    </row>
    <row r="8" spans="1:34" ht="14.4" hidden="1" x14ac:dyDescent="0.3">
      <c r="B8" s="380" t="s">
        <v>14</v>
      </c>
      <c r="C8" s="363" t="s">
        <v>52</v>
      </c>
      <c r="D8" s="386" t="s">
        <v>53</v>
      </c>
      <c r="E8" s="380" t="s">
        <v>54</v>
      </c>
      <c r="F8" s="387">
        <v>44996</v>
      </c>
      <c r="G8" s="380" t="s">
        <v>55</v>
      </c>
      <c r="H8" s="380"/>
      <c r="I8" s="388">
        <v>91500</v>
      </c>
      <c r="J8" s="380">
        <v>3</v>
      </c>
      <c r="K8" s="389">
        <f t="shared" si="0"/>
        <v>30500</v>
      </c>
      <c r="L8" s="381">
        <v>45364</v>
      </c>
      <c r="M8" s="381">
        <v>45728</v>
      </c>
      <c r="N8" s="663"/>
      <c r="O8" s="680"/>
      <c r="P8" s="363"/>
      <c r="Q8" s="380"/>
      <c r="R8" s="363"/>
      <c r="S8" s="390" t="s">
        <v>64</v>
      </c>
      <c r="T8" s="363" t="s">
        <v>65</v>
      </c>
      <c r="U8" s="390" t="s">
        <v>66</v>
      </c>
      <c r="V8" s="363" t="s">
        <v>67</v>
      </c>
      <c r="W8" s="390" t="s">
        <v>68</v>
      </c>
      <c r="X8" s="363" t="s">
        <v>69</v>
      </c>
      <c r="Y8" s="363"/>
      <c r="Z8" s="363"/>
      <c r="AA8" s="363"/>
      <c r="AB8" s="363"/>
      <c r="AC8" s="363"/>
      <c r="AD8" s="363"/>
      <c r="AE8" s="363" t="s">
        <v>62</v>
      </c>
      <c r="AF8" s="380" t="s">
        <v>63</v>
      </c>
      <c r="AG8" s="380">
        <v>4</v>
      </c>
      <c r="AH8" s="363"/>
    </row>
    <row r="9" spans="1:34" ht="14.4" hidden="1" x14ac:dyDescent="0.3">
      <c r="B9" s="380" t="s">
        <v>14</v>
      </c>
      <c r="C9" s="547" t="s">
        <v>52</v>
      </c>
      <c r="D9" s="386" t="s">
        <v>53</v>
      </c>
      <c r="E9" s="380" t="s">
        <v>54</v>
      </c>
      <c r="F9" s="387">
        <v>44996</v>
      </c>
      <c r="G9" s="380" t="s">
        <v>55</v>
      </c>
      <c r="H9" s="380">
        <v>1</v>
      </c>
      <c r="I9" s="388">
        <v>99000</v>
      </c>
      <c r="J9" s="380">
        <v>3</v>
      </c>
      <c r="K9" s="389">
        <f t="shared" si="0"/>
        <v>33000</v>
      </c>
      <c r="L9" s="381">
        <v>45729</v>
      </c>
      <c r="M9" s="381">
        <v>46093</v>
      </c>
      <c r="N9" s="663"/>
      <c r="O9" s="680"/>
      <c r="P9" s="363" t="s">
        <v>19</v>
      </c>
      <c r="Q9" s="380" t="s">
        <v>3</v>
      </c>
      <c r="R9" s="363"/>
      <c r="S9" s="390" t="s">
        <v>70</v>
      </c>
      <c r="T9" s="363" t="s">
        <v>71</v>
      </c>
      <c r="U9" s="390" t="s">
        <v>72</v>
      </c>
      <c r="V9" s="363" t="s">
        <v>73</v>
      </c>
      <c r="W9" s="390" t="s">
        <v>74</v>
      </c>
      <c r="X9" s="363" t="s">
        <v>75</v>
      </c>
      <c r="Y9" s="363"/>
      <c r="Z9" s="363"/>
      <c r="AA9" s="363"/>
      <c r="AB9" s="363"/>
      <c r="AC9" s="363"/>
      <c r="AD9" s="363"/>
      <c r="AE9" s="363" t="s">
        <v>62</v>
      </c>
      <c r="AF9" s="380" t="s">
        <v>63</v>
      </c>
      <c r="AG9" s="380">
        <v>4</v>
      </c>
      <c r="AH9" s="363"/>
    </row>
    <row r="10" spans="1:34" ht="14.4" hidden="1" x14ac:dyDescent="0.3">
      <c r="B10" s="380" t="s">
        <v>14</v>
      </c>
      <c r="C10" s="363" t="s">
        <v>76</v>
      </c>
      <c r="D10" s="386" t="s">
        <v>77</v>
      </c>
      <c r="E10" s="380">
        <v>6700004761</v>
      </c>
      <c r="F10" s="387">
        <v>45678</v>
      </c>
      <c r="G10" s="380" t="s">
        <v>55</v>
      </c>
      <c r="H10" s="380">
        <v>1</v>
      </c>
      <c r="I10" s="388">
        <v>77001</v>
      </c>
      <c r="J10" s="380">
        <v>3</v>
      </c>
      <c r="K10" s="389">
        <f t="shared" si="0"/>
        <v>25667</v>
      </c>
      <c r="L10" s="381">
        <v>45689</v>
      </c>
      <c r="M10" s="381">
        <v>46053</v>
      </c>
      <c r="N10" s="663"/>
      <c r="O10" s="680"/>
      <c r="P10" s="363" t="s">
        <v>19</v>
      </c>
      <c r="Q10" s="380" t="s">
        <v>0</v>
      </c>
      <c r="R10" s="363"/>
      <c r="S10" s="390" t="s">
        <v>79</v>
      </c>
      <c r="T10" s="363" t="s">
        <v>80</v>
      </c>
      <c r="U10" s="390" t="s">
        <v>81</v>
      </c>
      <c r="V10" s="363" t="s">
        <v>82</v>
      </c>
      <c r="W10" s="390" t="s">
        <v>83</v>
      </c>
      <c r="X10" s="363" t="s">
        <v>84</v>
      </c>
      <c r="Y10" s="363"/>
      <c r="Z10" s="363"/>
      <c r="AA10" s="363"/>
      <c r="AB10" s="363"/>
      <c r="AC10" s="363"/>
      <c r="AD10" s="363"/>
      <c r="AE10" s="363" t="s">
        <v>62</v>
      </c>
      <c r="AF10" s="380" t="s">
        <v>63</v>
      </c>
      <c r="AG10" s="380">
        <v>3</v>
      </c>
      <c r="AH10" s="363"/>
    </row>
    <row r="11" spans="1:34" ht="14.4" hidden="1" x14ac:dyDescent="0.3">
      <c r="B11" s="380" t="s">
        <v>14</v>
      </c>
      <c r="C11" s="363" t="s">
        <v>85</v>
      </c>
      <c r="D11" s="386" t="s">
        <v>86</v>
      </c>
      <c r="E11" s="380" t="s">
        <v>87</v>
      </c>
      <c r="F11" s="387">
        <v>45045</v>
      </c>
      <c r="G11" s="380" t="s">
        <v>55</v>
      </c>
      <c r="H11" s="380"/>
      <c r="I11" s="388">
        <v>58000</v>
      </c>
      <c r="J11" s="380">
        <v>4</v>
      </c>
      <c r="K11" s="389">
        <f t="shared" si="0"/>
        <v>14500</v>
      </c>
      <c r="L11" s="381">
        <v>45065</v>
      </c>
      <c r="M11" s="381">
        <v>45430</v>
      </c>
      <c r="N11" s="663"/>
      <c r="O11" s="680"/>
      <c r="P11" s="363"/>
      <c r="Q11" s="380"/>
      <c r="R11" s="363"/>
      <c r="S11" s="390" t="s">
        <v>88</v>
      </c>
      <c r="T11" s="363" t="s">
        <v>89</v>
      </c>
      <c r="U11" s="390" t="s">
        <v>90</v>
      </c>
      <c r="V11" s="363" t="s">
        <v>91</v>
      </c>
      <c r="W11" s="390" t="s">
        <v>92</v>
      </c>
      <c r="X11" s="363" t="s">
        <v>93</v>
      </c>
      <c r="Y11" s="390" t="s">
        <v>94</v>
      </c>
      <c r="Z11" s="363" t="s">
        <v>95</v>
      </c>
      <c r="AA11" s="363"/>
      <c r="AB11" s="363"/>
      <c r="AC11" s="363"/>
      <c r="AD11" s="363"/>
      <c r="AE11" s="363" t="s">
        <v>96</v>
      </c>
      <c r="AF11" s="380" t="s">
        <v>97</v>
      </c>
      <c r="AG11" s="380" t="s">
        <v>98</v>
      </c>
      <c r="AH11" s="363"/>
    </row>
    <row r="12" spans="1:34" ht="14.4" hidden="1" x14ac:dyDescent="0.3">
      <c r="B12" s="380" t="s">
        <v>14</v>
      </c>
      <c r="C12" s="363" t="s">
        <v>85</v>
      </c>
      <c r="D12" s="386" t="s">
        <v>86</v>
      </c>
      <c r="E12" s="380" t="s">
        <v>87</v>
      </c>
      <c r="F12" s="387">
        <v>45045</v>
      </c>
      <c r="G12" s="380" t="s">
        <v>55</v>
      </c>
      <c r="H12" s="380"/>
      <c r="I12" s="388">
        <v>58000</v>
      </c>
      <c r="J12" s="380">
        <v>4</v>
      </c>
      <c r="K12" s="389">
        <f t="shared" si="0"/>
        <v>14500</v>
      </c>
      <c r="L12" s="381">
        <v>45431</v>
      </c>
      <c r="M12" s="381">
        <v>45795</v>
      </c>
      <c r="N12" s="663"/>
      <c r="O12" s="680"/>
      <c r="P12" s="363"/>
      <c r="Q12" s="380"/>
      <c r="R12" s="363"/>
      <c r="S12" s="390" t="s">
        <v>99</v>
      </c>
      <c r="T12" s="363" t="s">
        <v>100</v>
      </c>
      <c r="U12" s="390" t="s">
        <v>101</v>
      </c>
      <c r="V12" s="363" t="s">
        <v>102</v>
      </c>
      <c r="W12" s="390" t="s">
        <v>103</v>
      </c>
      <c r="X12" s="363" t="s">
        <v>104</v>
      </c>
      <c r="Y12" s="390" t="s">
        <v>105</v>
      </c>
      <c r="Z12" s="363" t="s">
        <v>106</v>
      </c>
      <c r="AA12" s="363"/>
      <c r="AB12" s="363"/>
      <c r="AC12" s="363"/>
      <c r="AD12" s="363"/>
      <c r="AE12" s="363" t="s">
        <v>96</v>
      </c>
      <c r="AF12" s="380" t="s">
        <v>97</v>
      </c>
      <c r="AG12" s="380" t="s">
        <v>98</v>
      </c>
      <c r="AH12" s="363"/>
    </row>
    <row r="13" spans="1:34" ht="14.4" hidden="1" x14ac:dyDescent="0.3">
      <c r="B13" s="380" t="s">
        <v>14</v>
      </c>
      <c r="C13" s="363" t="s">
        <v>85</v>
      </c>
      <c r="D13" s="386" t="s">
        <v>86</v>
      </c>
      <c r="E13" s="380" t="s">
        <v>87</v>
      </c>
      <c r="F13" s="387">
        <v>45045</v>
      </c>
      <c r="G13" s="380" t="s">
        <v>55</v>
      </c>
      <c r="H13" s="380">
        <v>1</v>
      </c>
      <c r="I13" s="388">
        <v>58000</v>
      </c>
      <c r="J13" s="380">
        <v>4</v>
      </c>
      <c r="K13" s="391">
        <f t="shared" si="0"/>
        <v>14500</v>
      </c>
      <c r="L13" s="381">
        <v>45796</v>
      </c>
      <c r="M13" s="381">
        <v>46160</v>
      </c>
      <c r="N13" s="663"/>
      <c r="O13" s="680"/>
      <c r="P13" s="363" t="s">
        <v>19</v>
      </c>
      <c r="Q13" s="380" t="s">
        <v>6</v>
      </c>
      <c r="R13" s="363"/>
      <c r="S13" s="390" t="s">
        <v>107</v>
      </c>
      <c r="T13" s="363" t="s">
        <v>108</v>
      </c>
      <c r="U13" s="390" t="s">
        <v>109</v>
      </c>
      <c r="V13" s="363" t="s">
        <v>110</v>
      </c>
      <c r="W13" s="390" t="s">
        <v>111</v>
      </c>
      <c r="X13" s="363" t="s">
        <v>112</v>
      </c>
      <c r="Y13" s="390" t="s">
        <v>113</v>
      </c>
      <c r="Z13" s="363" t="s">
        <v>114</v>
      </c>
      <c r="AA13" s="363"/>
      <c r="AB13" s="363"/>
      <c r="AC13" s="363"/>
      <c r="AD13" s="363"/>
      <c r="AE13" s="363" t="s">
        <v>96</v>
      </c>
      <c r="AF13" s="380" t="s">
        <v>97</v>
      </c>
      <c r="AG13" s="380" t="s">
        <v>98</v>
      </c>
      <c r="AH13" s="363"/>
    </row>
    <row r="14" spans="1:34" ht="14.4" hidden="1" x14ac:dyDescent="0.3">
      <c r="B14" s="380" t="s">
        <v>14</v>
      </c>
      <c r="C14" s="363" t="s">
        <v>52</v>
      </c>
      <c r="D14" s="386" t="s">
        <v>115</v>
      </c>
      <c r="E14" s="380" t="s">
        <v>116</v>
      </c>
      <c r="F14" s="387">
        <v>45006</v>
      </c>
      <c r="G14" s="380" t="s">
        <v>55</v>
      </c>
      <c r="H14" s="380">
        <v>3</v>
      </c>
      <c r="I14" s="388">
        <v>1313415</v>
      </c>
      <c r="J14" s="380">
        <v>6</v>
      </c>
      <c r="K14" s="391">
        <f t="shared" si="0"/>
        <v>218902.5</v>
      </c>
      <c r="L14" s="381">
        <v>45078</v>
      </c>
      <c r="M14" s="381">
        <v>46173</v>
      </c>
      <c r="N14" s="663"/>
      <c r="O14" s="680"/>
      <c r="P14" s="363" t="s">
        <v>19</v>
      </c>
      <c r="Q14" s="380" t="s">
        <v>6</v>
      </c>
      <c r="R14" s="363"/>
      <c r="S14" s="390" t="s">
        <v>117</v>
      </c>
      <c r="T14" s="363" t="s">
        <v>118</v>
      </c>
      <c r="U14" s="390" t="s">
        <v>119</v>
      </c>
      <c r="V14" s="363" t="s">
        <v>120</v>
      </c>
      <c r="W14" s="390" t="s">
        <v>121</v>
      </c>
      <c r="X14" s="363" t="s">
        <v>122</v>
      </c>
      <c r="Y14" s="390" t="s">
        <v>123</v>
      </c>
      <c r="Z14" s="363" t="s">
        <v>124</v>
      </c>
      <c r="AA14" s="390" t="s">
        <v>125</v>
      </c>
      <c r="AB14" s="363" t="s">
        <v>126</v>
      </c>
      <c r="AC14" s="390" t="s">
        <v>127</v>
      </c>
      <c r="AD14" s="363" t="s">
        <v>1710</v>
      </c>
      <c r="AE14" s="363" t="s">
        <v>128</v>
      </c>
      <c r="AF14" s="380" t="s">
        <v>129</v>
      </c>
      <c r="AG14" s="380" t="s">
        <v>98</v>
      </c>
      <c r="AH14" s="363"/>
    </row>
    <row r="15" spans="1:34" ht="14.4" hidden="1" x14ac:dyDescent="0.3">
      <c r="B15" s="380" t="s">
        <v>14</v>
      </c>
      <c r="C15" s="363" t="s">
        <v>130</v>
      </c>
      <c r="D15" s="386" t="s">
        <v>131</v>
      </c>
      <c r="E15" s="380">
        <v>6800037118</v>
      </c>
      <c r="F15" s="387">
        <v>45096</v>
      </c>
      <c r="G15" s="380" t="s">
        <v>55</v>
      </c>
      <c r="H15" s="380"/>
      <c r="I15" s="388">
        <f>258000/3</f>
        <v>86000</v>
      </c>
      <c r="J15" s="380">
        <v>3</v>
      </c>
      <c r="K15" s="389">
        <f t="shared" si="0"/>
        <v>28666.666666666668</v>
      </c>
      <c r="L15" s="381">
        <v>45096</v>
      </c>
      <c r="M15" s="381">
        <v>45461</v>
      </c>
      <c r="N15" s="663"/>
      <c r="O15" s="680"/>
      <c r="P15" s="363"/>
      <c r="Q15" s="380"/>
      <c r="R15" s="363"/>
      <c r="S15" s="390" t="s">
        <v>132</v>
      </c>
      <c r="T15" s="363" t="s">
        <v>133</v>
      </c>
      <c r="U15" s="390" t="s">
        <v>134</v>
      </c>
      <c r="V15" s="363" t="s">
        <v>135</v>
      </c>
      <c r="W15" s="390" t="s">
        <v>136</v>
      </c>
      <c r="X15" s="363" t="s">
        <v>61</v>
      </c>
      <c r="Y15" s="363"/>
      <c r="Z15" s="363"/>
      <c r="AA15" s="363"/>
      <c r="AB15" s="363"/>
      <c r="AC15" s="363"/>
      <c r="AD15" s="363"/>
      <c r="AE15" s="363" t="s">
        <v>137</v>
      </c>
      <c r="AF15" s="380" t="s">
        <v>63</v>
      </c>
      <c r="AG15" s="380">
        <v>2</v>
      </c>
      <c r="AH15" s="363"/>
    </row>
    <row r="16" spans="1:34" ht="14.4" hidden="1" x14ac:dyDescent="0.3">
      <c r="B16" s="380" t="s">
        <v>14</v>
      </c>
      <c r="C16" s="363" t="s">
        <v>130</v>
      </c>
      <c r="D16" s="386" t="s">
        <v>131</v>
      </c>
      <c r="E16" s="380">
        <v>6800037118</v>
      </c>
      <c r="F16" s="387">
        <v>45096</v>
      </c>
      <c r="G16" s="380" t="s">
        <v>55</v>
      </c>
      <c r="H16" s="380"/>
      <c r="I16" s="388">
        <f>258000/3</f>
        <v>86000</v>
      </c>
      <c r="J16" s="380">
        <v>3</v>
      </c>
      <c r="K16" s="389">
        <f t="shared" si="0"/>
        <v>28666.666666666668</v>
      </c>
      <c r="L16" s="381">
        <v>45462</v>
      </c>
      <c r="M16" s="381">
        <v>45826</v>
      </c>
      <c r="N16" s="663"/>
      <c r="O16" s="680"/>
      <c r="P16" s="363"/>
      <c r="Q16" s="380"/>
      <c r="R16" s="363"/>
      <c r="S16" s="390" t="s">
        <v>138</v>
      </c>
      <c r="T16" s="363" t="s">
        <v>139</v>
      </c>
      <c r="U16" s="390" t="s">
        <v>140</v>
      </c>
      <c r="V16" s="363" t="s">
        <v>141</v>
      </c>
      <c r="W16" s="390" t="s">
        <v>142</v>
      </c>
      <c r="X16" s="363" t="s">
        <v>143</v>
      </c>
      <c r="Y16" s="363"/>
      <c r="Z16" s="363"/>
      <c r="AA16" s="363"/>
      <c r="AB16" s="363"/>
      <c r="AC16" s="363"/>
      <c r="AD16" s="363"/>
      <c r="AE16" s="363" t="s">
        <v>137</v>
      </c>
      <c r="AF16" s="380" t="s">
        <v>63</v>
      </c>
      <c r="AG16" s="380">
        <v>2</v>
      </c>
      <c r="AH16" s="363"/>
    </row>
    <row r="17" spans="2:34" ht="14.4" hidden="1" x14ac:dyDescent="0.3">
      <c r="B17" s="380" t="s">
        <v>14</v>
      </c>
      <c r="C17" s="363" t="s">
        <v>130</v>
      </c>
      <c r="D17" s="386" t="s">
        <v>131</v>
      </c>
      <c r="E17" s="380">
        <v>6800037118</v>
      </c>
      <c r="F17" s="387">
        <v>45096</v>
      </c>
      <c r="G17" s="380" t="s">
        <v>55</v>
      </c>
      <c r="H17" s="380">
        <v>1</v>
      </c>
      <c r="I17" s="388">
        <f>258000/3</f>
        <v>86000</v>
      </c>
      <c r="J17" s="380">
        <v>3</v>
      </c>
      <c r="K17" s="389">
        <f t="shared" si="0"/>
        <v>28666.666666666668</v>
      </c>
      <c r="L17" s="381">
        <v>45827</v>
      </c>
      <c r="M17" s="381">
        <v>46191</v>
      </c>
      <c r="N17" s="663"/>
      <c r="O17" s="680"/>
      <c r="P17" s="363" t="s">
        <v>19</v>
      </c>
      <c r="Q17" s="380" t="s">
        <v>9</v>
      </c>
      <c r="R17" s="363"/>
      <c r="S17" s="390" t="s">
        <v>144</v>
      </c>
      <c r="T17" s="363" t="s">
        <v>145</v>
      </c>
      <c r="U17" s="390" t="s">
        <v>146</v>
      </c>
      <c r="V17" s="363" t="s">
        <v>147</v>
      </c>
      <c r="W17" s="390" t="s">
        <v>148</v>
      </c>
      <c r="X17" s="363" t="s">
        <v>149</v>
      </c>
      <c r="Y17" s="363"/>
      <c r="Z17" s="363"/>
      <c r="AA17" s="363"/>
      <c r="AB17" s="363"/>
      <c r="AC17" s="363"/>
      <c r="AD17" s="363"/>
      <c r="AE17" s="363" t="s">
        <v>137</v>
      </c>
      <c r="AF17" s="380" t="s">
        <v>63</v>
      </c>
      <c r="AG17" s="380">
        <v>2</v>
      </c>
      <c r="AH17" s="363"/>
    </row>
    <row r="18" spans="2:34" ht="14.4" hidden="1" x14ac:dyDescent="0.3">
      <c r="B18" s="380" t="s">
        <v>14</v>
      </c>
      <c r="C18" s="392" t="s">
        <v>150</v>
      </c>
      <c r="D18" s="386" t="s">
        <v>151</v>
      </c>
      <c r="E18" s="380">
        <v>4200258422</v>
      </c>
      <c r="F18" s="387">
        <v>45126</v>
      </c>
      <c r="G18" s="380" t="s">
        <v>55</v>
      </c>
      <c r="H18" s="380"/>
      <c r="I18" s="388">
        <v>91728</v>
      </c>
      <c r="J18" s="380">
        <v>4</v>
      </c>
      <c r="K18" s="389">
        <f t="shared" si="0"/>
        <v>22932</v>
      </c>
      <c r="L18" s="381">
        <v>45108</v>
      </c>
      <c r="M18" s="381">
        <v>45473</v>
      </c>
      <c r="N18" s="663"/>
      <c r="O18" s="680"/>
      <c r="P18" s="363"/>
      <c r="Q18" s="380"/>
      <c r="R18" s="363"/>
      <c r="S18" s="390" t="s">
        <v>152</v>
      </c>
      <c r="T18" s="363" t="s">
        <v>153</v>
      </c>
      <c r="U18" s="390" t="s">
        <v>154</v>
      </c>
      <c r="V18" s="363" t="s">
        <v>155</v>
      </c>
      <c r="W18" s="390" t="s">
        <v>156</v>
      </c>
      <c r="X18" s="363" t="s">
        <v>157</v>
      </c>
      <c r="Y18" s="390" t="s">
        <v>158</v>
      </c>
      <c r="Z18" s="363" t="s">
        <v>159</v>
      </c>
      <c r="AA18" s="363"/>
      <c r="AB18" s="363"/>
      <c r="AC18" s="363"/>
      <c r="AD18" s="363"/>
      <c r="AE18" s="363" t="s">
        <v>62</v>
      </c>
      <c r="AF18" s="380" t="s">
        <v>63</v>
      </c>
      <c r="AG18" s="380">
        <v>4</v>
      </c>
      <c r="AH18" s="363"/>
    </row>
    <row r="19" spans="2:34" ht="14.4" hidden="1" x14ac:dyDescent="0.3">
      <c r="B19" s="380" t="s">
        <v>14</v>
      </c>
      <c r="C19" s="392" t="s">
        <v>150</v>
      </c>
      <c r="D19" s="386" t="s">
        <v>151</v>
      </c>
      <c r="E19" s="380">
        <v>4200258422</v>
      </c>
      <c r="F19" s="387">
        <v>45126</v>
      </c>
      <c r="G19" s="380" t="s">
        <v>55</v>
      </c>
      <c r="H19" s="380"/>
      <c r="I19" s="388">
        <v>96313</v>
      </c>
      <c r="J19" s="380">
        <v>4</v>
      </c>
      <c r="K19" s="389">
        <f t="shared" si="0"/>
        <v>24078.25</v>
      </c>
      <c r="L19" s="381">
        <v>45474</v>
      </c>
      <c r="M19" s="381">
        <v>45838</v>
      </c>
      <c r="N19" s="663"/>
      <c r="O19" s="680"/>
      <c r="P19" s="363"/>
      <c r="Q19" s="380"/>
      <c r="R19" s="363"/>
      <c r="S19" s="390" t="s">
        <v>160</v>
      </c>
      <c r="T19" s="363" t="s">
        <v>161</v>
      </c>
      <c r="U19" s="390" t="s">
        <v>162</v>
      </c>
      <c r="V19" s="363" t="s">
        <v>163</v>
      </c>
      <c r="W19" s="390" t="s">
        <v>164</v>
      </c>
      <c r="X19" s="363" t="s">
        <v>165</v>
      </c>
      <c r="Y19" s="390" t="s">
        <v>166</v>
      </c>
      <c r="Z19" s="363" t="s">
        <v>167</v>
      </c>
      <c r="AA19" s="363"/>
      <c r="AB19" s="363"/>
      <c r="AC19" s="363"/>
      <c r="AD19" s="363"/>
      <c r="AE19" s="363" t="s">
        <v>62</v>
      </c>
      <c r="AF19" s="380" t="s">
        <v>63</v>
      </c>
      <c r="AG19" s="380">
        <v>4</v>
      </c>
      <c r="AH19" s="363"/>
    </row>
    <row r="20" spans="2:34" ht="14.4" hidden="1" x14ac:dyDescent="0.3">
      <c r="B20" s="380" t="s">
        <v>14</v>
      </c>
      <c r="C20" s="392" t="s">
        <v>150</v>
      </c>
      <c r="D20" s="386" t="s">
        <v>151</v>
      </c>
      <c r="E20" s="380">
        <v>4200258422</v>
      </c>
      <c r="F20" s="387">
        <v>45126</v>
      </c>
      <c r="G20" s="380" t="s">
        <v>55</v>
      </c>
      <c r="H20" s="380">
        <v>1</v>
      </c>
      <c r="I20" s="388">
        <v>96313</v>
      </c>
      <c r="J20" s="380">
        <v>4</v>
      </c>
      <c r="K20" s="389">
        <f t="shared" si="0"/>
        <v>24078.25</v>
      </c>
      <c r="L20" s="381">
        <v>45839</v>
      </c>
      <c r="M20" s="381">
        <v>46203</v>
      </c>
      <c r="N20" s="663"/>
      <c r="O20" s="680"/>
      <c r="P20" s="363" t="s">
        <v>19</v>
      </c>
      <c r="Q20" s="380" t="s">
        <v>9</v>
      </c>
      <c r="R20" s="363"/>
      <c r="S20" s="390" t="s">
        <v>168</v>
      </c>
      <c r="T20" s="363" t="s">
        <v>169</v>
      </c>
      <c r="U20" s="390" t="s">
        <v>170</v>
      </c>
      <c r="V20" s="363" t="s">
        <v>171</v>
      </c>
      <c r="W20" s="390" t="s">
        <v>172</v>
      </c>
      <c r="X20" s="363" t="s">
        <v>173</v>
      </c>
      <c r="Y20" s="390" t="s">
        <v>174</v>
      </c>
      <c r="Z20" s="363" t="s">
        <v>1843</v>
      </c>
      <c r="AA20" s="363"/>
      <c r="AB20" s="363"/>
      <c r="AC20" s="363"/>
      <c r="AD20" s="363"/>
      <c r="AE20" s="363" t="s">
        <v>62</v>
      </c>
      <c r="AF20" s="380" t="s">
        <v>63</v>
      </c>
      <c r="AG20" s="380">
        <v>4</v>
      </c>
      <c r="AH20" s="363"/>
    </row>
    <row r="21" spans="2:34" ht="14.4" hidden="1" x14ac:dyDescent="0.3">
      <c r="B21" s="380" t="s">
        <v>14</v>
      </c>
      <c r="C21" s="363" t="s">
        <v>175</v>
      </c>
      <c r="D21" s="386" t="s">
        <v>176</v>
      </c>
      <c r="E21" s="393" t="s">
        <v>177</v>
      </c>
      <c r="F21" s="387">
        <v>45184</v>
      </c>
      <c r="G21" s="380" t="s">
        <v>55</v>
      </c>
      <c r="H21" s="380"/>
      <c r="I21" s="388">
        <v>88500</v>
      </c>
      <c r="J21" s="380">
        <v>3</v>
      </c>
      <c r="K21" s="389">
        <f t="shared" si="0"/>
        <v>29500</v>
      </c>
      <c r="L21" s="381">
        <v>45108</v>
      </c>
      <c r="M21" s="381">
        <v>45473</v>
      </c>
      <c r="N21" s="663"/>
      <c r="O21" s="680"/>
      <c r="P21" s="363"/>
      <c r="Q21" s="380"/>
      <c r="R21" s="363"/>
      <c r="S21" s="390" t="s">
        <v>178</v>
      </c>
      <c r="T21" s="363"/>
      <c r="U21" s="390" t="s">
        <v>179</v>
      </c>
      <c r="V21" s="363" t="s">
        <v>180</v>
      </c>
      <c r="W21" s="390" t="s">
        <v>181</v>
      </c>
      <c r="X21" s="363" t="s">
        <v>182</v>
      </c>
      <c r="Y21" s="363"/>
      <c r="Z21" s="363"/>
      <c r="AA21" s="363"/>
      <c r="AB21" s="363"/>
      <c r="AC21" s="363"/>
      <c r="AD21" s="363"/>
      <c r="AE21" s="363" t="s">
        <v>183</v>
      </c>
      <c r="AF21" s="380" t="s">
        <v>97</v>
      </c>
      <c r="AG21" s="380"/>
      <c r="AH21" s="363"/>
    </row>
    <row r="22" spans="2:34" ht="14.4" hidden="1" x14ac:dyDescent="0.3">
      <c r="B22" s="380" t="s">
        <v>14</v>
      </c>
      <c r="C22" s="363" t="s">
        <v>175</v>
      </c>
      <c r="D22" s="386" t="s">
        <v>176</v>
      </c>
      <c r="E22" s="393" t="s">
        <v>177</v>
      </c>
      <c r="F22" s="387">
        <v>45184</v>
      </c>
      <c r="G22" s="380" t="s">
        <v>55</v>
      </c>
      <c r="H22" s="380"/>
      <c r="I22" s="388">
        <v>88500</v>
      </c>
      <c r="J22" s="380">
        <v>3</v>
      </c>
      <c r="K22" s="389">
        <f t="shared" si="0"/>
        <v>29500</v>
      </c>
      <c r="L22" s="381">
        <v>45474</v>
      </c>
      <c r="M22" s="381">
        <v>45838</v>
      </c>
      <c r="N22" s="663"/>
      <c r="O22" s="680"/>
      <c r="P22" s="363"/>
      <c r="Q22" s="380"/>
      <c r="R22" s="363"/>
      <c r="S22" s="390" t="s">
        <v>184</v>
      </c>
      <c r="T22" s="363" t="s">
        <v>185</v>
      </c>
      <c r="U22" s="390" t="s">
        <v>186</v>
      </c>
      <c r="V22" s="363" t="s">
        <v>187</v>
      </c>
      <c r="W22" s="390" t="s">
        <v>188</v>
      </c>
      <c r="X22" s="363" t="s">
        <v>189</v>
      </c>
      <c r="Y22" s="363"/>
      <c r="Z22" s="363"/>
      <c r="AA22" s="363"/>
      <c r="AB22" s="363"/>
      <c r="AC22" s="363"/>
      <c r="AD22" s="363"/>
      <c r="AE22" s="363" t="s">
        <v>183</v>
      </c>
      <c r="AF22" s="380" t="s">
        <v>97</v>
      </c>
      <c r="AG22" s="380"/>
      <c r="AH22" s="363"/>
    </row>
    <row r="23" spans="2:34" ht="14.4" hidden="1" x14ac:dyDescent="0.3">
      <c r="B23" s="380" t="s">
        <v>14</v>
      </c>
      <c r="C23" s="363" t="s">
        <v>175</v>
      </c>
      <c r="D23" s="386" t="s">
        <v>176</v>
      </c>
      <c r="E23" s="393" t="s">
        <v>177</v>
      </c>
      <c r="F23" s="387">
        <v>45184</v>
      </c>
      <c r="G23" s="380" t="s">
        <v>55</v>
      </c>
      <c r="H23" s="380">
        <v>1</v>
      </c>
      <c r="I23" s="388">
        <v>88500</v>
      </c>
      <c r="J23" s="380">
        <v>3</v>
      </c>
      <c r="K23" s="389">
        <f t="shared" si="0"/>
        <v>29500</v>
      </c>
      <c r="L23" s="381">
        <v>45839</v>
      </c>
      <c r="M23" s="381">
        <v>46203</v>
      </c>
      <c r="N23" s="663"/>
      <c r="O23" s="680"/>
      <c r="P23" s="363" t="s">
        <v>19</v>
      </c>
      <c r="Q23" s="380" t="s">
        <v>9</v>
      </c>
      <c r="R23" s="363"/>
      <c r="S23" s="390" t="s">
        <v>190</v>
      </c>
      <c r="T23" s="363" t="s">
        <v>191</v>
      </c>
      <c r="U23" s="390" t="s">
        <v>192</v>
      </c>
      <c r="V23" s="363" t="s">
        <v>193</v>
      </c>
      <c r="W23" s="390" t="s">
        <v>194</v>
      </c>
      <c r="X23" s="363" t="s">
        <v>1844</v>
      </c>
      <c r="Y23" s="363"/>
      <c r="Z23" s="363"/>
      <c r="AA23" s="363"/>
      <c r="AB23" s="363"/>
      <c r="AC23" s="363"/>
      <c r="AD23" s="363"/>
      <c r="AE23" s="363" t="s">
        <v>183</v>
      </c>
      <c r="AF23" s="380" t="s">
        <v>97</v>
      </c>
      <c r="AG23" s="380"/>
      <c r="AH23" s="363"/>
    </row>
    <row r="24" spans="2:34" ht="14.4" hidden="1" x14ac:dyDescent="0.3">
      <c r="B24" s="380" t="s">
        <v>14</v>
      </c>
      <c r="C24" s="363" t="s">
        <v>195</v>
      </c>
      <c r="D24" s="386" t="s">
        <v>196</v>
      </c>
      <c r="E24" s="393" t="s">
        <v>197</v>
      </c>
      <c r="F24" s="387">
        <v>45210</v>
      </c>
      <c r="G24" s="380" t="s">
        <v>55</v>
      </c>
      <c r="H24" s="380"/>
      <c r="I24" s="388">
        <v>741000</v>
      </c>
      <c r="J24" s="380">
        <v>4</v>
      </c>
      <c r="K24" s="389">
        <f t="shared" si="0"/>
        <v>185250</v>
      </c>
      <c r="L24" s="381">
        <v>45203</v>
      </c>
      <c r="M24" s="381">
        <v>45568</v>
      </c>
      <c r="N24" s="663"/>
      <c r="O24" s="680"/>
      <c r="P24" s="363"/>
      <c r="Q24" s="380"/>
      <c r="R24" s="363"/>
      <c r="S24" s="390" t="s">
        <v>198</v>
      </c>
      <c r="T24" s="363" t="s">
        <v>199</v>
      </c>
      <c r="U24" s="394" t="s">
        <v>200</v>
      </c>
      <c r="V24" s="363" t="s">
        <v>201</v>
      </c>
      <c r="W24" s="390" t="s">
        <v>202</v>
      </c>
      <c r="X24" s="363" t="s">
        <v>203</v>
      </c>
      <c r="Y24" s="390" t="s">
        <v>204</v>
      </c>
      <c r="Z24" s="363" t="s">
        <v>205</v>
      </c>
      <c r="AA24" s="363"/>
      <c r="AB24" s="363"/>
      <c r="AC24" s="363"/>
      <c r="AD24" s="363"/>
      <c r="AE24" s="363" t="s">
        <v>206</v>
      </c>
      <c r="AF24" s="380" t="s">
        <v>207</v>
      </c>
      <c r="AG24" s="380">
        <v>39</v>
      </c>
      <c r="AH24" s="363"/>
    </row>
    <row r="25" spans="2:34" ht="14.4" hidden="1" x14ac:dyDescent="0.3">
      <c r="B25" s="380" t="s">
        <v>14</v>
      </c>
      <c r="C25" s="363" t="s">
        <v>195</v>
      </c>
      <c r="D25" s="386" t="s">
        <v>196</v>
      </c>
      <c r="E25" s="393" t="s">
        <v>197</v>
      </c>
      <c r="F25" s="387">
        <v>45210</v>
      </c>
      <c r="G25" s="380" t="s">
        <v>55</v>
      </c>
      <c r="H25" s="380"/>
      <c r="I25" s="388">
        <v>741000</v>
      </c>
      <c r="J25" s="380">
        <v>4</v>
      </c>
      <c r="K25" s="389">
        <f t="shared" si="0"/>
        <v>185250</v>
      </c>
      <c r="L25" s="381">
        <v>45569</v>
      </c>
      <c r="M25" s="381">
        <v>45933</v>
      </c>
      <c r="N25" s="663"/>
      <c r="O25" s="680"/>
      <c r="P25" s="363"/>
      <c r="Q25" s="380"/>
      <c r="R25" s="363"/>
      <c r="S25" s="390" t="s">
        <v>208</v>
      </c>
      <c r="T25" s="363" t="s">
        <v>209</v>
      </c>
      <c r="U25" s="394" t="s">
        <v>210</v>
      </c>
      <c r="V25" s="363" t="s">
        <v>211</v>
      </c>
      <c r="W25" s="390" t="s">
        <v>212</v>
      </c>
      <c r="X25" s="363" t="s">
        <v>213</v>
      </c>
      <c r="Y25" s="390" t="s">
        <v>214</v>
      </c>
      <c r="Z25" s="363" t="s">
        <v>169</v>
      </c>
      <c r="AA25" s="363"/>
      <c r="AB25" s="363"/>
      <c r="AC25" s="363"/>
      <c r="AD25" s="363"/>
      <c r="AE25" s="363" t="s">
        <v>206</v>
      </c>
      <c r="AF25" s="380" t="s">
        <v>207</v>
      </c>
      <c r="AG25" s="380">
        <v>39</v>
      </c>
      <c r="AH25" s="363"/>
    </row>
    <row r="26" spans="2:34" ht="14.4" hidden="1" x14ac:dyDescent="0.3">
      <c r="B26" s="380" t="s">
        <v>14</v>
      </c>
      <c r="C26" s="363" t="s">
        <v>85</v>
      </c>
      <c r="D26" s="386" t="s">
        <v>86</v>
      </c>
      <c r="E26" s="393" t="s">
        <v>215</v>
      </c>
      <c r="F26" s="387">
        <v>45204</v>
      </c>
      <c r="G26" s="380" t="s">
        <v>55</v>
      </c>
      <c r="H26" s="380"/>
      <c r="I26" s="388">
        <f>696000/3</f>
        <v>232000</v>
      </c>
      <c r="J26" s="380">
        <v>4</v>
      </c>
      <c r="K26" s="389">
        <f t="shared" si="0"/>
        <v>58000</v>
      </c>
      <c r="L26" s="381">
        <v>45200</v>
      </c>
      <c r="M26" s="381">
        <v>45565</v>
      </c>
      <c r="N26" s="663"/>
      <c r="O26" s="680"/>
      <c r="P26" s="363"/>
      <c r="Q26" s="380"/>
      <c r="R26" s="363"/>
      <c r="S26" s="390" t="s">
        <v>216</v>
      </c>
      <c r="T26" s="363" t="s">
        <v>217</v>
      </c>
      <c r="U26" s="390" t="s">
        <v>156</v>
      </c>
      <c r="V26" s="363" t="s">
        <v>218</v>
      </c>
      <c r="W26" s="390" t="s">
        <v>158</v>
      </c>
      <c r="X26" s="363" t="s">
        <v>219</v>
      </c>
      <c r="Y26" s="390" t="s">
        <v>220</v>
      </c>
      <c r="Z26" s="363" t="s">
        <v>221</v>
      </c>
      <c r="AA26" s="363"/>
      <c r="AB26" s="363"/>
      <c r="AC26" s="363"/>
      <c r="AD26" s="363"/>
      <c r="AE26" s="363" t="s">
        <v>96</v>
      </c>
      <c r="AF26" s="380" t="s">
        <v>97</v>
      </c>
      <c r="AG26" s="380" t="s">
        <v>98</v>
      </c>
      <c r="AH26" s="363"/>
    </row>
    <row r="27" spans="2:34" ht="14.4" hidden="1" x14ac:dyDescent="0.3">
      <c r="B27" s="380" t="s">
        <v>14</v>
      </c>
      <c r="C27" s="363" t="s">
        <v>85</v>
      </c>
      <c r="D27" s="386" t="s">
        <v>86</v>
      </c>
      <c r="E27" s="393" t="s">
        <v>215</v>
      </c>
      <c r="F27" s="387">
        <v>45204</v>
      </c>
      <c r="G27" s="380" t="s">
        <v>55</v>
      </c>
      <c r="H27" s="380"/>
      <c r="I27" s="388">
        <f>696000/3</f>
        <v>232000</v>
      </c>
      <c r="J27" s="380">
        <v>4</v>
      </c>
      <c r="K27" s="389">
        <f t="shared" si="0"/>
        <v>58000</v>
      </c>
      <c r="L27" s="381">
        <v>45566</v>
      </c>
      <c r="M27" s="381">
        <v>45930</v>
      </c>
      <c r="N27" s="663"/>
      <c r="O27" s="680"/>
      <c r="P27" s="363"/>
      <c r="Q27" s="380"/>
      <c r="R27" s="363"/>
      <c r="S27" s="390" t="s">
        <v>222</v>
      </c>
      <c r="T27" s="363" t="s">
        <v>223</v>
      </c>
      <c r="U27" s="390" t="s">
        <v>164</v>
      </c>
      <c r="V27" s="363" t="s">
        <v>224</v>
      </c>
      <c r="W27" s="390" t="s">
        <v>166</v>
      </c>
      <c r="X27" s="363" t="s">
        <v>225</v>
      </c>
      <c r="Y27" s="390" t="s">
        <v>226</v>
      </c>
      <c r="Z27" s="363" t="s">
        <v>227</v>
      </c>
      <c r="AA27" s="363"/>
      <c r="AB27" s="363"/>
      <c r="AC27" s="363"/>
      <c r="AD27" s="363"/>
      <c r="AE27" s="363" t="s">
        <v>96</v>
      </c>
      <c r="AF27" s="380" t="s">
        <v>97</v>
      </c>
      <c r="AG27" s="380" t="s">
        <v>98</v>
      </c>
      <c r="AH27" s="363"/>
    </row>
    <row r="28" spans="2:34" ht="14.4" hidden="1" x14ac:dyDescent="0.3">
      <c r="B28" s="380" t="s">
        <v>14</v>
      </c>
      <c r="C28" s="363" t="s">
        <v>85</v>
      </c>
      <c r="D28" s="386" t="s">
        <v>86</v>
      </c>
      <c r="E28" s="393" t="s">
        <v>215</v>
      </c>
      <c r="F28" s="387">
        <v>45204</v>
      </c>
      <c r="G28" s="380" t="s">
        <v>55</v>
      </c>
      <c r="H28" s="380">
        <v>4</v>
      </c>
      <c r="I28" s="395">
        <f>696000/3</f>
        <v>232000</v>
      </c>
      <c r="J28" s="380">
        <v>4</v>
      </c>
      <c r="K28" s="389">
        <f t="shared" si="0"/>
        <v>58000</v>
      </c>
      <c r="L28" s="381">
        <v>45931</v>
      </c>
      <c r="M28" s="381">
        <v>46295</v>
      </c>
      <c r="N28" s="663"/>
      <c r="O28" s="680"/>
      <c r="P28" s="363" t="s">
        <v>520</v>
      </c>
      <c r="Q28" s="380"/>
      <c r="R28" s="363"/>
      <c r="S28" s="390" t="s">
        <v>228</v>
      </c>
      <c r="T28" s="363" t="s">
        <v>229</v>
      </c>
      <c r="U28" s="390" t="s">
        <v>172</v>
      </c>
      <c r="V28" s="363" t="s">
        <v>230</v>
      </c>
      <c r="W28" s="390" t="s">
        <v>174</v>
      </c>
      <c r="X28" s="363" t="s">
        <v>1845</v>
      </c>
      <c r="Y28" s="363" t="s">
        <v>231</v>
      </c>
      <c r="Z28" s="363"/>
      <c r="AA28" s="363"/>
      <c r="AB28" s="363"/>
      <c r="AC28" s="363"/>
      <c r="AD28" s="363"/>
      <c r="AE28" s="363" t="s">
        <v>96</v>
      </c>
      <c r="AF28" s="380" t="s">
        <v>97</v>
      </c>
      <c r="AG28" s="380" t="s">
        <v>98</v>
      </c>
      <c r="AH28" s="363"/>
    </row>
    <row r="29" spans="2:34" ht="14.4" hidden="1" x14ac:dyDescent="0.3">
      <c r="B29" s="380" t="s">
        <v>14</v>
      </c>
      <c r="C29" s="363" t="s">
        <v>232</v>
      </c>
      <c r="D29" s="386" t="s">
        <v>86</v>
      </c>
      <c r="E29" s="380">
        <v>115885</v>
      </c>
      <c r="F29" s="387">
        <v>45269</v>
      </c>
      <c r="G29" s="380" t="s">
        <v>55</v>
      </c>
      <c r="H29" s="380"/>
      <c r="I29" s="388">
        <f>432000/3</f>
        <v>144000</v>
      </c>
      <c r="J29" s="380">
        <v>4</v>
      </c>
      <c r="K29" s="389">
        <f t="shared" si="0"/>
        <v>36000</v>
      </c>
      <c r="L29" s="381">
        <v>45261</v>
      </c>
      <c r="M29" s="381">
        <v>45626</v>
      </c>
      <c r="N29" s="663"/>
      <c r="O29" s="680"/>
      <c r="P29" s="363" t="s">
        <v>520</v>
      </c>
      <c r="Q29" s="380"/>
      <c r="R29" s="363"/>
      <c r="S29" s="390" t="s">
        <v>233</v>
      </c>
      <c r="T29" s="363" t="s">
        <v>234</v>
      </c>
      <c r="U29" s="390" t="s">
        <v>235</v>
      </c>
      <c r="V29" s="363" t="s">
        <v>203</v>
      </c>
      <c r="W29" s="390" t="s">
        <v>236</v>
      </c>
      <c r="X29" s="363" t="s">
        <v>237</v>
      </c>
      <c r="Y29" s="390" t="s">
        <v>238</v>
      </c>
      <c r="Z29" s="363" t="s">
        <v>239</v>
      </c>
      <c r="AA29" s="363"/>
      <c r="AB29" s="363"/>
      <c r="AC29" s="363"/>
      <c r="AD29" s="363"/>
      <c r="AE29" s="363" t="s">
        <v>96</v>
      </c>
      <c r="AF29" s="380" t="s">
        <v>97</v>
      </c>
      <c r="AG29" s="380" t="s">
        <v>98</v>
      </c>
      <c r="AH29" s="363"/>
    </row>
    <row r="30" spans="2:34" ht="14.4" hidden="1" x14ac:dyDescent="0.3">
      <c r="B30" s="380" t="s">
        <v>14</v>
      </c>
      <c r="C30" s="363" t="s">
        <v>232</v>
      </c>
      <c r="D30" s="386" t="s">
        <v>86</v>
      </c>
      <c r="E30" s="380">
        <v>115885</v>
      </c>
      <c r="F30" s="387">
        <v>45269</v>
      </c>
      <c r="G30" s="380" t="s">
        <v>55</v>
      </c>
      <c r="H30" s="380"/>
      <c r="I30" s="388">
        <f>432000/3</f>
        <v>144000</v>
      </c>
      <c r="J30" s="380">
        <v>4</v>
      </c>
      <c r="K30" s="389">
        <f t="shared" si="0"/>
        <v>36000</v>
      </c>
      <c r="L30" s="381">
        <v>45627</v>
      </c>
      <c r="M30" s="381">
        <v>45991</v>
      </c>
      <c r="N30" s="663"/>
      <c r="O30" s="680"/>
      <c r="P30" s="363" t="s">
        <v>520</v>
      </c>
      <c r="Q30" s="380"/>
      <c r="R30" s="363"/>
      <c r="S30" s="390" t="s">
        <v>240</v>
      </c>
      <c r="T30" s="363" t="s">
        <v>241</v>
      </c>
      <c r="U30" s="390" t="s">
        <v>242</v>
      </c>
      <c r="V30" s="363" t="s">
        <v>243</v>
      </c>
      <c r="W30" s="390" t="s">
        <v>244</v>
      </c>
      <c r="X30" s="363" t="s">
        <v>245</v>
      </c>
      <c r="Y30" s="390" t="s">
        <v>246</v>
      </c>
      <c r="Z30" s="363" t="s">
        <v>247</v>
      </c>
      <c r="AA30" s="363"/>
      <c r="AB30" s="363"/>
      <c r="AC30" s="363"/>
      <c r="AD30" s="363"/>
      <c r="AE30" s="363" t="s">
        <v>96</v>
      </c>
      <c r="AF30" s="380" t="s">
        <v>97</v>
      </c>
      <c r="AG30" s="380" t="s">
        <v>98</v>
      </c>
      <c r="AH30" s="363"/>
    </row>
    <row r="31" spans="2:34" ht="14.4" hidden="1" x14ac:dyDescent="0.3">
      <c r="B31" s="380" t="s">
        <v>14</v>
      </c>
      <c r="C31" s="363" t="s">
        <v>232</v>
      </c>
      <c r="D31" s="386" t="s">
        <v>86</v>
      </c>
      <c r="E31" s="380">
        <v>115885</v>
      </c>
      <c r="F31" s="387">
        <v>45269</v>
      </c>
      <c r="G31" s="380" t="s">
        <v>55</v>
      </c>
      <c r="H31" s="380">
        <v>2</v>
      </c>
      <c r="I31" s="388">
        <f>432000/3</f>
        <v>144000</v>
      </c>
      <c r="J31" s="380">
        <v>4</v>
      </c>
      <c r="K31" s="391">
        <f t="shared" si="0"/>
        <v>36000</v>
      </c>
      <c r="L31" s="381">
        <v>45992</v>
      </c>
      <c r="M31" s="381">
        <v>46356</v>
      </c>
      <c r="N31" s="663">
        <v>154899</v>
      </c>
      <c r="O31" s="680"/>
      <c r="P31" s="363" t="s">
        <v>520</v>
      </c>
      <c r="Q31" s="380"/>
      <c r="R31" s="363"/>
      <c r="S31" s="390" t="s">
        <v>248</v>
      </c>
      <c r="T31" s="363" t="s">
        <v>249</v>
      </c>
      <c r="U31" s="390" t="s">
        <v>250</v>
      </c>
      <c r="V31" s="363" t="s">
        <v>251</v>
      </c>
      <c r="W31" s="390" t="s">
        <v>252</v>
      </c>
      <c r="X31" s="363" t="s">
        <v>2013</v>
      </c>
      <c r="Y31" s="363" t="s">
        <v>253</v>
      </c>
      <c r="Z31" s="363"/>
      <c r="AA31" s="363"/>
      <c r="AB31" s="363"/>
      <c r="AC31" s="363"/>
      <c r="AD31" s="363"/>
      <c r="AE31" s="363" t="s">
        <v>96</v>
      </c>
      <c r="AF31" s="380" t="s">
        <v>97</v>
      </c>
      <c r="AG31" s="380" t="s">
        <v>98</v>
      </c>
      <c r="AH31" s="363"/>
    </row>
    <row r="32" spans="2:34" ht="14.4" hidden="1" x14ac:dyDescent="0.3">
      <c r="B32" s="380" t="s">
        <v>14</v>
      </c>
      <c r="C32" s="363" t="s">
        <v>254</v>
      </c>
      <c r="D32" s="386" t="s">
        <v>86</v>
      </c>
      <c r="E32" s="380" t="s">
        <v>255</v>
      </c>
      <c r="F32" s="387">
        <v>45323</v>
      </c>
      <c r="G32" s="380" t="s">
        <v>55</v>
      </c>
      <c r="H32" s="380"/>
      <c r="I32" s="388">
        <f>354000/2</f>
        <v>177000</v>
      </c>
      <c r="J32" s="380">
        <v>4</v>
      </c>
      <c r="K32" s="389">
        <f t="shared" si="0"/>
        <v>44250</v>
      </c>
      <c r="L32" s="381">
        <v>45323</v>
      </c>
      <c r="M32" s="381">
        <v>45688</v>
      </c>
      <c r="N32" s="663"/>
      <c r="O32" s="680"/>
      <c r="P32" s="363"/>
      <c r="Q32" s="380"/>
      <c r="R32" s="380"/>
      <c r="S32" s="390" t="s">
        <v>256</v>
      </c>
      <c r="T32" s="363" t="s">
        <v>257</v>
      </c>
      <c r="U32" s="390" t="s">
        <v>258</v>
      </c>
      <c r="V32" s="363" t="s">
        <v>259</v>
      </c>
      <c r="W32" s="390" t="s">
        <v>260</v>
      </c>
      <c r="X32" s="363" t="s">
        <v>261</v>
      </c>
      <c r="Y32" s="390" t="s">
        <v>262</v>
      </c>
      <c r="Z32" s="390" t="s">
        <v>263</v>
      </c>
      <c r="AA32" s="363"/>
      <c r="AB32" s="363"/>
      <c r="AC32" s="363"/>
      <c r="AD32" s="363"/>
      <c r="AE32" s="363" t="s">
        <v>96</v>
      </c>
      <c r="AF32" s="380" t="s">
        <v>97</v>
      </c>
      <c r="AG32" s="380" t="s">
        <v>98</v>
      </c>
      <c r="AH32" s="363"/>
    </row>
    <row r="33" spans="2:34" ht="14.4" hidden="1" x14ac:dyDescent="0.3">
      <c r="B33" s="380" t="s">
        <v>14</v>
      </c>
      <c r="C33" s="363" t="s">
        <v>254</v>
      </c>
      <c r="D33" s="386" t="s">
        <v>86</v>
      </c>
      <c r="E33" s="380" t="s">
        <v>255</v>
      </c>
      <c r="F33" s="387">
        <v>45323</v>
      </c>
      <c r="G33" s="380" t="s">
        <v>55</v>
      </c>
      <c r="H33" s="380"/>
      <c r="I33" s="388">
        <f>354000/2</f>
        <v>177000</v>
      </c>
      <c r="J33" s="380">
        <v>4</v>
      </c>
      <c r="K33" s="389">
        <f t="shared" si="0"/>
        <v>44250</v>
      </c>
      <c r="L33" s="381">
        <v>45689</v>
      </c>
      <c r="M33" s="381">
        <v>46053</v>
      </c>
      <c r="N33" s="663"/>
      <c r="O33" s="680"/>
      <c r="P33" s="363"/>
      <c r="Q33" s="380"/>
      <c r="R33" s="380"/>
      <c r="S33" s="390" t="s">
        <v>264</v>
      </c>
      <c r="T33" s="363" t="s">
        <v>265</v>
      </c>
      <c r="U33" s="390" t="s">
        <v>266</v>
      </c>
      <c r="V33" s="363" t="s">
        <v>145</v>
      </c>
      <c r="W33" s="390" t="s">
        <v>267</v>
      </c>
      <c r="X33" s="363" t="s">
        <v>268</v>
      </c>
      <c r="Y33" s="390" t="s">
        <v>269</v>
      </c>
      <c r="Z33" s="363" t="s">
        <v>270</v>
      </c>
      <c r="AA33" s="363"/>
      <c r="AB33" s="363"/>
      <c r="AC33" s="363"/>
      <c r="AD33" s="363"/>
      <c r="AE33" s="363" t="s">
        <v>96</v>
      </c>
      <c r="AF33" s="380" t="s">
        <v>97</v>
      </c>
      <c r="AG33" s="380" t="s">
        <v>98</v>
      </c>
      <c r="AH33" s="363"/>
    </row>
    <row r="34" spans="2:34" ht="14.4" hidden="1" x14ac:dyDescent="0.3">
      <c r="B34" s="380" t="s">
        <v>14</v>
      </c>
      <c r="C34" s="363" t="s">
        <v>271</v>
      </c>
      <c r="D34" s="386" t="s">
        <v>86</v>
      </c>
      <c r="E34" s="380" t="s">
        <v>272</v>
      </c>
      <c r="F34" s="387">
        <v>45260</v>
      </c>
      <c r="G34" s="380" t="s">
        <v>55</v>
      </c>
      <c r="H34" s="380"/>
      <c r="I34" s="388">
        <v>186960</v>
      </c>
      <c r="J34" s="380">
        <v>4</v>
      </c>
      <c r="K34" s="389">
        <f t="shared" si="0"/>
        <v>46740</v>
      </c>
      <c r="L34" s="381">
        <v>45260</v>
      </c>
      <c r="M34" s="381">
        <v>45625</v>
      </c>
      <c r="N34" s="663"/>
      <c r="O34" s="680"/>
      <c r="P34" s="363"/>
      <c r="Q34" s="380"/>
      <c r="R34" s="380"/>
      <c r="S34" s="390" t="s">
        <v>273</v>
      </c>
      <c r="T34" s="363" t="s">
        <v>274</v>
      </c>
      <c r="U34" s="390" t="s">
        <v>275</v>
      </c>
      <c r="V34" s="363" t="s">
        <v>276</v>
      </c>
      <c r="W34" s="390" t="s">
        <v>277</v>
      </c>
      <c r="X34" s="363" t="s">
        <v>278</v>
      </c>
      <c r="Y34" s="390" t="s">
        <v>279</v>
      </c>
      <c r="Z34" s="363" t="s">
        <v>280</v>
      </c>
      <c r="AA34" s="363"/>
      <c r="AB34" s="363"/>
      <c r="AC34" s="363"/>
      <c r="AD34" s="363"/>
      <c r="AE34" s="363" t="s">
        <v>281</v>
      </c>
      <c r="AF34" s="380" t="s">
        <v>97</v>
      </c>
      <c r="AG34" s="380" t="s">
        <v>98</v>
      </c>
      <c r="AH34" s="363"/>
    </row>
    <row r="35" spans="2:34" ht="14.4" hidden="1" x14ac:dyDescent="0.3">
      <c r="B35" s="380" t="s">
        <v>14</v>
      </c>
      <c r="C35" s="363" t="s">
        <v>271</v>
      </c>
      <c r="D35" s="386" t="s">
        <v>86</v>
      </c>
      <c r="E35" s="380" t="s">
        <v>272</v>
      </c>
      <c r="F35" s="387">
        <v>45260</v>
      </c>
      <c r="G35" s="380" t="s">
        <v>55</v>
      </c>
      <c r="H35" s="380"/>
      <c r="I35" s="388">
        <v>186960</v>
      </c>
      <c r="J35" s="380">
        <v>4</v>
      </c>
      <c r="K35" s="389">
        <f t="shared" si="0"/>
        <v>46740</v>
      </c>
      <c r="L35" s="381">
        <v>45626</v>
      </c>
      <c r="M35" s="381">
        <v>45990</v>
      </c>
      <c r="N35" s="663"/>
      <c r="O35" s="680"/>
      <c r="P35" s="363"/>
      <c r="Q35" s="380"/>
      <c r="R35" s="380"/>
      <c r="S35" s="390" t="s">
        <v>282</v>
      </c>
      <c r="T35" s="363" t="s">
        <v>283</v>
      </c>
      <c r="U35" s="390" t="s">
        <v>284</v>
      </c>
      <c r="V35" s="363" t="s">
        <v>285</v>
      </c>
      <c r="W35" s="390" t="s">
        <v>286</v>
      </c>
      <c r="X35" s="363" t="s">
        <v>287</v>
      </c>
      <c r="Y35" s="390" t="s">
        <v>288</v>
      </c>
      <c r="Z35" s="363" t="s">
        <v>289</v>
      </c>
      <c r="AA35" s="363"/>
      <c r="AB35" s="363"/>
      <c r="AC35" s="363"/>
      <c r="AD35" s="363"/>
      <c r="AE35" s="363" t="s">
        <v>281</v>
      </c>
      <c r="AF35" s="380" t="s">
        <v>97</v>
      </c>
      <c r="AG35" s="380" t="s">
        <v>98</v>
      </c>
      <c r="AH35" s="363"/>
    </row>
    <row r="36" spans="2:34" ht="14.4" hidden="1" x14ac:dyDescent="0.3">
      <c r="B36" s="380" t="s">
        <v>14</v>
      </c>
      <c r="C36" s="363" t="s">
        <v>271</v>
      </c>
      <c r="D36" s="386" t="s">
        <v>86</v>
      </c>
      <c r="E36" s="380" t="s">
        <v>272</v>
      </c>
      <c r="F36" s="387">
        <v>45260</v>
      </c>
      <c r="G36" s="380" t="s">
        <v>55</v>
      </c>
      <c r="H36" s="380">
        <v>2</v>
      </c>
      <c r="I36" s="388">
        <v>186960</v>
      </c>
      <c r="J36" s="380">
        <v>4</v>
      </c>
      <c r="K36" s="391">
        <f t="shared" si="0"/>
        <v>46740</v>
      </c>
      <c r="L36" s="381">
        <v>45991</v>
      </c>
      <c r="M36" s="381">
        <v>46355</v>
      </c>
      <c r="N36" s="663">
        <v>154893</v>
      </c>
      <c r="O36" s="680">
        <v>4754</v>
      </c>
      <c r="P36" s="363" t="s">
        <v>520</v>
      </c>
      <c r="Q36" s="380"/>
      <c r="R36" s="380"/>
      <c r="S36" s="390" t="s">
        <v>290</v>
      </c>
      <c r="T36" s="363" t="s">
        <v>291</v>
      </c>
      <c r="U36" s="390" t="s">
        <v>292</v>
      </c>
      <c r="V36" s="363" t="s">
        <v>1711</v>
      </c>
      <c r="W36" s="390" t="s">
        <v>293</v>
      </c>
      <c r="X36" s="363" t="s">
        <v>2014</v>
      </c>
      <c r="Y36" s="363" t="s">
        <v>294</v>
      </c>
      <c r="Z36" s="363"/>
      <c r="AA36" s="363"/>
      <c r="AB36" s="363"/>
      <c r="AC36" s="363"/>
      <c r="AD36" s="363"/>
      <c r="AE36" s="363" t="s">
        <v>281</v>
      </c>
      <c r="AF36" s="380" t="s">
        <v>97</v>
      </c>
      <c r="AG36" s="380" t="s">
        <v>98</v>
      </c>
      <c r="AH36" s="363"/>
    </row>
    <row r="37" spans="2:34" ht="14.4" hidden="1" x14ac:dyDescent="0.3">
      <c r="B37" s="380" t="s">
        <v>14</v>
      </c>
      <c r="C37" s="363" t="s">
        <v>295</v>
      </c>
      <c r="D37" s="386" t="s">
        <v>296</v>
      </c>
      <c r="E37" s="380" t="s">
        <v>297</v>
      </c>
      <c r="F37" s="387">
        <v>45337</v>
      </c>
      <c r="G37" s="380" t="s">
        <v>55</v>
      </c>
      <c r="H37" s="380"/>
      <c r="I37" s="388">
        <v>898776</v>
      </c>
      <c r="J37" s="380">
        <v>3</v>
      </c>
      <c r="K37" s="389">
        <f t="shared" si="0"/>
        <v>299592</v>
      </c>
      <c r="L37" s="381">
        <v>45352</v>
      </c>
      <c r="M37" s="381">
        <v>45716</v>
      </c>
      <c r="N37" s="663"/>
      <c r="O37" s="680"/>
      <c r="P37" s="363"/>
      <c r="Q37" s="380"/>
      <c r="R37" s="380"/>
      <c r="S37" s="390" t="s">
        <v>298</v>
      </c>
      <c r="T37" s="363" t="s">
        <v>299</v>
      </c>
      <c r="U37" s="390" t="s">
        <v>300</v>
      </c>
      <c r="V37" s="363" t="s">
        <v>122</v>
      </c>
      <c r="W37" s="390" t="s">
        <v>301</v>
      </c>
      <c r="X37" s="363" t="s">
        <v>302</v>
      </c>
      <c r="Y37" s="363"/>
      <c r="Z37" s="363"/>
      <c r="AA37" s="363"/>
      <c r="AB37" s="363"/>
      <c r="AC37" s="363"/>
      <c r="AD37" s="363"/>
      <c r="AE37" s="363" t="s">
        <v>281</v>
      </c>
      <c r="AF37" s="380" t="s">
        <v>97</v>
      </c>
      <c r="AG37" s="380">
        <f>9*3</f>
        <v>27</v>
      </c>
      <c r="AH37" s="363"/>
    </row>
    <row r="38" spans="2:34" ht="14.4" hidden="1" x14ac:dyDescent="0.3">
      <c r="B38" s="380" t="s">
        <v>14</v>
      </c>
      <c r="C38" s="363" t="s">
        <v>295</v>
      </c>
      <c r="D38" s="386" t="s">
        <v>296</v>
      </c>
      <c r="E38" s="380" t="s">
        <v>297</v>
      </c>
      <c r="F38" s="387">
        <v>45337</v>
      </c>
      <c r="G38" s="380" t="s">
        <v>55</v>
      </c>
      <c r="H38" s="380">
        <v>9</v>
      </c>
      <c r="I38" s="388">
        <v>898776</v>
      </c>
      <c r="J38" s="380">
        <v>3</v>
      </c>
      <c r="K38" s="389">
        <f t="shared" si="0"/>
        <v>299592</v>
      </c>
      <c r="L38" s="381">
        <v>45717</v>
      </c>
      <c r="M38" s="381">
        <v>46081</v>
      </c>
      <c r="N38" s="663"/>
      <c r="O38" s="680"/>
      <c r="P38" s="363" t="s">
        <v>19</v>
      </c>
      <c r="Q38" s="380" t="s">
        <v>2</v>
      </c>
      <c r="R38" s="380"/>
      <c r="S38" s="390" t="s">
        <v>303</v>
      </c>
      <c r="T38" s="363" t="s">
        <v>304</v>
      </c>
      <c r="U38" s="390" t="s">
        <v>305</v>
      </c>
      <c r="V38" s="363" t="s">
        <v>306</v>
      </c>
      <c r="W38" s="390" t="s">
        <v>307</v>
      </c>
      <c r="X38" s="363" t="s">
        <v>193</v>
      </c>
      <c r="Y38" s="363"/>
      <c r="Z38" s="363"/>
      <c r="AA38" s="363"/>
      <c r="AB38" s="363"/>
      <c r="AC38" s="363"/>
      <c r="AD38" s="363"/>
      <c r="AE38" s="363" t="s">
        <v>281</v>
      </c>
      <c r="AF38" s="380" t="s">
        <v>97</v>
      </c>
      <c r="AG38" s="380">
        <f>9*3</f>
        <v>27</v>
      </c>
      <c r="AH38" s="363"/>
    </row>
    <row r="39" spans="2:34" ht="14.4" hidden="1" x14ac:dyDescent="0.3">
      <c r="B39" s="380" t="s">
        <v>14</v>
      </c>
      <c r="C39" s="363" t="s">
        <v>76</v>
      </c>
      <c r="D39" s="386" t="s">
        <v>151</v>
      </c>
      <c r="E39" s="380">
        <v>4700004976</v>
      </c>
      <c r="F39" s="387">
        <v>45097</v>
      </c>
      <c r="G39" s="380" t="s">
        <v>55</v>
      </c>
      <c r="H39" s="380"/>
      <c r="I39" s="388">
        <f>261000/3</f>
        <v>87000</v>
      </c>
      <c r="J39" s="380">
        <v>3</v>
      </c>
      <c r="K39" s="389">
        <f t="shared" si="0"/>
        <v>29000</v>
      </c>
      <c r="L39" s="381">
        <v>45078</v>
      </c>
      <c r="M39" s="381">
        <v>45443</v>
      </c>
      <c r="N39" s="663"/>
      <c r="O39" s="680"/>
      <c r="P39" s="363"/>
      <c r="Q39" s="380"/>
      <c r="R39" s="380"/>
      <c r="S39" s="390" t="s">
        <v>308</v>
      </c>
      <c r="T39" s="363" t="s">
        <v>309</v>
      </c>
      <c r="U39" s="390" t="s">
        <v>310</v>
      </c>
      <c r="V39" s="363" t="s">
        <v>311</v>
      </c>
      <c r="W39" s="390" t="s">
        <v>312</v>
      </c>
      <c r="X39" s="363" t="s">
        <v>313</v>
      </c>
      <c r="Y39" s="363"/>
      <c r="Z39" s="363"/>
      <c r="AA39" s="363"/>
      <c r="AB39" s="363"/>
      <c r="AC39" s="363"/>
      <c r="AD39" s="363"/>
      <c r="AE39" s="363" t="s">
        <v>62</v>
      </c>
      <c r="AF39" s="380" t="s">
        <v>63</v>
      </c>
      <c r="AG39" s="380"/>
      <c r="AH39" s="363"/>
    </row>
    <row r="40" spans="2:34" ht="14.4" hidden="1" x14ac:dyDescent="0.3">
      <c r="B40" s="380" t="s">
        <v>14</v>
      </c>
      <c r="C40" s="363" t="s">
        <v>76</v>
      </c>
      <c r="D40" s="386" t="s">
        <v>151</v>
      </c>
      <c r="E40" s="380">
        <v>4700004976</v>
      </c>
      <c r="F40" s="387">
        <v>45097</v>
      </c>
      <c r="G40" s="380" t="s">
        <v>55</v>
      </c>
      <c r="H40" s="380"/>
      <c r="I40" s="388">
        <f>261000/3</f>
        <v>87000</v>
      </c>
      <c r="J40" s="380">
        <v>3</v>
      </c>
      <c r="K40" s="389">
        <f t="shared" si="0"/>
        <v>29000</v>
      </c>
      <c r="L40" s="381">
        <v>45444</v>
      </c>
      <c r="M40" s="381">
        <v>45808</v>
      </c>
      <c r="N40" s="663"/>
      <c r="O40" s="680"/>
      <c r="P40" s="363"/>
      <c r="Q40" s="380"/>
      <c r="R40" s="380"/>
      <c r="S40" s="390" t="s">
        <v>314</v>
      </c>
      <c r="T40" s="363" t="s">
        <v>315</v>
      </c>
      <c r="U40" s="390" t="s">
        <v>316</v>
      </c>
      <c r="V40" s="363" t="s">
        <v>317</v>
      </c>
      <c r="W40" s="390" t="s">
        <v>318</v>
      </c>
      <c r="X40" s="363" t="s">
        <v>319</v>
      </c>
      <c r="Y40" s="363"/>
      <c r="Z40" s="363"/>
      <c r="AA40" s="363"/>
      <c r="AB40" s="363"/>
      <c r="AC40" s="363"/>
      <c r="AD40" s="363"/>
      <c r="AE40" s="363" t="s">
        <v>62</v>
      </c>
      <c r="AF40" s="380" t="s">
        <v>63</v>
      </c>
      <c r="AG40" s="380"/>
      <c r="AH40" s="363"/>
    </row>
    <row r="41" spans="2:34" ht="14.4" hidden="1" x14ac:dyDescent="0.3">
      <c r="B41" s="380" t="s">
        <v>14</v>
      </c>
      <c r="C41" s="363" t="s">
        <v>76</v>
      </c>
      <c r="D41" s="386" t="s">
        <v>151</v>
      </c>
      <c r="E41" s="380">
        <v>4700004976</v>
      </c>
      <c r="F41" s="387">
        <v>45097</v>
      </c>
      <c r="G41" s="380" t="s">
        <v>55</v>
      </c>
      <c r="H41" s="380">
        <v>1</v>
      </c>
      <c r="I41" s="388">
        <f>261000/3</f>
        <v>87000</v>
      </c>
      <c r="J41" s="380">
        <v>3</v>
      </c>
      <c r="K41" s="391">
        <f t="shared" si="0"/>
        <v>29000</v>
      </c>
      <c r="L41" s="381">
        <v>45809</v>
      </c>
      <c r="M41" s="381">
        <v>46173</v>
      </c>
      <c r="N41" s="663"/>
      <c r="O41" s="680"/>
      <c r="P41" s="363" t="s">
        <v>19</v>
      </c>
      <c r="Q41" s="380" t="s">
        <v>6</v>
      </c>
      <c r="R41" s="380"/>
      <c r="S41" s="390" t="s">
        <v>81</v>
      </c>
      <c r="T41" s="363" t="s">
        <v>82</v>
      </c>
      <c r="U41" s="390" t="s">
        <v>83</v>
      </c>
      <c r="V41" s="363" t="s">
        <v>320</v>
      </c>
      <c r="W41" s="390" t="s">
        <v>321</v>
      </c>
      <c r="X41" s="363" t="s">
        <v>1712</v>
      </c>
      <c r="Y41" s="363"/>
      <c r="Z41" s="363"/>
      <c r="AA41" s="363"/>
      <c r="AB41" s="363"/>
      <c r="AC41" s="363"/>
      <c r="AD41" s="363"/>
      <c r="AE41" s="363" t="s">
        <v>62</v>
      </c>
      <c r="AF41" s="380" t="s">
        <v>63</v>
      </c>
      <c r="AG41" s="380"/>
      <c r="AH41" s="363"/>
    </row>
    <row r="42" spans="2:34" ht="14.4" hidden="1" x14ac:dyDescent="0.3">
      <c r="B42" s="380" t="s">
        <v>14</v>
      </c>
      <c r="C42" s="363" t="s">
        <v>322</v>
      </c>
      <c r="D42" s="386" t="s">
        <v>323</v>
      </c>
      <c r="E42" s="380">
        <v>401186595</v>
      </c>
      <c r="F42" s="387">
        <v>45357</v>
      </c>
      <c r="G42" s="380" t="s">
        <v>55</v>
      </c>
      <c r="H42" s="380">
        <v>2</v>
      </c>
      <c r="I42" s="388">
        <v>380004</v>
      </c>
      <c r="J42" s="380">
        <v>4</v>
      </c>
      <c r="K42" s="389">
        <f t="shared" si="0"/>
        <v>95001</v>
      </c>
      <c r="L42" s="381">
        <v>45413</v>
      </c>
      <c r="M42" s="381">
        <v>46142</v>
      </c>
      <c r="N42" s="663"/>
      <c r="O42" s="680"/>
      <c r="P42" s="363" t="s">
        <v>19</v>
      </c>
      <c r="Q42" s="380" t="s">
        <v>5</v>
      </c>
      <c r="R42" s="380"/>
      <c r="S42" s="390" t="s">
        <v>324</v>
      </c>
      <c r="T42" s="363" t="s">
        <v>325</v>
      </c>
      <c r="U42" s="390" t="s">
        <v>326</v>
      </c>
      <c r="V42" s="363" t="s">
        <v>327</v>
      </c>
      <c r="W42" s="390" t="s">
        <v>328</v>
      </c>
      <c r="X42" s="363" t="s">
        <v>329</v>
      </c>
      <c r="Y42" s="390" t="s">
        <v>330</v>
      </c>
      <c r="Z42" s="363" t="s">
        <v>331</v>
      </c>
      <c r="AA42" s="363"/>
      <c r="AB42" s="363"/>
      <c r="AC42" s="363"/>
      <c r="AD42" s="363"/>
      <c r="AE42" s="363" t="s">
        <v>96</v>
      </c>
      <c r="AF42" s="380" t="s">
        <v>97</v>
      </c>
      <c r="AG42" s="380">
        <v>16</v>
      </c>
      <c r="AH42" s="363" t="s">
        <v>332</v>
      </c>
    </row>
    <row r="43" spans="2:34" ht="14.4" hidden="1" x14ac:dyDescent="0.3">
      <c r="B43" s="380" t="s">
        <v>14</v>
      </c>
      <c r="C43" s="363" t="s">
        <v>333</v>
      </c>
      <c r="D43" s="386" t="s">
        <v>151</v>
      </c>
      <c r="E43" s="380">
        <v>8163932</v>
      </c>
      <c r="F43" s="387">
        <v>45418</v>
      </c>
      <c r="G43" s="380" t="s">
        <v>55</v>
      </c>
      <c r="H43" s="380"/>
      <c r="I43" s="388">
        <f>232497/3</f>
        <v>77499</v>
      </c>
      <c r="J43" s="380">
        <v>3</v>
      </c>
      <c r="K43" s="389">
        <f t="shared" si="0"/>
        <v>25833</v>
      </c>
      <c r="L43" s="381">
        <v>45292</v>
      </c>
      <c r="M43" s="381">
        <v>45657</v>
      </c>
      <c r="N43" s="663"/>
      <c r="O43" s="680"/>
      <c r="P43" s="363"/>
      <c r="Q43" s="380"/>
      <c r="R43" s="380"/>
      <c r="S43" s="390" t="s">
        <v>334</v>
      </c>
      <c r="T43" s="363" t="s">
        <v>335</v>
      </c>
      <c r="U43" s="390" t="s">
        <v>336</v>
      </c>
      <c r="V43" s="363" t="s">
        <v>337</v>
      </c>
      <c r="W43" s="390" t="s">
        <v>338</v>
      </c>
      <c r="X43" s="363" t="s">
        <v>339</v>
      </c>
      <c r="Y43" s="363"/>
      <c r="Z43" s="363"/>
      <c r="AA43" s="363"/>
      <c r="AB43" s="363"/>
      <c r="AC43" s="363"/>
      <c r="AD43" s="363"/>
      <c r="AE43" s="363" t="s">
        <v>62</v>
      </c>
      <c r="AF43" s="380" t="s">
        <v>63</v>
      </c>
      <c r="AG43" s="380">
        <v>3</v>
      </c>
      <c r="AH43" s="363" t="s">
        <v>340</v>
      </c>
    </row>
    <row r="44" spans="2:34" ht="14.4" hidden="1" x14ac:dyDescent="0.3">
      <c r="B44" s="380" t="s">
        <v>14</v>
      </c>
      <c r="C44" s="363" t="s">
        <v>333</v>
      </c>
      <c r="D44" s="386" t="s">
        <v>151</v>
      </c>
      <c r="E44" s="380">
        <v>8163932</v>
      </c>
      <c r="F44" s="387">
        <v>45418</v>
      </c>
      <c r="G44" s="380" t="s">
        <v>55</v>
      </c>
      <c r="H44" s="380"/>
      <c r="I44" s="388">
        <f>232497/3</f>
        <v>77499</v>
      </c>
      <c r="J44" s="380">
        <v>3</v>
      </c>
      <c r="K44" s="389">
        <f t="shared" si="0"/>
        <v>25833</v>
      </c>
      <c r="L44" s="381">
        <v>45658</v>
      </c>
      <c r="M44" s="381">
        <v>46022</v>
      </c>
      <c r="N44" s="663"/>
      <c r="O44" s="680"/>
      <c r="P44" s="363"/>
      <c r="Q44" s="380"/>
      <c r="R44" s="380"/>
      <c r="S44" s="390" t="s">
        <v>341</v>
      </c>
      <c r="T44" s="363" t="s">
        <v>342</v>
      </c>
      <c r="U44" s="390" t="s">
        <v>343</v>
      </c>
      <c r="V44" s="363" t="s">
        <v>344</v>
      </c>
      <c r="W44" s="390" t="s">
        <v>345</v>
      </c>
      <c r="X44" s="363" t="s">
        <v>346</v>
      </c>
      <c r="Y44" s="363"/>
      <c r="Z44" s="363"/>
      <c r="AA44" s="363"/>
      <c r="AB44" s="363"/>
      <c r="AC44" s="363"/>
      <c r="AD44" s="363"/>
      <c r="AE44" s="363" t="s">
        <v>62</v>
      </c>
      <c r="AF44" s="380" t="s">
        <v>63</v>
      </c>
      <c r="AG44" s="380">
        <v>3</v>
      </c>
      <c r="AH44" s="363" t="s">
        <v>340</v>
      </c>
    </row>
    <row r="45" spans="2:34" ht="14.4" hidden="1" x14ac:dyDescent="0.3">
      <c r="B45" s="380" t="s">
        <v>14</v>
      </c>
      <c r="C45" s="363" t="s">
        <v>333</v>
      </c>
      <c r="D45" s="386" t="s">
        <v>151</v>
      </c>
      <c r="E45" s="380">
        <v>8163932</v>
      </c>
      <c r="F45" s="387">
        <v>45418</v>
      </c>
      <c r="G45" s="380" t="s">
        <v>55</v>
      </c>
      <c r="H45" s="380">
        <v>1</v>
      </c>
      <c r="I45" s="388">
        <f>232497/3</f>
        <v>77499</v>
      </c>
      <c r="J45" s="380">
        <v>3</v>
      </c>
      <c r="K45" s="389">
        <f t="shared" si="0"/>
        <v>25833</v>
      </c>
      <c r="L45" s="381">
        <v>46023</v>
      </c>
      <c r="M45" s="381">
        <v>46387</v>
      </c>
      <c r="N45" s="663"/>
      <c r="O45" s="680"/>
      <c r="P45" s="363" t="s">
        <v>520</v>
      </c>
      <c r="Q45" s="380"/>
      <c r="R45" s="380"/>
      <c r="S45" s="390" t="s">
        <v>347</v>
      </c>
      <c r="T45" s="363" t="s">
        <v>986</v>
      </c>
      <c r="U45" s="363" t="s">
        <v>348</v>
      </c>
      <c r="V45" s="363"/>
      <c r="W45" s="363" t="s">
        <v>349</v>
      </c>
      <c r="X45" s="363"/>
      <c r="Y45" s="363"/>
      <c r="Z45" s="363"/>
      <c r="AA45" s="363"/>
      <c r="AB45" s="363"/>
      <c r="AC45" s="363"/>
      <c r="AD45" s="363"/>
      <c r="AE45" s="363" t="s">
        <v>62</v>
      </c>
      <c r="AF45" s="380" t="s">
        <v>63</v>
      </c>
      <c r="AG45" s="380">
        <v>3</v>
      </c>
      <c r="AH45" s="363" t="s">
        <v>340</v>
      </c>
    </row>
    <row r="46" spans="2:34" ht="14.4" hidden="1" x14ac:dyDescent="0.3">
      <c r="B46" s="380" t="s">
        <v>14</v>
      </c>
      <c r="C46" s="392" t="s">
        <v>150</v>
      </c>
      <c r="D46" s="386" t="s">
        <v>350</v>
      </c>
      <c r="E46" s="380">
        <v>4200269912</v>
      </c>
      <c r="F46" s="387">
        <v>45355</v>
      </c>
      <c r="G46" s="380" t="s">
        <v>55</v>
      </c>
      <c r="H46" s="380"/>
      <c r="I46" s="388">
        <v>117500</v>
      </c>
      <c r="J46" s="380">
        <v>3</v>
      </c>
      <c r="K46" s="389">
        <f t="shared" si="0"/>
        <v>39166.666666666664</v>
      </c>
      <c r="L46" s="381">
        <v>45383</v>
      </c>
      <c r="M46" s="381">
        <v>45747</v>
      </c>
      <c r="N46" s="663"/>
      <c r="O46" s="680"/>
      <c r="P46" s="363"/>
      <c r="Q46" s="380"/>
      <c r="R46" s="380"/>
      <c r="S46" s="390" t="s">
        <v>351</v>
      </c>
      <c r="T46" s="363" t="s">
        <v>352</v>
      </c>
      <c r="U46" s="390" t="s">
        <v>353</v>
      </c>
      <c r="V46" s="363" t="s">
        <v>102</v>
      </c>
      <c r="W46" s="390" t="s">
        <v>354</v>
      </c>
      <c r="X46" s="363" t="s">
        <v>355</v>
      </c>
      <c r="Y46" s="363"/>
      <c r="Z46" s="363"/>
      <c r="AA46" s="363"/>
      <c r="AB46" s="363"/>
      <c r="AC46" s="363"/>
      <c r="AD46" s="363"/>
      <c r="AE46" s="363" t="s">
        <v>356</v>
      </c>
      <c r="AF46" s="380" t="s">
        <v>207</v>
      </c>
      <c r="AG46" s="380">
        <v>2</v>
      </c>
      <c r="AH46" s="363" t="s">
        <v>340</v>
      </c>
    </row>
    <row r="47" spans="2:34" ht="14.4" hidden="1" x14ac:dyDescent="0.3">
      <c r="B47" s="380" t="s">
        <v>14</v>
      </c>
      <c r="C47" s="392" t="s">
        <v>150</v>
      </c>
      <c r="D47" s="386" t="s">
        <v>350</v>
      </c>
      <c r="E47" s="380">
        <v>4200269912</v>
      </c>
      <c r="F47" s="387">
        <v>45355</v>
      </c>
      <c r="G47" s="380" t="s">
        <v>55</v>
      </c>
      <c r="H47" s="380">
        <v>1</v>
      </c>
      <c r="I47" s="388">
        <v>117500</v>
      </c>
      <c r="J47" s="380">
        <v>3</v>
      </c>
      <c r="K47" s="389">
        <f t="shared" si="0"/>
        <v>39166.666666666664</v>
      </c>
      <c r="L47" s="381">
        <v>45748</v>
      </c>
      <c r="M47" s="381">
        <v>46112</v>
      </c>
      <c r="N47" s="663"/>
      <c r="O47" s="680"/>
      <c r="P47" s="363" t="s">
        <v>19</v>
      </c>
      <c r="Q47" s="380" t="s">
        <v>3</v>
      </c>
      <c r="R47" s="380"/>
      <c r="S47" s="390" t="s">
        <v>357</v>
      </c>
      <c r="T47" s="363" t="s">
        <v>358</v>
      </c>
      <c r="U47" s="390" t="s">
        <v>359</v>
      </c>
      <c r="V47" s="363" t="s">
        <v>360</v>
      </c>
      <c r="W47" s="390" t="s">
        <v>361</v>
      </c>
      <c r="X47" s="363" t="s">
        <v>173</v>
      </c>
      <c r="Y47" s="363"/>
      <c r="Z47" s="363"/>
      <c r="AA47" s="363"/>
      <c r="AB47" s="363"/>
      <c r="AC47" s="363"/>
      <c r="AD47" s="363"/>
      <c r="AE47" s="363" t="s">
        <v>356</v>
      </c>
      <c r="AF47" s="380" t="s">
        <v>207</v>
      </c>
      <c r="AG47" s="380">
        <v>2</v>
      </c>
      <c r="AH47" s="363" t="s">
        <v>362</v>
      </c>
    </row>
    <row r="48" spans="2:34" ht="14.4" hidden="1" x14ac:dyDescent="0.3">
      <c r="B48" s="380" t="s">
        <v>14</v>
      </c>
      <c r="C48" s="363" t="s">
        <v>363</v>
      </c>
      <c r="D48" s="386" t="s">
        <v>364</v>
      </c>
      <c r="E48" s="380" t="s">
        <v>365</v>
      </c>
      <c r="F48" s="387">
        <v>45442</v>
      </c>
      <c r="G48" s="380" t="s">
        <v>55</v>
      </c>
      <c r="H48" s="380"/>
      <c r="I48" s="388">
        <v>362880</v>
      </c>
      <c r="J48" s="380">
        <v>2</v>
      </c>
      <c r="K48" s="389">
        <f t="shared" si="0"/>
        <v>181440</v>
      </c>
      <c r="L48" s="381">
        <v>45442</v>
      </c>
      <c r="M48" s="381">
        <v>45806</v>
      </c>
      <c r="N48" s="663"/>
      <c r="O48" s="680"/>
      <c r="P48" s="363"/>
      <c r="Q48" s="380"/>
      <c r="R48" s="380"/>
      <c r="S48" s="390" t="s">
        <v>366</v>
      </c>
      <c r="T48" s="363" t="s">
        <v>367</v>
      </c>
      <c r="U48" s="390" t="s">
        <v>368</v>
      </c>
      <c r="V48" s="363" t="s">
        <v>369</v>
      </c>
      <c r="W48" s="363"/>
      <c r="X48" s="363"/>
      <c r="Y48" s="363"/>
      <c r="Z48" s="363"/>
      <c r="AA48" s="363"/>
      <c r="AB48" s="363"/>
      <c r="AC48" s="363"/>
      <c r="AD48" s="363"/>
      <c r="AE48" s="363" t="s">
        <v>356</v>
      </c>
      <c r="AF48" s="380" t="s">
        <v>207</v>
      </c>
      <c r="AG48" s="380">
        <v>12</v>
      </c>
      <c r="AH48" s="363" t="s">
        <v>340</v>
      </c>
    </row>
    <row r="49" spans="2:34" ht="14.4" hidden="1" x14ac:dyDescent="0.3">
      <c r="B49" s="380" t="s">
        <v>14</v>
      </c>
      <c r="C49" s="363" t="s">
        <v>363</v>
      </c>
      <c r="D49" s="386" t="s">
        <v>364</v>
      </c>
      <c r="E49" s="380" t="s">
        <v>365</v>
      </c>
      <c r="F49" s="387">
        <v>45442</v>
      </c>
      <c r="G49" s="380" t="s">
        <v>55</v>
      </c>
      <c r="H49" s="380">
        <v>6</v>
      </c>
      <c r="I49" s="388">
        <v>362880</v>
      </c>
      <c r="J49" s="380">
        <v>2</v>
      </c>
      <c r="K49" s="389">
        <f t="shared" si="0"/>
        <v>181440</v>
      </c>
      <c r="L49" s="381">
        <v>45807</v>
      </c>
      <c r="M49" s="381">
        <v>46171</v>
      </c>
      <c r="N49" s="663"/>
      <c r="O49" s="680"/>
      <c r="P49" s="363" t="s">
        <v>19</v>
      </c>
      <c r="Q49" s="380" t="s">
        <v>6</v>
      </c>
      <c r="R49" s="380"/>
      <c r="S49" s="390" t="s">
        <v>370</v>
      </c>
      <c r="T49" s="363" t="s">
        <v>371</v>
      </c>
      <c r="U49" s="390" t="s">
        <v>372</v>
      </c>
      <c r="V49" s="363" t="s">
        <v>373</v>
      </c>
      <c r="W49" s="363"/>
      <c r="X49" s="363"/>
      <c r="Y49" s="363"/>
      <c r="Z49" s="363"/>
      <c r="AA49" s="363"/>
      <c r="AB49" s="363"/>
      <c r="AC49" s="363"/>
      <c r="AD49" s="363"/>
      <c r="AE49" s="363" t="s">
        <v>356</v>
      </c>
      <c r="AF49" s="380" t="s">
        <v>207</v>
      </c>
      <c r="AG49" s="380">
        <v>12</v>
      </c>
      <c r="AH49" s="363" t="s">
        <v>340</v>
      </c>
    </row>
    <row r="50" spans="2:34" ht="14.4" hidden="1" x14ac:dyDescent="0.3">
      <c r="B50" s="380" t="s">
        <v>14</v>
      </c>
      <c r="C50" s="363" t="s">
        <v>374</v>
      </c>
      <c r="D50" s="386" t="s">
        <v>375</v>
      </c>
      <c r="E50" s="380">
        <v>2260058861</v>
      </c>
      <c r="F50" s="387">
        <v>45450</v>
      </c>
      <c r="G50" s="380" t="s">
        <v>55</v>
      </c>
      <c r="H50" s="380"/>
      <c r="I50" s="388">
        <f>607992/2</f>
        <v>303996</v>
      </c>
      <c r="J50" s="380">
        <v>3</v>
      </c>
      <c r="K50" s="389">
        <f t="shared" si="0"/>
        <v>101332</v>
      </c>
      <c r="L50" s="381">
        <v>45383</v>
      </c>
      <c r="M50" s="381">
        <v>45747</v>
      </c>
      <c r="N50" s="663"/>
      <c r="O50" s="680"/>
      <c r="P50" s="363"/>
      <c r="Q50" s="380"/>
      <c r="R50" s="380"/>
      <c r="S50" s="390" t="s">
        <v>351</v>
      </c>
      <c r="T50" s="363" t="s">
        <v>376</v>
      </c>
      <c r="U50" s="390" t="s">
        <v>353</v>
      </c>
      <c r="V50" s="363" t="s">
        <v>377</v>
      </c>
      <c r="W50" s="390" t="s">
        <v>354</v>
      </c>
      <c r="X50" s="363" t="s">
        <v>378</v>
      </c>
      <c r="Y50" s="363"/>
      <c r="Z50" s="363"/>
      <c r="AA50" s="363"/>
      <c r="AB50" s="363"/>
      <c r="AC50" s="363"/>
      <c r="AD50" s="363"/>
      <c r="AE50" s="363" t="s">
        <v>62</v>
      </c>
      <c r="AF50" s="380" t="s">
        <v>63</v>
      </c>
      <c r="AG50" s="380">
        <v>12</v>
      </c>
      <c r="AH50" s="363" t="s">
        <v>340</v>
      </c>
    </row>
    <row r="51" spans="2:34" ht="14.4" hidden="1" x14ac:dyDescent="0.3">
      <c r="B51" s="380" t="s">
        <v>14</v>
      </c>
      <c r="C51" s="363" t="s">
        <v>374</v>
      </c>
      <c r="D51" s="386" t="s">
        <v>375</v>
      </c>
      <c r="E51" s="396">
        <v>2260058861</v>
      </c>
      <c r="F51" s="387">
        <v>45450</v>
      </c>
      <c r="G51" s="380" t="s">
        <v>55</v>
      </c>
      <c r="H51" s="380">
        <v>4</v>
      </c>
      <c r="I51" s="388">
        <f>607992/2</f>
        <v>303996</v>
      </c>
      <c r="J51" s="380">
        <v>3</v>
      </c>
      <c r="K51" s="389">
        <f t="shared" si="0"/>
        <v>101332</v>
      </c>
      <c r="L51" s="381">
        <v>45748</v>
      </c>
      <c r="M51" s="381">
        <v>46112</v>
      </c>
      <c r="N51" s="663"/>
      <c r="O51" s="680"/>
      <c r="P51" s="363" t="s">
        <v>19</v>
      </c>
      <c r="Q51" s="380" t="s">
        <v>3</v>
      </c>
      <c r="R51" s="380"/>
      <c r="S51" s="390" t="s">
        <v>357</v>
      </c>
      <c r="T51" s="363" t="s">
        <v>379</v>
      </c>
      <c r="U51" s="390" t="s">
        <v>359</v>
      </c>
      <c r="V51" s="363" t="s">
        <v>289</v>
      </c>
      <c r="W51" s="390" t="s">
        <v>361</v>
      </c>
      <c r="X51" s="363" t="s">
        <v>380</v>
      </c>
      <c r="Y51" s="363"/>
      <c r="Z51" s="363"/>
      <c r="AA51" s="363"/>
      <c r="AB51" s="363"/>
      <c r="AC51" s="363"/>
      <c r="AD51" s="363"/>
      <c r="AE51" s="363" t="s">
        <v>62</v>
      </c>
      <c r="AF51" s="380" t="s">
        <v>63</v>
      </c>
      <c r="AG51" s="380">
        <v>12</v>
      </c>
      <c r="AH51" s="363" t="s">
        <v>340</v>
      </c>
    </row>
    <row r="52" spans="2:34" ht="14.4" hidden="1" x14ac:dyDescent="0.3">
      <c r="B52" s="380" t="s">
        <v>14</v>
      </c>
      <c r="C52" s="363" t="s">
        <v>381</v>
      </c>
      <c r="D52" s="386" t="s">
        <v>86</v>
      </c>
      <c r="E52" s="397" t="s">
        <v>382</v>
      </c>
      <c r="F52" s="387">
        <v>45467</v>
      </c>
      <c r="G52" s="380" t="s">
        <v>55</v>
      </c>
      <c r="H52" s="380"/>
      <c r="I52" s="388">
        <f>3582696/2</f>
        <v>1791348</v>
      </c>
      <c r="J52" s="380">
        <v>3</v>
      </c>
      <c r="K52" s="389">
        <f t="shared" si="0"/>
        <v>597116</v>
      </c>
      <c r="L52" s="381">
        <v>45474</v>
      </c>
      <c r="M52" s="381">
        <v>45838</v>
      </c>
      <c r="N52" s="663"/>
      <c r="O52" s="680"/>
      <c r="P52" s="363"/>
      <c r="Q52" s="380"/>
      <c r="R52" s="380"/>
      <c r="S52" s="390" t="s">
        <v>184</v>
      </c>
      <c r="T52" s="363" t="s">
        <v>383</v>
      </c>
      <c r="U52" s="390" t="s">
        <v>186</v>
      </c>
      <c r="V52" s="363" t="s">
        <v>104</v>
      </c>
      <c r="W52" s="390" t="s">
        <v>188</v>
      </c>
      <c r="X52" s="363" t="s">
        <v>384</v>
      </c>
      <c r="Y52" s="363"/>
      <c r="Z52" s="363"/>
      <c r="AA52" s="363"/>
      <c r="AB52" s="363"/>
      <c r="AC52" s="363"/>
      <c r="AD52" s="363"/>
      <c r="AE52" s="363" t="s">
        <v>96</v>
      </c>
      <c r="AF52" s="380" t="s">
        <v>97</v>
      </c>
      <c r="AG52" s="380" t="s">
        <v>98</v>
      </c>
      <c r="AH52" s="363" t="s">
        <v>385</v>
      </c>
    </row>
    <row r="53" spans="2:34" ht="14.4" hidden="1" x14ac:dyDescent="0.3">
      <c r="B53" s="380" t="s">
        <v>14</v>
      </c>
      <c r="C53" s="363" t="s">
        <v>381</v>
      </c>
      <c r="D53" s="386" t="s">
        <v>86</v>
      </c>
      <c r="E53" s="397" t="s">
        <v>382</v>
      </c>
      <c r="F53" s="387">
        <v>45467</v>
      </c>
      <c r="G53" s="380" t="s">
        <v>55</v>
      </c>
      <c r="H53" s="380">
        <v>26</v>
      </c>
      <c r="I53" s="388">
        <f>3582696/2</f>
        <v>1791348</v>
      </c>
      <c r="J53" s="380">
        <v>3</v>
      </c>
      <c r="K53" s="389">
        <f t="shared" si="0"/>
        <v>597116</v>
      </c>
      <c r="L53" s="381">
        <v>45839</v>
      </c>
      <c r="M53" s="381">
        <v>46203</v>
      </c>
      <c r="N53" s="663"/>
      <c r="O53" s="680"/>
      <c r="P53" s="363" t="s">
        <v>19</v>
      </c>
      <c r="Q53" s="380" t="s">
        <v>9</v>
      </c>
      <c r="R53" s="380"/>
      <c r="S53" s="390" t="s">
        <v>190</v>
      </c>
      <c r="T53" s="363" t="s">
        <v>110</v>
      </c>
      <c r="U53" s="390" t="s">
        <v>192</v>
      </c>
      <c r="V53" s="363" t="s">
        <v>386</v>
      </c>
      <c r="W53" s="390" t="s">
        <v>194</v>
      </c>
      <c r="X53" s="363" t="s">
        <v>1846</v>
      </c>
      <c r="Y53" s="363"/>
      <c r="Z53" s="363"/>
      <c r="AA53" s="363"/>
      <c r="AB53" s="363"/>
      <c r="AC53" s="363"/>
      <c r="AD53" s="363"/>
      <c r="AE53" s="363" t="s">
        <v>96</v>
      </c>
      <c r="AF53" s="380" t="s">
        <v>97</v>
      </c>
      <c r="AG53" s="380" t="s">
        <v>98</v>
      </c>
      <c r="AH53" s="363" t="s">
        <v>385</v>
      </c>
    </row>
    <row r="54" spans="2:34" ht="14.4" hidden="1" x14ac:dyDescent="0.3">
      <c r="B54" s="380" t="s">
        <v>14</v>
      </c>
      <c r="C54" s="363" t="s">
        <v>387</v>
      </c>
      <c r="D54" s="386" t="s">
        <v>388</v>
      </c>
      <c r="E54" s="380">
        <v>4500023979</v>
      </c>
      <c r="F54" s="387">
        <v>45488</v>
      </c>
      <c r="G54" s="380" t="s">
        <v>55</v>
      </c>
      <c r="H54" s="380"/>
      <c r="I54" s="388">
        <v>67651</v>
      </c>
      <c r="J54" s="380">
        <v>4</v>
      </c>
      <c r="K54" s="389">
        <f t="shared" si="0"/>
        <v>16912.75</v>
      </c>
      <c r="L54" s="381">
        <v>45474</v>
      </c>
      <c r="M54" s="381">
        <v>45838</v>
      </c>
      <c r="N54" s="663"/>
      <c r="O54" s="680"/>
      <c r="P54" s="363"/>
      <c r="Q54" s="380"/>
      <c r="R54" s="380"/>
      <c r="S54" s="390" t="s">
        <v>160</v>
      </c>
      <c r="T54" s="363" t="s">
        <v>389</v>
      </c>
      <c r="U54" s="390" t="s">
        <v>222</v>
      </c>
      <c r="V54" s="363" t="s">
        <v>163</v>
      </c>
      <c r="W54" s="390" t="s">
        <v>390</v>
      </c>
      <c r="X54" s="363" t="s">
        <v>378</v>
      </c>
      <c r="Y54" s="390" t="s">
        <v>391</v>
      </c>
      <c r="Z54" s="363" t="s">
        <v>392</v>
      </c>
      <c r="AA54" s="363"/>
      <c r="AB54" s="363"/>
      <c r="AC54" s="363"/>
      <c r="AD54" s="363"/>
      <c r="AE54" s="363" t="s">
        <v>393</v>
      </c>
      <c r="AF54" s="380" t="s">
        <v>63</v>
      </c>
      <c r="AG54" s="380">
        <v>4</v>
      </c>
      <c r="AH54" s="363" t="s">
        <v>332</v>
      </c>
    </row>
    <row r="55" spans="2:34" ht="14.4" hidden="1" x14ac:dyDescent="0.3">
      <c r="B55" s="398" t="s">
        <v>14</v>
      </c>
      <c r="C55" s="399" t="s">
        <v>387</v>
      </c>
      <c r="D55" s="400" t="s">
        <v>388</v>
      </c>
      <c r="E55" s="398">
        <v>4500023979</v>
      </c>
      <c r="F55" s="401">
        <v>45488</v>
      </c>
      <c r="G55" s="380" t="s">
        <v>55</v>
      </c>
      <c r="H55" s="402"/>
      <c r="I55" s="388">
        <v>67651</v>
      </c>
      <c r="J55" s="380">
        <v>4</v>
      </c>
      <c r="K55" s="389">
        <f t="shared" si="0"/>
        <v>16912.75</v>
      </c>
      <c r="L55" s="381">
        <v>45839</v>
      </c>
      <c r="M55" s="381">
        <v>46203</v>
      </c>
      <c r="N55" s="663"/>
      <c r="O55" s="680"/>
      <c r="P55" s="363"/>
      <c r="Q55" s="380"/>
      <c r="R55" s="380"/>
      <c r="S55" s="390" t="s">
        <v>168</v>
      </c>
      <c r="T55" s="363" t="s">
        <v>394</v>
      </c>
      <c r="U55" s="390" t="s">
        <v>228</v>
      </c>
      <c r="V55" s="363" t="s">
        <v>395</v>
      </c>
      <c r="W55" s="403" t="s">
        <v>396</v>
      </c>
      <c r="X55" s="363"/>
      <c r="Y55" s="403" t="s">
        <v>397</v>
      </c>
      <c r="Z55" s="363"/>
      <c r="AA55" s="363"/>
      <c r="AB55" s="363"/>
      <c r="AC55" s="363"/>
      <c r="AD55" s="363"/>
      <c r="AE55" s="363" t="s">
        <v>393</v>
      </c>
      <c r="AF55" s="380" t="s">
        <v>63</v>
      </c>
      <c r="AG55" s="380">
        <v>4</v>
      </c>
      <c r="AH55" s="363" t="s">
        <v>332</v>
      </c>
    </row>
    <row r="56" spans="2:34" ht="14.4" hidden="1" x14ac:dyDescent="0.3">
      <c r="B56" s="380" t="s">
        <v>14</v>
      </c>
      <c r="C56" s="392" t="s">
        <v>150</v>
      </c>
      <c r="D56" s="386" t="s">
        <v>398</v>
      </c>
      <c r="E56" s="380">
        <v>4200280308</v>
      </c>
      <c r="F56" s="387">
        <v>45443</v>
      </c>
      <c r="G56" s="380" t="s">
        <v>55</v>
      </c>
      <c r="H56" s="380"/>
      <c r="I56" s="388">
        <v>117600</v>
      </c>
      <c r="J56" s="380">
        <v>3</v>
      </c>
      <c r="K56" s="389">
        <f t="shared" si="0"/>
        <v>39200</v>
      </c>
      <c r="L56" s="381">
        <v>45444</v>
      </c>
      <c r="M56" s="381">
        <v>45808</v>
      </c>
      <c r="N56" s="663"/>
      <c r="O56" s="680"/>
      <c r="P56" s="363" t="s">
        <v>520</v>
      </c>
      <c r="Q56" s="380"/>
      <c r="R56" s="380"/>
      <c r="S56" s="390" t="s">
        <v>314</v>
      </c>
      <c r="T56" s="363" t="s">
        <v>399</v>
      </c>
      <c r="U56" s="390" t="s">
        <v>316</v>
      </c>
      <c r="V56" s="363" t="s">
        <v>400</v>
      </c>
      <c r="W56" s="390" t="s">
        <v>79</v>
      </c>
      <c r="X56" s="363" t="s">
        <v>401</v>
      </c>
      <c r="Y56" s="363"/>
      <c r="Z56" s="363"/>
      <c r="AA56" s="363"/>
      <c r="AB56" s="363"/>
      <c r="AC56" s="363"/>
      <c r="AD56" s="363"/>
      <c r="AE56" s="363" t="s">
        <v>128</v>
      </c>
      <c r="AF56" s="380" t="s">
        <v>129</v>
      </c>
      <c r="AG56" s="380">
        <v>4</v>
      </c>
      <c r="AH56" s="363"/>
    </row>
    <row r="57" spans="2:34" ht="14.4" hidden="1" x14ac:dyDescent="0.3">
      <c r="B57" s="380" t="s">
        <v>14</v>
      </c>
      <c r="C57" s="392" t="s">
        <v>150</v>
      </c>
      <c r="D57" s="386" t="s">
        <v>398</v>
      </c>
      <c r="E57" s="380">
        <v>4200280308</v>
      </c>
      <c r="F57" s="387">
        <v>45443</v>
      </c>
      <c r="G57" s="380" t="s">
        <v>55</v>
      </c>
      <c r="H57" s="380"/>
      <c r="I57" s="388">
        <v>123480</v>
      </c>
      <c r="J57" s="380">
        <v>3</v>
      </c>
      <c r="K57" s="391">
        <f t="shared" si="0"/>
        <v>41160</v>
      </c>
      <c r="L57" s="381">
        <v>45809</v>
      </c>
      <c r="M57" s="381">
        <v>46173</v>
      </c>
      <c r="N57" s="663"/>
      <c r="O57" s="680"/>
      <c r="P57" s="363" t="s">
        <v>520</v>
      </c>
      <c r="Q57" s="380"/>
      <c r="R57" s="380"/>
      <c r="S57" s="390" t="s">
        <v>81</v>
      </c>
      <c r="T57" s="363" t="s">
        <v>402</v>
      </c>
      <c r="U57" s="390" t="s">
        <v>83</v>
      </c>
      <c r="V57" s="363" t="s">
        <v>403</v>
      </c>
      <c r="W57" s="390" t="s">
        <v>404</v>
      </c>
      <c r="X57" s="363" t="s">
        <v>1847</v>
      </c>
      <c r="Y57" s="363"/>
      <c r="Z57" s="363"/>
      <c r="AA57" s="363"/>
      <c r="AB57" s="363"/>
      <c r="AC57" s="363"/>
      <c r="AD57" s="363"/>
      <c r="AE57" s="363" t="s">
        <v>128</v>
      </c>
      <c r="AF57" s="380" t="s">
        <v>129</v>
      </c>
      <c r="AG57" s="380">
        <v>4</v>
      </c>
      <c r="AH57" s="363" t="s">
        <v>405</v>
      </c>
    </row>
    <row r="58" spans="2:34" ht="14.4" hidden="1" x14ac:dyDescent="0.3">
      <c r="B58" s="380" t="s">
        <v>14</v>
      </c>
      <c r="C58" s="392" t="s">
        <v>150</v>
      </c>
      <c r="D58" s="386" t="s">
        <v>398</v>
      </c>
      <c r="E58" s="380">
        <v>4200280308</v>
      </c>
      <c r="F58" s="387">
        <v>45443</v>
      </c>
      <c r="G58" s="380" t="s">
        <v>55</v>
      </c>
      <c r="H58" s="380">
        <v>2</v>
      </c>
      <c r="I58" s="388">
        <v>129654</v>
      </c>
      <c r="J58" s="380">
        <v>3</v>
      </c>
      <c r="K58" s="389">
        <f t="shared" si="0"/>
        <v>43218</v>
      </c>
      <c r="L58" s="381">
        <v>46174</v>
      </c>
      <c r="M58" s="381">
        <v>46538</v>
      </c>
      <c r="N58" s="663"/>
      <c r="O58" s="680"/>
      <c r="P58" s="363" t="s">
        <v>520</v>
      </c>
      <c r="Q58" s="380"/>
      <c r="R58" s="380"/>
      <c r="S58" s="363" t="s">
        <v>406</v>
      </c>
      <c r="T58" s="363"/>
      <c r="U58" s="363" t="s">
        <v>407</v>
      </c>
      <c r="V58" s="363"/>
      <c r="W58" s="363" t="s">
        <v>408</v>
      </c>
      <c r="X58" s="363"/>
      <c r="Y58" s="363"/>
      <c r="Z58" s="363"/>
      <c r="AA58" s="363"/>
      <c r="AB58" s="363"/>
      <c r="AC58" s="363"/>
      <c r="AD58" s="363"/>
      <c r="AE58" s="363" t="s">
        <v>128</v>
      </c>
      <c r="AF58" s="380" t="s">
        <v>129</v>
      </c>
      <c r="AG58" s="380">
        <v>4</v>
      </c>
      <c r="AH58" s="363" t="s">
        <v>405</v>
      </c>
    </row>
    <row r="59" spans="2:34" ht="14.4" hidden="1" x14ac:dyDescent="0.3">
      <c r="B59" s="380" t="s">
        <v>14</v>
      </c>
      <c r="C59" s="363" t="s">
        <v>409</v>
      </c>
      <c r="D59" s="386" t="s">
        <v>86</v>
      </c>
      <c r="E59" s="397" t="s">
        <v>410</v>
      </c>
      <c r="F59" s="404">
        <v>45558</v>
      </c>
      <c r="G59" s="380" t="s">
        <v>55</v>
      </c>
      <c r="H59" s="380"/>
      <c r="I59" s="388">
        <f>290488/2</f>
        <v>145244</v>
      </c>
      <c r="J59" s="380">
        <v>3</v>
      </c>
      <c r="K59" s="389">
        <f t="shared" si="0"/>
        <v>48414.666666666664</v>
      </c>
      <c r="L59" s="381">
        <v>45566</v>
      </c>
      <c r="M59" s="381">
        <v>45930</v>
      </c>
      <c r="N59" s="663"/>
      <c r="O59" s="680"/>
      <c r="P59" s="363"/>
      <c r="Q59" s="380"/>
      <c r="R59" s="380"/>
      <c r="S59" s="390" t="s">
        <v>411</v>
      </c>
      <c r="T59" s="363" t="s">
        <v>412</v>
      </c>
      <c r="U59" s="390" t="s">
        <v>318</v>
      </c>
      <c r="V59" s="363" t="s">
        <v>413</v>
      </c>
      <c r="W59" s="390" t="s">
        <v>414</v>
      </c>
      <c r="X59" s="363" t="s">
        <v>415</v>
      </c>
      <c r="Y59" s="363"/>
      <c r="Z59" s="363"/>
      <c r="AA59" s="363"/>
      <c r="AB59" s="363"/>
      <c r="AC59" s="363"/>
      <c r="AD59" s="363"/>
      <c r="AE59" s="363" t="s">
        <v>281</v>
      </c>
      <c r="AF59" s="380" t="s">
        <v>97</v>
      </c>
      <c r="AG59" s="380">
        <v>6</v>
      </c>
      <c r="AH59" s="363" t="s">
        <v>332</v>
      </c>
    </row>
    <row r="60" spans="2:34" ht="14.4" hidden="1" x14ac:dyDescent="0.3">
      <c r="B60" s="380" t="s">
        <v>14</v>
      </c>
      <c r="C60" s="363" t="s">
        <v>409</v>
      </c>
      <c r="D60" s="386" t="s">
        <v>86</v>
      </c>
      <c r="E60" s="397" t="s">
        <v>410</v>
      </c>
      <c r="F60" s="404">
        <v>45558</v>
      </c>
      <c r="G60" s="380" t="s">
        <v>55</v>
      </c>
      <c r="H60" s="380">
        <v>2</v>
      </c>
      <c r="I60" s="388">
        <f>290488/2</f>
        <v>145244</v>
      </c>
      <c r="J60" s="380">
        <v>3</v>
      </c>
      <c r="K60" s="391">
        <f t="shared" si="0"/>
        <v>48414.666666666664</v>
      </c>
      <c r="L60" s="381">
        <v>45931</v>
      </c>
      <c r="M60" s="381">
        <v>46295</v>
      </c>
      <c r="N60" s="663"/>
      <c r="O60" s="680"/>
      <c r="P60" s="363" t="s">
        <v>520</v>
      </c>
      <c r="Q60" s="380"/>
      <c r="R60" s="380"/>
      <c r="S60" s="390" t="s">
        <v>416</v>
      </c>
      <c r="T60" s="363" t="s">
        <v>417</v>
      </c>
      <c r="U60" s="390" t="s">
        <v>321</v>
      </c>
      <c r="V60" s="363" t="s">
        <v>1524</v>
      </c>
      <c r="W60" s="363" t="s">
        <v>418</v>
      </c>
      <c r="X60" s="363"/>
      <c r="Y60" s="363"/>
      <c r="Z60" s="363"/>
      <c r="AA60" s="363"/>
      <c r="AB60" s="363"/>
      <c r="AC60" s="363"/>
      <c r="AD60" s="363"/>
      <c r="AE60" s="363" t="s">
        <v>281</v>
      </c>
      <c r="AF60" s="380" t="s">
        <v>97</v>
      </c>
      <c r="AG60" s="380">
        <v>6</v>
      </c>
      <c r="AH60" s="363" t="s">
        <v>332</v>
      </c>
    </row>
    <row r="61" spans="2:34" ht="14.4" hidden="1" x14ac:dyDescent="0.3">
      <c r="B61" s="380" t="s">
        <v>14</v>
      </c>
      <c r="C61" s="363" t="s">
        <v>419</v>
      </c>
      <c r="D61" s="386" t="s">
        <v>151</v>
      </c>
      <c r="E61" s="380">
        <v>4508706140</v>
      </c>
      <c r="F61" s="387">
        <v>45566</v>
      </c>
      <c r="G61" s="380" t="s">
        <v>55</v>
      </c>
      <c r="H61" s="380"/>
      <c r="I61" s="388">
        <f>59400+59400+54000+32000</f>
        <v>204800</v>
      </c>
      <c r="J61" s="380">
        <v>2</v>
      </c>
      <c r="K61" s="389">
        <f t="shared" si="0"/>
        <v>102400</v>
      </c>
      <c r="L61" s="381">
        <v>45505</v>
      </c>
      <c r="M61" s="381">
        <v>45869</v>
      </c>
      <c r="N61" s="663"/>
      <c r="O61" s="680"/>
      <c r="P61" s="363"/>
      <c r="Q61" s="380"/>
      <c r="R61" s="380" t="s">
        <v>1</v>
      </c>
      <c r="S61" s="390" t="s">
        <v>420</v>
      </c>
      <c r="T61" s="363" t="s">
        <v>421</v>
      </c>
      <c r="U61" s="390" t="s">
        <v>422</v>
      </c>
      <c r="V61" s="363" t="s">
        <v>423</v>
      </c>
      <c r="W61" s="363"/>
      <c r="X61" s="363"/>
      <c r="Y61" s="363"/>
      <c r="Z61" s="363"/>
      <c r="AA61" s="363"/>
      <c r="AB61" s="363"/>
      <c r="AC61" s="363"/>
      <c r="AD61" s="363"/>
      <c r="AE61" s="363" t="s">
        <v>62</v>
      </c>
      <c r="AF61" s="380" t="s">
        <v>63</v>
      </c>
      <c r="AG61" s="380">
        <v>9</v>
      </c>
      <c r="AH61" s="363" t="s">
        <v>332</v>
      </c>
    </row>
    <row r="62" spans="2:34" ht="14.4" hidden="1" x14ac:dyDescent="0.3">
      <c r="B62" s="380" t="s">
        <v>14</v>
      </c>
      <c r="C62" s="363" t="s">
        <v>419</v>
      </c>
      <c r="D62" s="386" t="s">
        <v>151</v>
      </c>
      <c r="E62" s="380">
        <v>4508706140</v>
      </c>
      <c r="F62" s="387">
        <v>45566</v>
      </c>
      <c r="G62" s="380" t="s">
        <v>55</v>
      </c>
      <c r="H62" s="380"/>
      <c r="I62" s="388">
        <f>59400+59400+54000+32000</f>
        <v>204800</v>
      </c>
      <c r="J62" s="380">
        <v>2</v>
      </c>
      <c r="K62" s="389">
        <f t="shared" si="0"/>
        <v>102400</v>
      </c>
      <c r="L62" s="381">
        <v>45870</v>
      </c>
      <c r="M62" s="381">
        <v>46234</v>
      </c>
      <c r="N62" s="663">
        <v>154833</v>
      </c>
      <c r="O62" s="680">
        <v>4482</v>
      </c>
      <c r="P62" s="363"/>
      <c r="Q62" s="380"/>
      <c r="R62" s="380" t="s">
        <v>1</v>
      </c>
      <c r="S62" s="390" t="s">
        <v>424</v>
      </c>
      <c r="T62" s="363" t="s">
        <v>425</v>
      </c>
      <c r="U62" s="390" t="s">
        <v>426</v>
      </c>
      <c r="V62" s="363" t="s">
        <v>1934</v>
      </c>
      <c r="W62" s="363"/>
      <c r="X62" s="363"/>
      <c r="Y62" s="363"/>
      <c r="Z62" s="363"/>
      <c r="AA62" s="363"/>
      <c r="AB62" s="363"/>
      <c r="AC62" s="363"/>
      <c r="AD62" s="363"/>
      <c r="AE62" s="363" t="s">
        <v>62</v>
      </c>
      <c r="AF62" s="380" t="s">
        <v>63</v>
      </c>
      <c r="AG62" s="380">
        <v>9</v>
      </c>
      <c r="AH62" s="363" t="s">
        <v>332</v>
      </c>
    </row>
    <row r="63" spans="2:34" ht="14.4" hidden="1" x14ac:dyDescent="0.3">
      <c r="B63" s="380" t="s">
        <v>14</v>
      </c>
      <c r="C63" s="363" t="s">
        <v>419</v>
      </c>
      <c r="D63" s="386" t="s">
        <v>151</v>
      </c>
      <c r="E63" s="542">
        <v>4508706140</v>
      </c>
      <c r="F63" s="387">
        <v>45566</v>
      </c>
      <c r="G63" s="380" t="s">
        <v>55</v>
      </c>
      <c r="H63" s="380">
        <v>3</v>
      </c>
      <c r="I63" s="388">
        <f>59400+59400+54000+32000</f>
        <v>204800</v>
      </c>
      <c r="J63" s="380">
        <v>2</v>
      </c>
      <c r="K63" s="389">
        <f t="shared" si="0"/>
        <v>102400</v>
      </c>
      <c r="L63" s="381">
        <v>46235</v>
      </c>
      <c r="M63" s="381">
        <v>46599</v>
      </c>
      <c r="N63" s="663"/>
      <c r="O63" s="680"/>
      <c r="P63" s="363" t="s">
        <v>520</v>
      </c>
      <c r="Q63" s="380"/>
      <c r="R63" s="380" t="s">
        <v>1</v>
      </c>
      <c r="S63" s="363" t="s">
        <v>427</v>
      </c>
      <c r="T63" s="363"/>
      <c r="U63" s="363" t="s">
        <v>428</v>
      </c>
      <c r="V63" s="363"/>
      <c r="W63" s="363"/>
      <c r="X63" s="363"/>
      <c r="Y63" s="363"/>
      <c r="Z63" s="363"/>
      <c r="AA63" s="363"/>
      <c r="AB63" s="363"/>
      <c r="AC63" s="363"/>
      <c r="AD63" s="363"/>
      <c r="AE63" s="363" t="s">
        <v>62</v>
      </c>
      <c r="AF63" s="380" t="s">
        <v>63</v>
      </c>
      <c r="AG63" s="380">
        <v>9</v>
      </c>
      <c r="AH63" s="363" t="s">
        <v>332</v>
      </c>
    </row>
    <row r="64" spans="2:34" ht="14.4" hidden="1" x14ac:dyDescent="0.3">
      <c r="B64" s="380" t="s">
        <v>14</v>
      </c>
      <c r="C64" s="363" t="s">
        <v>419</v>
      </c>
      <c r="D64" s="386" t="s">
        <v>151</v>
      </c>
      <c r="E64" s="380">
        <v>4508706120</v>
      </c>
      <c r="F64" s="387">
        <v>45566</v>
      </c>
      <c r="G64" s="380" t="s">
        <v>55</v>
      </c>
      <c r="H64" s="380"/>
      <c r="I64" s="388">
        <f t="shared" ref="I64:I69" si="1">54000+54000+32000</f>
        <v>140000</v>
      </c>
      <c r="J64" s="380">
        <v>2</v>
      </c>
      <c r="K64" s="389">
        <f t="shared" si="0"/>
        <v>70000</v>
      </c>
      <c r="L64" s="381">
        <v>45505</v>
      </c>
      <c r="M64" s="381">
        <v>45869</v>
      </c>
      <c r="N64" s="663"/>
      <c r="O64" s="680"/>
      <c r="P64" s="363"/>
      <c r="Q64" s="380"/>
      <c r="R64" s="380" t="s">
        <v>1</v>
      </c>
      <c r="S64" s="390" t="s">
        <v>420</v>
      </c>
      <c r="T64" s="363" t="s">
        <v>421</v>
      </c>
      <c r="U64" s="390" t="s">
        <v>422</v>
      </c>
      <c r="V64" s="363" t="s">
        <v>429</v>
      </c>
      <c r="W64" s="363"/>
      <c r="X64" s="363"/>
      <c r="Y64" s="363"/>
      <c r="Z64" s="363"/>
      <c r="AA64" s="363"/>
      <c r="AB64" s="363"/>
      <c r="AC64" s="363"/>
      <c r="AD64" s="363"/>
      <c r="AE64" s="363" t="s">
        <v>62</v>
      </c>
      <c r="AF64" s="380" t="s">
        <v>63</v>
      </c>
      <c r="AG64" s="380">
        <v>9</v>
      </c>
      <c r="AH64" s="363" t="s">
        <v>332</v>
      </c>
    </row>
    <row r="65" spans="2:34" ht="14.4" hidden="1" x14ac:dyDescent="0.3">
      <c r="B65" s="380" t="s">
        <v>14</v>
      </c>
      <c r="C65" s="363" t="s">
        <v>419</v>
      </c>
      <c r="D65" s="386" t="s">
        <v>151</v>
      </c>
      <c r="E65" s="380">
        <v>4508706120</v>
      </c>
      <c r="F65" s="387">
        <v>45566</v>
      </c>
      <c r="G65" s="380" t="s">
        <v>55</v>
      </c>
      <c r="H65" s="380"/>
      <c r="I65" s="388">
        <f t="shared" si="1"/>
        <v>140000</v>
      </c>
      <c r="J65" s="380">
        <v>2</v>
      </c>
      <c r="K65" s="389">
        <f t="shared" si="0"/>
        <v>70000</v>
      </c>
      <c r="L65" s="381">
        <v>45870</v>
      </c>
      <c r="M65" s="381">
        <v>46234</v>
      </c>
      <c r="N65" s="663">
        <v>154831</v>
      </c>
      <c r="O65" s="680">
        <v>4480</v>
      </c>
      <c r="P65" s="363"/>
      <c r="Q65" s="380"/>
      <c r="R65" s="380" t="s">
        <v>1</v>
      </c>
      <c r="S65" s="390" t="s">
        <v>424</v>
      </c>
      <c r="T65" s="363" t="s">
        <v>430</v>
      </c>
      <c r="U65" s="390" t="s">
        <v>426</v>
      </c>
      <c r="V65" s="363" t="s">
        <v>1935</v>
      </c>
      <c r="W65" s="363"/>
      <c r="X65" s="363"/>
      <c r="Y65" s="363"/>
      <c r="Z65" s="363"/>
      <c r="AA65" s="363"/>
      <c r="AB65" s="363"/>
      <c r="AC65" s="363"/>
      <c r="AD65" s="363"/>
      <c r="AE65" s="363" t="s">
        <v>62</v>
      </c>
      <c r="AF65" s="380" t="s">
        <v>63</v>
      </c>
      <c r="AG65" s="380">
        <v>9</v>
      </c>
      <c r="AH65" s="363" t="s">
        <v>332</v>
      </c>
    </row>
    <row r="66" spans="2:34" ht="14.4" hidden="1" x14ac:dyDescent="0.3">
      <c r="B66" s="380" t="s">
        <v>14</v>
      </c>
      <c r="C66" s="363" t="s">
        <v>419</v>
      </c>
      <c r="D66" s="386" t="s">
        <v>151</v>
      </c>
      <c r="E66" s="380">
        <v>4508706120</v>
      </c>
      <c r="F66" s="387">
        <v>45566</v>
      </c>
      <c r="G66" s="380" t="s">
        <v>55</v>
      </c>
      <c r="H66" s="380">
        <v>2</v>
      </c>
      <c r="I66" s="388">
        <f t="shared" si="1"/>
        <v>140000</v>
      </c>
      <c r="J66" s="380">
        <v>2</v>
      </c>
      <c r="K66" s="389">
        <f t="shared" si="0"/>
        <v>70000</v>
      </c>
      <c r="L66" s="381">
        <v>46235</v>
      </c>
      <c r="M66" s="381">
        <v>46599</v>
      </c>
      <c r="N66" s="663"/>
      <c r="O66" s="680"/>
      <c r="P66" s="363" t="s">
        <v>520</v>
      </c>
      <c r="Q66" s="380"/>
      <c r="R66" s="380" t="s">
        <v>1</v>
      </c>
      <c r="S66" s="363" t="s">
        <v>427</v>
      </c>
      <c r="T66" s="363"/>
      <c r="U66" s="363" t="s">
        <v>428</v>
      </c>
      <c r="V66" s="363"/>
      <c r="W66" s="363"/>
      <c r="X66" s="363"/>
      <c r="Y66" s="363"/>
      <c r="Z66" s="363"/>
      <c r="AA66" s="363"/>
      <c r="AB66" s="363"/>
      <c r="AC66" s="363"/>
      <c r="AD66" s="363"/>
      <c r="AE66" s="363" t="s">
        <v>62</v>
      </c>
      <c r="AF66" s="380" t="s">
        <v>63</v>
      </c>
      <c r="AG66" s="380">
        <v>9</v>
      </c>
      <c r="AH66" s="363" t="s">
        <v>332</v>
      </c>
    </row>
    <row r="67" spans="2:34" ht="14.4" hidden="1" x14ac:dyDescent="0.3">
      <c r="B67" s="380" t="s">
        <v>14</v>
      </c>
      <c r="C67" s="363" t="s">
        <v>419</v>
      </c>
      <c r="D67" s="386" t="s">
        <v>151</v>
      </c>
      <c r="E67" s="380">
        <v>4508706133</v>
      </c>
      <c r="F67" s="387">
        <v>45566</v>
      </c>
      <c r="G67" s="380" t="s">
        <v>55</v>
      </c>
      <c r="H67" s="380"/>
      <c r="I67" s="388">
        <f t="shared" si="1"/>
        <v>140000</v>
      </c>
      <c r="J67" s="380">
        <v>2</v>
      </c>
      <c r="K67" s="389">
        <f t="shared" si="0"/>
        <v>70000</v>
      </c>
      <c r="L67" s="381">
        <v>45505</v>
      </c>
      <c r="M67" s="381">
        <v>45869</v>
      </c>
      <c r="N67" s="663"/>
      <c r="O67" s="680"/>
      <c r="P67" s="363"/>
      <c r="Q67" s="380"/>
      <c r="R67" s="380" t="s">
        <v>1</v>
      </c>
      <c r="S67" s="390" t="s">
        <v>420</v>
      </c>
      <c r="T67" s="363" t="s">
        <v>421</v>
      </c>
      <c r="U67" s="390" t="s">
        <v>422</v>
      </c>
      <c r="V67" s="363" t="s">
        <v>431</v>
      </c>
      <c r="W67" s="363"/>
      <c r="X67" s="363"/>
      <c r="Y67" s="363"/>
      <c r="Z67" s="363"/>
      <c r="AA67" s="363"/>
      <c r="AB67" s="363"/>
      <c r="AC67" s="363"/>
      <c r="AD67" s="363"/>
      <c r="AE67" s="363" t="s">
        <v>62</v>
      </c>
      <c r="AF67" s="380" t="s">
        <v>63</v>
      </c>
      <c r="AG67" s="380">
        <v>9</v>
      </c>
      <c r="AH67" s="363" t="s">
        <v>332</v>
      </c>
    </row>
    <row r="68" spans="2:34" ht="14.4" hidden="1" x14ac:dyDescent="0.3">
      <c r="B68" s="380" t="s">
        <v>14</v>
      </c>
      <c r="C68" s="363" t="s">
        <v>419</v>
      </c>
      <c r="D68" s="386" t="s">
        <v>151</v>
      </c>
      <c r="E68" s="380">
        <v>4508706133</v>
      </c>
      <c r="F68" s="387">
        <v>45566</v>
      </c>
      <c r="G68" s="380" t="s">
        <v>55</v>
      </c>
      <c r="H68" s="380"/>
      <c r="I68" s="388">
        <f t="shared" si="1"/>
        <v>140000</v>
      </c>
      <c r="J68" s="380">
        <v>2</v>
      </c>
      <c r="K68" s="389">
        <f t="shared" si="0"/>
        <v>70000</v>
      </c>
      <c r="L68" s="381">
        <v>45870</v>
      </c>
      <c r="M68" s="381">
        <v>46234</v>
      </c>
      <c r="N68" s="663">
        <v>154832</v>
      </c>
      <c r="O68" s="680">
        <v>4481</v>
      </c>
      <c r="P68" s="363"/>
      <c r="Q68" s="380"/>
      <c r="R68" s="380" t="s">
        <v>1</v>
      </c>
      <c r="S68" s="390" t="s">
        <v>424</v>
      </c>
      <c r="T68" s="363" t="s">
        <v>432</v>
      </c>
      <c r="U68" s="390" t="s">
        <v>426</v>
      </c>
      <c r="V68" s="363" t="s">
        <v>1936</v>
      </c>
      <c r="W68" s="363"/>
      <c r="X68" s="363"/>
      <c r="Y68" s="363"/>
      <c r="Z68" s="363"/>
      <c r="AA68" s="363"/>
      <c r="AB68" s="363"/>
      <c r="AC68" s="363"/>
      <c r="AD68" s="363"/>
      <c r="AE68" s="363" t="s">
        <v>62</v>
      </c>
      <c r="AF68" s="380" t="s">
        <v>63</v>
      </c>
      <c r="AG68" s="380">
        <v>9</v>
      </c>
      <c r="AH68" s="363" t="s">
        <v>332</v>
      </c>
    </row>
    <row r="69" spans="2:34" ht="14.4" hidden="1" x14ac:dyDescent="0.3">
      <c r="B69" s="380" t="s">
        <v>14</v>
      </c>
      <c r="C69" s="363" t="s">
        <v>419</v>
      </c>
      <c r="D69" s="386" t="s">
        <v>151</v>
      </c>
      <c r="E69" s="380">
        <v>4508706133</v>
      </c>
      <c r="F69" s="387">
        <v>45566</v>
      </c>
      <c r="G69" s="380" t="s">
        <v>55</v>
      </c>
      <c r="H69" s="380">
        <v>2</v>
      </c>
      <c r="I69" s="388">
        <f t="shared" si="1"/>
        <v>140000</v>
      </c>
      <c r="J69" s="380">
        <v>2</v>
      </c>
      <c r="K69" s="389">
        <f t="shared" si="0"/>
        <v>70000</v>
      </c>
      <c r="L69" s="381">
        <v>46235</v>
      </c>
      <c r="M69" s="381">
        <v>46599</v>
      </c>
      <c r="N69" s="663"/>
      <c r="O69" s="680"/>
      <c r="P69" s="363" t="s">
        <v>520</v>
      </c>
      <c r="Q69" s="380"/>
      <c r="R69" s="380" t="s">
        <v>1</v>
      </c>
      <c r="S69" s="363" t="s">
        <v>427</v>
      </c>
      <c r="T69" s="363"/>
      <c r="U69" s="363" t="s">
        <v>428</v>
      </c>
      <c r="V69" s="363"/>
      <c r="W69" s="363"/>
      <c r="X69" s="363"/>
      <c r="Y69" s="363"/>
      <c r="Z69" s="363"/>
      <c r="AA69" s="363"/>
      <c r="AB69" s="363"/>
      <c r="AC69" s="363"/>
      <c r="AD69" s="363"/>
      <c r="AE69" s="363" t="s">
        <v>62</v>
      </c>
      <c r="AF69" s="380" t="s">
        <v>63</v>
      </c>
      <c r="AG69" s="380">
        <v>9</v>
      </c>
      <c r="AH69" s="363" t="s">
        <v>332</v>
      </c>
    </row>
    <row r="70" spans="2:34" ht="14.4" hidden="1" x14ac:dyDescent="0.3">
      <c r="B70" s="380" t="s">
        <v>14</v>
      </c>
      <c r="C70" s="363" t="s">
        <v>433</v>
      </c>
      <c r="D70" s="386" t="s">
        <v>434</v>
      </c>
      <c r="E70" s="405" t="s">
        <v>435</v>
      </c>
      <c r="F70" s="406">
        <v>45581</v>
      </c>
      <c r="G70" s="407" t="s">
        <v>436</v>
      </c>
      <c r="H70" s="380"/>
      <c r="I70" s="388">
        <f>(6572290/118*100)/2</f>
        <v>2784868.6440677969</v>
      </c>
      <c r="J70" s="380">
        <v>4</v>
      </c>
      <c r="K70" s="389">
        <f t="shared" si="0"/>
        <v>696217.16101694922</v>
      </c>
      <c r="L70" s="381">
        <v>45597</v>
      </c>
      <c r="M70" s="381">
        <v>45961</v>
      </c>
      <c r="N70" s="663"/>
      <c r="O70" s="680"/>
      <c r="P70" s="363"/>
      <c r="Q70" s="380"/>
      <c r="R70" s="380" t="s">
        <v>437</v>
      </c>
      <c r="S70" s="390" t="s">
        <v>262</v>
      </c>
      <c r="T70" s="363" t="s">
        <v>438</v>
      </c>
      <c r="U70" s="390" t="s">
        <v>264</v>
      </c>
      <c r="V70" s="363" t="s">
        <v>124</v>
      </c>
      <c r="W70" s="390" t="s">
        <v>266</v>
      </c>
      <c r="X70" s="363" t="s">
        <v>439</v>
      </c>
      <c r="Y70" s="390" t="s">
        <v>267</v>
      </c>
      <c r="Z70" s="363" t="s">
        <v>440</v>
      </c>
      <c r="AA70" s="363"/>
      <c r="AB70" s="363"/>
      <c r="AC70" s="363"/>
      <c r="AD70" s="363"/>
      <c r="AE70" s="363" t="s">
        <v>281</v>
      </c>
      <c r="AF70" s="380" t="s">
        <v>97</v>
      </c>
      <c r="AG70" s="380" t="s">
        <v>98</v>
      </c>
      <c r="AH70" s="363" t="s">
        <v>332</v>
      </c>
    </row>
    <row r="71" spans="2:34" ht="14.4" hidden="1" x14ac:dyDescent="0.3">
      <c r="B71" s="380" t="s">
        <v>14</v>
      </c>
      <c r="C71" s="363" t="s">
        <v>433</v>
      </c>
      <c r="D71" s="386" t="s">
        <v>434</v>
      </c>
      <c r="E71" s="405" t="s">
        <v>435</v>
      </c>
      <c r="F71" s="406">
        <v>45581</v>
      </c>
      <c r="G71" s="407" t="s">
        <v>436</v>
      </c>
      <c r="H71" s="380">
        <v>10</v>
      </c>
      <c r="I71" s="388">
        <f>(6572290/118*100)/2</f>
        <v>2784868.6440677969</v>
      </c>
      <c r="J71" s="380">
        <v>4</v>
      </c>
      <c r="K71" s="389">
        <f t="shared" ref="K71:K96" si="2">I71/J71</f>
        <v>696217.16101694922</v>
      </c>
      <c r="L71" s="381">
        <v>45962</v>
      </c>
      <c r="M71" s="381">
        <v>46326</v>
      </c>
      <c r="N71" s="663">
        <v>154890</v>
      </c>
      <c r="O71" s="680">
        <v>4709</v>
      </c>
      <c r="P71" s="363" t="s">
        <v>520</v>
      </c>
      <c r="Q71" s="380"/>
      <c r="R71" s="380" t="s">
        <v>437</v>
      </c>
      <c r="S71" s="390" t="s">
        <v>269</v>
      </c>
      <c r="T71" s="363" t="s">
        <v>441</v>
      </c>
      <c r="U71" s="390" t="s">
        <v>442</v>
      </c>
      <c r="V71" s="363" t="s">
        <v>443</v>
      </c>
      <c r="W71" s="390" t="s">
        <v>444</v>
      </c>
      <c r="X71" s="363" t="s">
        <v>1937</v>
      </c>
      <c r="Y71" s="363" t="s">
        <v>445</v>
      </c>
      <c r="Z71" s="363"/>
      <c r="AA71" s="363"/>
      <c r="AB71" s="363"/>
      <c r="AC71" s="363"/>
      <c r="AD71" s="363"/>
      <c r="AE71" s="363" t="s">
        <v>281</v>
      </c>
      <c r="AF71" s="380" t="s">
        <v>97</v>
      </c>
      <c r="AG71" s="380" t="s">
        <v>98</v>
      </c>
      <c r="AH71" s="363" t="s">
        <v>332</v>
      </c>
    </row>
    <row r="72" spans="2:34" ht="14.4" hidden="1" x14ac:dyDescent="0.3">
      <c r="B72" s="380" t="s">
        <v>14</v>
      </c>
      <c r="C72" s="363" t="s">
        <v>446</v>
      </c>
      <c r="D72" s="386" t="s">
        <v>447</v>
      </c>
      <c r="E72" s="405" t="s">
        <v>448</v>
      </c>
      <c r="F72" s="406">
        <v>45589</v>
      </c>
      <c r="G72" s="380" t="s">
        <v>55</v>
      </c>
      <c r="H72" s="380"/>
      <c r="I72" s="388">
        <f>44887.5*4</f>
        <v>179550</v>
      </c>
      <c r="J72" s="380">
        <v>4</v>
      </c>
      <c r="K72" s="389">
        <f t="shared" si="2"/>
        <v>44887.5</v>
      </c>
      <c r="L72" s="381">
        <v>45597</v>
      </c>
      <c r="M72" s="381">
        <v>45961</v>
      </c>
      <c r="N72" s="663"/>
      <c r="O72" s="680"/>
      <c r="P72" s="363"/>
      <c r="Q72" s="380"/>
      <c r="R72" s="380"/>
      <c r="S72" s="390" t="s">
        <v>262</v>
      </c>
      <c r="T72" s="390" t="s">
        <v>449</v>
      </c>
      <c r="U72" s="390" t="s">
        <v>264</v>
      </c>
      <c r="V72" s="363" t="s">
        <v>450</v>
      </c>
      <c r="W72" s="390" t="s">
        <v>266</v>
      </c>
      <c r="X72" s="363" t="s">
        <v>451</v>
      </c>
      <c r="Y72" s="390" t="s">
        <v>267</v>
      </c>
      <c r="Z72" s="363" t="s">
        <v>452</v>
      </c>
      <c r="AA72" s="363"/>
      <c r="AB72" s="363"/>
      <c r="AC72" s="363"/>
      <c r="AD72" s="363"/>
      <c r="AE72" s="363" t="s">
        <v>96</v>
      </c>
      <c r="AF72" s="380" t="s">
        <v>97</v>
      </c>
      <c r="AG72" s="380" t="s">
        <v>98</v>
      </c>
      <c r="AH72" s="363" t="s">
        <v>453</v>
      </c>
    </row>
    <row r="73" spans="2:34" ht="14.4" hidden="1" x14ac:dyDescent="0.3">
      <c r="B73" s="380" t="s">
        <v>14</v>
      </c>
      <c r="C73" s="363" t="s">
        <v>446</v>
      </c>
      <c r="D73" s="386" t="s">
        <v>447</v>
      </c>
      <c r="E73" s="405" t="s">
        <v>448</v>
      </c>
      <c r="F73" s="406">
        <v>45589</v>
      </c>
      <c r="G73" s="380" t="s">
        <v>55</v>
      </c>
      <c r="H73" s="380"/>
      <c r="I73" s="388">
        <f>47133.75*4</f>
        <v>188535</v>
      </c>
      <c r="J73" s="380">
        <v>4</v>
      </c>
      <c r="K73" s="389">
        <f t="shared" si="2"/>
        <v>47133.75</v>
      </c>
      <c r="L73" s="381">
        <v>45962</v>
      </c>
      <c r="M73" s="381">
        <v>46326</v>
      </c>
      <c r="N73" s="663"/>
      <c r="O73" s="680"/>
      <c r="P73" s="363"/>
      <c r="Q73" s="380"/>
      <c r="R73" s="380"/>
      <c r="S73" s="390" t="s">
        <v>269</v>
      </c>
      <c r="T73" s="363" t="s">
        <v>454</v>
      </c>
      <c r="U73" s="390" t="s">
        <v>442</v>
      </c>
      <c r="V73" s="363" t="s">
        <v>455</v>
      </c>
      <c r="W73" s="390" t="s">
        <v>444</v>
      </c>
      <c r="X73" s="363" t="s">
        <v>1938</v>
      </c>
      <c r="Y73" s="363" t="s">
        <v>445</v>
      </c>
      <c r="Z73" s="363"/>
      <c r="AA73" s="363"/>
      <c r="AB73" s="363"/>
      <c r="AC73" s="363"/>
      <c r="AD73" s="363"/>
      <c r="AE73" s="363" t="s">
        <v>96</v>
      </c>
      <c r="AF73" s="380" t="s">
        <v>97</v>
      </c>
      <c r="AG73" s="380" t="s">
        <v>98</v>
      </c>
      <c r="AH73" s="363" t="s">
        <v>453</v>
      </c>
    </row>
    <row r="74" spans="2:34" ht="14.4" hidden="1" x14ac:dyDescent="0.3">
      <c r="B74" s="380" t="s">
        <v>14</v>
      </c>
      <c r="C74" s="363" t="s">
        <v>446</v>
      </c>
      <c r="D74" s="386" t="s">
        <v>447</v>
      </c>
      <c r="E74" s="405" t="s">
        <v>448</v>
      </c>
      <c r="F74" s="406">
        <v>45589</v>
      </c>
      <c r="G74" s="380" t="s">
        <v>55</v>
      </c>
      <c r="H74" s="380">
        <v>3</v>
      </c>
      <c r="I74" s="388">
        <f>49488.75*4</f>
        <v>197955</v>
      </c>
      <c r="J74" s="380">
        <v>4</v>
      </c>
      <c r="K74" s="389">
        <f t="shared" si="2"/>
        <v>49488.75</v>
      </c>
      <c r="L74" s="381">
        <v>46327</v>
      </c>
      <c r="M74" s="381">
        <v>46691</v>
      </c>
      <c r="N74" s="663"/>
      <c r="O74" s="680"/>
      <c r="P74" s="363" t="s">
        <v>520</v>
      </c>
      <c r="Q74" s="380"/>
      <c r="R74" s="380"/>
      <c r="S74" s="363" t="s">
        <v>456</v>
      </c>
      <c r="T74" s="363"/>
      <c r="U74" s="363" t="s">
        <v>457</v>
      </c>
      <c r="V74" s="363"/>
      <c r="W74" s="363" t="s">
        <v>458</v>
      </c>
      <c r="X74" s="363"/>
      <c r="Y74" s="363" t="s">
        <v>459</v>
      </c>
      <c r="Z74" s="363"/>
      <c r="AA74" s="363"/>
      <c r="AB74" s="363"/>
      <c r="AC74" s="363"/>
      <c r="AD74" s="363"/>
      <c r="AE74" s="363" t="s">
        <v>96</v>
      </c>
      <c r="AF74" s="380" t="s">
        <v>97</v>
      </c>
      <c r="AG74" s="380" t="s">
        <v>98</v>
      </c>
      <c r="AH74" s="363" t="s">
        <v>453</v>
      </c>
    </row>
    <row r="75" spans="2:34" ht="14.4" hidden="1" x14ac:dyDescent="0.3">
      <c r="B75" s="380" t="s">
        <v>14</v>
      </c>
      <c r="C75" s="363" t="s">
        <v>460</v>
      </c>
      <c r="D75" s="386" t="s">
        <v>151</v>
      </c>
      <c r="E75" s="408">
        <v>1240038765</v>
      </c>
      <c r="F75" s="387">
        <v>45591</v>
      </c>
      <c r="G75" s="380" t="s">
        <v>55</v>
      </c>
      <c r="H75" s="380">
        <v>1</v>
      </c>
      <c r="I75" s="388">
        <v>150000</v>
      </c>
      <c r="J75" s="380">
        <v>4</v>
      </c>
      <c r="K75" s="389">
        <f t="shared" si="2"/>
        <v>37500</v>
      </c>
      <c r="L75" s="381">
        <v>45566</v>
      </c>
      <c r="M75" s="381">
        <v>46295</v>
      </c>
      <c r="N75" s="663"/>
      <c r="O75" s="680"/>
      <c r="P75" s="363" t="s">
        <v>520</v>
      </c>
      <c r="Q75" s="380"/>
      <c r="R75" s="380"/>
      <c r="S75" s="390" t="s">
        <v>461</v>
      </c>
      <c r="T75" s="363" t="s">
        <v>462</v>
      </c>
      <c r="U75" s="390" t="s">
        <v>463</v>
      </c>
      <c r="V75" s="363" t="s">
        <v>464</v>
      </c>
      <c r="W75" s="390" t="s">
        <v>465</v>
      </c>
      <c r="X75" s="363" t="s">
        <v>466</v>
      </c>
      <c r="Y75" s="363" t="s">
        <v>467</v>
      </c>
      <c r="Z75" s="363"/>
      <c r="AA75" s="363"/>
      <c r="AB75" s="363"/>
      <c r="AC75" s="363"/>
      <c r="AD75" s="363"/>
      <c r="AE75" s="363" t="s">
        <v>62</v>
      </c>
      <c r="AF75" s="380" t="s">
        <v>63</v>
      </c>
      <c r="AG75" s="380">
        <v>6</v>
      </c>
      <c r="AH75" s="363" t="s">
        <v>332</v>
      </c>
    </row>
    <row r="76" spans="2:34" ht="14.4" hidden="1" x14ac:dyDescent="0.3">
      <c r="B76" s="380" t="s">
        <v>14</v>
      </c>
      <c r="C76" s="409" t="s">
        <v>480</v>
      </c>
      <c r="D76" s="386" t="s">
        <v>481</v>
      </c>
      <c r="E76" s="380">
        <v>5300005783</v>
      </c>
      <c r="F76" s="387">
        <v>45467</v>
      </c>
      <c r="G76" s="380" t="s">
        <v>55</v>
      </c>
      <c r="H76" s="380"/>
      <c r="I76" s="388">
        <f>882000/3</f>
        <v>294000</v>
      </c>
      <c r="J76" s="380">
        <v>2</v>
      </c>
      <c r="K76" s="389">
        <f t="shared" si="2"/>
        <v>147000</v>
      </c>
      <c r="L76" s="381">
        <v>45658</v>
      </c>
      <c r="M76" s="381">
        <v>46022</v>
      </c>
      <c r="N76" s="663"/>
      <c r="O76" s="680"/>
      <c r="P76" s="363"/>
      <c r="Q76" s="380"/>
      <c r="R76" s="380" t="s">
        <v>1</v>
      </c>
      <c r="S76" s="390" t="s">
        <v>482</v>
      </c>
      <c r="T76" s="363" t="s">
        <v>189</v>
      </c>
      <c r="U76" s="390" t="s">
        <v>483</v>
      </c>
      <c r="V76" s="363" t="s">
        <v>484</v>
      </c>
      <c r="W76" s="363"/>
      <c r="X76" s="363"/>
      <c r="Y76" s="363"/>
      <c r="Z76" s="363"/>
      <c r="AA76" s="363"/>
      <c r="AB76" s="363"/>
      <c r="AC76" s="363"/>
      <c r="AD76" s="363"/>
      <c r="AE76" s="363" t="s">
        <v>485</v>
      </c>
      <c r="AF76" s="380" t="s">
        <v>63</v>
      </c>
      <c r="AG76" s="380">
        <v>6</v>
      </c>
      <c r="AH76" s="363" t="s">
        <v>332</v>
      </c>
    </row>
    <row r="77" spans="2:34" ht="14.4" hidden="1" x14ac:dyDescent="0.3">
      <c r="B77" s="380" t="s">
        <v>14</v>
      </c>
      <c r="C77" s="409" t="s">
        <v>480</v>
      </c>
      <c r="D77" s="386" t="s">
        <v>481</v>
      </c>
      <c r="E77" s="380">
        <v>5300005783</v>
      </c>
      <c r="F77" s="387">
        <v>45467</v>
      </c>
      <c r="G77" s="380" t="s">
        <v>55</v>
      </c>
      <c r="H77" s="380"/>
      <c r="I77" s="388">
        <f>882000/3</f>
        <v>294000</v>
      </c>
      <c r="J77" s="380">
        <v>2</v>
      </c>
      <c r="K77" s="389">
        <f t="shared" si="2"/>
        <v>147000</v>
      </c>
      <c r="L77" s="381">
        <v>46023</v>
      </c>
      <c r="M77" s="381">
        <v>46387</v>
      </c>
      <c r="N77" s="663"/>
      <c r="O77" s="680"/>
      <c r="P77" s="363"/>
      <c r="Q77" s="380"/>
      <c r="R77" s="380" t="s">
        <v>1</v>
      </c>
      <c r="S77" s="390" t="s">
        <v>486</v>
      </c>
      <c r="T77" s="363" t="s">
        <v>1713</v>
      </c>
      <c r="U77" s="363" t="s">
        <v>487</v>
      </c>
      <c r="V77" s="363"/>
      <c r="W77" s="363"/>
      <c r="X77" s="363"/>
      <c r="Y77" s="363"/>
      <c r="Z77" s="363"/>
      <c r="AA77" s="363"/>
      <c r="AB77" s="363"/>
      <c r="AC77" s="363"/>
      <c r="AD77" s="363"/>
      <c r="AE77" s="363" t="s">
        <v>485</v>
      </c>
      <c r="AF77" s="380" t="s">
        <v>63</v>
      </c>
      <c r="AG77" s="380">
        <v>6</v>
      </c>
      <c r="AH77" s="363" t="s">
        <v>332</v>
      </c>
    </row>
    <row r="78" spans="2:34" ht="14.4" hidden="1" x14ac:dyDescent="0.3">
      <c r="B78" s="380" t="s">
        <v>14</v>
      </c>
      <c r="C78" s="409" t="s">
        <v>480</v>
      </c>
      <c r="D78" s="386" t="s">
        <v>481</v>
      </c>
      <c r="E78" s="380">
        <v>5300005783</v>
      </c>
      <c r="F78" s="387">
        <v>45467</v>
      </c>
      <c r="G78" s="380" t="s">
        <v>55</v>
      </c>
      <c r="H78" s="380">
        <v>3</v>
      </c>
      <c r="I78" s="388">
        <f>882000/3</f>
        <v>294000</v>
      </c>
      <c r="J78" s="380">
        <v>2</v>
      </c>
      <c r="K78" s="389">
        <f t="shared" si="2"/>
        <v>147000</v>
      </c>
      <c r="L78" s="381">
        <v>46388</v>
      </c>
      <c r="M78" s="381">
        <v>46752</v>
      </c>
      <c r="N78" s="663"/>
      <c r="O78" s="680"/>
      <c r="P78" s="363" t="s">
        <v>520</v>
      </c>
      <c r="Q78" s="380"/>
      <c r="R78" s="380" t="s">
        <v>1</v>
      </c>
      <c r="S78" s="363" t="s">
        <v>488</v>
      </c>
      <c r="T78" s="363"/>
      <c r="U78" s="363" t="s">
        <v>489</v>
      </c>
      <c r="V78" s="363"/>
      <c r="W78" s="363"/>
      <c r="X78" s="363"/>
      <c r="Y78" s="363"/>
      <c r="Z78" s="363"/>
      <c r="AA78" s="363"/>
      <c r="AB78" s="363"/>
      <c r="AC78" s="363"/>
      <c r="AD78" s="363"/>
      <c r="AE78" s="363" t="s">
        <v>485</v>
      </c>
      <c r="AF78" s="380" t="s">
        <v>63</v>
      </c>
      <c r="AG78" s="380">
        <v>6</v>
      </c>
      <c r="AH78" s="363" t="s">
        <v>332</v>
      </c>
    </row>
    <row r="79" spans="2:34" ht="14.4" hidden="1" x14ac:dyDescent="0.3">
      <c r="B79" s="380" t="s">
        <v>14</v>
      </c>
      <c r="C79" s="409" t="s">
        <v>490</v>
      </c>
      <c r="D79" s="386" t="s">
        <v>447</v>
      </c>
      <c r="E79" s="411">
        <v>1000036136</v>
      </c>
      <c r="F79" s="387">
        <v>45644</v>
      </c>
      <c r="G79" s="380" t="s">
        <v>55</v>
      </c>
      <c r="H79" s="380"/>
      <c r="I79" s="388">
        <f>68706.75*4</f>
        <v>274827</v>
      </c>
      <c r="J79" s="380">
        <v>4</v>
      </c>
      <c r="K79" s="389">
        <f t="shared" si="2"/>
        <v>68706.75</v>
      </c>
      <c r="L79" s="381">
        <v>45658</v>
      </c>
      <c r="M79" s="381">
        <v>46022</v>
      </c>
      <c r="N79" s="663"/>
      <c r="O79" s="680"/>
      <c r="P79" s="363"/>
      <c r="Q79" s="380"/>
      <c r="R79" s="380"/>
      <c r="S79" s="390" t="s">
        <v>390</v>
      </c>
      <c r="T79" s="363" t="s">
        <v>491</v>
      </c>
      <c r="U79" s="390" t="s">
        <v>391</v>
      </c>
      <c r="V79" s="363" t="s">
        <v>384</v>
      </c>
      <c r="W79" s="390" t="s">
        <v>168</v>
      </c>
      <c r="X79" s="363" t="s">
        <v>492</v>
      </c>
      <c r="Y79" s="390" t="s">
        <v>228</v>
      </c>
      <c r="Z79" s="363" t="s">
        <v>493</v>
      </c>
      <c r="AA79" s="363"/>
      <c r="AB79" s="363"/>
      <c r="AC79" s="363"/>
      <c r="AD79" s="363"/>
      <c r="AE79" s="363" t="s">
        <v>281</v>
      </c>
      <c r="AF79" s="380" t="s">
        <v>97</v>
      </c>
      <c r="AG79" s="380" t="s">
        <v>494</v>
      </c>
      <c r="AH79" s="363"/>
    </row>
    <row r="80" spans="2:34" ht="14.4" hidden="1" x14ac:dyDescent="0.3">
      <c r="B80" s="380" t="s">
        <v>14</v>
      </c>
      <c r="C80" s="409" t="s">
        <v>490</v>
      </c>
      <c r="D80" s="386" t="s">
        <v>447</v>
      </c>
      <c r="E80" s="411">
        <v>1000036136</v>
      </c>
      <c r="F80" s="387">
        <v>45644</v>
      </c>
      <c r="G80" s="380" t="s">
        <v>55</v>
      </c>
      <c r="H80" s="380"/>
      <c r="I80" s="388">
        <f>68706.75*4</f>
        <v>274827</v>
      </c>
      <c r="J80" s="380">
        <v>4</v>
      </c>
      <c r="K80" s="389">
        <f t="shared" si="2"/>
        <v>68706.75</v>
      </c>
      <c r="L80" s="381">
        <v>46023</v>
      </c>
      <c r="M80" s="381">
        <v>46387</v>
      </c>
      <c r="N80" s="663"/>
      <c r="O80" s="680"/>
      <c r="P80" s="363"/>
      <c r="Q80" s="380"/>
      <c r="R80" s="380"/>
      <c r="S80" s="390" t="s">
        <v>396</v>
      </c>
      <c r="T80" s="363" t="s">
        <v>495</v>
      </c>
      <c r="U80" s="390" t="s">
        <v>397</v>
      </c>
      <c r="V80" s="363" t="s">
        <v>1843</v>
      </c>
      <c r="W80" s="363" t="s">
        <v>496</v>
      </c>
      <c r="X80" s="363"/>
      <c r="Y80" s="363" t="s">
        <v>497</v>
      </c>
      <c r="Z80" s="363"/>
      <c r="AA80" s="363"/>
      <c r="AB80" s="363"/>
      <c r="AC80" s="363"/>
      <c r="AD80" s="363"/>
      <c r="AE80" s="363" t="s">
        <v>281</v>
      </c>
      <c r="AF80" s="380" t="s">
        <v>97</v>
      </c>
      <c r="AG80" s="380" t="s">
        <v>494</v>
      </c>
      <c r="AH80" s="363"/>
    </row>
    <row r="81" spans="2:34" ht="14.4" hidden="1" x14ac:dyDescent="0.3">
      <c r="B81" s="380" t="s">
        <v>14</v>
      </c>
      <c r="C81" s="409" t="s">
        <v>490</v>
      </c>
      <c r="D81" s="386" t="s">
        <v>447</v>
      </c>
      <c r="E81" s="411">
        <v>1000036136</v>
      </c>
      <c r="F81" s="387">
        <v>45644</v>
      </c>
      <c r="G81" s="380" t="s">
        <v>55</v>
      </c>
      <c r="H81" s="380">
        <v>4</v>
      </c>
      <c r="I81" s="388">
        <f>68706.75*4</f>
        <v>274827</v>
      </c>
      <c r="J81" s="380">
        <v>4</v>
      </c>
      <c r="K81" s="389">
        <f t="shared" si="2"/>
        <v>68706.75</v>
      </c>
      <c r="L81" s="381">
        <v>46388</v>
      </c>
      <c r="M81" s="381">
        <v>46752</v>
      </c>
      <c r="N81" s="663"/>
      <c r="O81" s="680"/>
      <c r="P81" s="363" t="s">
        <v>520</v>
      </c>
      <c r="Q81" s="380"/>
      <c r="R81" s="380"/>
      <c r="S81" s="363" t="s">
        <v>498</v>
      </c>
      <c r="T81" s="363"/>
      <c r="U81" s="363" t="s">
        <v>499</v>
      </c>
      <c r="V81" s="363"/>
      <c r="W81" s="363" t="s">
        <v>500</v>
      </c>
      <c r="X81" s="363"/>
      <c r="Y81" s="363" t="s">
        <v>501</v>
      </c>
      <c r="Z81" s="363"/>
      <c r="AA81" s="363"/>
      <c r="AB81" s="363"/>
      <c r="AC81" s="363"/>
      <c r="AD81" s="363"/>
      <c r="AE81" s="363" t="s">
        <v>281</v>
      </c>
      <c r="AF81" s="380" t="s">
        <v>97</v>
      </c>
      <c r="AG81" s="380" t="s">
        <v>494</v>
      </c>
      <c r="AH81" s="363"/>
    </row>
    <row r="82" spans="2:34" ht="14.4" hidden="1" x14ac:dyDescent="0.3">
      <c r="B82" s="380" t="s">
        <v>14</v>
      </c>
      <c r="C82" s="412" t="s">
        <v>508</v>
      </c>
      <c r="D82" s="413" t="s">
        <v>509</v>
      </c>
      <c r="E82" s="416" t="s">
        <v>510</v>
      </c>
      <c r="F82" s="415">
        <v>45661</v>
      </c>
      <c r="G82" s="380" t="s">
        <v>55</v>
      </c>
      <c r="H82" s="380">
        <v>1</v>
      </c>
      <c r="I82" s="417">
        <v>89000</v>
      </c>
      <c r="J82" s="380">
        <v>3</v>
      </c>
      <c r="K82" s="389">
        <f t="shared" si="2"/>
        <v>29666.666666666668</v>
      </c>
      <c r="L82" s="381">
        <v>45667</v>
      </c>
      <c r="M82" s="381">
        <v>46031</v>
      </c>
      <c r="N82" s="663"/>
      <c r="O82" s="680"/>
      <c r="P82" s="363" t="s">
        <v>19</v>
      </c>
      <c r="Q82" s="380" t="s">
        <v>0</v>
      </c>
      <c r="R82" s="380"/>
      <c r="S82" s="390" t="s">
        <v>511</v>
      </c>
      <c r="T82" s="363" t="s">
        <v>512</v>
      </c>
      <c r="U82" s="390" t="s">
        <v>513</v>
      </c>
      <c r="V82" s="363" t="s">
        <v>514</v>
      </c>
      <c r="W82" s="390" t="s">
        <v>515</v>
      </c>
      <c r="X82" s="363" t="s">
        <v>516</v>
      </c>
      <c r="Y82" s="363"/>
      <c r="Z82" s="363"/>
      <c r="AA82" s="363"/>
      <c r="AB82" s="363"/>
      <c r="AC82" s="363"/>
      <c r="AD82" s="363"/>
      <c r="AE82" s="363" t="s">
        <v>96</v>
      </c>
      <c r="AF82" s="380" t="s">
        <v>97</v>
      </c>
      <c r="AG82" s="380" t="s">
        <v>494</v>
      </c>
      <c r="AH82" s="535" t="s">
        <v>517</v>
      </c>
    </row>
    <row r="83" spans="2:34" ht="14.4" hidden="1" x14ac:dyDescent="0.3">
      <c r="B83" s="380" t="s">
        <v>14</v>
      </c>
      <c r="C83" s="409" t="s">
        <v>518</v>
      </c>
      <c r="D83" s="418" t="s">
        <v>519</v>
      </c>
      <c r="E83" s="380">
        <v>4516924874</v>
      </c>
      <c r="F83" s="387">
        <v>45660</v>
      </c>
      <c r="G83" s="380" t="s">
        <v>55</v>
      </c>
      <c r="H83" s="380"/>
      <c r="I83" s="388">
        <v>219500</v>
      </c>
      <c r="J83" s="380">
        <v>4</v>
      </c>
      <c r="K83" s="389">
        <f t="shared" si="2"/>
        <v>54875</v>
      </c>
      <c r="L83" s="381">
        <v>45658</v>
      </c>
      <c r="M83" s="381">
        <v>46022</v>
      </c>
      <c r="N83" s="663"/>
      <c r="O83" s="680"/>
      <c r="P83" s="363" t="s">
        <v>520</v>
      </c>
      <c r="Q83" s="380" t="s">
        <v>0</v>
      </c>
      <c r="R83" s="380"/>
      <c r="S83" s="390" t="s">
        <v>390</v>
      </c>
      <c r="T83" s="363" t="s">
        <v>521</v>
      </c>
      <c r="U83" s="390" t="s">
        <v>391</v>
      </c>
      <c r="V83" s="363" t="s">
        <v>522</v>
      </c>
      <c r="W83" s="390" t="s">
        <v>523</v>
      </c>
      <c r="X83" s="363" t="s">
        <v>524</v>
      </c>
      <c r="Y83" s="390" t="s">
        <v>228</v>
      </c>
      <c r="Z83" s="363" t="s">
        <v>525</v>
      </c>
      <c r="AA83" s="363"/>
      <c r="AB83" s="363"/>
      <c r="AC83" s="363"/>
      <c r="AD83" s="363"/>
      <c r="AE83" s="363" t="s">
        <v>485</v>
      </c>
      <c r="AF83" s="380" t="s">
        <v>63</v>
      </c>
      <c r="AG83" s="380">
        <f>6</f>
        <v>6</v>
      </c>
      <c r="AH83" s="363"/>
    </row>
    <row r="84" spans="2:34" ht="14.4" hidden="1" x14ac:dyDescent="0.3">
      <c r="B84" s="380" t="s">
        <v>14</v>
      </c>
      <c r="C84" s="409" t="s">
        <v>518</v>
      </c>
      <c r="D84" s="418" t="s">
        <v>519</v>
      </c>
      <c r="E84" s="380">
        <v>4516924874</v>
      </c>
      <c r="F84" s="387">
        <v>45660</v>
      </c>
      <c r="G84" s="380" t="s">
        <v>55</v>
      </c>
      <c r="H84" s="380">
        <v>2</v>
      </c>
      <c r="I84" s="388">
        <v>142300</v>
      </c>
      <c r="J84" s="380">
        <v>4</v>
      </c>
      <c r="K84" s="389">
        <f t="shared" si="2"/>
        <v>35575</v>
      </c>
      <c r="L84" s="381">
        <v>46023</v>
      </c>
      <c r="M84" s="381">
        <v>46387</v>
      </c>
      <c r="N84" s="663"/>
      <c r="O84" s="680"/>
      <c r="P84" s="363" t="s">
        <v>520</v>
      </c>
      <c r="Q84" s="380" t="s">
        <v>0</v>
      </c>
      <c r="R84" s="380"/>
      <c r="S84" s="394" t="s">
        <v>396</v>
      </c>
      <c r="T84" s="363" t="s">
        <v>526</v>
      </c>
      <c r="U84" s="390" t="s">
        <v>397</v>
      </c>
      <c r="V84" s="363" t="s">
        <v>1849</v>
      </c>
      <c r="W84" s="363" t="s">
        <v>496</v>
      </c>
      <c r="X84" s="363"/>
      <c r="Y84" s="363" t="s">
        <v>497</v>
      </c>
      <c r="Z84" s="363"/>
      <c r="AA84" s="363"/>
      <c r="AB84" s="363"/>
      <c r="AC84" s="363"/>
      <c r="AD84" s="363"/>
      <c r="AE84" s="363" t="s">
        <v>485</v>
      </c>
      <c r="AF84" s="380" t="s">
        <v>63</v>
      </c>
      <c r="AG84" s="380">
        <v>6</v>
      </c>
      <c r="AH84" s="363"/>
    </row>
    <row r="85" spans="2:34" ht="14.4" hidden="1" x14ac:dyDescent="0.3">
      <c r="B85" s="380" t="s">
        <v>14</v>
      </c>
      <c r="C85" s="409" t="s">
        <v>527</v>
      </c>
      <c r="D85" s="386" t="s">
        <v>151</v>
      </c>
      <c r="E85" s="419">
        <v>38369028</v>
      </c>
      <c r="F85" s="387">
        <v>45664</v>
      </c>
      <c r="G85" s="380" t="s">
        <v>55</v>
      </c>
      <c r="H85" s="380">
        <v>1</v>
      </c>
      <c r="I85" s="388">
        <v>67000</v>
      </c>
      <c r="J85" s="380">
        <v>1</v>
      </c>
      <c r="K85" s="389">
        <f t="shared" si="2"/>
        <v>67000</v>
      </c>
      <c r="L85" s="381">
        <v>45670</v>
      </c>
      <c r="M85" s="381">
        <v>46034</v>
      </c>
      <c r="N85" s="663"/>
      <c r="O85" s="680"/>
      <c r="P85" s="363" t="s">
        <v>19</v>
      </c>
      <c r="Q85" s="380" t="s">
        <v>0</v>
      </c>
      <c r="R85" s="380"/>
      <c r="S85" s="390" t="s">
        <v>528</v>
      </c>
      <c r="T85" s="363" t="s">
        <v>451</v>
      </c>
      <c r="U85" s="363"/>
      <c r="V85" s="363"/>
      <c r="W85" s="363"/>
      <c r="X85" s="363"/>
      <c r="Y85" s="363"/>
      <c r="Z85" s="363"/>
      <c r="AA85" s="363"/>
      <c r="AB85" s="363"/>
      <c r="AC85" s="363"/>
      <c r="AD85" s="363"/>
      <c r="AE85" s="363" t="s">
        <v>507</v>
      </c>
      <c r="AF85" s="380" t="s">
        <v>63</v>
      </c>
      <c r="AG85" s="380">
        <v>2</v>
      </c>
      <c r="AH85" s="363"/>
    </row>
    <row r="86" spans="2:34" ht="14.4" hidden="1" x14ac:dyDescent="0.3">
      <c r="B86" s="380" t="s">
        <v>14</v>
      </c>
      <c r="C86" s="409" t="s">
        <v>527</v>
      </c>
      <c r="D86" s="386" t="s">
        <v>151</v>
      </c>
      <c r="E86" s="419">
        <v>38414491</v>
      </c>
      <c r="F86" s="387">
        <v>45671</v>
      </c>
      <c r="G86" s="380" t="s">
        <v>55</v>
      </c>
      <c r="H86" s="380">
        <v>1</v>
      </c>
      <c r="I86" s="388">
        <v>67000</v>
      </c>
      <c r="J86" s="380">
        <v>1</v>
      </c>
      <c r="K86" s="389">
        <f t="shared" si="2"/>
        <v>67000</v>
      </c>
      <c r="L86" s="381">
        <v>45672</v>
      </c>
      <c r="M86" s="381">
        <v>46036</v>
      </c>
      <c r="N86" s="663"/>
      <c r="O86" s="680"/>
      <c r="P86" s="363" t="s">
        <v>19</v>
      </c>
      <c r="Q86" s="380" t="s">
        <v>0</v>
      </c>
      <c r="R86" s="380"/>
      <c r="S86" s="390" t="s">
        <v>529</v>
      </c>
      <c r="T86" s="363" t="s">
        <v>451</v>
      </c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 t="s">
        <v>507</v>
      </c>
      <c r="AF86" s="380" t="s">
        <v>63</v>
      </c>
      <c r="AG86" s="380">
        <v>2</v>
      </c>
      <c r="AH86" s="363"/>
    </row>
    <row r="87" spans="2:34" ht="14.4" hidden="1" x14ac:dyDescent="0.3">
      <c r="B87" s="380" t="s">
        <v>14</v>
      </c>
      <c r="C87" s="420" t="s">
        <v>530</v>
      </c>
      <c r="D87" s="421" t="s">
        <v>176</v>
      </c>
      <c r="E87" s="380">
        <v>16882528</v>
      </c>
      <c r="F87" s="387">
        <v>45670</v>
      </c>
      <c r="G87" s="380" t="s">
        <v>55</v>
      </c>
      <c r="H87" s="380"/>
      <c r="I87" s="388">
        <f>568000/4</f>
        <v>142000</v>
      </c>
      <c r="J87" s="380">
        <v>4</v>
      </c>
      <c r="K87" s="389">
        <f t="shared" si="2"/>
        <v>35500</v>
      </c>
      <c r="L87" s="381">
        <v>45670</v>
      </c>
      <c r="M87" s="381">
        <v>46764</v>
      </c>
      <c r="N87" s="663"/>
      <c r="O87" s="680"/>
      <c r="P87" s="363" t="s">
        <v>520</v>
      </c>
      <c r="Q87" s="380" t="s">
        <v>0</v>
      </c>
      <c r="R87" s="380"/>
      <c r="S87" s="422" t="s">
        <v>531</v>
      </c>
      <c r="T87" s="363"/>
      <c r="U87" s="422" t="s">
        <v>532</v>
      </c>
      <c r="V87" s="363"/>
      <c r="W87" s="422" t="s">
        <v>533</v>
      </c>
      <c r="X87" s="363"/>
      <c r="Y87" s="422" t="s">
        <v>534</v>
      </c>
      <c r="Z87" s="363"/>
      <c r="AA87" s="363"/>
      <c r="AB87" s="363"/>
      <c r="AC87" s="363"/>
      <c r="AD87" s="363"/>
      <c r="AE87" s="363" t="s">
        <v>183</v>
      </c>
      <c r="AF87" s="380" t="s">
        <v>97</v>
      </c>
      <c r="AG87" s="380">
        <v>4</v>
      </c>
      <c r="AH87" s="363"/>
    </row>
    <row r="88" spans="2:34" ht="14.4" hidden="1" x14ac:dyDescent="0.3">
      <c r="B88" s="380" t="s">
        <v>14</v>
      </c>
      <c r="C88" s="420" t="s">
        <v>530</v>
      </c>
      <c r="D88" s="421" t="s">
        <v>535</v>
      </c>
      <c r="E88" s="380">
        <v>16882528</v>
      </c>
      <c r="F88" s="387">
        <v>45670</v>
      </c>
      <c r="G88" s="380" t="s">
        <v>55</v>
      </c>
      <c r="H88" s="380"/>
      <c r="I88" s="388">
        <f>568000/4</f>
        <v>142000</v>
      </c>
      <c r="J88" s="380">
        <v>4</v>
      </c>
      <c r="K88" s="389">
        <f t="shared" si="2"/>
        <v>35500</v>
      </c>
      <c r="L88" s="381">
        <v>45670</v>
      </c>
      <c r="M88" s="381">
        <v>46764</v>
      </c>
      <c r="N88" s="663"/>
      <c r="O88" s="680"/>
      <c r="P88" s="363" t="s">
        <v>520</v>
      </c>
      <c r="Q88" s="380" t="s">
        <v>0</v>
      </c>
      <c r="R88" s="380"/>
      <c r="S88" s="390" t="s">
        <v>531</v>
      </c>
      <c r="T88" s="363" t="s">
        <v>536</v>
      </c>
      <c r="U88" s="390" t="s">
        <v>532</v>
      </c>
      <c r="V88" s="363" t="s">
        <v>439</v>
      </c>
      <c r="W88" s="390" t="s">
        <v>533</v>
      </c>
      <c r="X88" s="363" t="s">
        <v>537</v>
      </c>
      <c r="Y88" s="390" t="s">
        <v>534</v>
      </c>
      <c r="Z88" s="363" t="s">
        <v>320</v>
      </c>
      <c r="AA88" s="363"/>
      <c r="AB88" s="363"/>
      <c r="AC88" s="363"/>
      <c r="AD88" s="363"/>
      <c r="AE88" s="363" t="s">
        <v>183</v>
      </c>
      <c r="AF88" s="380" t="s">
        <v>97</v>
      </c>
      <c r="AG88" s="380">
        <v>4</v>
      </c>
      <c r="AH88" s="363"/>
    </row>
    <row r="89" spans="2:34" ht="14.4" hidden="1" x14ac:dyDescent="0.3">
      <c r="B89" s="380" t="s">
        <v>14</v>
      </c>
      <c r="C89" s="420" t="s">
        <v>530</v>
      </c>
      <c r="D89" s="421" t="s">
        <v>538</v>
      </c>
      <c r="E89" s="380">
        <v>16882528</v>
      </c>
      <c r="F89" s="387">
        <v>45670</v>
      </c>
      <c r="G89" s="380" t="s">
        <v>55</v>
      </c>
      <c r="H89" s="380"/>
      <c r="I89" s="388">
        <f>568000/4</f>
        <v>142000</v>
      </c>
      <c r="J89" s="380">
        <v>4</v>
      </c>
      <c r="K89" s="389">
        <f t="shared" si="2"/>
        <v>35500</v>
      </c>
      <c r="L89" s="381">
        <v>45670</v>
      </c>
      <c r="M89" s="381">
        <v>46764</v>
      </c>
      <c r="N89" s="663"/>
      <c r="O89" s="680"/>
      <c r="P89" s="363" t="s">
        <v>520</v>
      </c>
      <c r="Q89" s="380" t="s">
        <v>0</v>
      </c>
      <c r="R89" s="380"/>
      <c r="S89" s="390" t="s">
        <v>531</v>
      </c>
      <c r="T89" s="363" t="s">
        <v>241</v>
      </c>
      <c r="U89" s="390" t="s">
        <v>532</v>
      </c>
      <c r="V89" s="363" t="s">
        <v>439</v>
      </c>
      <c r="W89" s="390" t="s">
        <v>533</v>
      </c>
      <c r="X89" s="363" t="s">
        <v>539</v>
      </c>
      <c r="Y89" s="390" t="s">
        <v>534</v>
      </c>
      <c r="Z89" s="363" t="s">
        <v>417</v>
      </c>
      <c r="AA89" s="363"/>
      <c r="AB89" s="363"/>
      <c r="AC89" s="363"/>
      <c r="AD89" s="363"/>
      <c r="AE89" s="363" t="s">
        <v>485</v>
      </c>
      <c r="AF89" s="380" t="s">
        <v>63</v>
      </c>
      <c r="AG89" s="380">
        <v>4</v>
      </c>
      <c r="AH89" s="363"/>
    </row>
    <row r="90" spans="2:34" ht="14.4" hidden="1" x14ac:dyDescent="0.3">
      <c r="B90" s="380" t="s">
        <v>14</v>
      </c>
      <c r="C90" s="420" t="s">
        <v>530</v>
      </c>
      <c r="D90" s="421" t="s">
        <v>540</v>
      </c>
      <c r="E90" s="380">
        <v>16882528</v>
      </c>
      <c r="F90" s="387">
        <v>45670</v>
      </c>
      <c r="G90" s="380" t="s">
        <v>55</v>
      </c>
      <c r="H90" s="380"/>
      <c r="I90" s="388">
        <f>568000/4</f>
        <v>142000</v>
      </c>
      <c r="J90" s="380">
        <v>4</v>
      </c>
      <c r="K90" s="389">
        <f t="shared" si="2"/>
        <v>35500</v>
      </c>
      <c r="L90" s="381">
        <v>45670</v>
      </c>
      <c r="M90" s="381">
        <v>46764</v>
      </c>
      <c r="N90" s="663"/>
      <c r="O90" s="680"/>
      <c r="P90" s="363" t="s">
        <v>520</v>
      </c>
      <c r="Q90" s="380" t="s">
        <v>0</v>
      </c>
      <c r="R90" s="380"/>
      <c r="S90" s="390" t="s">
        <v>531</v>
      </c>
      <c r="T90" s="363" t="s">
        <v>541</v>
      </c>
      <c r="U90" s="390" t="s">
        <v>532</v>
      </c>
      <c r="V90" s="363" t="s">
        <v>439</v>
      </c>
      <c r="W90" s="390" t="s">
        <v>533</v>
      </c>
      <c r="X90" s="363" t="s">
        <v>542</v>
      </c>
      <c r="Y90" s="390" t="s">
        <v>534</v>
      </c>
      <c r="Z90" s="363" t="s">
        <v>543</v>
      </c>
      <c r="AA90" s="363"/>
      <c r="AB90" s="363"/>
      <c r="AC90" s="363"/>
      <c r="AD90" s="363"/>
      <c r="AE90" s="363" t="s">
        <v>128</v>
      </c>
      <c r="AF90" s="380" t="s">
        <v>129</v>
      </c>
      <c r="AG90" s="380">
        <v>4</v>
      </c>
      <c r="AH90" s="363"/>
    </row>
    <row r="91" spans="2:34" ht="14.4" hidden="1" x14ac:dyDescent="0.3">
      <c r="B91" s="380" t="s">
        <v>14</v>
      </c>
      <c r="C91" s="409" t="s">
        <v>544</v>
      </c>
      <c r="D91" s="423" t="s">
        <v>545</v>
      </c>
      <c r="E91" s="419">
        <v>1240051506</v>
      </c>
      <c r="F91" s="387">
        <v>45670</v>
      </c>
      <c r="G91" s="380" t="s">
        <v>55</v>
      </c>
      <c r="H91" s="380">
        <v>2</v>
      </c>
      <c r="I91" s="388">
        <v>144999.96</v>
      </c>
      <c r="J91" s="380">
        <v>3</v>
      </c>
      <c r="K91" s="389">
        <f t="shared" si="2"/>
        <v>48333.32</v>
      </c>
      <c r="L91" s="381">
        <v>45670</v>
      </c>
      <c r="M91" s="381">
        <v>46034</v>
      </c>
      <c r="N91" s="663"/>
      <c r="O91" s="680"/>
      <c r="P91" s="363" t="s">
        <v>19</v>
      </c>
      <c r="Q91" s="380" t="s">
        <v>0</v>
      </c>
      <c r="R91" s="380"/>
      <c r="S91" s="390" t="s">
        <v>546</v>
      </c>
      <c r="T91" s="363" t="s">
        <v>547</v>
      </c>
      <c r="U91" s="390" t="s">
        <v>548</v>
      </c>
      <c r="V91" s="363" t="s">
        <v>549</v>
      </c>
      <c r="W91" s="390" t="s">
        <v>550</v>
      </c>
      <c r="X91" s="363" t="s">
        <v>537</v>
      </c>
      <c r="Y91" s="363"/>
      <c r="Z91" s="363"/>
      <c r="AA91" s="363"/>
      <c r="AB91" s="363"/>
      <c r="AC91" s="363"/>
      <c r="AD91" s="363"/>
      <c r="AE91" s="363" t="s">
        <v>551</v>
      </c>
      <c r="AF91" s="380" t="s">
        <v>207</v>
      </c>
      <c r="AG91" s="380">
        <v>3</v>
      </c>
      <c r="AH91" s="363"/>
    </row>
    <row r="92" spans="2:34" ht="14.4" hidden="1" x14ac:dyDescent="0.3">
      <c r="B92" s="380" t="s">
        <v>14</v>
      </c>
      <c r="C92" s="409" t="s">
        <v>552</v>
      </c>
      <c r="D92" s="418" t="s">
        <v>151</v>
      </c>
      <c r="E92" s="380" t="s">
        <v>553</v>
      </c>
      <c r="F92" s="387">
        <v>45677</v>
      </c>
      <c r="G92" s="380" t="s">
        <v>55</v>
      </c>
      <c r="H92" s="380"/>
      <c r="I92" s="388">
        <f>332160/2</f>
        <v>166080</v>
      </c>
      <c r="J92" s="380">
        <v>3</v>
      </c>
      <c r="K92" s="389">
        <f t="shared" si="2"/>
        <v>55360</v>
      </c>
      <c r="L92" s="381">
        <v>45658</v>
      </c>
      <c r="M92" s="381">
        <v>46022</v>
      </c>
      <c r="N92" s="663"/>
      <c r="O92" s="680"/>
      <c r="P92" s="363" t="s">
        <v>520</v>
      </c>
      <c r="Q92" s="380" t="s">
        <v>0</v>
      </c>
      <c r="R92" s="380"/>
      <c r="S92" s="390" t="s">
        <v>554</v>
      </c>
      <c r="T92" s="363" t="s">
        <v>555</v>
      </c>
      <c r="U92" s="390" t="s">
        <v>343</v>
      </c>
      <c r="V92" s="363" t="s">
        <v>227</v>
      </c>
      <c r="W92" s="390" t="s">
        <v>345</v>
      </c>
      <c r="X92" s="363" t="s">
        <v>417</v>
      </c>
      <c r="Y92" s="363"/>
      <c r="Z92" s="363"/>
      <c r="AA92" s="363"/>
      <c r="AB92" s="363"/>
      <c r="AC92" s="363"/>
      <c r="AD92" s="363"/>
      <c r="AE92" s="363" t="s">
        <v>507</v>
      </c>
      <c r="AF92" s="380" t="s">
        <v>63</v>
      </c>
      <c r="AG92" s="380">
        <v>3</v>
      </c>
      <c r="AH92" s="363"/>
    </row>
    <row r="93" spans="2:34" ht="14.4" hidden="1" x14ac:dyDescent="0.3">
      <c r="B93" s="380" t="s">
        <v>14</v>
      </c>
      <c r="C93" s="409" t="s">
        <v>552</v>
      </c>
      <c r="D93" s="418" t="s">
        <v>151</v>
      </c>
      <c r="E93" s="493" t="s">
        <v>553</v>
      </c>
      <c r="F93" s="387">
        <v>45677</v>
      </c>
      <c r="G93" s="380" t="s">
        <v>55</v>
      </c>
      <c r="H93" s="380">
        <v>2</v>
      </c>
      <c r="I93" s="388">
        <f>332160/2</f>
        <v>166080</v>
      </c>
      <c r="J93" s="380">
        <v>3</v>
      </c>
      <c r="K93" s="389">
        <f t="shared" si="2"/>
        <v>55360</v>
      </c>
      <c r="L93" s="381">
        <v>46023</v>
      </c>
      <c r="M93" s="381">
        <v>46387</v>
      </c>
      <c r="N93" s="663"/>
      <c r="O93" s="680"/>
      <c r="P93" s="363" t="s">
        <v>520</v>
      </c>
      <c r="Q93" s="380" t="s">
        <v>0</v>
      </c>
      <c r="R93" s="380"/>
      <c r="S93" s="390" t="s">
        <v>347</v>
      </c>
      <c r="T93" s="363" t="s">
        <v>556</v>
      </c>
      <c r="U93" s="363" t="s">
        <v>348</v>
      </c>
      <c r="V93" s="363"/>
      <c r="W93" s="363" t="s">
        <v>349</v>
      </c>
      <c r="X93" s="363"/>
      <c r="Y93" s="363"/>
      <c r="Z93" s="363"/>
      <c r="AA93" s="363"/>
      <c r="AB93" s="363"/>
      <c r="AC93" s="363"/>
      <c r="AD93" s="363"/>
      <c r="AE93" s="363" t="s">
        <v>507</v>
      </c>
      <c r="AF93" s="380" t="s">
        <v>63</v>
      </c>
      <c r="AG93" s="380">
        <v>3</v>
      </c>
      <c r="AH93" s="363"/>
    </row>
    <row r="94" spans="2:34" ht="14.4" hidden="1" x14ac:dyDescent="0.3">
      <c r="B94" s="380" t="s">
        <v>14</v>
      </c>
      <c r="C94" s="409" t="s">
        <v>557</v>
      </c>
      <c r="D94" s="386" t="s">
        <v>558</v>
      </c>
      <c r="E94" s="424" t="s">
        <v>559</v>
      </c>
      <c r="F94" s="387">
        <v>45688</v>
      </c>
      <c r="G94" s="380" t="s">
        <v>55</v>
      </c>
      <c r="H94" s="380">
        <v>1</v>
      </c>
      <c r="I94" s="388">
        <v>134698</v>
      </c>
      <c r="J94" s="380">
        <v>4</v>
      </c>
      <c r="K94" s="389">
        <f t="shared" si="2"/>
        <v>33674.5</v>
      </c>
      <c r="L94" s="381">
        <v>45688</v>
      </c>
      <c r="M94" s="381">
        <v>46052</v>
      </c>
      <c r="N94" s="663"/>
      <c r="O94" s="680"/>
      <c r="P94" s="363" t="s">
        <v>19</v>
      </c>
      <c r="Q94" s="380" t="s">
        <v>0</v>
      </c>
      <c r="R94" s="380"/>
      <c r="S94" s="390" t="s">
        <v>560</v>
      </c>
      <c r="T94" s="363" t="s">
        <v>561</v>
      </c>
      <c r="U94" s="390" t="s">
        <v>266</v>
      </c>
      <c r="V94" s="363" t="s">
        <v>562</v>
      </c>
      <c r="W94" s="390" t="s">
        <v>267</v>
      </c>
      <c r="X94" s="363" t="s">
        <v>563</v>
      </c>
      <c r="Y94" s="390" t="s">
        <v>564</v>
      </c>
      <c r="Z94" s="363" t="s">
        <v>84</v>
      </c>
      <c r="AA94" s="363"/>
      <c r="AB94" s="363"/>
      <c r="AC94" s="363"/>
      <c r="AD94" s="363"/>
      <c r="AE94" s="363" t="s">
        <v>281</v>
      </c>
      <c r="AF94" s="380" t="s">
        <v>97</v>
      </c>
      <c r="AG94" s="380" t="s">
        <v>494</v>
      </c>
      <c r="AH94" s="363"/>
    </row>
    <row r="95" spans="2:34" ht="14.4" hidden="1" x14ac:dyDescent="0.3">
      <c r="B95" s="380" t="s">
        <v>14</v>
      </c>
      <c r="C95" s="409" t="s">
        <v>565</v>
      </c>
      <c r="D95" s="386" t="s">
        <v>566</v>
      </c>
      <c r="E95" s="424">
        <v>1011705960</v>
      </c>
      <c r="F95" s="387">
        <v>45692</v>
      </c>
      <c r="G95" s="380" t="s">
        <v>55</v>
      </c>
      <c r="H95" s="380">
        <v>1</v>
      </c>
      <c r="I95" s="388">
        <v>75000</v>
      </c>
      <c r="J95" s="380">
        <v>2</v>
      </c>
      <c r="K95" s="389">
        <f t="shared" si="2"/>
        <v>37500</v>
      </c>
      <c r="L95" s="381">
        <v>45689</v>
      </c>
      <c r="M95" s="381">
        <v>46053</v>
      </c>
      <c r="N95" s="663"/>
      <c r="O95" s="680"/>
      <c r="P95" s="363" t="s">
        <v>19</v>
      </c>
      <c r="Q95" s="380" t="s">
        <v>0</v>
      </c>
      <c r="R95" s="380"/>
      <c r="S95" s="390" t="s">
        <v>567</v>
      </c>
      <c r="T95" s="363" t="s">
        <v>555</v>
      </c>
      <c r="U95" s="390" t="s">
        <v>424</v>
      </c>
      <c r="V95" s="363" t="s">
        <v>493</v>
      </c>
      <c r="W95" s="363"/>
      <c r="X95" s="363"/>
      <c r="Y95" s="363"/>
      <c r="Z95" s="363"/>
      <c r="AA95" s="363"/>
      <c r="AB95" s="363"/>
      <c r="AC95" s="363"/>
      <c r="AD95" s="363"/>
      <c r="AE95" s="363" t="s">
        <v>551</v>
      </c>
      <c r="AF95" s="380" t="s">
        <v>207</v>
      </c>
      <c r="AG95" s="380">
        <v>2</v>
      </c>
      <c r="AH95" s="363"/>
    </row>
    <row r="96" spans="2:34" ht="14.4" hidden="1" x14ac:dyDescent="0.3">
      <c r="B96" s="380" t="s">
        <v>14</v>
      </c>
      <c r="C96" s="412" t="s">
        <v>568</v>
      </c>
      <c r="D96" s="413" t="s">
        <v>151</v>
      </c>
      <c r="E96" s="425">
        <v>7700326717</v>
      </c>
      <c r="F96" s="415">
        <v>45693</v>
      </c>
      <c r="G96" s="380" t="s">
        <v>55</v>
      </c>
      <c r="H96" s="380"/>
      <c r="I96" s="388">
        <f>93000*3</f>
        <v>279000</v>
      </c>
      <c r="J96" s="380">
        <v>3</v>
      </c>
      <c r="K96" s="389">
        <f t="shared" si="2"/>
        <v>93000</v>
      </c>
      <c r="L96" s="381">
        <v>45705</v>
      </c>
      <c r="M96" s="381">
        <v>46069</v>
      </c>
      <c r="N96" s="663"/>
      <c r="O96" s="680"/>
      <c r="P96" s="363" t="s">
        <v>520</v>
      </c>
      <c r="Q96" s="380" t="s">
        <v>2</v>
      </c>
      <c r="R96" s="380"/>
      <c r="S96" s="390" t="s">
        <v>569</v>
      </c>
      <c r="T96" s="363" t="s">
        <v>570</v>
      </c>
      <c r="U96" s="390" t="s">
        <v>571</v>
      </c>
      <c r="V96" s="363" t="s">
        <v>126</v>
      </c>
      <c r="W96" s="390" t="s">
        <v>572</v>
      </c>
      <c r="X96" s="363" t="s">
        <v>573</v>
      </c>
      <c r="Y96" s="363"/>
      <c r="Z96" s="363"/>
      <c r="AA96" s="363"/>
      <c r="AB96" s="363"/>
      <c r="AC96" s="363"/>
      <c r="AD96" s="363"/>
      <c r="AE96" s="363" t="s">
        <v>507</v>
      </c>
      <c r="AF96" s="380" t="s">
        <v>63</v>
      </c>
      <c r="AG96" s="380">
        <v>3</v>
      </c>
      <c r="AH96" s="363"/>
    </row>
    <row r="97" spans="2:34" ht="14.4" hidden="1" x14ac:dyDescent="0.3">
      <c r="B97" s="380" t="s">
        <v>14</v>
      </c>
      <c r="C97" s="412" t="s">
        <v>568</v>
      </c>
      <c r="D97" s="413" t="s">
        <v>151</v>
      </c>
      <c r="E97" s="425">
        <v>7700326717</v>
      </c>
      <c r="F97" s="415">
        <v>45693</v>
      </c>
      <c r="G97" s="380" t="s">
        <v>55</v>
      </c>
      <c r="H97" s="380"/>
      <c r="I97" s="388">
        <f>279000+93000</f>
        <v>372000</v>
      </c>
      <c r="J97" s="380">
        <v>3</v>
      </c>
      <c r="K97" s="389"/>
      <c r="L97" s="381">
        <v>46070</v>
      </c>
      <c r="M97" s="381">
        <v>46434</v>
      </c>
      <c r="N97" s="663"/>
      <c r="O97" s="680"/>
      <c r="P97" s="363" t="s">
        <v>520</v>
      </c>
      <c r="Q97" s="380" t="s">
        <v>2</v>
      </c>
      <c r="R97" s="380"/>
      <c r="S97" s="390" t="s">
        <v>574</v>
      </c>
      <c r="T97" s="363" t="s">
        <v>1714</v>
      </c>
      <c r="U97" s="363" t="s">
        <v>575</v>
      </c>
      <c r="V97" s="363"/>
      <c r="W97" s="363" t="s">
        <v>576</v>
      </c>
      <c r="X97" s="363"/>
      <c r="Y97" s="363"/>
      <c r="Z97" s="363"/>
      <c r="AA97" s="363"/>
      <c r="AB97" s="363"/>
      <c r="AC97" s="363"/>
      <c r="AD97" s="363"/>
      <c r="AE97" s="363" t="s">
        <v>507</v>
      </c>
      <c r="AF97" s="380" t="s">
        <v>63</v>
      </c>
      <c r="AG97" s="380">
        <v>3</v>
      </c>
      <c r="AH97" s="363"/>
    </row>
    <row r="98" spans="2:34" ht="14.4" hidden="1" x14ac:dyDescent="0.3">
      <c r="B98" s="380" t="s">
        <v>14</v>
      </c>
      <c r="C98" s="409" t="s">
        <v>568</v>
      </c>
      <c r="D98" s="386" t="s">
        <v>151</v>
      </c>
      <c r="E98" s="380">
        <v>7700326717</v>
      </c>
      <c r="F98" s="387">
        <v>45693</v>
      </c>
      <c r="G98" s="380" t="s">
        <v>55</v>
      </c>
      <c r="H98" s="380">
        <v>4</v>
      </c>
      <c r="I98" s="388">
        <f>279000+93000</f>
        <v>372000</v>
      </c>
      <c r="J98" s="380">
        <v>3</v>
      </c>
      <c r="K98" s="389"/>
      <c r="L98" s="381">
        <v>46435</v>
      </c>
      <c r="M98" s="381">
        <v>46799</v>
      </c>
      <c r="N98" s="663"/>
      <c r="O98" s="680"/>
      <c r="P98" s="363" t="s">
        <v>520</v>
      </c>
      <c r="Q98" s="380" t="s">
        <v>2</v>
      </c>
      <c r="R98" s="380"/>
      <c r="S98" s="363" t="s">
        <v>577</v>
      </c>
      <c r="T98" s="363"/>
      <c r="U98" s="363" t="s">
        <v>578</v>
      </c>
      <c r="V98" s="363"/>
      <c r="W98" s="363" t="s">
        <v>579</v>
      </c>
      <c r="X98" s="363"/>
      <c r="Y98" s="363"/>
      <c r="Z98" s="363"/>
      <c r="AA98" s="363"/>
      <c r="AB98" s="363"/>
      <c r="AC98" s="363"/>
      <c r="AD98" s="363"/>
      <c r="AE98" s="363" t="s">
        <v>507</v>
      </c>
      <c r="AF98" s="380" t="s">
        <v>63</v>
      </c>
      <c r="AG98" s="380">
        <v>3</v>
      </c>
      <c r="AH98" s="363"/>
    </row>
    <row r="99" spans="2:34" ht="14.4" hidden="1" x14ac:dyDescent="0.3">
      <c r="B99" s="380" t="s">
        <v>14</v>
      </c>
      <c r="C99" s="412" t="s">
        <v>580</v>
      </c>
      <c r="D99" s="413" t="s">
        <v>581</v>
      </c>
      <c r="E99" s="426">
        <v>24008608</v>
      </c>
      <c r="F99" s="415">
        <v>45698</v>
      </c>
      <c r="G99" s="380" t="s">
        <v>55</v>
      </c>
      <c r="H99" s="380">
        <v>1</v>
      </c>
      <c r="I99" s="388">
        <v>90000</v>
      </c>
      <c r="J99" s="380">
        <v>3</v>
      </c>
      <c r="K99" s="389">
        <f t="shared" ref="K99:K162" si="3">I99/J99</f>
        <v>30000</v>
      </c>
      <c r="L99" s="381">
        <v>45689</v>
      </c>
      <c r="M99" s="381">
        <v>46053</v>
      </c>
      <c r="N99" s="663"/>
      <c r="O99" s="680"/>
      <c r="P99" s="363" t="s">
        <v>19</v>
      </c>
      <c r="Q99" s="380" t="s">
        <v>0</v>
      </c>
      <c r="R99" s="380"/>
      <c r="S99" s="390" t="s">
        <v>79</v>
      </c>
      <c r="T99" s="363" t="s">
        <v>413</v>
      </c>
      <c r="U99" s="390" t="s">
        <v>81</v>
      </c>
      <c r="V99" s="363" t="s">
        <v>582</v>
      </c>
      <c r="W99" s="390" t="s">
        <v>83</v>
      </c>
      <c r="X99" s="363" t="s">
        <v>320</v>
      </c>
      <c r="Y99" s="363"/>
      <c r="Z99" s="363"/>
      <c r="AA99" s="363"/>
      <c r="AB99" s="363"/>
      <c r="AC99" s="363"/>
      <c r="AD99" s="363"/>
      <c r="AE99" s="363" t="s">
        <v>183</v>
      </c>
      <c r="AF99" s="380" t="s">
        <v>97</v>
      </c>
      <c r="AG99" s="380">
        <v>2</v>
      </c>
      <c r="AH99" s="363"/>
    </row>
    <row r="100" spans="2:34" ht="14.4" hidden="1" x14ac:dyDescent="0.3">
      <c r="B100" s="380" t="s">
        <v>14</v>
      </c>
      <c r="C100" s="427" t="s">
        <v>583</v>
      </c>
      <c r="D100" s="413" t="s">
        <v>176</v>
      </c>
      <c r="E100" s="416" t="s">
        <v>584</v>
      </c>
      <c r="F100" s="387">
        <v>45699</v>
      </c>
      <c r="G100" s="380" t="s">
        <v>55</v>
      </c>
      <c r="H100" s="380">
        <v>1</v>
      </c>
      <c r="I100" s="428">
        <v>142080</v>
      </c>
      <c r="J100" s="380">
        <v>2</v>
      </c>
      <c r="K100" s="389">
        <f t="shared" si="3"/>
        <v>71040</v>
      </c>
      <c r="L100" s="381">
        <v>45689</v>
      </c>
      <c r="M100" s="381">
        <v>46053</v>
      </c>
      <c r="N100" s="663"/>
      <c r="O100" s="680"/>
      <c r="P100" s="363" t="s">
        <v>19</v>
      </c>
      <c r="Q100" s="380" t="s">
        <v>0</v>
      </c>
      <c r="R100" s="380"/>
      <c r="S100" s="390" t="s">
        <v>422</v>
      </c>
      <c r="T100" s="363" t="s">
        <v>585</v>
      </c>
      <c r="U100" s="390" t="s">
        <v>424</v>
      </c>
      <c r="V100" s="363" t="s">
        <v>586</v>
      </c>
      <c r="W100" s="363"/>
      <c r="X100" s="363"/>
      <c r="Y100" s="363"/>
      <c r="Z100" s="363"/>
      <c r="AA100" s="363"/>
      <c r="AB100" s="363"/>
      <c r="AC100" s="363"/>
      <c r="AD100" s="363"/>
      <c r="AE100" s="363" t="s">
        <v>183</v>
      </c>
      <c r="AF100" s="380" t="s">
        <v>97</v>
      </c>
      <c r="AG100" s="380">
        <v>2</v>
      </c>
      <c r="AH100" s="363"/>
    </row>
    <row r="101" spans="2:34" ht="14.4" hidden="1" x14ac:dyDescent="0.3">
      <c r="B101" s="380" t="s">
        <v>14</v>
      </c>
      <c r="C101" s="409" t="s">
        <v>587</v>
      </c>
      <c r="D101" s="386" t="s">
        <v>176</v>
      </c>
      <c r="E101" s="424">
        <v>4800012618</v>
      </c>
      <c r="F101" s="387">
        <v>45673</v>
      </c>
      <c r="G101" s="380" t="s">
        <v>55</v>
      </c>
      <c r="H101" s="380">
        <v>1</v>
      </c>
      <c r="I101" s="388">
        <v>86350</v>
      </c>
      <c r="J101" s="380">
        <v>2</v>
      </c>
      <c r="K101" s="389">
        <f t="shared" si="3"/>
        <v>43175</v>
      </c>
      <c r="L101" s="381">
        <v>45689</v>
      </c>
      <c r="M101" s="381">
        <v>46053</v>
      </c>
      <c r="N101" s="663"/>
      <c r="O101" s="680"/>
      <c r="P101" s="363" t="s">
        <v>19</v>
      </c>
      <c r="Q101" s="380" t="s">
        <v>0</v>
      </c>
      <c r="R101" s="380"/>
      <c r="S101" s="390" t="s">
        <v>422</v>
      </c>
      <c r="T101" s="363" t="s">
        <v>225</v>
      </c>
      <c r="U101" s="390" t="s">
        <v>424</v>
      </c>
      <c r="V101" s="363" t="s">
        <v>588</v>
      </c>
      <c r="W101" s="363"/>
      <c r="X101" s="363"/>
      <c r="Y101" s="363"/>
      <c r="Z101" s="363"/>
      <c r="AA101" s="363"/>
      <c r="AB101" s="363"/>
      <c r="AC101" s="363"/>
      <c r="AD101" s="363"/>
      <c r="AE101" s="363" t="s">
        <v>183</v>
      </c>
      <c r="AF101" s="380" t="s">
        <v>97</v>
      </c>
      <c r="AG101" s="380">
        <v>2</v>
      </c>
      <c r="AH101" s="363"/>
    </row>
    <row r="102" spans="2:34" ht="14.4" hidden="1" x14ac:dyDescent="0.3">
      <c r="B102" s="380" t="s">
        <v>14</v>
      </c>
      <c r="C102" s="409" t="s">
        <v>589</v>
      </c>
      <c r="D102" s="386" t="s">
        <v>590</v>
      </c>
      <c r="E102" s="424">
        <v>4508578495</v>
      </c>
      <c r="F102" s="387">
        <v>45700</v>
      </c>
      <c r="G102" s="380" t="s">
        <v>55</v>
      </c>
      <c r="H102" s="380">
        <v>1</v>
      </c>
      <c r="I102" s="388">
        <v>137750</v>
      </c>
      <c r="J102" s="380">
        <v>3</v>
      </c>
      <c r="K102" s="389">
        <f t="shared" si="3"/>
        <v>45916.666666666664</v>
      </c>
      <c r="L102" s="381">
        <v>45698</v>
      </c>
      <c r="M102" s="381">
        <v>46062</v>
      </c>
      <c r="N102" s="663"/>
      <c r="O102" s="680"/>
      <c r="P102" s="363" t="s">
        <v>19</v>
      </c>
      <c r="Q102" s="380" t="s">
        <v>2</v>
      </c>
      <c r="R102" s="380"/>
      <c r="S102" s="390" t="s">
        <v>591</v>
      </c>
      <c r="T102" s="363" t="s">
        <v>555</v>
      </c>
      <c r="U102" s="390" t="s">
        <v>592</v>
      </c>
      <c r="V102" s="363" t="s">
        <v>464</v>
      </c>
      <c r="W102" s="390" t="s">
        <v>593</v>
      </c>
      <c r="X102" s="363" t="s">
        <v>594</v>
      </c>
      <c r="Y102" s="363"/>
      <c r="Z102" s="363"/>
      <c r="AA102" s="363"/>
      <c r="AB102" s="363"/>
      <c r="AC102" s="363"/>
      <c r="AD102" s="363"/>
      <c r="AE102" s="363" t="s">
        <v>551</v>
      </c>
      <c r="AF102" s="380" t="s">
        <v>207</v>
      </c>
      <c r="AG102" s="380">
        <v>3</v>
      </c>
      <c r="AH102" s="363"/>
    </row>
    <row r="103" spans="2:34" ht="14.4" hidden="1" x14ac:dyDescent="0.3">
      <c r="B103" s="380" t="s">
        <v>14</v>
      </c>
      <c r="C103" s="409" t="s">
        <v>595</v>
      </c>
      <c r="D103" s="386" t="s">
        <v>596</v>
      </c>
      <c r="E103" s="424">
        <v>3110014461</v>
      </c>
      <c r="F103" s="387">
        <v>45700</v>
      </c>
      <c r="G103" s="380" t="s">
        <v>55</v>
      </c>
      <c r="H103" s="380">
        <v>1</v>
      </c>
      <c r="I103" s="388">
        <v>50000</v>
      </c>
      <c r="J103" s="380">
        <v>2</v>
      </c>
      <c r="K103" s="389">
        <f t="shared" si="3"/>
        <v>25000</v>
      </c>
      <c r="L103" s="381">
        <v>45748</v>
      </c>
      <c r="M103" s="381">
        <v>46112</v>
      </c>
      <c r="N103" s="663"/>
      <c r="O103" s="680"/>
      <c r="P103" s="363" t="s">
        <v>19</v>
      </c>
      <c r="Q103" s="380" t="s">
        <v>3</v>
      </c>
      <c r="R103" s="380"/>
      <c r="S103" s="390" t="s">
        <v>463</v>
      </c>
      <c r="T103" s="363" t="s">
        <v>537</v>
      </c>
      <c r="U103" s="390" t="s">
        <v>465</v>
      </c>
      <c r="V103" s="363" t="s">
        <v>597</v>
      </c>
      <c r="W103" s="363"/>
      <c r="X103" s="363"/>
      <c r="Y103" s="363"/>
      <c r="Z103" s="363"/>
      <c r="AA103" s="363"/>
      <c r="AB103" s="363"/>
      <c r="AC103" s="363"/>
      <c r="AD103" s="363"/>
      <c r="AE103" s="363" t="s">
        <v>507</v>
      </c>
      <c r="AF103" s="380" t="s">
        <v>63</v>
      </c>
      <c r="AG103" s="380">
        <v>2</v>
      </c>
      <c r="AH103" s="363"/>
    </row>
    <row r="104" spans="2:34" ht="14.4" hidden="1" x14ac:dyDescent="0.3">
      <c r="B104" s="380" t="s">
        <v>14</v>
      </c>
      <c r="C104" s="409" t="s">
        <v>598</v>
      </c>
      <c r="D104" s="386" t="s">
        <v>599</v>
      </c>
      <c r="E104" s="419">
        <v>3001027074</v>
      </c>
      <c r="F104" s="387">
        <v>45702</v>
      </c>
      <c r="G104" s="380" t="s">
        <v>55</v>
      </c>
      <c r="H104" s="380">
        <v>5</v>
      </c>
      <c r="I104" s="388">
        <v>290000</v>
      </c>
      <c r="J104" s="380">
        <v>2</v>
      </c>
      <c r="K104" s="389">
        <f t="shared" si="3"/>
        <v>145000</v>
      </c>
      <c r="L104" s="381">
        <v>45702</v>
      </c>
      <c r="M104" s="381">
        <v>46065</v>
      </c>
      <c r="N104" s="663"/>
      <c r="O104" s="680"/>
      <c r="P104" s="363" t="s">
        <v>19</v>
      </c>
      <c r="Q104" s="380" t="s">
        <v>2</v>
      </c>
      <c r="R104" s="380"/>
      <c r="S104" s="390" t="s">
        <v>600</v>
      </c>
      <c r="T104" s="363" t="s">
        <v>601</v>
      </c>
      <c r="U104" s="390" t="s">
        <v>602</v>
      </c>
      <c r="V104" s="363" t="s">
        <v>573</v>
      </c>
      <c r="W104" s="363"/>
      <c r="X104" s="363"/>
      <c r="Y104" s="363"/>
      <c r="Z104" s="363"/>
      <c r="AA104" s="363"/>
      <c r="AB104" s="363"/>
      <c r="AC104" s="363"/>
      <c r="AD104" s="363"/>
      <c r="AE104" s="363" t="s">
        <v>485</v>
      </c>
      <c r="AF104" s="380" t="s">
        <v>63</v>
      </c>
      <c r="AG104" s="380">
        <v>2</v>
      </c>
      <c r="AH104" s="363" t="s">
        <v>603</v>
      </c>
    </row>
    <row r="105" spans="2:34" ht="14.4" hidden="1" x14ac:dyDescent="0.3">
      <c r="B105" s="380" t="s">
        <v>14</v>
      </c>
      <c r="C105" s="409" t="s">
        <v>604</v>
      </c>
      <c r="D105" s="386" t="s">
        <v>605</v>
      </c>
      <c r="E105" s="380">
        <v>5700171274</v>
      </c>
      <c r="F105" s="387">
        <v>45705</v>
      </c>
      <c r="G105" s="380" t="s">
        <v>55</v>
      </c>
      <c r="H105" s="380"/>
      <c r="I105" s="388">
        <v>591675</v>
      </c>
      <c r="J105" s="380">
        <v>2</v>
      </c>
      <c r="K105" s="389">
        <f t="shared" si="3"/>
        <v>295837.5</v>
      </c>
      <c r="L105" s="381">
        <v>45658</v>
      </c>
      <c r="M105" s="381">
        <v>46022</v>
      </c>
      <c r="N105" s="663"/>
      <c r="O105" s="680"/>
      <c r="P105" s="363" t="s">
        <v>520</v>
      </c>
      <c r="Q105" s="380" t="s">
        <v>2</v>
      </c>
      <c r="R105" s="380"/>
      <c r="S105" s="390" t="s">
        <v>482</v>
      </c>
      <c r="T105" s="363" t="s">
        <v>371</v>
      </c>
      <c r="U105" s="390" t="s">
        <v>483</v>
      </c>
      <c r="V105" s="363" t="s">
        <v>606</v>
      </c>
      <c r="W105" s="363"/>
      <c r="X105" s="363"/>
      <c r="Y105" s="363"/>
      <c r="Z105" s="363"/>
      <c r="AA105" s="363"/>
      <c r="AB105" s="363"/>
      <c r="AC105" s="363"/>
      <c r="AD105" s="363"/>
      <c r="AE105" s="363" t="s">
        <v>485</v>
      </c>
      <c r="AF105" s="380" t="s">
        <v>63</v>
      </c>
      <c r="AG105" s="380">
        <v>3</v>
      </c>
      <c r="AH105" s="363"/>
    </row>
    <row r="106" spans="2:34" ht="14.4" hidden="1" x14ac:dyDescent="0.3">
      <c r="B106" s="380" t="s">
        <v>14</v>
      </c>
      <c r="C106" s="409" t="s">
        <v>604</v>
      </c>
      <c r="D106" s="386" t="s">
        <v>605</v>
      </c>
      <c r="E106" s="380">
        <v>5700171274</v>
      </c>
      <c r="F106" s="387">
        <v>45705</v>
      </c>
      <c r="G106" s="380" t="s">
        <v>55</v>
      </c>
      <c r="H106" s="380">
        <v>5</v>
      </c>
      <c r="I106" s="388">
        <v>591675</v>
      </c>
      <c r="J106" s="380">
        <v>2</v>
      </c>
      <c r="K106" s="389">
        <f t="shared" si="3"/>
        <v>295837.5</v>
      </c>
      <c r="L106" s="381">
        <v>46023</v>
      </c>
      <c r="M106" s="381">
        <v>46387</v>
      </c>
      <c r="N106" s="663"/>
      <c r="O106" s="680"/>
      <c r="P106" s="363" t="s">
        <v>520</v>
      </c>
      <c r="Q106" s="380" t="s">
        <v>2</v>
      </c>
      <c r="R106" s="380"/>
      <c r="S106" s="390" t="s">
        <v>607</v>
      </c>
      <c r="T106" s="363" t="s">
        <v>1850</v>
      </c>
      <c r="U106" s="363" t="s">
        <v>608</v>
      </c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 t="s">
        <v>485</v>
      </c>
      <c r="AF106" s="380" t="s">
        <v>63</v>
      </c>
      <c r="AG106" s="380">
        <v>3</v>
      </c>
      <c r="AH106" s="363"/>
    </row>
    <row r="107" spans="2:34" ht="14.4" hidden="1" x14ac:dyDescent="0.3">
      <c r="B107" s="380" t="s">
        <v>14</v>
      </c>
      <c r="C107" s="429" t="s">
        <v>609</v>
      </c>
      <c r="D107" s="386" t="s">
        <v>86</v>
      </c>
      <c r="E107" s="419">
        <v>3791225209</v>
      </c>
      <c r="F107" s="387">
        <v>45695</v>
      </c>
      <c r="G107" s="380" t="s">
        <v>55</v>
      </c>
      <c r="H107" s="380">
        <v>2</v>
      </c>
      <c r="I107" s="388">
        <v>364800</v>
      </c>
      <c r="J107" s="380">
        <v>3</v>
      </c>
      <c r="K107" s="389">
        <f t="shared" si="3"/>
        <v>121600</v>
      </c>
      <c r="L107" s="381">
        <v>45689</v>
      </c>
      <c r="M107" s="381">
        <v>46053</v>
      </c>
      <c r="N107" s="663"/>
      <c r="O107" s="680"/>
      <c r="P107" s="363" t="s">
        <v>19</v>
      </c>
      <c r="Q107" s="380" t="s">
        <v>0</v>
      </c>
      <c r="R107" s="380" t="s">
        <v>1</v>
      </c>
      <c r="S107" s="390" t="s">
        <v>79</v>
      </c>
      <c r="T107" s="363" t="s">
        <v>610</v>
      </c>
      <c r="U107" s="390" t="s">
        <v>81</v>
      </c>
      <c r="V107" s="363" t="s">
        <v>611</v>
      </c>
      <c r="W107" s="390" t="s">
        <v>83</v>
      </c>
      <c r="X107" s="430" t="s">
        <v>612</v>
      </c>
      <c r="Y107" s="363"/>
      <c r="Z107" s="363"/>
      <c r="AA107" s="363"/>
      <c r="AB107" s="363"/>
      <c r="AC107" s="363"/>
      <c r="AD107" s="363"/>
      <c r="AE107" s="363" t="s">
        <v>281</v>
      </c>
      <c r="AF107" s="380" t="s">
        <v>97</v>
      </c>
      <c r="AG107" s="380">
        <v>3</v>
      </c>
      <c r="AH107" s="363" t="s">
        <v>613</v>
      </c>
    </row>
    <row r="108" spans="2:34" ht="14.4" hidden="1" x14ac:dyDescent="0.3">
      <c r="B108" s="380" t="s">
        <v>14</v>
      </c>
      <c r="C108" s="409" t="s">
        <v>598</v>
      </c>
      <c r="D108" s="386" t="s">
        <v>388</v>
      </c>
      <c r="E108" s="424">
        <v>3001030991</v>
      </c>
      <c r="F108" s="387">
        <v>45719</v>
      </c>
      <c r="G108" s="380" t="s">
        <v>616</v>
      </c>
      <c r="H108" s="380">
        <v>2</v>
      </c>
      <c r="I108" s="388">
        <v>116000</v>
      </c>
      <c r="J108" s="380">
        <v>2</v>
      </c>
      <c r="K108" s="389">
        <f t="shared" si="3"/>
        <v>58000</v>
      </c>
      <c r="L108" s="381">
        <v>45717</v>
      </c>
      <c r="M108" s="381">
        <v>46081</v>
      </c>
      <c r="N108" s="663"/>
      <c r="O108" s="680"/>
      <c r="P108" s="363" t="s">
        <v>19</v>
      </c>
      <c r="Q108" s="380" t="s">
        <v>2</v>
      </c>
      <c r="R108" s="380"/>
      <c r="S108" s="390" t="s">
        <v>624</v>
      </c>
      <c r="T108" s="363" t="s">
        <v>423</v>
      </c>
      <c r="U108" s="390" t="s">
        <v>625</v>
      </c>
      <c r="V108" s="363" t="s">
        <v>626</v>
      </c>
      <c r="W108" s="363"/>
      <c r="X108" s="363"/>
      <c r="Y108" s="363"/>
      <c r="Z108" s="363"/>
      <c r="AA108" s="363"/>
      <c r="AB108" s="363"/>
      <c r="AC108" s="363"/>
      <c r="AD108" s="363"/>
      <c r="AE108" s="363" t="s">
        <v>478</v>
      </c>
      <c r="AF108" s="380" t="s">
        <v>63</v>
      </c>
      <c r="AG108" s="380">
        <v>2</v>
      </c>
      <c r="AH108" s="431" t="s">
        <v>627</v>
      </c>
    </row>
    <row r="109" spans="2:34" ht="14.4" hidden="1" x14ac:dyDescent="0.3">
      <c r="B109" s="380" t="s">
        <v>14</v>
      </c>
      <c r="C109" s="412" t="s">
        <v>628</v>
      </c>
      <c r="D109" s="413" t="s">
        <v>629</v>
      </c>
      <c r="E109" s="416" t="s">
        <v>630</v>
      </c>
      <c r="F109" s="415">
        <v>45727</v>
      </c>
      <c r="G109" s="425" t="s">
        <v>616</v>
      </c>
      <c r="H109" s="425">
        <v>1</v>
      </c>
      <c r="I109" s="432">
        <v>52000</v>
      </c>
      <c r="J109" s="380">
        <v>1</v>
      </c>
      <c r="K109" s="389">
        <f t="shared" si="3"/>
        <v>52000</v>
      </c>
      <c r="L109" s="381">
        <v>45748</v>
      </c>
      <c r="M109" s="381">
        <v>46112</v>
      </c>
      <c r="N109" s="663"/>
      <c r="O109" s="680"/>
      <c r="P109" s="363" t="s">
        <v>19</v>
      </c>
      <c r="Q109" s="380" t="s">
        <v>3</v>
      </c>
      <c r="R109" s="380"/>
      <c r="S109" s="390" t="s">
        <v>631</v>
      </c>
      <c r="T109" s="363" t="s">
        <v>632</v>
      </c>
      <c r="U109" s="363"/>
      <c r="V109" s="363"/>
      <c r="W109" s="363"/>
      <c r="X109" s="363"/>
      <c r="Y109" s="363"/>
      <c r="Z109" s="363"/>
      <c r="AA109" s="363"/>
      <c r="AB109" s="363"/>
      <c r="AC109" s="363"/>
      <c r="AD109" s="363"/>
      <c r="AE109" s="363" t="s">
        <v>485</v>
      </c>
      <c r="AF109" s="380" t="s">
        <v>63</v>
      </c>
      <c r="AG109" s="380">
        <v>2</v>
      </c>
      <c r="AH109" s="363" t="s">
        <v>633</v>
      </c>
    </row>
    <row r="110" spans="2:34" ht="14.4" hidden="1" x14ac:dyDescent="0.3">
      <c r="B110" s="380" t="s">
        <v>14</v>
      </c>
      <c r="C110" s="409" t="s">
        <v>634</v>
      </c>
      <c r="D110" s="386" t="s">
        <v>447</v>
      </c>
      <c r="E110" s="380">
        <v>4500262958</v>
      </c>
      <c r="F110" s="387">
        <v>45727</v>
      </c>
      <c r="G110" s="380" t="s">
        <v>616</v>
      </c>
      <c r="H110" s="380"/>
      <c r="I110" s="388">
        <f>597000/3</f>
        <v>199000</v>
      </c>
      <c r="J110" s="380">
        <v>4</v>
      </c>
      <c r="K110" s="389">
        <f t="shared" si="3"/>
        <v>49750</v>
      </c>
      <c r="L110" s="381">
        <v>45658</v>
      </c>
      <c r="M110" s="381">
        <v>46022</v>
      </c>
      <c r="N110" s="663"/>
      <c r="O110" s="680"/>
      <c r="P110" s="363" t="s">
        <v>520</v>
      </c>
      <c r="Q110" s="380" t="s">
        <v>3</v>
      </c>
      <c r="R110" s="380"/>
      <c r="S110" s="390" t="s">
        <v>390</v>
      </c>
      <c r="T110" s="363" t="s">
        <v>635</v>
      </c>
      <c r="U110" s="390" t="s">
        <v>391</v>
      </c>
      <c r="V110" s="363" t="s">
        <v>636</v>
      </c>
      <c r="W110" s="390" t="s">
        <v>168</v>
      </c>
      <c r="X110" s="363" t="s">
        <v>637</v>
      </c>
      <c r="Y110" s="390" t="s">
        <v>228</v>
      </c>
      <c r="Z110" s="363" t="s">
        <v>493</v>
      </c>
      <c r="AA110" s="363"/>
      <c r="AB110" s="363"/>
      <c r="AC110" s="363"/>
      <c r="AD110" s="363"/>
      <c r="AE110" s="363" t="s">
        <v>96</v>
      </c>
      <c r="AF110" s="380" t="s">
        <v>97</v>
      </c>
      <c r="AG110" s="380" t="s">
        <v>494</v>
      </c>
      <c r="AH110" s="363" t="s">
        <v>638</v>
      </c>
    </row>
    <row r="111" spans="2:34" ht="14.4" hidden="1" x14ac:dyDescent="0.3">
      <c r="B111" s="380" t="s">
        <v>14</v>
      </c>
      <c r="C111" s="409" t="s">
        <v>634</v>
      </c>
      <c r="D111" s="386" t="s">
        <v>447</v>
      </c>
      <c r="E111" s="380">
        <v>4500262958</v>
      </c>
      <c r="F111" s="387">
        <v>45727</v>
      </c>
      <c r="G111" s="380" t="s">
        <v>616</v>
      </c>
      <c r="H111" s="380"/>
      <c r="I111" s="388">
        <v>199000</v>
      </c>
      <c r="J111" s="380">
        <v>4</v>
      </c>
      <c r="K111" s="389">
        <f t="shared" si="3"/>
        <v>49750</v>
      </c>
      <c r="L111" s="381">
        <v>46023</v>
      </c>
      <c r="M111" s="381">
        <v>46387</v>
      </c>
      <c r="N111" s="663"/>
      <c r="O111" s="680"/>
      <c r="P111" s="363" t="s">
        <v>520</v>
      </c>
      <c r="Q111" s="380" t="s">
        <v>3</v>
      </c>
      <c r="R111" s="380"/>
      <c r="S111" s="390" t="s">
        <v>396</v>
      </c>
      <c r="T111" s="363" t="s">
        <v>639</v>
      </c>
      <c r="U111" s="390" t="s">
        <v>397</v>
      </c>
      <c r="V111" s="363" t="s">
        <v>1715</v>
      </c>
      <c r="W111" s="363" t="s">
        <v>496</v>
      </c>
      <c r="X111" s="363"/>
      <c r="Y111" s="363" t="s">
        <v>497</v>
      </c>
      <c r="Z111" s="363"/>
      <c r="AA111" s="363"/>
      <c r="AB111" s="363"/>
      <c r="AC111" s="363"/>
      <c r="AD111" s="363"/>
      <c r="AE111" s="363" t="s">
        <v>96</v>
      </c>
      <c r="AF111" s="380" t="s">
        <v>97</v>
      </c>
      <c r="AG111" s="380" t="s">
        <v>494</v>
      </c>
      <c r="AH111" s="363"/>
    </row>
    <row r="112" spans="2:34" ht="14.4" hidden="1" x14ac:dyDescent="0.3">
      <c r="B112" s="380" t="s">
        <v>14</v>
      </c>
      <c r="C112" s="409" t="s">
        <v>634</v>
      </c>
      <c r="D112" s="386" t="s">
        <v>447</v>
      </c>
      <c r="E112" s="380">
        <v>4500262958</v>
      </c>
      <c r="F112" s="387">
        <v>45727</v>
      </c>
      <c r="G112" s="380" t="s">
        <v>616</v>
      </c>
      <c r="H112" s="380">
        <v>2</v>
      </c>
      <c r="I112" s="388">
        <v>199000</v>
      </c>
      <c r="J112" s="380">
        <v>4</v>
      </c>
      <c r="K112" s="389">
        <f t="shared" si="3"/>
        <v>49750</v>
      </c>
      <c r="L112" s="381">
        <v>46388</v>
      </c>
      <c r="M112" s="381">
        <v>46752</v>
      </c>
      <c r="N112" s="663"/>
      <c r="O112" s="680"/>
      <c r="P112" s="363" t="s">
        <v>520</v>
      </c>
      <c r="Q112" s="380" t="s">
        <v>3</v>
      </c>
      <c r="R112" s="380"/>
      <c r="S112" s="363" t="s">
        <v>498</v>
      </c>
      <c r="T112" s="363"/>
      <c r="U112" s="363" t="s">
        <v>499</v>
      </c>
      <c r="V112" s="363"/>
      <c r="W112" s="363" t="s">
        <v>500</v>
      </c>
      <c r="X112" s="363"/>
      <c r="Y112" s="363" t="s">
        <v>501</v>
      </c>
      <c r="Z112" s="363"/>
      <c r="AA112" s="363"/>
      <c r="AB112" s="363"/>
      <c r="AC112" s="363"/>
      <c r="AD112" s="363"/>
      <c r="AE112" s="363" t="s">
        <v>96</v>
      </c>
      <c r="AF112" s="380" t="s">
        <v>97</v>
      </c>
      <c r="AG112" s="380" t="s">
        <v>494</v>
      </c>
      <c r="AH112" s="363"/>
    </row>
    <row r="113" spans="2:34" ht="14.4" hidden="1" x14ac:dyDescent="0.3">
      <c r="B113" s="380" t="s">
        <v>14</v>
      </c>
      <c r="C113" s="409" t="s">
        <v>640</v>
      </c>
      <c r="D113" s="386" t="s">
        <v>641</v>
      </c>
      <c r="E113" s="380" t="s">
        <v>642</v>
      </c>
      <c r="F113" s="387">
        <v>45731</v>
      </c>
      <c r="G113" s="380" t="s">
        <v>643</v>
      </c>
      <c r="H113" s="380"/>
      <c r="I113" s="388">
        <v>152460</v>
      </c>
      <c r="J113" s="380">
        <v>1</v>
      </c>
      <c r="K113" s="389">
        <f t="shared" si="3"/>
        <v>152460</v>
      </c>
      <c r="L113" s="381">
        <v>45748</v>
      </c>
      <c r="M113" s="381">
        <v>46112</v>
      </c>
      <c r="N113" s="663"/>
      <c r="O113" s="680"/>
      <c r="P113" s="363" t="s">
        <v>19</v>
      </c>
      <c r="Q113" s="380" t="s">
        <v>3</v>
      </c>
      <c r="R113" s="380"/>
      <c r="S113" s="390" t="s">
        <v>631</v>
      </c>
      <c r="T113" s="363" t="s">
        <v>644</v>
      </c>
      <c r="U113" s="363"/>
      <c r="V113" s="363"/>
      <c r="W113" s="363"/>
      <c r="X113" s="363"/>
      <c r="Y113" s="363"/>
      <c r="Z113" s="363"/>
      <c r="AA113" s="363"/>
      <c r="AB113" s="363"/>
      <c r="AC113" s="363"/>
      <c r="AD113" s="363"/>
      <c r="AE113" s="363" t="s">
        <v>551</v>
      </c>
      <c r="AF113" s="380" t="s">
        <v>207</v>
      </c>
      <c r="AG113" s="380">
        <v>2</v>
      </c>
      <c r="AH113" s="363" t="s">
        <v>645</v>
      </c>
    </row>
    <row r="114" spans="2:34" ht="14.4" hidden="1" x14ac:dyDescent="0.3">
      <c r="B114" s="380" t="s">
        <v>14</v>
      </c>
      <c r="C114" s="409" t="s">
        <v>640</v>
      </c>
      <c r="D114" s="386" t="s">
        <v>641</v>
      </c>
      <c r="E114" s="380" t="s">
        <v>642</v>
      </c>
      <c r="F114" s="387">
        <v>45731</v>
      </c>
      <c r="G114" s="380" t="s">
        <v>643</v>
      </c>
      <c r="H114" s="380">
        <v>3</v>
      </c>
      <c r="I114" s="388">
        <v>152460</v>
      </c>
      <c r="J114" s="380">
        <v>1</v>
      </c>
      <c r="K114" s="389">
        <f t="shared" si="3"/>
        <v>152460</v>
      </c>
      <c r="L114" s="381">
        <v>46113</v>
      </c>
      <c r="M114" s="381">
        <v>46477</v>
      </c>
      <c r="N114" s="663"/>
      <c r="O114" s="680"/>
      <c r="P114" s="363" t="s">
        <v>520</v>
      </c>
      <c r="Q114" s="380" t="s">
        <v>3</v>
      </c>
      <c r="R114" s="380"/>
      <c r="S114" s="363" t="s">
        <v>646</v>
      </c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D114" s="363"/>
      <c r="AE114" s="363" t="s">
        <v>551</v>
      </c>
      <c r="AF114" s="380" t="s">
        <v>207</v>
      </c>
      <c r="AG114" s="380">
        <v>2</v>
      </c>
      <c r="AH114" s="363"/>
    </row>
    <row r="115" spans="2:34" ht="14.4" hidden="1" x14ac:dyDescent="0.3">
      <c r="B115" s="380" t="s">
        <v>14</v>
      </c>
      <c r="C115" s="409" t="s">
        <v>647</v>
      </c>
      <c r="D115" s="386" t="s">
        <v>648</v>
      </c>
      <c r="E115" s="419">
        <v>450087563</v>
      </c>
      <c r="F115" s="387">
        <v>45728</v>
      </c>
      <c r="G115" s="380" t="s">
        <v>643</v>
      </c>
      <c r="H115" s="380">
        <v>2</v>
      </c>
      <c r="I115" s="388">
        <v>220000</v>
      </c>
      <c r="J115" s="380">
        <v>2</v>
      </c>
      <c r="K115" s="389">
        <f t="shared" si="3"/>
        <v>110000</v>
      </c>
      <c r="L115" s="381">
        <v>45660</v>
      </c>
      <c r="M115" s="381">
        <v>46081</v>
      </c>
      <c r="N115" s="663"/>
      <c r="O115" s="680"/>
      <c r="P115" s="363" t="s">
        <v>19</v>
      </c>
      <c r="Q115" s="380" t="s">
        <v>2</v>
      </c>
      <c r="R115" s="380"/>
      <c r="S115" s="390" t="s">
        <v>624</v>
      </c>
      <c r="T115" s="363" t="s">
        <v>504</v>
      </c>
      <c r="U115" s="433" t="s">
        <v>625</v>
      </c>
      <c r="V115" s="363" t="s">
        <v>649</v>
      </c>
      <c r="W115" s="363"/>
      <c r="X115" s="363"/>
      <c r="Y115" s="363"/>
      <c r="Z115" s="363"/>
      <c r="AA115" s="363"/>
      <c r="AB115" s="363"/>
      <c r="AC115" s="363"/>
      <c r="AD115" s="363"/>
      <c r="AE115" s="363" t="s">
        <v>183</v>
      </c>
      <c r="AF115" s="380" t="s">
        <v>97</v>
      </c>
      <c r="AG115" s="380">
        <v>2</v>
      </c>
      <c r="AH115" s="363" t="s">
        <v>650</v>
      </c>
    </row>
    <row r="116" spans="2:34" ht="14.4" hidden="1" x14ac:dyDescent="0.3">
      <c r="B116" s="380" t="s">
        <v>14</v>
      </c>
      <c r="C116" s="409" t="s">
        <v>651</v>
      </c>
      <c r="D116" s="386" t="s">
        <v>447</v>
      </c>
      <c r="E116" s="408">
        <v>9200013983</v>
      </c>
      <c r="F116" s="387">
        <v>45727</v>
      </c>
      <c r="G116" s="380" t="s">
        <v>643</v>
      </c>
      <c r="H116" s="380">
        <v>1</v>
      </c>
      <c r="I116" s="388">
        <v>87360</v>
      </c>
      <c r="J116" s="380">
        <v>3</v>
      </c>
      <c r="K116" s="389">
        <f t="shared" si="3"/>
        <v>29120</v>
      </c>
      <c r="L116" s="381">
        <v>45717</v>
      </c>
      <c r="M116" s="381">
        <v>46081</v>
      </c>
      <c r="N116" s="663"/>
      <c r="O116" s="680"/>
      <c r="P116" s="363" t="s">
        <v>19</v>
      </c>
      <c r="Q116" s="380" t="s">
        <v>2</v>
      </c>
      <c r="R116" s="380"/>
      <c r="S116" s="390" t="s">
        <v>188</v>
      </c>
      <c r="T116" s="363" t="s">
        <v>652</v>
      </c>
      <c r="U116" s="390" t="s">
        <v>190</v>
      </c>
      <c r="V116" s="363" t="s">
        <v>475</v>
      </c>
      <c r="W116" s="390" t="s">
        <v>192</v>
      </c>
      <c r="X116" s="363" t="s">
        <v>653</v>
      </c>
      <c r="Y116" s="363"/>
      <c r="Z116" s="363"/>
      <c r="AA116" s="363"/>
      <c r="AB116" s="363"/>
      <c r="AC116" s="363"/>
      <c r="AD116" s="363"/>
      <c r="AE116" s="363" t="s">
        <v>281</v>
      </c>
      <c r="AF116" s="380" t="s">
        <v>97</v>
      </c>
      <c r="AG116" s="380">
        <v>3</v>
      </c>
      <c r="AH116" s="363" t="s">
        <v>654</v>
      </c>
    </row>
    <row r="117" spans="2:34" ht="14.4" hidden="1" x14ac:dyDescent="0.3">
      <c r="B117" s="380" t="s">
        <v>14</v>
      </c>
      <c r="C117" s="409" t="s">
        <v>655</v>
      </c>
      <c r="D117" s="423" t="s">
        <v>151</v>
      </c>
      <c r="E117" s="424">
        <v>2006637</v>
      </c>
      <c r="F117" s="387">
        <v>45729</v>
      </c>
      <c r="G117" s="380" t="s">
        <v>643</v>
      </c>
      <c r="H117" s="380">
        <v>4</v>
      </c>
      <c r="I117" s="388">
        <v>288000</v>
      </c>
      <c r="J117" s="380">
        <v>2</v>
      </c>
      <c r="K117" s="389">
        <f t="shared" si="3"/>
        <v>144000</v>
      </c>
      <c r="L117" s="381">
        <v>45661</v>
      </c>
      <c r="M117" s="381">
        <v>46112</v>
      </c>
      <c r="N117" s="663"/>
      <c r="O117" s="680"/>
      <c r="P117" s="363" t="s">
        <v>19</v>
      </c>
      <c r="Q117" s="380" t="s">
        <v>5</v>
      </c>
      <c r="R117" s="380"/>
      <c r="S117" s="390" t="s">
        <v>463</v>
      </c>
      <c r="T117" s="363" t="s">
        <v>582</v>
      </c>
      <c r="U117" s="390" t="s">
        <v>465</v>
      </c>
      <c r="V117" s="363" t="s">
        <v>656</v>
      </c>
      <c r="W117" s="363"/>
      <c r="X117" s="363"/>
      <c r="Y117" s="363"/>
      <c r="Z117" s="363"/>
      <c r="AA117" s="363"/>
      <c r="AB117" s="363"/>
      <c r="AC117" s="363"/>
      <c r="AD117" s="363"/>
      <c r="AE117" s="363" t="s">
        <v>478</v>
      </c>
      <c r="AF117" s="380" t="s">
        <v>63</v>
      </c>
      <c r="AG117" s="380">
        <v>2</v>
      </c>
      <c r="AH117" s="363" t="s">
        <v>657</v>
      </c>
    </row>
    <row r="118" spans="2:34" ht="14.4" hidden="1" x14ac:dyDescent="0.3">
      <c r="B118" s="380" t="s">
        <v>14</v>
      </c>
      <c r="C118" s="409" t="s">
        <v>658</v>
      </c>
      <c r="D118" s="386" t="s">
        <v>388</v>
      </c>
      <c r="E118" s="424" t="s">
        <v>659</v>
      </c>
      <c r="F118" s="387">
        <v>45705</v>
      </c>
      <c r="G118" s="380" t="s">
        <v>643</v>
      </c>
      <c r="H118" s="380">
        <v>1</v>
      </c>
      <c r="I118" s="388">
        <v>68000</v>
      </c>
      <c r="J118" s="380">
        <v>2</v>
      </c>
      <c r="K118" s="389">
        <f t="shared" si="3"/>
        <v>34000</v>
      </c>
      <c r="L118" s="381">
        <v>45717</v>
      </c>
      <c r="M118" s="381">
        <v>46081</v>
      </c>
      <c r="N118" s="663"/>
      <c r="O118" s="680"/>
      <c r="P118" s="363" t="s">
        <v>19</v>
      </c>
      <c r="Q118" s="380" t="s">
        <v>3</v>
      </c>
      <c r="R118" s="380"/>
      <c r="S118" s="390" t="s">
        <v>624</v>
      </c>
      <c r="T118" s="363" t="s">
        <v>660</v>
      </c>
      <c r="U118" s="390" t="s">
        <v>625</v>
      </c>
      <c r="V118" s="363" t="s">
        <v>661</v>
      </c>
      <c r="W118" s="363"/>
      <c r="X118" s="363"/>
      <c r="Y118" s="363"/>
      <c r="Z118" s="363"/>
      <c r="AA118" s="363"/>
      <c r="AB118" s="363"/>
      <c r="AC118" s="363"/>
      <c r="AD118" s="363"/>
      <c r="AE118" s="363" t="s">
        <v>478</v>
      </c>
      <c r="AF118" s="380" t="s">
        <v>63</v>
      </c>
      <c r="AG118" s="380">
        <v>3</v>
      </c>
      <c r="AH118" s="363" t="s">
        <v>662</v>
      </c>
    </row>
    <row r="119" spans="2:34" ht="14.4" hidden="1" x14ac:dyDescent="0.3">
      <c r="B119" s="380" t="s">
        <v>14</v>
      </c>
      <c r="C119" s="409" t="s">
        <v>663</v>
      </c>
      <c r="D119" s="434" t="s">
        <v>664</v>
      </c>
      <c r="E119" s="424">
        <v>4507449999</v>
      </c>
      <c r="F119" s="387">
        <v>45742</v>
      </c>
      <c r="G119" s="380" t="s">
        <v>643</v>
      </c>
      <c r="H119" s="380">
        <v>1</v>
      </c>
      <c r="I119" s="388">
        <v>66999.990000000005</v>
      </c>
      <c r="J119" s="380">
        <v>3</v>
      </c>
      <c r="K119" s="389">
        <f t="shared" si="3"/>
        <v>22333.33</v>
      </c>
      <c r="L119" s="381">
        <v>45748</v>
      </c>
      <c r="M119" s="381">
        <v>46112</v>
      </c>
      <c r="N119" s="663"/>
      <c r="O119" s="680"/>
      <c r="P119" s="363" t="s">
        <v>19</v>
      </c>
      <c r="Q119" s="380" t="s">
        <v>3</v>
      </c>
      <c r="R119" s="380"/>
      <c r="S119" s="390" t="s">
        <v>357</v>
      </c>
      <c r="T119" s="363" t="s">
        <v>401</v>
      </c>
      <c r="U119" s="390" t="s">
        <v>665</v>
      </c>
      <c r="V119" s="363" t="s">
        <v>73</v>
      </c>
      <c r="W119" s="390" t="s">
        <v>361</v>
      </c>
      <c r="X119" s="363" t="s">
        <v>666</v>
      </c>
      <c r="Y119" s="363"/>
      <c r="Z119" s="363"/>
      <c r="AA119" s="363"/>
      <c r="AB119" s="363"/>
      <c r="AC119" s="363"/>
      <c r="AD119" s="363"/>
      <c r="AE119" s="363" t="s">
        <v>478</v>
      </c>
      <c r="AF119" s="380" t="s">
        <v>63</v>
      </c>
      <c r="AG119" s="380" t="s">
        <v>494</v>
      </c>
      <c r="AH119" s="363" t="s">
        <v>667</v>
      </c>
    </row>
    <row r="120" spans="2:34" ht="14.4" hidden="1" x14ac:dyDescent="0.3">
      <c r="B120" s="380" t="s">
        <v>14</v>
      </c>
      <c r="C120" s="409" t="s">
        <v>668</v>
      </c>
      <c r="D120" s="434" t="s">
        <v>669</v>
      </c>
      <c r="E120" s="380">
        <v>50055662</v>
      </c>
      <c r="F120" s="387">
        <v>45743</v>
      </c>
      <c r="G120" s="380" t="s">
        <v>643</v>
      </c>
      <c r="H120" s="380">
        <v>13</v>
      </c>
      <c r="I120" s="388">
        <v>585000</v>
      </c>
      <c r="J120" s="380">
        <v>1</v>
      </c>
      <c r="K120" s="389">
        <f t="shared" si="3"/>
        <v>585000</v>
      </c>
      <c r="L120" s="381">
        <v>45748</v>
      </c>
      <c r="M120" s="381">
        <v>46112</v>
      </c>
      <c r="N120" s="663"/>
      <c r="O120" s="680"/>
      <c r="P120" s="363" t="s">
        <v>19</v>
      </c>
      <c r="Q120" s="380" t="s">
        <v>3</v>
      </c>
      <c r="R120" s="380"/>
      <c r="S120" s="390" t="s">
        <v>631</v>
      </c>
      <c r="T120" s="363" t="s">
        <v>670</v>
      </c>
      <c r="U120" s="363"/>
      <c r="V120" s="363"/>
      <c r="W120" s="363"/>
      <c r="X120" s="363"/>
      <c r="Y120" s="363"/>
      <c r="Z120" s="363"/>
      <c r="AA120" s="363"/>
      <c r="AB120" s="363"/>
      <c r="AC120" s="363"/>
      <c r="AD120" s="363"/>
      <c r="AE120" s="363" t="s">
        <v>478</v>
      </c>
      <c r="AF120" s="380" t="s">
        <v>63</v>
      </c>
      <c r="AG120" s="380">
        <v>1</v>
      </c>
      <c r="AH120" s="363"/>
    </row>
    <row r="121" spans="2:34" ht="14.4" hidden="1" x14ac:dyDescent="0.3">
      <c r="B121" s="380" t="s">
        <v>14</v>
      </c>
      <c r="C121" s="409" t="s">
        <v>668</v>
      </c>
      <c r="D121" s="434" t="s">
        <v>669</v>
      </c>
      <c r="E121" s="380">
        <v>50055662</v>
      </c>
      <c r="F121" s="387">
        <v>45743</v>
      </c>
      <c r="G121" s="380" t="s">
        <v>643</v>
      </c>
      <c r="H121" s="380">
        <v>2</v>
      </c>
      <c r="I121" s="388">
        <v>160000</v>
      </c>
      <c r="J121" s="380">
        <v>2</v>
      </c>
      <c r="K121" s="389">
        <f t="shared" si="3"/>
        <v>80000</v>
      </c>
      <c r="L121" s="381">
        <v>45748</v>
      </c>
      <c r="M121" s="381">
        <v>46112</v>
      </c>
      <c r="N121" s="663"/>
      <c r="O121" s="680"/>
      <c r="P121" s="363" t="s">
        <v>19</v>
      </c>
      <c r="Q121" s="380" t="s">
        <v>3</v>
      </c>
      <c r="R121" s="380"/>
      <c r="S121" s="390" t="s">
        <v>463</v>
      </c>
      <c r="T121" s="363" t="s">
        <v>169</v>
      </c>
      <c r="U121" s="390" t="s">
        <v>465</v>
      </c>
      <c r="V121" s="363" t="s">
        <v>526</v>
      </c>
      <c r="W121" s="363"/>
      <c r="X121" s="363"/>
      <c r="Y121" s="363"/>
      <c r="Z121" s="363"/>
      <c r="AA121" s="363"/>
      <c r="AB121" s="363"/>
      <c r="AC121" s="363"/>
      <c r="AD121" s="363"/>
      <c r="AE121" s="363" t="s">
        <v>478</v>
      </c>
      <c r="AF121" s="380" t="s">
        <v>63</v>
      </c>
      <c r="AG121" s="380">
        <v>2</v>
      </c>
      <c r="AH121" s="363" t="s">
        <v>671</v>
      </c>
    </row>
    <row r="122" spans="2:34" ht="14.4" hidden="1" x14ac:dyDescent="0.3">
      <c r="B122" s="380" t="s">
        <v>14</v>
      </c>
      <c r="C122" s="409" t="s">
        <v>672</v>
      </c>
      <c r="D122" s="386" t="s">
        <v>447</v>
      </c>
      <c r="E122" s="380" t="s">
        <v>1939</v>
      </c>
      <c r="F122" s="387">
        <v>45747</v>
      </c>
      <c r="G122" s="380" t="s">
        <v>643</v>
      </c>
      <c r="H122" s="380"/>
      <c r="I122" s="435">
        <f>44887.5*4</f>
        <v>179550</v>
      </c>
      <c r="J122" s="380">
        <v>4</v>
      </c>
      <c r="K122" s="389">
        <f t="shared" si="3"/>
        <v>44887.5</v>
      </c>
      <c r="L122" s="381">
        <v>45748</v>
      </c>
      <c r="M122" s="381">
        <v>46112</v>
      </c>
      <c r="N122" s="663"/>
      <c r="O122" s="680"/>
      <c r="P122" s="363" t="s">
        <v>520</v>
      </c>
      <c r="Q122" s="380" t="s">
        <v>5</v>
      </c>
      <c r="R122" s="380"/>
      <c r="S122" s="390" t="s">
        <v>391</v>
      </c>
      <c r="T122" s="363" t="s">
        <v>401</v>
      </c>
      <c r="U122" s="390" t="s">
        <v>523</v>
      </c>
      <c r="V122" s="363" t="s">
        <v>126</v>
      </c>
      <c r="W122" s="390" t="s">
        <v>228</v>
      </c>
      <c r="X122" s="363" t="s">
        <v>673</v>
      </c>
      <c r="Y122" s="390" t="s">
        <v>396</v>
      </c>
      <c r="Z122" s="363" t="s">
        <v>495</v>
      </c>
      <c r="AA122" s="363"/>
      <c r="AB122" s="363"/>
      <c r="AC122" s="363"/>
      <c r="AD122" s="363"/>
      <c r="AE122" s="363" t="s">
        <v>96</v>
      </c>
      <c r="AF122" s="380" t="s">
        <v>97</v>
      </c>
      <c r="AG122" s="380" t="s">
        <v>494</v>
      </c>
      <c r="AH122" s="363" t="s">
        <v>657</v>
      </c>
    </row>
    <row r="123" spans="2:34" ht="14.4" hidden="1" x14ac:dyDescent="0.3">
      <c r="B123" s="380" t="s">
        <v>14</v>
      </c>
      <c r="C123" s="409" t="s">
        <v>672</v>
      </c>
      <c r="D123" s="386" t="s">
        <v>447</v>
      </c>
      <c r="E123" s="380" t="s">
        <v>1939</v>
      </c>
      <c r="F123" s="387">
        <v>45747</v>
      </c>
      <c r="G123" s="380" t="s">
        <v>643</v>
      </c>
      <c r="H123" s="380"/>
      <c r="I123" s="388">
        <f>47133.75*4</f>
        <v>188535</v>
      </c>
      <c r="J123" s="380">
        <v>4</v>
      </c>
      <c r="K123" s="389">
        <f t="shared" si="3"/>
        <v>47133.75</v>
      </c>
      <c r="L123" s="381">
        <v>46113</v>
      </c>
      <c r="M123" s="381">
        <v>46477</v>
      </c>
      <c r="N123" s="663"/>
      <c r="O123" s="680"/>
      <c r="P123" s="363" t="s">
        <v>520</v>
      </c>
      <c r="Q123" s="380" t="s">
        <v>5</v>
      </c>
      <c r="R123" s="380"/>
      <c r="S123" s="390" t="s">
        <v>397</v>
      </c>
      <c r="T123" s="363" t="s">
        <v>1843</v>
      </c>
      <c r="U123" s="363" t="s">
        <v>496</v>
      </c>
      <c r="V123" s="363"/>
      <c r="W123" s="363" t="s">
        <v>497</v>
      </c>
      <c r="X123" s="363"/>
      <c r="Y123" s="363" t="s">
        <v>498</v>
      </c>
      <c r="Z123" s="363"/>
      <c r="AA123" s="363"/>
      <c r="AB123" s="363"/>
      <c r="AC123" s="363"/>
      <c r="AD123" s="363"/>
      <c r="AE123" s="363" t="s">
        <v>96</v>
      </c>
      <c r="AF123" s="380" t="s">
        <v>97</v>
      </c>
      <c r="AG123" s="380" t="s">
        <v>494</v>
      </c>
      <c r="AH123" s="363"/>
    </row>
    <row r="124" spans="2:34" ht="14.4" hidden="1" x14ac:dyDescent="0.3">
      <c r="B124" s="380" t="s">
        <v>14</v>
      </c>
      <c r="C124" s="409" t="s">
        <v>672</v>
      </c>
      <c r="D124" s="386" t="s">
        <v>447</v>
      </c>
      <c r="E124" s="380" t="s">
        <v>1939</v>
      </c>
      <c r="F124" s="387">
        <v>45747</v>
      </c>
      <c r="G124" s="380" t="s">
        <v>643</v>
      </c>
      <c r="H124" s="380">
        <v>3</v>
      </c>
      <c r="I124" s="388">
        <v>196500</v>
      </c>
      <c r="J124" s="380">
        <v>4</v>
      </c>
      <c r="K124" s="389">
        <f t="shared" si="3"/>
        <v>49125</v>
      </c>
      <c r="L124" s="381">
        <v>46478</v>
      </c>
      <c r="M124" s="381">
        <v>46843</v>
      </c>
      <c r="N124" s="663"/>
      <c r="O124" s="680"/>
      <c r="P124" s="363" t="s">
        <v>520</v>
      </c>
      <c r="Q124" s="380" t="s">
        <v>5</v>
      </c>
      <c r="R124" s="380"/>
      <c r="S124" s="363" t="s">
        <v>499</v>
      </c>
      <c r="T124" s="363"/>
      <c r="U124" s="363" t="s">
        <v>500</v>
      </c>
      <c r="V124" s="363"/>
      <c r="W124" s="363" t="s">
        <v>501</v>
      </c>
      <c r="X124" s="363"/>
      <c r="Y124" s="363" t="s">
        <v>674</v>
      </c>
      <c r="Z124" s="363"/>
      <c r="AA124" s="363"/>
      <c r="AB124" s="363"/>
      <c r="AC124" s="363"/>
      <c r="AD124" s="363"/>
      <c r="AE124" s="363" t="s">
        <v>96</v>
      </c>
      <c r="AF124" s="380" t="s">
        <v>97</v>
      </c>
      <c r="AG124" s="380" t="s">
        <v>494</v>
      </c>
      <c r="AH124" s="363"/>
    </row>
    <row r="125" spans="2:34" ht="14.4" hidden="1" x14ac:dyDescent="0.3">
      <c r="B125" s="380" t="s">
        <v>14</v>
      </c>
      <c r="C125" s="412" t="s">
        <v>614</v>
      </c>
      <c r="D125" s="413" t="s">
        <v>447</v>
      </c>
      <c r="E125" s="436" t="s">
        <v>675</v>
      </c>
      <c r="F125" s="415">
        <v>45743</v>
      </c>
      <c r="G125" s="380" t="s">
        <v>643</v>
      </c>
      <c r="H125" s="380">
        <v>2</v>
      </c>
      <c r="I125" s="388">
        <v>152880</v>
      </c>
      <c r="J125" s="380">
        <v>3</v>
      </c>
      <c r="K125" s="389">
        <f t="shared" si="3"/>
        <v>50960</v>
      </c>
      <c r="L125" s="381">
        <v>45748</v>
      </c>
      <c r="M125" s="381">
        <v>46112</v>
      </c>
      <c r="N125" s="663"/>
      <c r="O125" s="680"/>
      <c r="P125" s="363" t="s">
        <v>19</v>
      </c>
      <c r="Q125" s="380" t="s">
        <v>3</v>
      </c>
      <c r="R125" s="380"/>
      <c r="S125" s="390" t="s">
        <v>357</v>
      </c>
      <c r="T125" s="363" t="s">
        <v>676</v>
      </c>
      <c r="U125" s="390" t="s">
        <v>665</v>
      </c>
      <c r="V125" s="363" t="s">
        <v>677</v>
      </c>
      <c r="W125" s="390" t="s">
        <v>361</v>
      </c>
      <c r="X125" s="363" t="s">
        <v>403</v>
      </c>
      <c r="Y125" s="363"/>
      <c r="Z125" s="363"/>
      <c r="AA125" s="363"/>
      <c r="AB125" s="363"/>
      <c r="AC125" s="363"/>
      <c r="AD125" s="363"/>
      <c r="AE125" s="363" t="s">
        <v>281</v>
      </c>
      <c r="AF125" s="380" t="s">
        <v>97</v>
      </c>
      <c r="AG125" s="380">
        <v>3</v>
      </c>
      <c r="AH125" s="363" t="s">
        <v>678</v>
      </c>
    </row>
    <row r="126" spans="2:34" ht="14.4" hidden="1" x14ac:dyDescent="0.3">
      <c r="B126" s="380" t="s">
        <v>14</v>
      </c>
      <c r="C126" s="429" t="s">
        <v>679</v>
      </c>
      <c r="D126" s="434" t="s">
        <v>680</v>
      </c>
      <c r="E126" s="380">
        <v>7000168921</v>
      </c>
      <c r="F126" s="387">
        <v>45834</v>
      </c>
      <c r="G126" s="380" t="s">
        <v>643</v>
      </c>
      <c r="H126" s="380">
        <v>2</v>
      </c>
      <c r="I126" s="435">
        <v>180000</v>
      </c>
      <c r="J126" s="380">
        <v>2</v>
      </c>
      <c r="K126" s="389">
        <f t="shared" si="3"/>
        <v>90000</v>
      </c>
      <c r="L126" s="381">
        <v>45748</v>
      </c>
      <c r="M126" s="381">
        <v>46112</v>
      </c>
      <c r="N126" s="663"/>
      <c r="O126" s="680"/>
      <c r="P126" s="363" t="s">
        <v>19</v>
      </c>
      <c r="Q126" s="380" t="s">
        <v>3</v>
      </c>
      <c r="R126" s="380"/>
      <c r="S126" s="390" t="s">
        <v>681</v>
      </c>
      <c r="T126" s="363" t="s">
        <v>682</v>
      </c>
      <c r="U126" s="390" t="s">
        <v>465</v>
      </c>
      <c r="V126" s="363" t="s">
        <v>683</v>
      </c>
      <c r="W126" s="363"/>
      <c r="X126" s="363"/>
      <c r="Y126" s="363"/>
      <c r="Z126" s="363"/>
      <c r="AA126" s="363"/>
      <c r="AB126" s="363"/>
      <c r="AC126" s="363"/>
      <c r="AD126" s="363"/>
      <c r="AE126" s="363" t="s">
        <v>485</v>
      </c>
      <c r="AF126" s="380" t="s">
        <v>63</v>
      </c>
      <c r="AG126" s="380">
        <v>2</v>
      </c>
      <c r="AH126" s="363" t="s">
        <v>684</v>
      </c>
    </row>
    <row r="127" spans="2:34" ht="14.4" hidden="1" x14ac:dyDescent="0.3">
      <c r="B127" s="380" t="s">
        <v>14</v>
      </c>
      <c r="C127" s="430" t="s">
        <v>685</v>
      </c>
      <c r="D127" s="386" t="s">
        <v>151</v>
      </c>
      <c r="E127" s="380">
        <v>4512433191</v>
      </c>
      <c r="F127" s="387">
        <v>45749</v>
      </c>
      <c r="G127" s="380" t="s">
        <v>643</v>
      </c>
      <c r="H127" s="380">
        <v>1</v>
      </c>
      <c r="I127" s="388">
        <v>46000</v>
      </c>
      <c r="J127" s="380">
        <v>3</v>
      </c>
      <c r="K127" s="389">
        <f t="shared" si="3"/>
        <v>15333.333333333334</v>
      </c>
      <c r="L127" s="381">
        <v>45778</v>
      </c>
      <c r="M127" s="381">
        <v>46142</v>
      </c>
      <c r="N127" s="663"/>
      <c r="O127" s="680"/>
      <c r="P127" s="363" t="s">
        <v>19</v>
      </c>
      <c r="Q127" s="380" t="s">
        <v>5</v>
      </c>
      <c r="R127" s="380"/>
      <c r="S127" s="390" t="s">
        <v>343</v>
      </c>
      <c r="T127" s="363" t="s">
        <v>686</v>
      </c>
      <c r="U127" s="390" t="s">
        <v>345</v>
      </c>
      <c r="V127" s="363" t="s">
        <v>687</v>
      </c>
      <c r="W127" s="390" t="s">
        <v>347</v>
      </c>
      <c r="X127" s="363" t="s">
        <v>688</v>
      </c>
      <c r="Y127" s="363"/>
      <c r="Z127" s="363"/>
      <c r="AA127" s="363"/>
      <c r="AB127" s="363"/>
      <c r="AC127" s="363"/>
      <c r="AD127" s="363"/>
      <c r="AE127" s="363" t="s">
        <v>478</v>
      </c>
      <c r="AF127" s="380" t="s">
        <v>63</v>
      </c>
      <c r="AG127" s="380">
        <v>5</v>
      </c>
      <c r="AH127" s="363" t="s">
        <v>689</v>
      </c>
    </row>
    <row r="128" spans="2:34" ht="14.4" hidden="1" x14ac:dyDescent="0.3">
      <c r="B128" s="380" t="s">
        <v>14</v>
      </c>
      <c r="C128" s="430" t="s">
        <v>685</v>
      </c>
      <c r="D128" s="386" t="s">
        <v>151</v>
      </c>
      <c r="E128" s="419">
        <v>4512439844</v>
      </c>
      <c r="F128" s="387">
        <v>45750</v>
      </c>
      <c r="G128" s="380" t="s">
        <v>643</v>
      </c>
      <c r="H128" s="380">
        <v>1</v>
      </c>
      <c r="I128" s="388">
        <v>269660</v>
      </c>
      <c r="J128" s="380">
        <v>3</v>
      </c>
      <c r="K128" s="389">
        <f t="shared" si="3"/>
        <v>89886.666666666672</v>
      </c>
      <c r="L128" s="381">
        <v>45748</v>
      </c>
      <c r="M128" s="381">
        <v>46112</v>
      </c>
      <c r="N128" s="663"/>
      <c r="O128" s="680"/>
      <c r="P128" s="363" t="s">
        <v>19</v>
      </c>
      <c r="Q128" s="380" t="s">
        <v>3</v>
      </c>
      <c r="R128" s="380"/>
      <c r="S128" s="390" t="s">
        <v>357</v>
      </c>
      <c r="T128" s="363" t="s">
        <v>690</v>
      </c>
      <c r="U128" s="390" t="s">
        <v>665</v>
      </c>
      <c r="V128" s="363" t="s">
        <v>691</v>
      </c>
      <c r="W128" s="390" t="s">
        <v>361</v>
      </c>
      <c r="X128" s="363" t="s">
        <v>692</v>
      </c>
      <c r="Y128" s="363"/>
      <c r="Z128" s="363"/>
      <c r="AA128" s="363"/>
      <c r="AB128" s="363"/>
      <c r="AC128" s="363"/>
      <c r="AD128" s="363"/>
      <c r="AE128" s="363" t="s">
        <v>478</v>
      </c>
      <c r="AF128" s="380" t="s">
        <v>63</v>
      </c>
      <c r="AG128" s="380">
        <v>5</v>
      </c>
      <c r="AH128" s="363" t="s">
        <v>689</v>
      </c>
    </row>
    <row r="129" spans="2:34" ht="14.4" hidden="1" x14ac:dyDescent="0.3">
      <c r="B129" s="380" t="s">
        <v>14</v>
      </c>
      <c r="C129" s="409" t="s">
        <v>668</v>
      </c>
      <c r="D129" s="386" t="s">
        <v>693</v>
      </c>
      <c r="E129" s="419">
        <v>30078594</v>
      </c>
      <c r="F129" s="387">
        <v>45755</v>
      </c>
      <c r="G129" s="380" t="s">
        <v>643</v>
      </c>
      <c r="H129" s="380">
        <v>7</v>
      </c>
      <c r="I129" s="388">
        <v>420413</v>
      </c>
      <c r="J129" s="380">
        <v>2</v>
      </c>
      <c r="K129" s="389">
        <f t="shared" si="3"/>
        <v>210206.5</v>
      </c>
      <c r="L129" s="381">
        <v>45748</v>
      </c>
      <c r="M129" s="381">
        <v>46112</v>
      </c>
      <c r="N129" s="663"/>
      <c r="O129" s="680"/>
      <c r="P129" s="363" t="s">
        <v>19</v>
      </c>
      <c r="Q129" s="380" t="s">
        <v>5</v>
      </c>
      <c r="R129" s="380"/>
      <c r="S129" s="390" t="s">
        <v>463</v>
      </c>
      <c r="T129" s="363" t="s">
        <v>694</v>
      </c>
      <c r="U129" s="390" t="s">
        <v>465</v>
      </c>
      <c r="V129" s="363" t="s">
        <v>695</v>
      </c>
      <c r="W129" s="363"/>
      <c r="X129" s="363"/>
      <c r="Y129" s="363"/>
      <c r="Z129" s="363"/>
      <c r="AA129" s="363"/>
      <c r="AB129" s="363"/>
      <c r="AC129" s="363"/>
      <c r="AD129" s="363"/>
      <c r="AE129" s="363" t="s">
        <v>128</v>
      </c>
      <c r="AF129" s="380" t="s">
        <v>129</v>
      </c>
      <c r="AG129" s="380">
        <v>2</v>
      </c>
      <c r="AH129" s="363" t="s">
        <v>696</v>
      </c>
    </row>
    <row r="130" spans="2:34" ht="14.4" hidden="1" x14ac:dyDescent="0.3">
      <c r="B130" s="380" t="s">
        <v>14</v>
      </c>
      <c r="C130" s="409" t="s">
        <v>544</v>
      </c>
      <c r="D130" s="386" t="s">
        <v>447</v>
      </c>
      <c r="E130" s="380">
        <v>1240065413</v>
      </c>
      <c r="F130" s="387">
        <v>45744</v>
      </c>
      <c r="G130" s="380" t="s">
        <v>643</v>
      </c>
      <c r="H130" s="380">
        <v>2</v>
      </c>
      <c r="I130" s="388">
        <v>204999.96</v>
      </c>
      <c r="J130" s="380">
        <v>3</v>
      </c>
      <c r="K130" s="389">
        <f t="shared" si="3"/>
        <v>68333.319999999992</v>
      </c>
      <c r="L130" s="381">
        <v>45748</v>
      </c>
      <c r="M130" s="381">
        <v>46112</v>
      </c>
      <c r="N130" s="663"/>
      <c r="O130" s="680"/>
      <c r="P130" s="363" t="s">
        <v>19</v>
      </c>
      <c r="Q130" s="380" t="s">
        <v>3</v>
      </c>
      <c r="R130" s="380"/>
      <c r="S130" s="390" t="s">
        <v>357</v>
      </c>
      <c r="T130" s="363" t="s">
        <v>697</v>
      </c>
      <c r="U130" s="390" t="s">
        <v>665</v>
      </c>
      <c r="V130" s="363" t="s">
        <v>698</v>
      </c>
      <c r="W130" s="390" t="s">
        <v>361</v>
      </c>
      <c r="X130" s="363" t="s">
        <v>699</v>
      </c>
      <c r="Y130" s="363"/>
      <c r="Z130" s="363"/>
      <c r="AA130" s="363"/>
      <c r="AB130" s="363"/>
      <c r="AC130" s="363"/>
      <c r="AD130" s="363"/>
      <c r="AE130" s="363" t="s">
        <v>96</v>
      </c>
      <c r="AF130" s="380" t="s">
        <v>97</v>
      </c>
      <c r="AG130" s="380">
        <v>3</v>
      </c>
      <c r="AH130" s="363" t="s">
        <v>700</v>
      </c>
    </row>
    <row r="131" spans="2:34" ht="14.4" hidden="1" x14ac:dyDescent="0.3">
      <c r="B131" s="380" t="s">
        <v>14</v>
      </c>
      <c r="C131" s="363" t="s">
        <v>701</v>
      </c>
      <c r="D131" s="386" t="s">
        <v>702</v>
      </c>
      <c r="E131" s="419">
        <v>6000079727</v>
      </c>
      <c r="F131" s="387">
        <v>45754</v>
      </c>
      <c r="G131" s="407" t="s">
        <v>703</v>
      </c>
      <c r="H131" s="380">
        <v>1</v>
      </c>
      <c r="I131" s="388">
        <v>362744.94</v>
      </c>
      <c r="J131" s="380">
        <v>6</v>
      </c>
      <c r="K131" s="389">
        <f t="shared" si="3"/>
        <v>60457.49</v>
      </c>
      <c r="L131" s="381">
        <v>45818</v>
      </c>
      <c r="M131" s="381">
        <v>46182</v>
      </c>
      <c r="N131" s="663"/>
      <c r="O131" s="680"/>
      <c r="P131" s="363" t="s">
        <v>19</v>
      </c>
      <c r="Q131" s="380" t="s">
        <v>9</v>
      </c>
      <c r="R131" s="380"/>
      <c r="S131" s="390" t="s">
        <v>704</v>
      </c>
      <c r="T131" s="363" t="s">
        <v>705</v>
      </c>
      <c r="U131" s="390" t="s">
        <v>706</v>
      </c>
      <c r="V131" s="363" t="s">
        <v>707</v>
      </c>
      <c r="W131" s="390" t="s">
        <v>708</v>
      </c>
      <c r="X131" s="363" t="s">
        <v>709</v>
      </c>
      <c r="Y131" s="390" t="s">
        <v>710</v>
      </c>
      <c r="Z131" s="363" t="s">
        <v>230</v>
      </c>
      <c r="AA131" s="390" t="s">
        <v>711</v>
      </c>
      <c r="AB131" s="363" t="s">
        <v>712</v>
      </c>
      <c r="AC131" s="390" t="s">
        <v>713</v>
      </c>
      <c r="AD131" s="363" t="s">
        <v>1851</v>
      </c>
      <c r="AE131" s="363" t="s">
        <v>128</v>
      </c>
      <c r="AF131" s="380" t="s">
        <v>129</v>
      </c>
      <c r="AG131" s="380" t="s">
        <v>494</v>
      </c>
      <c r="AH131" s="363" t="s">
        <v>715</v>
      </c>
    </row>
    <row r="132" spans="2:34" ht="14.4" hidden="1" x14ac:dyDescent="0.3">
      <c r="B132" s="380" t="s">
        <v>14</v>
      </c>
      <c r="C132" s="409" t="s">
        <v>716</v>
      </c>
      <c r="D132" s="386" t="s">
        <v>447</v>
      </c>
      <c r="E132" s="380" t="s">
        <v>717</v>
      </c>
      <c r="F132" s="387">
        <v>45751</v>
      </c>
      <c r="G132" s="380" t="s">
        <v>643</v>
      </c>
      <c r="H132" s="380">
        <v>2</v>
      </c>
      <c r="I132" s="388">
        <f>118050+118050</f>
        <v>236100</v>
      </c>
      <c r="J132" s="380">
        <v>3</v>
      </c>
      <c r="K132" s="389">
        <f t="shared" si="3"/>
        <v>78700</v>
      </c>
      <c r="L132" s="381">
        <v>45748</v>
      </c>
      <c r="M132" s="381">
        <v>46112</v>
      </c>
      <c r="N132" s="663"/>
      <c r="O132" s="680"/>
      <c r="P132" s="363" t="s">
        <v>19</v>
      </c>
      <c r="Q132" s="380" t="s">
        <v>3</v>
      </c>
      <c r="R132" s="380"/>
      <c r="S132" s="390" t="s">
        <v>357</v>
      </c>
      <c r="T132" s="363" t="s">
        <v>570</v>
      </c>
      <c r="U132" s="390" t="s">
        <v>665</v>
      </c>
      <c r="V132" s="363" t="s">
        <v>718</v>
      </c>
      <c r="W132" s="390" t="s">
        <v>361</v>
      </c>
      <c r="X132" s="363" t="s">
        <v>719</v>
      </c>
      <c r="Y132" s="363"/>
      <c r="Z132" s="363"/>
      <c r="AA132" s="363"/>
      <c r="AB132" s="363"/>
      <c r="AC132" s="363"/>
      <c r="AD132" s="363"/>
      <c r="AE132" s="363" t="s">
        <v>281</v>
      </c>
      <c r="AF132" s="380" t="s">
        <v>97</v>
      </c>
      <c r="AG132" s="380" t="s">
        <v>494</v>
      </c>
      <c r="AH132" s="363" t="s">
        <v>720</v>
      </c>
    </row>
    <row r="133" spans="2:34" ht="14.4" hidden="1" x14ac:dyDescent="0.3">
      <c r="B133" s="380" t="s">
        <v>14</v>
      </c>
      <c r="C133" s="409" t="s">
        <v>716</v>
      </c>
      <c r="D133" s="386" t="s">
        <v>447</v>
      </c>
      <c r="E133" s="380" t="s">
        <v>721</v>
      </c>
      <c r="F133" s="387">
        <v>45751</v>
      </c>
      <c r="G133" s="380" t="s">
        <v>643</v>
      </c>
      <c r="H133" s="380">
        <v>3</v>
      </c>
      <c r="I133" s="388">
        <f>59022+83613+118050</f>
        <v>260685</v>
      </c>
      <c r="J133" s="380">
        <v>3</v>
      </c>
      <c r="K133" s="389">
        <f t="shared" si="3"/>
        <v>86895</v>
      </c>
      <c r="L133" s="381">
        <v>45748</v>
      </c>
      <c r="M133" s="381">
        <v>46112</v>
      </c>
      <c r="N133" s="663"/>
      <c r="O133" s="680"/>
      <c r="P133" s="363" t="s">
        <v>19</v>
      </c>
      <c r="Q133" s="380" t="s">
        <v>3</v>
      </c>
      <c r="R133" s="380"/>
      <c r="S133" s="390" t="s">
        <v>357</v>
      </c>
      <c r="T133" s="363" t="s">
        <v>722</v>
      </c>
      <c r="U133" s="390" t="s">
        <v>665</v>
      </c>
      <c r="V133" s="363" t="s">
        <v>723</v>
      </c>
      <c r="W133" s="390" t="s">
        <v>361</v>
      </c>
      <c r="X133" s="363" t="s">
        <v>719</v>
      </c>
      <c r="Y133" s="363"/>
      <c r="Z133" s="363"/>
      <c r="AA133" s="363"/>
      <c r="AB133" s="363"/>
      <c r="AC133" s="363"/>
      <c r="AD133" s="363"/>
      <c r="AE133" s="363" t="s">
        <v>281</v>
      </c>
      <c r="AF133" s="380" t="s">
        <v>97</v>
      </c>
      <c r="AG133" s="380"/>
      <c r="AH133" s="363"/>
    </row>
    <row r="134" spans="2:34" ht="14.4" hidden="1" x14ac:dyDescent="0.3">
      <c r="B134" s="380" t="s">
        <v>14</v>
      </c>
      <c r="C134" s="409" t="s">
        <v>716</v>
      </c>
      <c r="D134" s="386" t="s">
        <v>447</v>
      </c>
      <c r="E134" s="380" t="s">
        <v>724</v>
      </c>
      <c r="F134" s="387">
        <v>45751</v>
      </c>
      <c r="G134" s="380" t="s">
        <v>643</v>
      </c>
      <c r="H134" s="380">
        <v>1</v>
      </c>
      <c r="I134" s="388">
        <v>57078</v>
      </c>
      <c r="J134" s="380">
        <v>3</v>
      </c>
      <c r="K134" s="389">
        <f t="shared" si="3"/>
        <v>19026</v>
      </c>
      <c r="L134" s="381">
        <v>45748</v>
      </c>
      <c r="M134" s="381">
        <v>46112</v>
      </c>
      <c r="N134" s="663"/>
      <c r="O134" s="680"/>
      <c r="P134" s="363" t="s">
        <v>19</v>
      </c>
      <c r="Q134" s="380" t="s">
        <v>3</v>
      </c>
      <c r="R134" s="380"/>
      <c r="S134" s="390" t="s">
        <v>357</v>
      </c>
      <c r="T134" s="363" t="s">
        <v>725</v>
      </c>
      <c r="U134" s="390" t="s">
        <v>665</v>
      </c>
      <c r="V134" s="363" t="s">
        <v>718</v>
      </c>
      <c r="W134" s="390" t="s">
        <v>361</v>
      </c>
      <c r="X134" s="363" t="s">
        <v>726</v>
      </c>
      <c r="Y134" s="363"/>
      <c r="Z134" s="363"/>
      <c r="AA134" s="363"/>
      <c r="AB134" s="363"/>
      <c r="AC134" s="363"/>
      <c r="AD134" s="363"/>
      <c r="AE134" s="363" t="s">
        <v>281</v>
      </c>
      <c r="AF134" s="380" t="s">
        <v>97</v>
      </c>
      <c r="AG134" s="380"/>
      <c r="AH134" s="363"/>
    </row>
    <row r="135" spans="2:34" ht="14.4" hidden="1" x14ac:dyDescent="0.3">
      <c r="B135" s="380" t="s">
        <v>14</v>
      </c>
      <c r="C135" s="412" t="s">
        <v>727</v>
      </c>
      <c r="D135" s="413" t="s">
        <v>447</v>
      </c>
      <c r="E135" s="416">
        <v>4100030249</v>
      </c>
      <c r="F135" s="415">
        <v>45726</v>
      </c>
      <c r="G135" s="407" t="s">
        <v>703</v>
      </c>
      <c r="H135" s="380">
        <v>1</v>
      </c>
      <c r="I135" s="388">
        <v>476000</v>
      </c>
      <c r="J135" s="380">
        <v>3</v>
      </c>
      <c r="K135" s="389">
        <f t="shared" si="3"/>
        <v>158666.66666666666</v>
      </c>
      <c r="L135" s="381">
        <v>45726</v>
      </c>
      <c r="M135" s="381">
        <v>46090</v>
      </c>
      <c r="N135" s="663"/>
      <c r="O135" s="680"/>
      <c r="P135" s="363" t="s">
        <v>19</v>
      </c>
      <c r="Q135" s="380" t="s">
        <v>3</v>
      </c>
      <c r="R135" s="380"/>
      <c r="S135" s="390" t="s">
        <v>728</v>
      </c>
      <c r="T135" s="363" t="s">
        <v>225</v>
      </c>
      <c r="U135" s="390" t="s">
        <v>729</v>
      </c>
      <c r="V135" s="363" t="s">
        <v>730</v>
      </c>
      <c r="W135" s="390" t="s">
        <v>731</v>
      </c>
      <c r="X135" s="363" t="s">
        <v>732</v>
      </c>
      <c r="Y135" s="363"/>
      <c r="Z135" s="363"/>
      <c r="AA135" s="363"/>
      <c r="AB135" s="363"/>
      <c r="AC135" s="363"/>
      <c r="AD135" s="363"/>
      <c r="AE135" s="363" t="s">
        <v>281</v>
      </c>
      <c r="AF135" s="380" t="s">
        <v>97</v>
      </c>
      <c r="AG135" s="380" t="s">
        <v>494</v>
      </c>
      <c r="AH135" s="363" t="s">
        <v>733</v>
      </c>
    </row>
    <row r="136" spans="2:34" ht="14.4" hidden="1" x14ac:dyDescent="0.3">
      <c r="B136" s="380" t="s">
        <v>14</v>
      </c>
      <c r="C136" s="409" t="s">
        <v>734</v>
      </c>
      <c r="D136" s="386" t="s">
        <v>323</v>
      </c>
      <c r="E136" s="419">
        <v>101265544</v>
      </c>
      <c r="F136" s="387">
        <v>45716</v>
      </c>
      <c r="G136" s="380" t="s">
        <v>643</v>
      </c>
      <c r="H136" s="380"/>
      <c r="I136" s="388">
        <v>329600</v>
      </c>
      <c r="J136" s="380">
        <v>3</v>
      </c>
      <c r="K136" s="389">
        <f t="shared" si="3"/>
        <v>109866.66666666667</v>
      </c>
      <c r="L136" s="381">
        <v>45778</v>
      </c>
      <c r="M136" s="381">
        <v>46142</v>
      </c>
      <c r="N136" s="663"/>
      <c r="O136" s="680"/>
      <c r="P136" s="363" t="s">
        <v>520</v>
      </c>
      <c r="Q136" s="380" t="s">
        <v>5</v>
      </c>
      <c r="R136" s="380"/>
      <c r="S136" s="390" t="s">
        <v>343</v>
      </c>
      <c r="T136" s="363" t="s">
        <v>344</v>
      </c>
      <c r="U136" s="390" t="s">
        <v>345</v>
      </c>
      <c r="V136" s="363" t="s">
        <v>493</v>
      </c>
      <c r="W136" s="390" t="s">
        <v>347</v>
      </c>
      <c r="X136" s="363" t="s">
        <v>735</v>
      </c>
      <c r="Y136" s="363"/>
      <c r="Z136" s="363"/>
      <c r="AA136" s="363"/>
      <c r="AB136" s="363"/>
      <c r="AC136" s="363"/>
      <c r="AD136" s="363"/>
      <c r="AE136" s="363" t="s">
        <v>96</v>
      </c>
      <c r="AF136" s="380" t="s">
        <v>97</v>
      </c>
      <c r="AG136" s="380" t="s">
        <v>494</v>
      </c>
      <c r="AH136" s="363" t="s">
        <v>736</v>
      </c>
    </row>
    <row r="137" spans="2:34" ht="14.4" hidden="1" x14ac:dyDescent="0.3">
      <c r="B137" s="380" t="s">
        <v>14</v>
      </c>
      <c r="C137" s="409" t="s">
        <v>734</v>
      </c>
      <c r="D137" s="386" t="s">
        <v>323</v>
      </c>
      <c r="E137" s="724">
        <v>101265544</v>
      </c>
      <c r="F137" s="387">
        <v>45716</v>
      </c>
      <c r="G137" s="380" t="s">
        <v>643</v>
      </c>
      <c r="H137" s="380">
        <v>4</v>
      </c>
      <c r="I137" s="388">
        <v>339488.07</v>
      </c>
      <c r="J137" s="380">
        <v>3</v>
      </c>
      <c r="K137" s="389">
        <f>I137/J137</f>
        <v>113162.69</v>
      </c>
      <c r="L137" s="381">
        <v>46143</v>
      </c>
      <c r="M137" s="381">
        <v>46507</v>
      </c>
      <c r="N137" s="663">
        <v>155047</v>
      </c>
      <c r="O137" s="680">
        <v>4644</v>
      </c>
      <c r="P137" s="363" t="s">
        <v>520</v>
      </c>
      <c r="Q137" s="380" t="s">
        <v>5</v>
      </c>
      <c r="R137" s="380"/>
      <c r="S137" s="390" t="s">
        <v>737</v>
      </c>
      <c r="T137" s="363" t="s">
        <v>2014</v>
      </c>
      <c r="U137" s="363" t="s">
        <v>349</v>
      </c>
      <c r="V137" s="363"/>
      <c r="W137" s="363" t="s">
        <v>738</v>
      </c>
      <c r="X137" s="363"/>
      <c r="Y137" s="363"/>
      <c r="Z137" s="363"/>
      <c r="AA137" s="363"/>
      <c r="AB137" s="363"/>
      <c r="AC137" s="363"/>
      <c r="AD137" s="363"/>
      <c r="AE137" s="363" t="s">
        <v>96</v>
      </c>
      <c r="AF137" s="380" t="s">
        <v>97</v>
      </c>
      <c r="AG137" s="380" t="s">
        <v>494</v>
      </c>
      <c r="AH137" s="363" t="s">
        <v>736</v>
      </c>
    </row>
    <row r="138" spans="2:34" ht="14.4" hidden="1" x14ac:dyDescent="0.3">
      <c r="B138" s="380" t="s">
        <v>14</v>
      </c>
      <c r="C138" s="409" t="s">
        <v>739</v>
      </c>
      <c r="D138" s="386" t="s">
        <v>740</v>
      </c>
      <c r="E138" s="419">
        <v>3400014785</v>
      </c>
      <c r="F138" s="387">
        <v>45735</v>
      </c>
      <c r="G138" s="380" t="s">
        <v>643</v>
      </c>
      <c r="H138" s="380">
        <v>10</v>
      </c>
      <c r="I138" s="388">
        <v>660800</v>
      </c>
      <c r="J138" s="380">
        <v>4</v>
      </c>
      <c r="K138" s="389">
        <f t="shared" si="3"/>
        <v>165200</v>
      </c>
      <c r="L138" s="381">
        <v>45689</v>
      </c>
      <c r="M138" s="381">
        <v>46053</v>
      </c>
      <c r="N138" s="663"/>
      <c r="O138" s="680"/>
      <c r="P138" s="363" t="s">
        <v>19</v>
      </c>
      <c r="Q138" s="380" t="s">
        <v>0</v>
      </c>
      <c r="R138" s="380"/>
      <c r="S138" s="390" t="s">
        <v>264</v>
      </c>
      <c r="T138" s="363" t="s">
        <v>741</v>
      </c>
      <c r="U138" s="390" t="s">
        <v>266</v>
      </c>
      <c r="V138" s="363" t="s">
        <v>379</v>
      </c>
      <c r="W138" s="390" t="s">
        <v>267</v>
      </c>
      <c r="X138" s="363" t="s">
        <v>742</v>
      </c>
      <c r="Y138" s="390" t="s">
        <v>269</v>
      </c>
      <c r="Z138" s="363" t="s">
        <v>441</v>
      </c>
      <c r="AA138" s="363"/>
      <c r="AB138" s="363"/>
      <c r="AC138" s="363"/>
      <c r="AD138" s="363"/>
      <c r="AE138" s="363" t="s">
        <v>96</v>
      </c>
      <c r="AF138" s="380" t="s">
        <v>97</v>
      </c>
      <c r="AG138" s="380" t="s">
        <v>494</v>
      </c>
      <c r="AH138" s="363" t="s">
        <v>743</v>
      </c>
    </row>
    <row r="139" spans="2:34" ht="14.4" hidden="1" x14ac:dyDescent="0.3">
      <c r="B139" s="380" t="s">
        <v>14</v>
      </c>
      <c r="C139" s="409" t="s">
        <v>744</v>
      </c>
      <c r="D139" s="386" t="s">
        <v>176</v>
      </c>
      <c r="E139" s="419">
        <v>4500022079</v>
      </c>
      <c r="F139" s="387">
        <v>45758</v>
      </c>
      <c r="G139" s="380" t="s">
        <v>643</v>
      </c>
      <c r="H139" s="380">
        <v>1</v>
      </c>
      <c r="I139" s="388">
        <v>95545</v>
      </c>
      <c r="J139" s="380">
        <v>2</v>
      </c>
      <c r="K139" s="389">
        <f t="shared" si="3"/>
        <v>47772.5</v>
      </c>
      <c r="L139" s="381">
        <v>45704</v>
      </c>
      <c r="M139" s="381">
        <v>46068</v>
      </c>
      <c r="N139" s="663"/>
      <c r="O139" s="680"/>
      <c r="P139" s="363" t="s">
        <v>19</v>
      </c>
      <c r="Q139" s="380" t="s">
        <v>2</v>
      </c>
      <c r="R139" s="380"/>
      <c r="S139" s="390" t="s">
        <v>745</v>
      </c>
      <c r="T139" s="363" t="s">
        <v>601</v>
      </c>
      <c r="U139" s="390" t="s">
        <v>746</v>
      </c>
      <c r="V139" s="363" t="s">
        <v>747</v>
      </c>
      <c r="W139" s="363"/>
      <c r="X139" s="363"/>
      <c r="Y139" s="363"/>
      <c r="Z139" s="363"/>
      <c r="AA139" s="363"/>
      <c r="AB139" s="363"/>
      <c r="AC139" s="363"/>
      <c r="AD139" s="363"/>
      <c r="AE139" s="363" t="s">
        <v>183</v>
      </c>
      <c r="AF139" s="380" t="s">
        <v>97</v>
      </c>
      <c r="AG139" s="380">
        <v>2</v>
      </c>
      <c r="AH139" s="363" t="s">
        <v>748</v>
      </c>
    </row>
    <row r="140" spans="2:34" ht="14.4" hidden="1" x14ac:dyDescent="0.3">
      <c r="B140" s="380" t="s">
        <v>14</v>
      </c>
      <c r="C140" s="409" t="s">
        <v>527</v>
      </c>
      <c r="D140" s="423" t="s">
        <v>131</v>
      </c>
      <c r="E140" s="424">
        <v>7000880580</v>
      </c>
      <c r="F140" s="387">
        <v>45758</v>
      </c>
      <c r="G140" s="380" t="s">
        <v>643</v>
      </c>
      <c r="H140" s="380">
        <v>1</v>
      </c>
      <c r="I140" s="388">
        <v>78750</v>
      </c>
      <c r="J140" s="380">
        <v>2</v>
      </c>
      <c r="K140" s="389">
        <f t="shared" si="3"/>
        <v>39375</v>
      </c>
      <c r="L140" s="381">
        <v>45748</v>
      </c>
      <c r="M140" s="381">
        <v>46112</v>
      </c>
      <c r="N140" s="663"/>
      <c r="O140" s="680"/>
      <c r="P140" s="363" t="s">
        <v>19</v>
      </c>
      <c r="Q140" s="380" t="s">
        <v>3</v>
      </c>
      <c r="R140" s="380"/>
      <c r="S140" s="390" t="s">
        <v>463</v>
      </c>
      <c r="T140" s="363" t="s">
        <v>749</v>
      </c>
      <c r="U140" s="390" t="s">
        <v>465</v>
      </c>
      <c r="V140" s="363" t="s">
        <v>750</v>
      </c>
      <c r="W140" s="363"/>
      <c r="X140" s="363"/>
      <c r="Y140" s="363"/>
      <c r="Z140" s="363"/>
      <c r="AA140" s="363"/>
      <c r="AB140" s="363"/>
      <c r="AC140" s="363"/>
      <c r="AD140" s="363"/>
      <c r="AE140" s="363" t="s">
        <v>485</v>
      </c>
      <c r="AF140" s="380" t="s">
        <v>63</v>
      </c>
      <c r="AG140" s="380">
        <v>2</v>
      </c>
      <c r="AH140" s="363" t="s">
        <v>748</v>
      </c>
    </row>
    <row r="141" spans="2:34" ht="14.4" hidden="1" x14ac:dyDescent="0.3">
      <c r="B141" s="380" t="s">
        <v>14</v>
      </c>
      <c r="C141" s="409" t="s">
        <v>751</v>
      </c>
      <c r="D141" s="423" t="s">
        <v>752</v>
      </c>
      <c r="E141" s="419">
        <v>351002166</v>
      </c>
      <c r="F141" s="387">
        <v>45758</v>
      </c>
      <c r="G141" s="380" t="s">
        <v>643</v>
      </c>
      <c r="H141" s="380">
        <v>1</v>
      </c>
      <c r="I141" s="388">
        <v>84000</v>
      </c>
      <c r="J141" s="380">
        <v>3</v>
      </c>
      <c r="K141" s="389">
        <f t="shared" si="3"/>
        <v>28000</v>
      </c>
      <c r="L141" s="381">
        <v>45778</v>
      </c>
      <c r="M141" s="381">
        <v>46142</v>
      </c>
      <c r="N141" s="663"/>
      <c r="O141" s="680"/>
      <c r="P141" s="363" t="s">
        <v>19</v>
      </c>
      <c r="Q141" s="380" t="s">
        <v>5</v>
      </c>
      <c r="R141" s="380"/>
      <c r="S141" s="390" t="s">
        <v>343</v>
      </c>
      <c r="T141" s="363" t="s">
        <v>753</v>
      </c>
      <c r="U141" s="390" t="s">
        <v>345</v>
      </c>
      <c r="V141" s="363" t="s">
        <v>754</v>
      </c>
      <c r="W141" s="390" t="s">
        <v>347</v>
      </c>
      <c r="X141" s="363" t="s">
        <v>443</v>
      </c>
      <c r="Y141" s="363"/>
      <c r="Z141" s="363"/>
      <c r="AA141" s="363"/>
      <c r="AB141" s="363"/>
      <c r="AC141" s="363"/>
      <c r="AD141" s="363"/>
      <c r="AE141" s="363" t="s">
        <v>619</v>
      </c>
      <c r="AF141" s="380" t="s">
        <v>63</v>
      </c>
      <c r="AG141" s="380">
        <v>3</v>
      </c>
      <c r="AH141" s="363" t="s">
        <v>755</v>
      </c>
    </row>
    <row r="142" spans="2:34" ht="14.4" hidden="1" x14ac:dyDescent="0.3">
      <c r="B142" s="380" t="s">
        <v>14</v>
      </c>
      <c r="C142" s="409" t="s">
        <v>756</v>
      </c>
      <c r="D142" s="434" t="s">
        <v>757</v>
      </c>
      <c r="E142" s="419">
        <v>2265005320</v>
      </c>
      <c r="F142" s="387">
        <v>45722</v>
      </c>
      <c r="G142" s="380" t="s">
        <v>643</v>
      </c>
      <c r="H142" s="380">
        <v>2</v>
      </c>
      <c r="I142" s="388">
        <v>164160</v>
      </c>
      <c r="J142" s="380">
        <v>3</v>
      </c>
      <c r="K142" s="389">
        <f t="shared" si="3"/>
        <v>54720</v>
      </c>
      <c r="L142" s="381">
        <v>45748</v>
      </c>
      <c r="M142" s="381">
        <v>46112</v>
      </c>
      <c r="N142" s="663"/>
      <c r="O142" s="680"/>
      <c r="P142" s="363" t="s">
        <v>19</v>
      </c>
      <c r="Q142" s="380" t="s">
        <v>5</v>
      </c>
      <c r="R142" s="380"/>
      <c r="S142" s="390" t="s">
        <v>758</v>
      </c>
      <c r="T142" s="363" t="s">
        <v>759</v>
      </c>
      <c r="U142" s="390" t="s">
        <v>665</v>
      </c>
      <c r="V142" s="363" t="s">
        <v>760</v>
      </c>
      <c r="W142" s="390" t="s">
        <v>361</v>
      </c>
      <c r="X142" s="363" t="s">
        <v>455</v>
      </c>
      <c r="Y142" s="363"/>
      <c r="Z142" s="363"/>
      <c r="AA142" s="363"/>
      <c r="AB142" s="363"/>
      <c r="AC142" s="363"/>
      <c r="AD142" s="363"/>
      <c r="AE142" s="363" t="s">
        <v>507</v>
      </c>
      <c r="AF142" s="380" t="s">
        <v>63</v>
      </c>
      <c r="AG142" s="380">
        <v>3</v>
      </c>
      <c r="AH142" s="430" t="s">
        <v>761</v>
      </c>
    </row>
    <row r="143" spans="2:34" ht="14.4" hidden="1" x14ac:dyDescent="0.3">
      <c r="B143" s="380" t="s">
        <v>14</v>
      </c>
      <c r="C143" s="409" t="s">
        <v>762</v>
      </c>
      <c r="D143" s="423" t="s">
        <v>763</v>
      </c>
      <c r="E143" s="419" t="s">
        <v>764</v>
      </c>
      <c r="F143" s="387">
        <v>45761</v>
      </c>
      <c r="G143" s="380" t="s">
        <v>643</v>
      </c>
      <c r="H143" s="380">
        <v>1</v>
      </c>
      <c r="I143" s="388">
        <v>80001</v>
      </c>
      <c r="J143" s="380">
        <v>3</v>
      </c>
      <c r="K143" s="389">
        <f t="shared" si="3"/>
        <v>26667</v>
      </c>
      <c r="L143" s="381">
        <v>45748</v>
      </c>
      <c r="M143" s="381">
        <v>46112</v>
      </c>
      <c r="N143" s="663"/>
      <c r="O143" s="680"/>
      <c r="P143" s="363" t="s">
        <v>19</v>
      </c>
      <c r="Q143" s="380" t="s">
        <v>3</v>
      </c>
      <c r="R143" s="380"/>
      <c r="S143" s="390" t="s">
        <v>758</v>
      </c>
      <c r="T143" s="363" t="s">
        <v>429</v>
      </c>
      <c r="U143" s="390" t="s">
        <v>665</v>
      </c>
      <c r="V143" s="363" t="s">
        <v>765</v>
      </c>
      <c r="W143" s="390" t="s">
        <v>361</v>
      </c>
      <c r="X143" s="363" t="s">
        <v>466</v>
      </c>
      <c r="Y143" s="363"/>
      <c r="Z143" s="363"/>
      <c r="AA143" s="363"/>
      <c r="AB143" s="363"/>
      <c r="AC143" s="363"/>
      <c r="AD143" s="363"/>
      <c r="AE143" s="363" t="s">
        <v>507</v>
      </c>
      <c r="AF143" s="380" t="s">
        <v>63</v>
      </c>
      <c r="AG143" s="380">
        <v>3</v>
      </c>
      <c r="AH143" s="363" t="s">
        <v>667</v>
      </c>
    </row>
    <row r="144" spans="2:34" ht="14.4" hidden="1" x14ac:dyDescent="0.3">
      <c r="B144" s="380" t="s">
        <v>14</v>
      </c>
      <c r="C144" s="409" t="s">
        <v>766</v>
      </c>
      <c r="D144" s="386" t="s">
        <v>767</v>
      </c>
      <c r="E144" s="419" t="s">
        <v>768</v>
      </c>
      <c r="F144" s="387">
        <v>45762</v>
      </c>
      <c r="G144" s="380" t="s">
        <v>643</v>
      </c>
      <c r="H144" s="380">
        <v>2</v>
      </c>
      <c r="I144" s="388">
        <v>105600</v>
      </c>
      <c r="J144" s="380">
        <v>1</v>
      </c>
      <c r="K144" s="389">
        <f t="shared" si="3"/>
        <v>105600</v>
      </c>
      <c r="L144" s="381">
        <v>45748</v>
      </c>
      <c r="M144" s="381">
        <v>46112</v>
      </c>
      <c r="N144" s="663"/>
      <c r="O144" s="680"/>
      <c r="P144" s="363" t="s">
        <v>19</v>
      </c>
      <c r="Q144" s="380" t="s">
        <v>3</v>
      </c>
      <c r="R144" s="380"/>
      <c r="S144" s="390" t="s">
        <v>631</v>
      </c>
      <c r="T144" s="363" t="s">
        <v>769</v>
      </c>
      <c r="U144" s="363"/>
      <c r="V144" s="363"/>
      <c r="W144" s="363"/>
      <c r="X144" s="363"/>
      <c r="Y144" s="363"/>
      <c r="Z144" s="363"/>
      <c r="AA144" s="363"/>
      <c r="AB144" s="363"/>
      <c r="AC144" s="363"/>
      <c r="AD144" s="363"/>
      <c r="AE144" s="363" t="s">
        <v>485</v>
      </c>
      <c r="AF144" s="380" t="s">
        <v>63</v>
      </c>
      <c r="AG144" s="380">
        <v>2</v>
      </c>
      <c r="AH144" s="363" t="s">
        <v>770</v>
      </c>
    </row>
    <row r="145" spans="2:34" ht="14.4" hidden="1" x14ac:dyDescent="0.3">
      <c r="B145" s="380" t="s">
        <v>14</v>
      </c>
      <c r="C145" s="409" t="s">
        <v>771</v>
      </c>
      <c r="D145" s="386" t="s">
        <v>388</v>
      </c>
      <c r="E145" s="419">
        <v>6000059199</v>
      </c>
      <c r="F145" s="410">
        <v>45764</v>
      </c>
      <c r="G145" s="380" t="s">
        <v>643</v>
      </c>
      <c r="H145" s="380">
        <v>1</v>
      </c>
      <c r="I145" s="428">
        <v>66144.070000000007</v>
      </c>
      <c r="J145" s="380">
        <v>2</v>
      </c>
      <c r="K145" s="389">
        <f t="shared" si="3"/>
        <v>33072.035000000003</v>
      </c>
      <c r="L145" s="381">
        <v>45748</v>
      </c>
      <c r="M145" s="381">
        <v>46112</v>
      </c>
      <c r="N145" s="663"/>
      <c r="O145" s="680"/>
      <c r="P145" s="363" t="s">
        <v>19</v>
      </c>
      <c r="Q145" s="380" t="s">
        <v>3</v>
      </c>
      <c r="R145" s="380"/>
      <c r="S145" s="390" t="s">
        <v>463</v>
      </c>
      <c r="T145" s="363" t="s">
        <v>772</v>
      </c>
      <c r="U145" s="390" t="s">
        <v>465</v>
      </c>
      <c r="V145" s="363" t="s">
        <v>773</v>
      </c>
      <c r="W145" s="363"/>
      <c r="X145" s="363"/>
      <c r="Y145" s="363"/>
      <c r="Z145" s="363"/>
      <c r="AA145" s="363"/>
      <c r="AB145" s="363"/>
      <c r="AC145" s="363"/>
      <c r="AD145" s="363"/>
      <c r="AE145" s="363" t="s">
        <v>619</v>
      </c>
      <c r="AF145" s="380" t="s">
        <v>63</v>
      </c>
      <c r="AG145" s="380">
        <v>2</v>
      </c>
      <c r="AH145" s="363" t="s">
        <v>774</v>
      </c>
    </row>
    <row r="146" spans="2:34" ht="14.4" hidden="1" x14ac:dyDescent="0.3">
      <c r="B146" s="380" t="s">
        <v>14</v>
      </c>
      <c r="C146" s="412" t="s">
        <v>775</v>
      </c>
      <c r="D146" s="437" t="s">
        <v>776</v>
      </c>
      <c r="E146" s="438">
        <v>2710000560</v>
      </c>
      <c r="F146" s="387">
        <v>45713</v>
      </c>
      <c r="G146" s="380" t="s">
        <v>643</v>
      </c>
      <c r="H146" s="380">
        <v>2</v>
      </c>
      <c r="I146" s="388">
        <v>122000</v>
      </c>
      <c r="J146" s="380">
        <v>3</v>
      </c>
      <c r="K146" s="389">
        <f t="shared" si="3"/>
        <v>40666.666666666664</v>
      </c>
      <c r="L146" s="381">
        <v>45748</v>
      </c>
      <c r="M146" s="381">
        <v>46112</v>
      </c>
      <c r="N146" s="663"/>
      <c r="O146" s="680"/>
      <c r="P146" s="363" t="s">
        <v>19</v>
      </c>
      <c r="Q146" s="380" t="s">
        <v>3</v>
      </c>
      <c r="R146" s="380"/>
      <c r="S146" s="390" t="s">
        <v>758</v>
      </c>
      <c r="T146" s="363" t="s">
        <v>777</v>
      </c>
      <c r="U146" s="390" t="s">
        <v>665</v>
      </c>
      <c r="V146" s="363" t="s">
        <v>360</v>
      </c>
      <c r="W146" s="390" t="s">
        <v>361</v>
      </c>
      <c r="X146" s="363" t="s">
        <v>666</v>
      </c>
      <c r="Y146" s="363"/>
      <c r="Z146" s="363"/>
      <c r="AA146" s="363"/>
      <c r="AB146" s="363"/>
      <c r="AC146" s="363"/>
      <c r="AD146" s="363"/>
      <c r="AE146" s="363" t="s">
        <v>551</v>
      </c>
      <c r="AF146" s="380" t="s">
        <v>207</v>
      </c>
      <c r="AG146" s="380">
        <v>3</v>
      </c>
      <c r="AH146" s="363" t="s">
        <v>778</v>
      </c>
    </row>
    <row r="147" spans="2:34" ht="14.4" hidden="1" x14ac:dyDescent="0.3">
      <c r="B147" s="380" t="s">
        <v>14</v>
      </c>
      <c r="C147" s="409" t="s">
        <v>779</v>
      </c>
      <c r="D147" s="386" t="s">
        <v>53</v>
      </c>
      <c r="E147" s="408">
        <v>2500235067</v>
      </c>
      <c r="F147" s="387">
        <v>45764</v>
      </c>
      <c r="G147" s="380" t="s">
        <v>643</v>
      </c>
      <c r="H147" s="380">
        <v>3</v>
      </c>
      <c r="I147" s="388">
        <v>282816</v>
      </c>
      <c r="J147" s="380">
        <v>3</v>
      </c>
      <c r="K147" s="389">
        <f t="shared" si="3"/>
        <v>94272</v>
      </c>
      <c r="L147" s="381">
        <v>45748</v>
      </c>
      <c r="M147" s="381">
        <v>46112</v>
      </c>
      <c r="N147" s="663"/>
      <c r="O147" s="680"/>
      <c r="P147" s="363" t="s">
        <v>19</v>
      </c>
      <c r="Q147" s="380" t="s">
        <v>5</v>
      </c>
      <c r="R147" s="380"/>
      <c r="S147" s="390" t="s">
        <v>758</v>
      </c>
      <c r="T147" s="363" t="s">
        <v>780</v>
      </c>
      <c r="U147" s="390" t="s">
        <v>665</v>
      </c>
      <c r="V147" s="363" t="s">
        <v>781</v>
      </c>
      <c r="W147" s="390" t="s">
        <v>361</v>
      </c>
      <c r="X147" s="363" t="s">
        <v>782</v>
      </c>
      <c r="Y147" s="363"/>
      <c r="Z147" s="363"/>
      <c r="AA147" s="363"/>
      <c r="AB147" s="363"/>
      <c r="AC147" s="363"/>
      <c r="AD147" s="363"/>
      <c r="AE147" s="363" t="s">
        <v>619</v>
      </c>
      <c r="AF147" s="380" t="s">
        <v>63</v>
      </c>
      <c r="AG147" s="380">
        <v>3</v>
      </c>
      <c r="AH147" s="363" t="s">
        <v>667</v>
      </c>
    </row>
    <row r="148" spans="2:34" ht="14.4" hidden="1" x14ac:dyDescent="0.3">
      <c r="B148" s="380" t="s">
        <v>14</v>
      </c>
      <c r="C148" s="412" t="s">
        <v>789</v>
      </c>
      <c r="D148" s="413" t="s">
        <v>790</v>
      </c>
      <c r="E148" s="426">
        <v>8480219192</v>
      </c>
      <c r="F148" s="415">
        <v>45756</v>
      </c>
      <c r="G148" s="380" t="s">
        <v>643</v>
      </c>
      <c r="H148" s="380">
        <v>1</v>
      </c>
      <c r="I148" s="388">
        <v>76440</v>
      </c>
      <c r="J148" s="380">
        <v>3</v>
      </c>
      <c r="K148" s="389">
        <f t="shared" si="3"/>
        <v>25480</v>
      </c>
      <c r="L148" s="381">
        <v>45748</v>
      </c>
      <c r="M148" s="381">
        <v>46112</v>
      </c>
      <c r="N148" s="663"/>
      <c r="O148" s="680"/>
      <c r="P148" s="363" t="s">
        <v>19</v>
      </c>
      <c r="Q148" s="380" t="s">
        <v>3</v>
      </c>
      <c r="R148" s="380"/>
      <c r="S148" s="390" t="s">
        <v>357</v>
      </c>
      <c r="T148" s="363" t="s">
        <v>225</v>
      </c>
      <c r="U148" s="390" t="s">
        <v>665</v>
      </c>
      <c r="V148" s="363" t="s">
        <v>791</v>
      </c>
      <c r="W148" s="390" t="s">
        <v>361</v>
      </c>
      <c r="X148" s="363" t="s">
        <v>792</v>
      </c>
      <c r="Y148" s="363"/>
      <c r="Z148" s="363"/>
      <c r="AA148" s="363"/>
      <c r="AB148" s="363"/>
      <c r="AC148" s="363"/>
      <c r="AD148" s="363"/>
      <c r="AE148" s="363" t="s">
        <v>281</v>
      </c>
      <c r="AF148" s="380" t="s">
        <v>97</v>
      </c>
      <c r="AG148" s="380">
        <v>3</v>
      </c>
      <c r="AH148" s="363" t="s">
        <v>793</v>
      </c>
    </row>
    <row r="149" spans="2:34" ht="14.4" hidden="1" x14ac:dyDescent="0.3">
      <c r="B149" s="380" t="s">
        <v>14</v>
      </c>
      <c r="C149" s="363" t="s">
        <v>195</v>
      </c>
      <c r="D149" s="386" t="s">
        <v>196</v>
      </c>
      <c r="E149" s="393" t="s">
        <v>197</v>
      </c>
      <c r="F149" s="387">
        <v>45210</v>
      </c>
      <c r="G149" s="380" t="s">
        <v>55</v>
      </c>
      <c r="H149" s="380">
        <v>13</v>
      </c>
      <c r="I149" s="388">
        <v>741000</v>
      </c>
      <c r="J149" s="380">
        <v>4</v>
      </c>
      <c r="K149" s="389">
        <f t="shared" si="3"/>
        <v>185250</v>
      </c>
      <c r="L149" s="381">
        <v>45934</v>
      </c>
      <c r="M149" s="381">
        <v>46298</v>
      </c>
      <c r="N149" s="663"/>
      <c r="O149" s="680"/>
      <c r="P149" s="363" t="s">
        <v>520</v>
      </c>
      <c r="Q149" s="380" t="s">
        <v>5</v>
      </c>
      <c r="R149" s="380"/>
      <c r="S149" s="390" t="s">
        <v>794</v>
      </c>
      <c r="T149" s="363" t="s">
        <v>687</v>
      </c>
      <c r="U149" s="394" t="s">
        <v>795</v>
      </c>
      <c r="V149" s="363" t="s">
        <v>666</v>
      </c>
      <c r="W149" s="390" t="s">
        <v>796</v>
      </c>
      <c r="X149" s="363" t="s">
        <v>1940</v>
      </c>
      <c r="Y149" s="363" t="s">
        <v>797</v>
      </c>
      <c r="Z149" s="363"/>
      <c r="AA149" s="363"/>
      <c r="AB149" s="363"/>
      <c r="AC149" s="363"/>
      <c r="AD149" s="363"/>
      <c r="AE149" s="363" t="s">
        <v>551</v>
      </c>
      <c r="AF149" s="380" t="s">
        <v>207</v>
      </c>
      <c r="AG149" s="380">
        <v>3</v>
      </c>
      <c r="AH149" s="363"/>
    </row>
    <row r="150" spans="2:34" ht="14.4" hidden="1" x14ac:dyDescent="0.3">
      <c r="B150" s="380" t="s">
        <v>14</v>
      </c>
      <c r="C150" s="409" t="s">
        <v>756</v>
      </c>
      <c r="D150" s="434" t="s">
        <v>757</v>
      </c>
      <c r="E150" s="380">
        <v>2265005504</v>
      </c>
      <c r="F150" s="387">
        <v>45754</v>
      </c>
      <c r="G150" s="380" t="s">
        <v>55</v>
      </c>
      <c r="H150" s="380">
        <v>13</v>
      </c>
      <c r="I150" s="388">
        <v>1067040</v>
      </c>
      <c r="J150" s="380">
        <v>3</v>
      </c>
      <c r="K150" s="389">
        <f t="shared" si="3"/>
        <v>355680</v>
      </c>
      <c r="L150" s="381">
        <v>45748</v>
      </c>
      <c r="M150" s="381">
        <v>46112</v>
      </c>
      <c r="N150" s="663"/>
      <c r="O150" s="680"/>
      <c r="P150" s="363" t="s">
        <v>19</v>
      </c>
      <c r="Q150" s="380" t="s">
        <v>5</v>
      </c>
      <c r="R150" s="380"/>
      <c r="S150" s="390" t="s">
        <v>357</v>
      </c>
      <c r="T150" s="363" t="s">
        <v>777</v>
      </c>
      <c r="U150" s="390" t="s">
        <v>665</v>
      </c>
      <c r="V150" s="363" t="s">
        <v>289</v>
      </c>
      <c r="W150" s="390" t="s">
        <v>361</v>
      </c>
      <c r="X150" s="363" t="s">
        <v>798</v>
      </c>
      <c r="Y150" s="363"/>
      <c r="Z150" s="363"/>
      <c r="AA150" s="363"/>
      <c r="AB150" s="363"/>
      <c r="AC150" s="363"/>
      <c r="AD150" s="363"/>
      <c r="AE150" s="363" t="s">
        <v>507</v>
      </c>
      <c r="AF150" s="380" t="s">
        <v>63</v>
      </c>
      <c r="AG150" s="380">
        <v>3</v>
      </c>
      <c r="AH150" s="363" t="s">
        <v>799</v>
      </c>
    </row>
    <row r="151" spans="2:34" ht="14.4" hidden="1" x14ac:dyDescent="0.3">
      <c r="B151" s="380" t="s">
        <v>14</v>
      </c>
      <c r="C151" s="409" t="s">
        <v>800</v>
      </c>
      <c r="D151" s="423" t="s">
        <v>801</v>
      </c>
      <c r="E151" s="380">
        <v>3102500128</v>
      </c>
      <c r="F151" s="387">
        <v>45765</v>
      </c>
      <c r="G151" s="380" t="s">
        <v>55</v>
      </c>
      <c r="H151" s="380">
        <v>6</v>
      </c>
      <c r="I151" s="388">
        <v>468000</v>
      </c>
      <c r="J151" s="380">
        <v>2</v>
      </c>
      <c r="K151" s="389">
        <f t="shared" si="3"/>
        <v>234000</v>
      </c>
      <c r="L151" s="381">
        <v>45748</v>
      </c>
      <c r="M151" s="381">
        <v>46112</v>
      </c>
      <c r="N151" s="663"/>
      <c r="O151" s="680"/>
      <c r="P151" s="363" t="s">
        <v>19</v>
      </c>
      <c r="Q151" s="380" t="s">
        <v>3</v>
      </c>
      <c r="R151" s="380"/>
      <c r="S151" s="390" t="s">
        <v>463</v>
      </c>
      <c r="T151" s="363" t="s">
        <v>802</v>
      </c>
      <c r="U151" s="390" t="s">
        <v>465</v>
      </c>
      <c r="V151" s="363" t="s">
        <v>803</v>
      </c>
      <c r="W151" s="363"/>
      <c r="X151" s="363"/>
      <c r="Y151" s="363"/>
      <c r="Z151" s="363"/>
      <c r="AA151" s="363"/>
      <c r="AB151" s="363"/>
      <c r="AC151" s="363"/>
      <c r="AD151" s="363"/>
      <c r="AE151" s="363" t="s">
        <v>485</v>
      </c>
      <c r="AF151" s="380" t="s">
        <v>63</v>
      </c>
      <c r="AG151" s="380">
        <v>2</v>
      </c>
      <c r="AH151" s="363" t="s">
        <v>804</v>
      </c>
    </row>
    <row r="152" spans="2:34" ht="14.4" hidden="1" x14ac:dyDescent="0.3">
      <c r="B152" s="380" t="s">
        <v>14</v>
      </c>
      <c r="C152" s="409" t="s">
        <v>805</v>
      </c>
      <c r="D152" s="423" t="s">
        <v>86</v>
      </c>
      <c r="E152" s="408">
        <v>7500114971</v>
      </c>
      <c r="F152" s="387">
        <v>45763</v>
      </c>
      <c r="G152" s="380" t="s">
        <v>55</v>
      </c>
      <c r="H152" s="380">
        <v>1</v>
      </c>
      <c r="I152" s="388">
        <v>82000</v>
      </c>
      <c r="J152" s="380">
        <v>3</v>
      </c>
      <c r="K152" s="389">
        <f t="shared" si="3"/>
        <v>27333.333333333332</v>
      </c>
      <c r="L152" s="381">
        <v>45748</v>
      </c>
      <c r="M152" s="381">
        <v>46112</v>
      </c>
      <c r="N152" s="663"/>
      <c r="O152" s="680"/>
      <c r="P152" s="363" t="s">
        <v>19</v>
      </c>
      <c r="Q152" s="380" t="s">
        <v>3</v>
      </c>
      <c r="R152" s="380"/>
      <c r="S152" s="390" t="s">
        <v>357</v>
      </c>
      <c r="T152" s="363" t="s">
        <v>806</v>
      </c>
      <c r="U152" s="390" t="s">
        <v>665</v>
      </c>
      <c r="V152" s="363" t="s">
        <v>807</v>
      </c>
      <c r="W152" s="390" t="s">
        <v>361</v>
      </c>
      <c r="X152" s="363" t="s">
        <v>808</v>
      </c>
      <c r="Y152" s="363"/>
      <c r="Z152" s="363"/>
      <c r="AA152" s="363"/>
      <c r="AB152" s="363"/>
      <c r="AC152" s="363"/>
      <c r="AD152" s="363"/>
      <c r="AE152" s="363" t="s">
        <v>96</v>
      </c>
      <c r="AF152" s="380" t="s">
        <v>97</v>
      </c>
      <c r="AG152" s="380" t="s">
        <v>494</v>
      </c>
      <c r="AH152" s="363" t="s">
        <v>667</v>
      </c>
    </row>
    <row r="153" spans="2:34" ht="14.4" hidden="1" x14ac:dyDescent="0.3">
      <c r="B153" s="380" t="s">
        <v>14</v>
      </c>
      <c r="C153" s="409" t="s">
        <v>809</v>
      </c>
      <c r="D153" s="423" t="s">
        <v>629</v>
      </c>
      <c r="E153" s="408" t="s">
        <v>810</v>
      </c>
      <c r="F153" s="387">
        <v>45770</v>
      </c>
      <c r="G153" s="380" t="s">
        <v>55</v>
      </c>
      <c r="H153" s="380">
        <v>5</v>
      </c>
      <c r="I153" s="388">
        <v>341250</v>
      </c>
      <c r="J153" s="380">
        <v>2</v>
      </c>
      <c r="K153" s="389">
        <f t="shared" si="3"/>
        <v>170625</v>
      </c>
      <c r="L153" s="381">
        <v>45748</v>
      </c>
      <c r="M153" s="381">
        <v>46112</v>
      </c>
      <c r="N153" s="663"/>
      <c r="O153" s="680"/>
      <c r="P153" s="363" t="s">
        <v>19</v>
      </c>
      <c r="Q153" s="380" t="s">
        <v>3</v>
      </c>
      <c r="R153" s="380"/>
      <c r="S153" s="390" t="s">
        <v>463</v>
      </c>
      <c r="T153" s="363" t="s">
        <v>811</v>
      </c>
      <c r="U153" s="390" t="s">
        <v>465</v>
      </c>
      <c r="V153" s="363" t="s">
        <v>320</v>
      </c>
      <c r="W153" s="363"/>
      <c r="X153" s="363"/>
      <c r="Y153" s="363"/>
      <c r="Z153" s="363"/>
      <c r="AA153" s="363"/>
      <c r="AB153" s="363"/>
      <c r="AC153" s="363"/>
      <c r="AD153" s="363"/>
      <c r="AE153" s="363" t="s">
        <v>485</v>
      </c>
      <c r="AF153" s="380" t="s">
        <v>97</v>
      </c>
      <c r="AG153" s="380">
        <v>3</v>
      </c>
      <c r="AH153" s="363" t="s">
        <v>667</v>
      </c>
    </row>
    <row r="154" spans="2:34" ht="14.4" hidden="1" x14ac:dyDescent="0.3">
      <c r="B154" s="380" t="s">
        <v>14</v>
      </c>
      <c r="C154" s="409" t="s">
        <v>800</v>
      </c>
      <c r="D154" s="423" t="s">
        <v>812</v>
      </c>
      <c r="E154" s="408">
        <v>2102500018</v>
      </c>
      <c r="F154" s="387">
        <v>45749</v>
      </c>
      <c r="G154" s="380" t="s">
        <v>55</v>
      </c>
      <c r="H154" s="380">
        <v>4</v>
      </c>
      <c r="I154" s="388">
        <v>332800</v>
      </c>
      <c r="J154" s="380">
        <v>2</v>
      </c>
      <c r="K154" s="389">
        <f t="shared" si="3"/>
        <v>166400</v>
      </c>
      <c r="L154" s="381">
        <v>45748</v>
      </c>
      <c r="M154" s="381">
        <v>46112</v>
      </c>
      <c r="N154" s="663"/>
      <c r="O154" s="680"/>
      <c r="P154" s="363" t="s">
        <v>19</v>
      </c>
      <c r="Q154" s="380" t="s">
        <v>3</v>
      </c>
      <c r="R154" s="380"/>
      <c r="S154" s="390" t="s">
        <v>463</v>
      </c>
      <c r="T154" s="363" t="s">
        <v>813</v>
      </c>
      <c r="U154" s="390" t="s">
        <v>465</v>
      </c>
      <c r="V154" s="363" t="s">
        <v>814</v>
      </c>
      <c r="W154" s="363"/>
      <c r="X154" s="363"/>
      <c r="Y154" s="363"/>
      <c r="Z154" s="363"/>
      <c r="AA154" s="363"/>
      <c r="AB154" s="363"/>
      <c r="AC154" s="363"/>
      <c r="AD154" s="363"/>
      <c r="AE154" s="363" t="s">
        <v>485</v>
      </c>
      <c r="AF154" s="380" t="s">
        <v>63</v>
      </c>
      <c r="AG154" s="380">
        <v>2</v>
      </c>
      <c r="AH154" s="363" t="s">
        <v>667</v>
      </c>
    </row>
    <row r="155" spans="2:34" ht="14.4" hidden="1" x14ac:dyDescent="0.3">
      <c r="B155" s="380" t="s">
        <v>14</v>
      </c>
      <c r="C155" s="409" t="s">
        <v>800</v>
      </c>
      <c r="D155" s="423" t="s">
        <v>812</v>
      </c>
      <c r="E155" s="408">
        <v>2102500206</v>
      </c>
      <c r="F155" s="387">
        <v>45758</v>
      </c>
      <c r="G155" s="380" t="s">
        <v>55</v>
      </c>
      <c r="H155" s="380">
        <v>4</v>
      </c>
      <c r="I155" s="388">
        <v>270400</v>
      </c>
      <c r="J155" s="380">
        <v>2</v>
      </c>
      <c r="K155" s="389">
        <f t="shared" si="3"/>
        <v>135200</v>
      </c>
      <c r="L155" s="381">
        <v>45748</v>
      </c>
      <c r="M155" s="381">
        <v>46112</v>
      </c>
      <c r="N155" s="663"/>
      <c r="O155" s="680"/>
      <c r="P155" s="363" t="s">
        <v>19</v>
      </c>
      <c r="Q155" s="380" t="s">
        <v>3</v>
      </c>
      <c r="R155" s="380"/>
      <c r="S155" s="390" t="s">
        <v>463</v>
      </c>
      <c r="T155" s="363" t="s">
        <v>815</v>
      </c>
      <c r="U155" s="390" t="s">
        <v>465</v>
      </c>
      <c r="V155" s="363" t="s">
        <v>816</v>
      </c>
      <c r="W155" s="363"/>
      <c r="X155" s="363"/>
      <c r="Y155" s="363"/>
      <c r="Z155" s="363"/>
      <c r="AA155" s="363"/>
      <c r="AB155" s="363"/>
      <c r="AC155" s="363"/>
      <c r="AD155" s="363"/>
      <c r="AE155" s="363" t="s">
        <v>485</v>
      </c>
      <c r="AF155" s="380" t="s">
        <v>63</v>
      </c>
      <c r="AG155" s="380">
        <v>2</v>
      </c>
      <c r="AH155" s="363" t="s">
        <v>667</v>
      </c>
    </row>
    <row r="156" spans="2:34" ht="14.4" hidden="1" x14ac:dyDescent="0.3">
      <c r="B156" s="380" t="s">
        <v>14</v>
      </c>
      <c r="C156" s="409" t="s">
        <v>817</v>
      </c>
      <c r="D156" s="423" t="s">
        <v>818</v>
      </c>
      <c r="E156" s="397">
        <v>242500783</v>
      </c>
      <c r="F156" s="387">
        <v>45756</v>
      </c>
      <c r="G156" s="380" t="s">
        <v>55</v>
      </c>
      <c r="H156" s="380">
        <v>3</v>
      </c>
      <c r="I156" s="388">
        <v>344997</v>
      </c>
      <c r="J156" s="380">
        <v>2</v>
      </c>
      <c r="K156" s="389">
        <f t="shared" si="3"/>
        <v>172498.5</v>
      </c>
      <c r="L156" s="381">
        <v>45778</v>
      </c>
      <c r="M156" s="381">
        <v>46142</v>
      </c>
      <c r="N156" s="663"/>
      <c r="O156" s="680"/>
      <c r="P156" s="363" t="s">
        <v>19</v>
      </c>
      <c r="Q156" s="380" t="s">
        <v>5</v>
      </c>
      <c r="R156" s="380"/>
      <c r="S156" s="390" t="s">
        <v>328</v>
      </c>
      <c r="T156" s="363" t="s">
        <v>819</v>
      </c>
      <c r="U156" s="390" t="s">
        <v>330</v>
      </c>
      <c r="V156" s="363" t="s">
        <v>820</v>
      </c>
      <c r="W156" s="363"/>
      <c r="X156" s="363"/>
      <c r="Y156" s="363"/>
      <c r="Z156" s="363"/>
      <c r="AA156" s="363"/>
      <c r="AB156" s="363"/>
      <c r="AC156" s="363"/>
      <c r="AD156" s="363"/>
      <c r="AE156" s="363" t="s">
        <v>281</v>
      </c>
      <c r="AF156" s="380" t="s">
        <v>97</v>
      </c>
      <c r="AG156" s="380" t="s">
        <v>494</v>
      </c>
      <c r="AH156" s="363" t="s">
        <v>821</v>
      </c>
    </row>
    <row r="157" spans="2:34" ht="14.4" hidden="1" x14ac:dyDescent="0.3">
      <c r="B157" s="380" t="s">
        <v>14</v>
      </c>
      <c r="C157" s="443" t="s">
        <v>822</v>
      </c>
      <c r="D157" s="444" t="s">
        <v>823</v>
      </c>
      <c r="E157" s="438" t="s">
        <v>824</v>
      </c>
      <c r="F157" s="415">
        <v>45772</v>
      </c>
      <c r="G157" s="380" t="s">
        <v>55</v>
      </c>
      <c r="H157" s="380">
        <v>1</v>
      </c>
      <c r="I157" s="388">
        <v>98500</v>
      </c>
      <c r="J157" s="380">
        <v>2</v>
      </c>
      <c r="K157" s="389">
        <f t="shared" si="3"/>
        <v>49250</v>
      </c>
      <c r="L157" s="381">
        <v>45763</v>
      </c>
      <c r="M157" s="381">
        <v>46127</v>
      </c>
      <c r="N157" s="663"/>
      <c r="O157" s="680"/>
      <c r="P157" s="363" t="s">
        <v>19</v>
      </c>
      <c r="Q157" s="380" t="s">
        <v>5</v>
      </c>
      <c r="R157" s="380" t="s">
        <v>1</v>
      </c>
      <c r="S157" s="390" t="s">
        <v>825</v>
      </c>
      <c r="T157" s="363" t="s">
        <v>826</v>
      </c>
      <c r="U157" s="390" t="s">
        <v>827</v>
      </c>
      <c r="V157" s="363" t="s">
        <v>828</v>
      </c>
      <c r="W157" s="363"/>
      <c r="X157" s="363"/>
      <c r="Y157" s="363"/>
      <c r="Z157" s="363"/>
      <c r="AA157" s="363"/>
      <c r="AB157" s="363"/>
      <c r="AC157" s="363"/>
      <c r="AD157" s="363"/>
      <c r="AE157" s="363" t="s">
        <v>183</v>
      </c>
      <c r="AF157" s="380" t="s">
        <v>97</v>
      </c>
      <c r="AG157" s="380">
        <v>2</v>
      </c>
      <c r="AH157" s="363" t="s">
        <v>829</v>
      </c>
    </row>
    <row r="158" spans="2:34" ht="14.4" hidden="1" x14ac:dyDescent="0.3">
      <c r="B158" s="380" t="s">
        <v>14</v>
      </c>
      <c r="C158" s="430" t="s">
        <v>830</v>
      </c>
      <c r="D158" s="445" t="s">
        <v>831</v>
      </c>
      <c r="E158" s="408">
        <v>3500120284</v>
      </c>
      <c r="F158" s="387">
        <v>45756</v>
      </c>
      <c r="G158" s="380" t="s">
        <v>55</v>
      </c>
      <c r="H158" s="380">
        <v>1</v>
      </c>
      <c r="I158" s="388">
        <v>120000</v>
      </c>
      <c r="J158" s="380">
        <v>3</v>
      </c>
      <c r="K158" s="389">
        <f t="shared" si="3"/>
        <v>40000</v>
      </c>
      <c r="L158" s="381">
        <v>45689</v>
      </c>
      <c r="M158" s="381">
        <v>46053</v>
      </c>
      <c r="N158" s="663"/>
      <c r="O158" s="680"/>
      <c r="P158" s="363" t="s">
        <v>19</v>
      </c>
      <c r="Q158" s="380" t="s">
        <v>0</v>
      </c>
      <c r="R158" s="380"/>
      <c r="S158" s="390" t="s">
        <v>832</v>
      </c>
      <c r="T158" s="363" t="s">
        <v>833</v>
      </c>
      <c r="U158" s="390" t="s">
        <v>81</v>
      </c>
      <c r="V158" s="363" t="s">
        <v>287</v>
      </c>
      <c r="W158" s="390" t="s">
        <v>83</v>
      </c>
      <c r="X158" s="363" t="s">
        <v>395</v>
      </c>
      <c r="Y158" s="363"/>
      <c r="Z158" s="363"/>
      <c r="AA158" s="363"/>
      <c r="AB158" s="363"/>
      <c r="AC158" s="363"/>
      <c r="AD158" s="363"/>
      <c r="AE158" s="363" t="s">
        <v>834</v>
      </c>
      <c r="AF158" s="380" t="s">
        <v>207</v>
      </c>
      <c r="AG158" s="380">
        <v>3</v>
      </c>
      <c r="AH158" s="363" t="s">
        <v>835</v>
      </c>
    </row>
    <row r="159" spans="2:34" ht="14.4" hidden="1" x14ac:dyDescent="0.3">
      <c r="B159" s="380" t="s">
        <v>14</v>
      </c>
      <c r="C159" s="430" t="s">
        <v>836</v>
      </c>
      <c r="D159" s="445" t="s">
        <v>629</v>
      </c>
      <c r="E159" s="408" t="s">
        <v>837</v>
      </c>
      <c r="F159" s="387">
        <v>45773</v>
      </c>
      <c r="G159" s="380" t="s">
        <v>55</v>
      </c>
      <c r="H159" s="380">
        <v>2</v>
      </c>
      <c r="I159" s="388">
        <v>168000</v>
      </c>
      <c r="J159" s="380">
        <v>2</v>
      </c>
      <c r="K159" s="389">
        <f t="shared" si="3"/>
        <v>84000</v>
      </c>
      <c r="L159" s="381">
        <v>45748</v>
      </c>
      <c r="M159" s="381">
        <v>46112</v>
      </c>
      <c r="N159" s="663"/>
      <c r="O159" s="680"/>
      <c r="P159" s="363" t="s">
        <v>19</v>
      </c>
      <c r="Q159" s="380" t="s">
        <v>3</v>
      </c>
      <c r="R159" s="380"/>
      <c r="S159" s="390" t="s">
        <v>838</v>
      </c>
      <c r="T159" s="363" t="s">
        <v>344</v>
      </c>
      <c r="U159" s="390" t="s">
        <v>465</v>
      </c>
      <c r="V159" s="363" t="s">
        <v>839</v>
      </c>
      <c r="W159" s="363"/>
      <c r="X159" s="363"/>
      <c r="Y159" s="363"/>
      <c r="Z159" s="363"/>
      <c r="AA159" s="363"/>
      <c r="AB159" s="363"/>
      <c r="AC159" s="363"/>
      <c r="AD159" s="363"/>
      <c r="AE159" s="363" t="s">
        <v>485</v>
      </c>
      <c r="AF159" s="380" t="s">
        <v>63</v>
      </c>
      <c r="AG159" s="380">
        <v>2</v>
      </c>
      <c r="AH159" s="363" t="s">
        <v>799</v>
      </c>
    </row>
    <row r="160" spans="2:34" ht="14.4" hidden="1" x14ac:dyDescent="0.3">
      <c r="B160" s="380" t="s">
        <v>14</v>
      </c>
      <c r="C160" s="430" t="s">
        <v>840</v>
      </c>
      <c r="D160" s="445" t="s">
        <v>841</v>
      </c>
      <c r="E160" s="408" t="s">
        <v>842</v>
      </c>
      <c r="F160" s="387">
        <v>45768</v>
      </c>
      <c r="G160" s="380" t="s">
        <v>55</v>
      </c>
      <c r="H160" s="380">
        <v>3</v>
      </c>
      <c r="I160" s="388">
        <v>202500</v>
      </c>
      <c r="J160" s="380">
        <v>3</v>
      </c>
      <c r="K160" s="389">
        <f t="shared" si="3"/>
        <v>67500</v>
      </c>
      <c r="L160" s="381">
        <v>45748</v>
      </c>
      <c r="M160" s="381">
        <v>46112</v>
      </c>
      <c r="N160" s="663"/>
      <c r="O160" s="680"/>
      <c r="P160" s="363" t="s">
        <v>19</v>
      </c>
      <c r="Q160" s="380" t="s">
        <v>3</v>
      </c>
      <c r="R160" s="380"/>
      <c r="S160" s="390" t="s">
        <v>758</v>
      </c>
      <c r="T160" s="363" t="s">
        <v>843</v>
      </c>
      <c r="U160" s="390" t="s">
        <v>665</v>
      </c>
      <c r="V160" s="363" t="s">
        <v>791</v>
      </c>
      <c r="W160" s="390" t="s">
        <v>361</v>
      </c>
      <c r="X160" s="363" t="s">
        <v>844</v>
      </c>
      <c r="Y160" s="363"/>
      <c r="Z160" s="363"/>
      <c r="AA160" s="363"/>
      <c r="AB160" s="363"/>
      <c r="AC160" s="363"/>
      <c r="AD160" s="363"/>
      <c r="AE160" s="363" t="s">
        <v>485</v>
      </c>
      <c r="AF160" s="380" t="s">
        <v>63</v>
      </c>
      <c r="AG160" s="380">
        <v>2</v>
      </c>
      <c r="AH160" s="363" t="s">
        <v>657</v>
      </c>
    </row>
    <row r="161" spans="2:34" ht="14.4" hidden="1" x14ac:dyDescent="0.3">
      <c r="B161" s="380" t="s">
        <v>14</v>
      </c>
      <c r="C161" s="430" t="s">
        <v>850</v>
      </c>
      <c r="D161" s="445" t="s">
        <v>388</v>
      </c>
      <c r="E161" s="408">
        <v>5000132738</v>
      </c>
      <c r="F161" s="387">
        <v>45769</v>
      </c>
      <c r="G161" s="380" t="s">
        <v>55</v>
      </c>
      <c r="H161" s="380">
        <v>1</v>
      </c>
      <c r="I161" s="388">
        <v>83000</v>
      </c>
      <c r="J161" s="380">
        <v>2</v>
      </c>
      <c r="K161" s="389">
        <f t="shared" si="3"/>
        <v>41500</v>
      </c>
      <c r="L161" s="381">
        <v>45748</v>
      </c>
      <c r="M161" s="381">
        <v>46112</v>
      </c>
      <c r="N161" s="663"/>
      <c r="O161" s="680"/>
      <c r="P161" s="363" t="s">
        <v>19</v>
      </c>
      <c r="Q161" s="380" t="s">
        <v>3</v>
      </c>
      <c r="R161" s="380" t="s">
        <v>1</v>
      </c>
      <c r="S161" s="390" t="s">
        <v>838</v>
      </c>
      <c r="T161" s="363" t="s">
        <v>379</v>
      </c>
      <c r="U161" s="390" t="s">
        <v>465</v>
      </c>
      <c r="V161" s="363" t="s">
        <v>851</v>
      </c>
      <c r="W161" s="363"/>
      <c r="X161" s="363"/>
      <c r="Y161" s="363"/>
      <c r="Z161" s="363"/>
      <c r="AA161" s="363"/>
      <c r="AB161" s="363"/>
      <c r="AC161" s="363"/>
      <c r="AD161" s="363"/>
      <c r="AE161" s="363" t="s">
        <v>619</v>
      </c>
      <c r="AF161" s="380" t="s">
        <v>63</v>
      </c>
      <c r="AG161" s="380">
        <v>3</v>
      </c>
      <c r="AH161" s="446">
        <v>1</v>
      </c>
    </row>
    <row r="162" spans="2:34" ht="14.4" hidden="1" x14ac:dyDescent="0.3">
      <c r="B162" s="380" t="s">
        <v>14</v>
      </c>
      <c r="C162" s="430" t="s">
        <v>775</v>
      </c>
      <c r="D162" s="445" t="s">
        <v>852</v>
      </c>
      <c r="E162" s="408">
        <v>2710000809</v>
      </c>
      <c r="F162" s="387">
        <v>45763</v>
      </c>
      <c r="G162" s="380" t="s">
        <v>55</v>
      </c>
      <c r="H162" s="380">
        <v>2</v>
      </c>
      <c r="I162" s="388">
        <v>170000</v>
      </c>
      <c r="J162" s="380">
        <v>3</v>
      </c>
      <c r="K162" s="389">
        <f t="shared" si="3"/>
        <v>56666.666666666664</v>
      </c>
      <c r="L162" s="381">
        <v>45748</v>
      </c>
      <c r="M162" s="381">
        <v>46112</v>
      </c>
      <c r="N162" s="663"/>
      <c r="O162" s="680"/>
      <c r="P162" s="363" t="s">
        <v>19</v>
      </c>
      <c r="Q162" s="380" t="s">
        <v>3</v>
      </c>
      <c r="R162" s="380"/>
      <c r="S162" s="390" t="s">
        <v>758</v>
      </c>
      <c r="T162" s="363" t="s">
        <v>853</v>
      </c>
      <c r="U162" s="390" t="s">
        <v>665</v>
      </c>
      <c r="V162" s="363" t="s">
        <v>854</v>
      </c>
      <c r="W162" s="390" t="s">
        <v>361</v>
      </c>
      <c r="X162" s="363" t="s">
        <v>855</v>
      </c>
      <c r="Y162" s="363"/>
      <c r="Z162" s="363"/>
      <c r="AA162" s="363"/>
      <c r="AB162" s="363"/>
      <c r="AC162" s="363"/>
      <c r="AD162" s="363"/>
      <c r="AE162" s="363" t="s">
        <v>551</v>
      </c>
      <c r="AF162" s="380" t="s">
        <v>207</v>
      </c>
      <c r="AG162" s="380">
        <v>3</v>
      </c>
      <c r="AH162" s="446" t="s">
        <v>856</v>
      </c>
    </row>
    <row r="163" spans="2:34" ht="14.4" hidden="1" x14ac:dyDescent="0.3">
      <c r="B163" s="380" t="s">
        <v>14</v>
      </c>
      <c r="C163" s="363" t="s">
        <v>857</v>
      </c>
      <c r="D163" s="386" t="s">
        <v>858</v>
      </c>
      <c r="E163" s="419" t="s">
        <v>859</v>
      </c>
      <c r="F163" s="387">
        <v>45747</v>
      </c>
      <c r="G163" s="380" t="s">
        <v>55</v>
      </c>
      <c r="H163" s="380">
        <v>2</v>
      </c>
      <c r="I163" s="388">
        <v>370000</v>
      </c>
      <c r="J163" s="380">
        <v>4</v>
      </c>
      <c r="K163" s="389">
        <f t="shared" ref="K163:K167" si="4">I163/J163</f>
        <v>92500</v>
      </c>
      <c r="L163" s="381">
        <v>45748</v>
      </c>
      <c r="M163" s="381">
        <v>46112</v>
      </c>
      <c r="N163" s="663"/>
      <c r="O163" s="680"/>
      <c r="P163" s="363" t="s">
        <v>19</v>
      </c>
      <c r="Q163" s="380" t="s">
        <v>3</v>
      </c>
      <c r="R163" s="380"/>
      <c r="S163" s="390" t="s">
        <v>391</v>
      </c>
      <c r="T163" s="363" t="s">
        <v>860</v>
      </c>
      <c r="U163" s="390" t="s">
        <v>168</v>
      </c>
      <c r="V163" s="363" t="s">
        <v>505</v>
      </c>
      <c r="W163" s="390" t="s">
        <v>228</v>
      </c>
      <c r="X163" s="363" t="s">
        <v>417</v>
      </c>
      <c r="Y163" s="363" t="s">
        <v>396</v>
      </c>
      <c r="Z163" s="363"/>
      <c r="AA163" s="363"/>
      <c r="AB163" s="363"/>
      <c r="AC163" s="363"/>
      <c r="AD163" s="363"/>
      <c r="AE163" s="363" t="s">
        <v>551</v>
      </c>
      <c r="AF163" s="380" t="s">
        <v>207</v>
      </c>
      <c r="AG163" s="380" t="s">
        <v>861</v>
      </c>
      <c r="AH163" s="363" t="s">
        <v>862</v>
      </c>
    </row>
    <row r="164" spans="2:34" ht="14.4" hidden="1" x14ac:dyDescent="0.3">
      <c r="B164" s="380" t="s">
        <v>14</v>
      </c>
      <c r="C164" s="409" t="s">
        <v>863</v>
      </c>
      <c r="D164" s="423" t="s">
        <v>864</v>
      </c>
      <c r="E164" s="424">
        <v>4504578229</v>
      </c>
      <c r="F164" s="387">
        <v>45779</v>
      </c>
      <c r="G164" s="380" t="s">
        <v>55</v>
      </c>
      <c r="H164" s="380">
        <v>1</v>
      </c>
      <c r="I164" s="388">
        <v>67000</v>
      </c>
      <c r="J164" s="380">
        <v>2</v>
      </c>
      <c r="K164" s="389">
        <f t="shared" si="4"/>
        <v>33500</v>
      </c>
      <c r="L164" s="381">
        <v>45839</v>
      </c>
      <c r="M164" s="381">
        <v>46203</v>
      </c>
      <c r="N164" s="663"/>
      <c r="O164" s="680"/>
      <c r="P164" s="363" t="s">
        <v>19</v>
      </c>
      <c r="Q164" s="380" t="s">
        <v>9</v>
      </c>
      <c r="R164" s="380"/>
      <c r="S164" s="390" t="s">
        <v>483</v>
      </c>
      <c r="T164" s="363" t="s">
        <v>865</v>
      </c>
      <c r="U164" s="390" t="s">
        <v>607</v>
      </c>
      <c r="V164" s="363" t="s">
        <v>1850</v>
      </c>
      <c r="W164" s="363"/>
      <c r="X164" s="363"/>
      <c r="Y164" s="363"/>
      <c r="Z164" s="363"/>
      <c r="AA164" s="363"/>
      <c r="AB164" s="363"/>
      <c r="AC164" s="363"/>
      <c r="AD164" s="363"/>
      <c r="AE164" s="363" t="s">
        <v>507</v>
      </c>
      <c r="AF164" s="380" t="s">
        <v>63</v>
      </c>
      <c r="AG164" s="380">
        <v>2</v>
      </c>
      <c r="AH164" s="363" t="s">
        <v>743</v>
      </c>
    </row>
    <row r="165" spans="2:34" ht="14.4" hidden="1" x14ac:dyDescent="0.3">
      <c r="B165" s="380" t="s">
        <v>14</v>
      </c>
      <c r="C165" s="412" t="s">
        <v>508</v>
      </c>
      <c r="D165" s="437" t="s">
        <v>866</v>
      </c>
      <c r="E165" s="438" t="s">
        <v>867</v>
      </c>
      <c r="F165" s="415">
        <v>45777</v>
      </c>
      <c r="G165" s="380" t="s">
        <v>55</v>
      </c>
      <c r="H165" s="380">
        <v>2</v>
      </c>
      <c r="I165" s="388">
        <v>178000</v>
      </c>
      <c r="J165" s="380">
        <v>3</v>
      </c>
      <c r="K165" s="389">
        <f t="shared" si="4"/>
        <v>59333.333333333336</v>
      </c>
      <c r="L165" s="381">
        <v>45778</v>
      </c>
      <c r="M165" s="381">
        <v>46142</v>
      </c>
      <c r="N165" s="663"/>
      <c r="O165" s="680"/>
      <c r="P165" s="363" t="s">
        <v>19</v>
      </c>
      <c r="Q165" s="380" t="s">
        <v>5</v>
      </c>
      <c r="R165" s="380"/>
      <c r="S165" s="390" t="s">
        <v>343</v>
      </c>
      <c r="T165" s="363" t="s">
        <v>868</v>
      </c>
      <c r="U165" s="390" t="s">
        <v>345</v>
      </c>
      <c r="V165" s="390" t="s">
        <v>673</v>
      </c>
      <c r="W165" s="390" t="s">
        <v>347</v>
      </c>
      <c r="X165" s="363" t="s">
        <v>869</v>
      </c>
      <c r="Y165" s="363"/>
      <c r="Z165" s="363"/>
      <c r="AA165" s="363"/>
      <c r="AB165" s="363"/>
      <c r="AC165" s="363"/>
      <c r="AD165" s="363"/>
      <c r="AE165" s="363" t="s">
        <v>96</v>
      </c>
      <c r="AF165" s="380" t="s">
        <v>97</v>
      </c>
      <c r="AG165" s="380" t="s">
        <v>494</v>
      </c>
      <c r="AH165" s="431" t="s">
        <v>870</v>
      </c>
    </row>
    <row r="166" spans="2:34" ht="14.4" hidden="1" x14ac:dyDescent="0.3">
      <c r="B166" s="380" t="s">
        <v>14</v>
      </c>
      <c r="C166" s="412" t="s">
        <v>508</v>
      </c>
      <c r="D166" s="437" t="s">
        <v>866</v>
      </c>
      <c r="E166" s="438" t="s">
        <v>871</v>
      </c>
      <c r="F166" s="415">
        <v>45777</v>
      </c>
      <c r="G166" s="380" t="s">
        <v>55</v>
      </c>
      <c r="H166" s="380">
        <v>2</v>
      </c>
      <c r="I166" s="388">
        <v>178000</v>
      </c>
      <c r="J166" s="380">
        <v>3</v>
      </c>
      <c r="K166" s="389">
        <f t="shared" si="4"/>
        <v>59333.333333333336</v>
      </c>
      <c r="L166" s="381">
        <v>45778</v>
      </c>
      <c r="M166" s="381">
        <v>46142</v>
      </c>
      <c r="N166" s="663"/>
      <c r="O166" s="680"/>
      <c r="P166" s="363" t="s">
        <v>19</v>
      </c>
      <c r="Q166" s="380" t="s">
        <v>5</v>
      </c>
      <c r="R166" s="380"/>
      <c r="S166" s="390" t="s">
        <v>343</v>
      </c>
      <c r="T166" s="363" t="s">
        <v>872</v>
      </c>
      <c r="U166" s="390" t="s">
        <v>345</v>
      </c>
      <c r="V166" s="363" t="s">
        <v>873</v>
      </c>
      <c r="W166" s="390" t="s">
        <v>347</v>
      </c>
      <c r="X166" s="363" t="s">
        <v>874</v>
      </c>
      <c r="Y166" s="363"/>
      <c r="Z166" s="363"/>
      <c r="AA166" s="363"/>
      <c r="AB166" s="363"/>
      <c r="AC166" s="363"/>
      <c r="AD166" s="363"/>
      <c r="AE166" s="363" t="s">
        <v>96</v>
      </c>
      <c r="AF166" s="380" t="s">
        <v>97</v>
      </c>
      <c r="AG166" s="380" t="s">
        <v>494</v>
      </c>
      <c r="AH166" s="431" t="s">
        <v>870</v>
      </c>
    </row>
    <row r="167" spans="2:34" ht="14.4" hidden="1" x14ac:dyDescent="0.3">
      <c r="B167" s="380" t="s">
        <v>14</v>
      </c>
      <c r="C167" s="423" t="s">
        <v>875</v>
      </c>
      <c r="D167" s="423" t="s">
        <v>876</v>
      </c>
      <c r="E167" s="408" t="s">
        <v>877</v>
      </c>
      <c r="F167" s="387">
        <v>45772</v>
      </c>
      <c r="G167" s="380" t="s">
        <v>55</v>
      </c>
      <c r="H167" s="380">
        <v>3</v>
      </c>
      <c r="I167" s="388">
        <v>435000</v>
      </c>
      <c r="J167" s="380">
        <v>3</v>
      </c>
      <c r="K167" s="389">
        <f t="shared" si="4"/>
        <v>145000</v>
      </c>
      <c r="L167" s="381">
        <v>45770</v>
      </c>
      <c r="M167" s="381">
        <v>46134</v>
      </c>
      <c r="N167" s="663"/>
      <c r="O167" s="680"/>
      <c r="P167" s="363" t="s">
        <v>19</v>
      </c>
      <c r="Q167" s="380" t="s">
        <v>5</v>
      </c>
      <c r="R167" s="380" t="s">
        <v>1</v>
      </c>
      <c r="S167" s="390" t="s">
        <v>878</v>
      </c>
      <c r="T167" s="363" t="s">
        <v>108</v>
      </c>
      <c r="U167" s="390" t="s">
        <v>879</v>
      </c>
      <c r="V167" s="363" t="s">
        <v>880</v>
      </c>
      <c r="W167" s="390" t="s">
        <v>881</v>
      </c>
      <c r="X167" s="363" t="s">
        <v>882</v>
      </c>
      <c r="Y167" s="363"/>
      <c r="Z167" s="363"/>
      <c r="AA167" s="363"/>
      <c r="AB167" s="363"/>
      <c r="AC167" s="363"/>
      <c r="AD167" s="363"/>
      <c r="AE167" s="363" t="s">
        <v>281</v>
      </c>
      <c r="AF167" s="380" t="s">
        <v>97</v>
      </c>
      <c r="AG167" s="380">
        <v>3</v>
      </c>
      <c r="AH167" s="363" t="s">
        <v>883</v>
      </c>
    </row>
    <row r="168" spans="2:34" ht="14.4" hidden="1" x14ac:dyDescent="0.3">
      <c r="B168" s="380" t="s">
        <v>14</v>
      </c>
      <c r="C168" s="437" t="s">
        <v>614</v>
      </c>
      <c r="D168" s="437" t="s">
        <v>884</v>
      </c>
      <c r="E168" s="447" t="s">
        <v>885</v>
      </c>
      <c r="F168" s="387">
        <v>45782</v>
      </c>
      <c r="G168" s="380" t="s">
        <v>55</v>
      </c>
      <c r="H168" s="380">
        <v>1</v>
      </c>
      <c r="I168" s="388">
        <v>76440</v>
      </c>
      <c r="J168" s="380">
        <v>3</v>
      </c>
      <c r="K168" s="389"/>
      <c r="L168" s="381">
        <v>45809</v>
      </c>
      <c r="M168" s="381">
        <v>46173</v>
      </c>
      <c r="N168" s="663"/>
      <c r="O168" s="680"/>
      <c r="P168" s="363" t="s">
        <v>19</v>
      </c>
      <c r="Q168" s="380" t="s">
        <v>6</v>
      </c>
      <c r="R168" s="380"/>
      <c r="S168" s="390" t="s">
        <v>81</v>
      </c>
      <c r="T168" s="363" t="s">
        <v>886</v>
      </c>
      <c r="U168" s="422" t="s">
        <v>83</v>
      </c>
      <c r="V168" s="363" t="s">
        <v>1716</v>
      </c>
      <c r="W168" s="422" t="s">
        <v>887</v>
      </c>
      <c r="X168" s="363" t="s">
        <v>1716</v>
      </c>
      <c r="Y168" s="363"/>
      <c r="Z168" s="363"/>
      <c r="AA168" s="363"/>
      <c r="AB168" s="363"/>
      <c r="AC168" s="363"/>
      <c r="AD168" s="363"/>
      <c r="AE168" s="363" t="s">
        <v>281</v>
      </c>
      <c r="AF168" s="380" t="s">
        <v>97</v>
      </c>
      <c r="AG168" s="380">
        <v>3</v>
      </c>
      <c r="AH168" s="363" t="s">
        <v>888</v>
      </c>
    </row>
    <row r="169" spans="2:34" ht="14.4" hidden="1" x14ac:dyDescent="0.3">
      <c r="B169" s="380" t="s">
        <v>14</v>
      </c>
      <c r="C169" s="409" t="s">
        <v>889</v>
      </c>
      <c r="D169" s="423" t="s">
        <v>890</v>
      </c>
      <c r="E169" s="419">
        <v>4500008676</v>
      </c>
      <c r="F169" s="387">
        <v>45734</v>
      </c>
      <c r="G169" s="380" t="s">
        <v>55</v>
      </c>
      <c r="H169" s="380">
        <v>2</v>
      </c>
      <c r="I169" s="388">
        <v>191000</v>
      </c>
      <c r="J169" s="380">
        <v>2</v>
      </c>
      <c r="K169" s="389">
        <f t="shared" ref="K169:K193" si="5">I169/J169</f>
        <v>95500</v>
      </c>
      <c r="L169" s="381">
        <v>45689</v>
      </c>
      <c r="M169" s="381">
        <v>46053</v>
      </c>
      <c r="N169" s="663"/>
      <c r="O169" s="680"/>
      <c r="P169" s="363" t="s">
        <v>19</v>
      </c>
      <c r="Q169" s="380" t="s">
        <v>0</v>
      </c>
      <c r="R169" s="380" t="s">
        <v>1</v>
      </c>
      <c r="S169" s="390" t="s">
        <v>422</v>
      </c>
      <c r="T169" s="363" t="s">
        <v>413</v>
      </c>
      <c r="U169" s="390" t="s">
        <v>424</v>
      </c>
      <c r="V169" s="363" t="s">
        <v>707</v>
      </c>
      <c r="W169" s="363"/>
      <c r="X169" s="363"/>
      <c r="Y169" s="363"/>
      <c r="Z169" s="363"/>
      <c r="AA169" s="363"/>
      <c r="AB169" s="363"/>
      <c r="AC169" s="363"/>
      <c r="AD169" s="363"/>
      <c r="AE169" s="363" t="s">
        <v>183</v>
      </c>
      <c r="AF169" s="380" t="s">
        <v>97</v>
      </c>
      <c r="AG169" s="380">
        <v>2</v>
      </c>
      <c r="AH169" s="446">
        <v>1</v>
      </c>
    </row>
    <row r="170" spans="2:34" ht="14.4" hidden="1" x14ac:dyDescent="0.3">
      <c r="B170" s="380" t="s">
        <v>14</v>
      </c>
      <c r="C170" s="409" t="s">
        <v>195</v>
      </c>
      <c r="D170" s="423" t="s">
        <v>447</v>
      </c>
      <c r="E170" s="380" t="s">
        <v>891</v>
      </c>
      <c r="F170" s="387">
        <v>45789</v>
      </c>
      <c r="G170" s="380" t="s">
        <v>55</v>
      </c>
      <c r="H170" s="380"/>
      <c r="I170" s="388">
        <v>179550</v>
      </c>
      <c r="J170" s="380">
        <v>4</v>
      </c>
      <c r="K170" s="389">
        <f t="shared" si="5"/>
        <v>44887.5</v>
      </c>
      <c r="L170" s="381">
        <v>45778</v>
      </c>
      <c r="M170" s="381">
        <v>46142</v>
      </c>
      <c r="N170" s="663"/>
      <c r="O170" s="680"/>
      <c r="P170" s="363" t="s">
        <v>520</v>
      </c>
      <c r="Q170" s="380" t="s">
        <v>6</v>
      </c>
      <c r="R170" s="380"/>
      <c r="S170" s="390" t="s">
        <v>266</v>
      </c>
      <c r="T170" s="363" t="s">
        <v>806</v>
      </c>
      <c r="U170" s="390" t="s">
        <v>892</v>
      </c>
      <c r="V170" s="363" t="s">
        <v>723</v>
      </c>
      <c r="W170" s="390" t="s">
        <v>269</v>
      </c>
      <c r="X170" s="363" t="s">
        <v>171</v>
      </c>
      <c r="Y170" s="390" t="s">
        <v>442</v>
      </c>
      <c r="Z170" s="363" t="s">
        <v>882</v>
      </c>
      <c r="AA170" s="363"/>
      <c r="AB170" s="363"/>
      <c r="AC170" s="363"/>
      <c r="AD170" s="363"/>
      <c r="AE170" s="363" t="s">
        <v>96</v>
      </c>
      <c r="AF170" s="380" t="s">
        <v>97</v>
      </c>
      <c r="AG170" s="380" t="s">
        <v>494</v>
      </c>
      <c r="AH170" s="363" t="s">
        <v>667</v>
      </c>
    </row>
    <row r="171" spans="2:34" ht="14.4" hidden="1" x14ac:dyDescent="0.3">
      <c r="B171" s="380" t="s">
        <v>14</v>
      </c>
      <c r="C171" s="409" t="s">
        <v>195</v>
      </c>
      <c r="D171" s="423" t="s">
        <v>447</v>
      </c>
      <c r="E171" s="380" t="s">
        <v>891</v>
      </c>
      <c r="F171" s="387">
        <v>45789</v>
      </c>
      <c r="G171" s="380" t="s">
        <v>55</v>
      </c>
      <c r="H171" s="380"/>
      <c r="I171" s="388">
        <v>188535</v>
      </c>
      <c r="J171" s="380">
        <v>4</v>
      </c>
      <c r="K171" s="389">
        <f t="shared" si="5"/>
        <v>47133.75</v>
      </c>
      <c r="L171" s="381">
        <v>46143</v>
      </c>
      <c r="M171" s="381">
        <v>46507</v>
      </c>
      <c r="N171" s="663"/>
      <c r="O171" s="680"/>
      <c r="P171" s="363" t="s">
        <v>520</v>
      </c>
      <c r="Q171" s="380" t="s">
        <v>6</v>
      </c>
      <c r="R171" s="380"/>
      <c r="S171" s="390" t="s">
        <v>444</v>
      </c>
      <c r="T171" s="363" t="s">
        <v>1941</v>
      </c>
      <c r="U171" s="363" t="s">
        <v>445</v>
      </c>
      <c r="V171" s="363"/>
      <c r="W171" s="381" t="s">
        <v>456</v>
      </c>
      <c r="X171" s="363"/>
      <c r="Y171" s="363" t="s">
        <v>457</v>
      </c>
      <c r="Z171" s="363"/>
      <c r="AA171" s="363"/>
      <c r="AB171" s="363"/>
      <c r="AC171" s="363"/>
      <c r="AD171" s="363"/>
      <c r="AE171" s="363" t="s">
        <v>96</v>
      </c>
      <c r="AF171" s="380" t="s">
        <v>97</v>
      </c>
      <c r="AG171" s="380"/>
      <c r="AH171" s="363"/>
    </row>
    <row r="172" spans="2:34" ht="14.4" hidden="1" x14ac:dyDescent="0.3">
      <c r="B172" s="380" t="s">
        <v>14</v>
      </c>
      <c r="C172" s="409" t="s">
        <v>195</v>
      </c>
      <c r="D172" s="423" t="s">
        <v>447</v>
      </c>
      <c r="E172" s="380" t="s">
        <v>891</v>
      </c>
      <c r="F172" s="387">
        <v>45789</v>
      </c>
      <c r="G172" s="380" t="s">
        <v>55</v>
      </c>
      <c r="H172" s="380">
        <v>3</v>
      </c>
      <c r="I172" s="388">
        <v>197955</v>
      </c>
      <c r="J172" s="380">
        <v>4</v>
      </c>
      <c r="K172" s="389">
        <f t="shared" si="5"/>
        <v>49488.75</v>
      </c>
      <c r="L172" s="381">
        <v>46508</v>
      </c>
      <c r="M172" s="381">
        <v>46873</v>
      </c>
      <c r="N172" s="663"/>
      <c r="O172" s="680"/>
      <c r="P172" s="363" t="s">
        <v>520</v>
      </c>
      <c r="Q172" s="380" t="s">
        <v>6</v>
      </c>
      <c r="R172" s="380"/>
      <c r="S172" s="363" t="s">
        <v>458</v>
      </c>
      <c r="T172" s="363"/>
      <c r="U172" s="363" t="s">
        <v>459</v>
      </c>
      <c r="V172" s="363"/>
      <c r="W172" s="363" t="s">
        <v>893</v>
      </c>
      <c r="X172" s="363"/>
      <c r="Y172" s="363" t="s">
        <v>894</v>
      </c>
      <c r="Z172" s="363"/>
      <c r="AA172" s="363"/>
      <c r="AB172" s="363"/>
      <c r="AC172" s="363"/>
      <c r="AD172" s="363"/>
      <c r="AE172" s="363" t="s">
        <v>96</v>
      </c>
      <c r="AF172" s="380" t="s">
        <v>97</v>
      </c>
      <c r="AG172" s="380"/>
      <c r="AH172" s="363"/>
    </row>
    <row r="173" spans="2:34" ht="14.4" hidden="1" x14ac:dyDescent="0.3">
      <c r="B173" s="380" t="s">
        <v>14</v>
      </c>
      <c r="C173" s="363" t="s">
        <v>895</v>
      </c>
      <c r="D173" s="386" t="s">
        <v>896</v>
      </c>
      <c r="E173" s="380" t="s">
        <v>897</v>
      </c>
      <c r="F173" s="387">
        <v>45789</v>
      </c>
      <c r="G173" s="380" t="s">
        <v>55</v>
      </c>
      <c r="H173" s="380">
        <v>1</v>
      </c>
      <c r="I173" s="388">
        <v>90000</v>
      </c>
      <c r="J173" s="380">
        <v>2</v>
      </c>
      <c r="K173" s="389">
        <f t="shared" si="5"/>
        <v>45000</v>
      </c>
      <c r="L173" s="381">
        <v>45748</v>
      </c>
      <c r="M173" s="381">
        <v>46112</v>
      </c>
      <c r="N173" s="663"/>
      <c r="O173" s="680"/>
      <c r="P173" s="363" t="s">
        <v>19</v>
      </c>
      <c r="Q173" s="380" t="s">
        <v>3</v>
      </c>
      <c r="R173" s="380"/>
      <c r="S173" s="390" t="s">
        <v>463</v>
      </c>
      <c r="T173" s="363" t="s">
        <v>898</v>
      </c>
      <c r="U173" s="390" t="s">
        <v>465</v>
      </c>
      <c r="V173" s="363" t="s">
        <v>899</v>
      </c>
      <c r="W173" s="363"/>
      <c r="X173" s="363"/>
      <c r="Y173" s="363"/>
      <c r="Z173" s="363"/>
      <c r="AA173" s="363"/>
      <c r="AB173" s="363"/>
      <c r="AC173" s="363"/>
      <c r="AD173" s="363"/>
      <c r="AE173" s="363" t="s">
        <v>96</v>
      </c>
      <c r="AF173" s="380" t="s">
        <v>97</v>
      </c>
      <c r="AG173" s="380">
        <v>3</v>
      </c>
      <c r="AH173" s="363" t="s">
        <v>774</v>
      </c>
    </row>
    <row r="174" spans="2:34" ht="14.4" hidden="1" x14ac:dyDescent="0.3">
      <c r="B174" s="380" t="s">
        <v>14</v>
      </c>
      <c r="C174" s="409" t="s">
        <v>775</v>
      </c>
      <c r="D174" s="423" t="s">
        <v>900</v>
      </c>
      <c r="E174" s="408">
        <v>2710000789</v>
      </c>
      <c r="F174" s="387">
        <v>45762</v>
      </c>
      <c r="G174" s="380" t="s">
        <v>55</v>
      </c>
      <c r="H174" s="380">
        <v>4</v>
      </c>
      <c r="I174" s="388">
        <v>320000</v>
      </c>
      <c r="J174" s="380">
        <v>3</v>
      </c>
      <c r="K174" s="389">
        <f t="shared" si="5"/>
        <v>106666.66666666667</v>
      </c>
      <c r="L174" s="381">
        <v>45748</v>
      </c>
      <c r="M174" s="381">
        <v>46112</v>
      </c>
      <c r="N174" s="663"/>
      <c r="O174" s="680"/>
      <c r="P174" s="363" t="s">
        <v>19</v>
      </c>
      <c r="Q174" s="380" t="s">
        <v>3</v>
      </c>
      <c r="R174" s="380"/>
      <c r="S174" s="390" t="s">
        <v>758</v>
      </c>
      <c r="T174" s="363" t="s">
        <v>504</v>
      </c>
      <c r="U174" s="390" t="s">
        <v>901</v>
      </c>
      <c r="V174" s="363" t="s">
        <v>902</v>
      </c>
      <c r="W174" s="390" t="s">
        <v>361</v>
      </c>
      <c r="X174" s="363" t="s">
        <v>903</v>
      </c>
      <c r="Y174" s="363"/>
      <c r="Z174" s="363"/>
      <c r="AA174" s="363"/>
      <c r="AB174" s="363"/>
      <c r="AC174" s="363"/>
      <c r="AD174" s="363"/>
      <c r="AE174" s="363" t="s">
        <v>551</v>
      </c>
      <c r="AF174" s="380" t="s">
        <v>207</v>
      </c>
      <c r="AG174" s="380">
        <v>3</v>
      </c>
      <c r="AH174" s="431" t="s">
        <v>904</v>
      </c>
    </row>
    <row r="175" spans="2:34" ht="14.4" hidden="1" x14ac:dyDescent="0.3">
      <c r="B175" s="380" t="s">
        <v>14</v>
      </c>
      <c r="C175" s="409" t="s">
        <v>905</v>
      </c>
      <c r="D175" s="423" t="s">
        <v>906</v>
      </c>
      <c r="E175" s="408">
        <v>1100033763</v>
      </c>
      <c r="F175" s="419" t="s">
        <v>907</v>
      </c>
      <c r="G175" s="380" t="s">
        <v>55</v>
      </c>
      <c r="H175" s="380">
        <v>4</v>
      </c>
      <c r="I175" s="388">
        <v>280000</v>
      </c>
      <c r="J175" s="380">
        <v>2</v>
      </c>
      <c r="K175" s="389">
        <f t="shared" si="5"/>
        <v>140000</v>
      </c>
      <c r="L175" s="381">
        <v>45809</v>
      </c>
      <c r="M175" s="381">
        <v>46173</v>
      </c>
      <c r="N175" s="663"/>
      <c r="O175" s="680"/>
      <c r="P175" s="363" t="s">
        <v>19</v>
      </c>
      <c r="Q175" s="380" t="s">
        <v>6</v>
      </c>
      <c r="R175" s="380"/>
      <c r="S175" s="390" t="s">
        <v>125</v>
      </c>
      <c r="T175" s="363" t="s">
        <v>908</v>
      </c>
      <c r="U175" s="390" t="s">
        <v>127</v>
      </c>
      <c r="V175" s="363" t="s">
        <v>909</v>
      </c>
      <c r="W175" s="363"/>
      <c r="X175" s="363"/>
      <c r="Y175" s="363"/>
      <c r="Z175" s="363"/>
      <c r="AA175" s="363"/>
      <c r="AB175" s="363"/>
      <c r="AC175" s="363"/>
      <c r="AD175" s="363"/>
      <c r="AE175" s="363" t="s">
        <v>551</v>
      </c>
      <c r="AF175" s="380" t="s">
        <v>207</v>
      </c>
      <c r="AG175" s="380">
        <v>3</v>
      </c>
      <c r="AH175" s="363" t="s">
        <v>667</v>
      </c>
    </row>
    <row r="176" spans="2:34" ht="14.4" hidden="1" x14ac:dyDescent="0.3">
      <c r="B176" s="380" t="s">
        <v>14</v>
      </c>
      <c r="C176" s="412" t="s">
        <v>628</v>
      </c>
      <c r="D176" s="437" t="s">
        <v>910</v>
      </c>
      <c r="E176" s="438" t="s">
        <v>911</v>
      </c>
      <c r="F176" s="415">
        <v>45792</v>
      </c>
      <c r="G176" s="380" t="s">
        <v>55</v>
      </c>
      <c r="H176" s="380">
        <v>3</v>
      </c>
      <c r="I176" s="388">
        <v>156000</v>
      </c>
      <c r="J176" s="380">
        <v>1</v>
      </c>
      <c r="K176" s="389">
        <f t="shared" si="5"/>
        <v>156000</v>
      </c>
      <c r="L176" s="381">
        <v>45748</v>
      </c>
      <c r="M176" s="381">
        <v>46112</v>
      </c>
      <c r="N176" s="663"/>
      <c r="O176" s="680"/>
      <c r="P176" s="363" t="s">
        <v>19</v>
      </c>
      <c r="Q176" s="380" t="s">
        <v>3</v>
      </c>
      <c r="R176" s="380"/>
      <c r="S176" s="390" t="s">
        <v>631</v>
      </c>
      <c r="T176" s="363" t="s">
        <v>909</v>
      </c>
      <c r="U176" s="363"/>
      <c r="V176" s="363"/>
      <c r="W176" s="363"/>
      <c r="X176" s="363"/>
      <c r="Y176" s="363"/>
      <c r="Z176" s="363"/>
      <c r="AA176" s="363"/>
      <c r="AB176" s="363"/>
      <c r="AC176" s="363"/>
      <c r="AD176" s="363"/>
      <c r="AE176" s="363" t="s">
        <v>485</v>
      </c>
      <c r="AF176" s="380" t="s">
        <v>63</v>
      </c>
      <c r="AG176" s="380">
        <v>2</v>
      </c>
      <c r="AH176" s="363" t="s">
        <v>912</v>
      </c>
    </row>
    <row r="177" spans="2:34" ht="14.4" hidden="1" x14ac:dyDescent="0.3">
      <c r="B177" s="380" t="s">
        <v>14</v>
      </c>
      <c r="C177" s="412" t="s">
        <v>508</v>
      </c>
      <c r="D177" s="437" t="s">
        <v>866</v>
      </c>
      <c r="E177" s="438" t="s">
        <v>913</v>
      </c>
      <c r="F177" s="415">
        <v>45779</v>
      </c>
      <c r="G177" s="380" t="s">
        <v>55</v>
      </c>
      <c r="H177" s="380">
        <v>2</v>
      </c>
      <c r="I177" s="388">
        <v>178000</v>
      </c>
      <c r="J177" s="380">
        <v>3</v>
      </c>
      <c r="K177" s="389">
        <f t="shared" si="5"/>
        <v>59333.333333333336</v>
      </c>
      <c r="L177" s="381">
        <v>45792</v>
      </c>
      <c r="M177" s="381">
        <v>46156</v>
      </c>
      <c r="N177" s="663"/>
      <c r="O177" s="680"/>
      <c r="P177" s="363" t="s">
        <v>19</v>
      </c>
      <c r="Q177" s="380" t="s">
        <v>6</v>
      </c>
      <c r="R177" s="380"/>
      <c r="S177" s="390" t="s">
        <v>914</v>
      </c>
      <c r="T177" s="363" t="s">
        <v>915</v>
      </c>
      <c r="U177" s="390" t="s">
        <v>916</v>
      </c>
      <c r="V177" s="363" t="s">
        <v>917</v>
      </c>
      <c r="W177" s="390" t="s">
        <v>918</v>
      </c>
      <c r="X177" s="363" t="s">
        <v>919</v>
      </c>
      <c r="Y177" s="363"/>
      <c r="Z177" s="363"/>
      <c r="AA177" s="363"/>
      <c r="AB177" s="363"/>
      <c r="AC177" s="363"/>
      <c r="AD177" s="363"/>
      <c r="AE177" s="363" t="s">
        <v>96</v>
      </c>
      <c r="AF177" s="380" t="s">
        <v>97</v>
      </c>
      <c r="AG177" s="380" t="s">
        <v>494</v>
      </c>
      <c r="AH177" s="363" t="s">
        <v>920</v>
      </c>
    </row>
    <row r="178" spans="2:34" ht="14.4" hidden="1" x14ac:dyDescent="0.3">
      <c r="B178" s="380" t="s">
        <v>14</v>
      </c>
      <c r="C178" s="409" t="s">
        <v>921</v>
      </c>
      <c r="D178" s="445" t="s">
        <v>922</v>
      </c>
      <c r="E178" s="408">
        <v>4510868028</v>
      </c>
      <c r="F178" s="387">
        <v>45797</v>
      </c>
      <c r="G178" s="380" t="s">
        <v>55</v>
      </c>
      <c r="H178" s="380"/>
      <c r="I178" s="388">
        <v>340000</v>
      </c>
      <c r="J178" s="380">
        <v>3</v>
      </c>
      <c r="K178" s="389">
        <f t="shared" si="5"/>
        <v>113333.33333333333</v>
      </c>
      <c r="L178" s="381">
        <v>45778</v>
      </c>
      <c r="M178" s="381">
        <v>46142</v>
      </c>
      <c r="N178" s="663"/>
      <c r="O178" s="680"/>
      <c r="P178" s="363" t="s">
        <v>520</v>
      </c>
      <c r="Q178" s="380" t="s">
        <v>6</v>
      </c>
      <c r="R178" s="380" t="s">
        <v>1</v>
      </c>
      <c r="S178" s="390" t="s">
        <v>343</v>
      </c>
      <c r="T178" s="363" t="s">
        <v>923</v>
      </c>
      <c r="U178" s="390" t="s">
        <v>345</v>
      </c>
      <c r="V178" s="363" t="s">
        <v>687</v>
      </c>
      <c r="W178" s="390" t="s">
        <v>347</v>
      </c>
      <c r="X178" s="363" t="s">
        <v>924</v>
      </c>
      <c r="Y178" s="363"/>
      <c r="Z178" s="363"/>
      <c r="AA178" s="363"/>
      <c r="AB178" s="363"/>
      <c r="AC178" s="363"/>
      <c r="AD178" s="363"/>
      <c r="AE178" s="363" t="s">
        <v>507</v>
      </c>
      <c r="AF178" s="380" t="s">
        <v>63</v>
      </c>
      <c r="AG178" s="380">
        <v>3</v>
      </c>
      <c r="AH178" s="363" t="s">
        <v>925</v>
      </c>
    </row>
    <row r="179" spans="2:34" ht="14.4" hidden="1" x14ac:dyDescent="0.3">
      <c r="B179" s="380" t="s">
        <v>14</v>
      </c>
      <c r="C179" s="409" t="s">
        <v>921</v>
      </c>
      <c r="D179" s="445" t="s">
        <v>922</v>
      </c>
      <c r="E179" s="731">
        <v>4510868028</v>
      </c>
      <c r="F179" s="387">
        <v>45797</v>
      </c>
      <c r="G179" s="380" t="s">
        <v>55</v>
      </c>
      <c r="H179" s="380">
        <v>4</v>
      </c>
      <c r="I179" s="388">
        <v>340000</v>
      </c>
      <c r="J179" s="380">
        <v>3</v>
      </c>
      <c r="K179" s="389">
        <f t="shared" si="5"/>
        <v>113333.33333333333</v>
      </c>
      <c r="L179" s="381">
        <v>46143</v>
      </c>
      <c r="M179" s="381">
        <v>46507</v>
      </c>
      <c r="N179" s="663">
        <v>155411</v>
      </c>
      <c r="O179" s="680">
        <v>4704</v>
      </c>
      <c r="P179" s="363" t="s">
        <v>520</v>
      </c>
      <c r="Q179" s="380" t="s">
        <v>6</v>
      </c>
      <c r="R179" s="380" t="s">
        <v>1</v>
      </c>
      <c r="S179" s="390" t="s">
        <v>348</v>
      </c>
      <c r="T179" s="363" t="s">
        <v>2019</v>
      </c>
      <c r="U179" s="363" t="s">
        <v>349</v>
      </c>
      <c r="V179" s="363"/>
      <c r="W179" s="363" t="s">
        <v>738</v>
      </c>
      <c r="X179" s="363"/>
      <c r="Y179" s="363"/>
      <c r="Z179" s="363"/>
      <c r="AA179" s="363"/>
      <c r="AB179" s="363"/>
      <c r="AC179" s="363"/>
      <c r="AD179" s="363"/>
      <c r="AE179" s="363" t="s">
        <v>507</v>
      </c>
      <c r="AF179" s="380" t="s">
        <v>63</v>
      </c>
      <c r="AG179" s="380">
        <v>3</v>
      </c>
      <c r="AH179" s="363"/>
    </row>
    <row r="180" spans="2:34" ht="14.4" hidden="1" x14ac:dyDescent="0.3">
      <c r="B180" s="380" t="s">
        <v>14</v>
      </c>
      <c r="C180" s="409" t="s">
        <v>926</v>
      </c>
      <c r="D180" s="434" t="s">
        <v>151</v>
      </c>
      <c r="E180" s="380" t="s">
        <v>927</v>
      </c>
      <c r="F180" s="387">
        <v>45798</v>
      </c>
      <c r="G180" s="380" t="s">
        <v>55</v>
      </c>
      <c r="H180" s="380">
        <v>1</v>
      </c>
      <c r="I180" s="388">
        <v>78000</v>
      </c>
      <c r="J180" s="380">
        <v>3</v>
      </c>
      <c r="K180" s="389">
        <f t="shared" si="5"/>
        <v>26000</v>
      </c>
      <c r="L180" s="381">
        <v>45809</v>
      </c>
      <c r="M180" s="381">
        <v>46173</v>
      </c>
      <c r="N180" s="663"/>
      <c r="O180" s="680"/>
      <c r="P180" s="363" t="s">
        <v>19</v>
      </c>
      <c r="Q180" s="380" t="s">
        <v>6</v>
      </c>
      <c r="R180" s="380"/>
      <c r="S180" s="390" t="s">
        <v>81</v>
      </c>
      <c r="T180" s="363" t="s">
        <v>928</v>
      </c>
      <c r="U180" s="390" t="s">
        <v>83</v>
      </c>
      <c r="V180" s="363" t="s">
        <v>929</v>
      </c>
      <c r="W180" s="390" t="s">
        <v>404</v>
      </c>
      <c r="X180" s="363" t="s">
        <v>930</v>
      </c>
      <c r="Y180" s="363"/>
      <c r="Z180" s="363"/>
      <c r="AA180" s="363"/>
      <c r="AB180" s="363"/>
      <c r="AC180" s="363"/>
      <c r="AD180" s="363"/>
      <c r="AE180" s="363" t="s">
        <v>507</v>
      </c>
      <c r="AF180" s="380" t="s">
        <v>63</v>
      </c>
      <c r="AG180" s="380">
        <v>3</v>
      </c>
      <c r="AH180" s="363" t="s">
        <v>931</v>
      </c>
    </row>
    <row r="181" spans="2:34" ht="14.4" hidden="1" x14ac:dyDescent="0.3">
      <c r="B181" s="380" t="s">
        <v>14</v>
      </c>
      <c r="C181" s="409" t="s">
        <v>926</v>
      </c>
      <c r="D181" s="434" t="s">
        <v>932</v>
      </c>
      <c r="E181" s="419" t="s">
        <v>933</v>
      </c>
      <c r="F181" s="387">
        <v>45798</v>
      </c>
      <c r="G181" s="380" t="s">
        <v>55</v>
      </c>
      <c r="H181" s="380">
        <v>1</v>
      </c>
      <c r="I181" s="388">
        <v>78000</v>
      </c>
      <c r="J181" s="380">
        <v>3</v>
      </c>
      <c r="K181" s="389">
        <f t="shared" si="5"/>
        <v>26000</v>
      </c>
      <c r="L181" s="381">
        <v>45748</v>
      </c>
      <c r="M181" s="381">
        <v>46112</v>
      </c>
      <c r="N181" s="663"/>
      <c r="O181" s="680"/>
      <c r="P181" s="363" t="s">
        <v>19</v>
      </c>
      <c r="Q181" s="380" t="s">
        <v>3</v>
      </c>
      <c r="R181" s="380"/>
      <c r="S181" s="390" t="s">
        <v>357</v>
      </c>
      <c r="T181" s="363" t="s">
        <v>934</v>
      </c>
      <c r="U181" s="390" t="s">
        <v>665</v>
      </c>
      <c r="V181" s="363" t="s">
        <v>929</v>
      </c>
      <c r="W181" s="390" t="s">
        <v>361</v>
      </c>
      <c r="X181" s="363" t="s">
        <v>732</v>
      </c>
      <c r="Y181" s="363"/>
      <c r="Z181" s="363"/>
      <c r="AA181" s="363"/>
      <c r="AB181" s="363"/>
      <c r="AC181" s="363"/>
      <c r="AD181" s="363"/>
      <c r="AE181" s="363" t="s">
        <v>507</v>
      </c>
      <c r="AF181" s="380" t="s">
        <v>63</v>
      </c>
      <c r="AG181" s="380">
        <v>3</v>
      </c>
      <c r="AH181" s="363" t="s">
        <v>931</v>
      </c>
    </row>
    <row r="182" spans="2:34" ht="14.4" hidden="1" x14ac:dyDescent="0.3">
      <c r="B182" s="380" t="s">
        <v>14</v>
      </c>
      <c r="C182" s="412" t="s">
        <v>935</v>
      </c>
      <c r="D182" s="437" t="s">
        <v>176</v>
      </c>
      <c r="E182" s="438" t="s">
        <v>936</v>
      </c>
      <c r="F182" s="415">
        <v>45794</v>
      </c>
      <c r="G182" s="380" t="s">
        <v>55</v>
      </c>
      <c r="H182" s="380">
        <v>1</v>
      </c>
      <c r="I182" s="388">
        <v>94500</v>
      </c>
      <c r="J182" s="380">
        <v>2</v>
      </c>
      <c r="K182" s="389"/>
      <c r="L182" s="381">
        <v>45753</v>
      </c>
      <c r="M182" s="381">
        <v>46117</v>
      </c>
      <c r="N182" s="663"/>
      <c r="O182" s="680"/>
      <c r="P182" s="363" t="s">
        <v>19</v>
      </c>
      <c r="Q182" s="380" t="s">
        <v>5</v>
      </c>
      <c r="R182" s="380" t="s">
        <v>1</v>
      </c>
      <c r="S182" s="390" t="s">
        <v>937</v>
      </c>
      <c r="T182" s="363" t="s">
        <v>807</v>
      </c>
      <c r="U182" s="390" t="s">
        <v>938</v>
      </c>
      <c r="V182" s="363" t="s">
        <v>939</v>
      </c>
      <c r="W182" s="363"/>
      <c r="X182" s="363"/>
      <c r="Y182" s="363"/>
      <c r="Z182" s="363"/>
      <c r="AA182" s="363"/>
      <c r="AB182" s="363"/>
      <c r="AC182" s="363"/>
      <c r="AD182" s="363"/>
      <c r="AE182" s="363" t="s">
        <v>183</v>
      </c>
      <c r="AF182" s="380" t="s">
        <v>97</v>
      </c>
      <c r="AG182" s="380">
        <v>2</v>
      </c>
      <c r="AH182" s="363" t="s">
        <v>861</v>
      </c>
    </row>
    <row r="183" spans="2:34" ht="14.4" hidden="1" x14ac:dyDescent="0.3">
      <c r="B183" s="380" t="s">
        <v>14</v>
      </c>
      <c r="C183" s="409" t="s">
        <v>130</v>
      </c>
      <c r="D183" s="423" t="s">
        <v>940</v>
      </c>
      <c r="E183" s="419">
        <v>6800046962</v>
      </c>
      <c r="F183" s="387">
        <v>45786</v>
      </c>
      <c r="G183" s="380" t="s">
        <v>55</v>
      </c>
      <c r="H183" s="380">
        <v>1</v>
      </c>
      <c r="I183" s="388">
        <v>85000</v>
      </c>
      <c r="J183" s="380">
        <v>3</v>
      </c>
      <c r="K183" s="389">
        <f t="shared" si="5"/>
        <v>28333.333333333332</v>
      </c>
      <c r="L183" s="381">
        <v>45753</v>
      </c>
      <c r="M183" s="381">
        <v>46117</v>
      </c>
      <c r="N183" s="663"/>
      <c r="O183" s="680"/>
      <c r="P183" s="363" t="s">
        <v>19</v>
      </c>
      <c r="Q183" s="380" t="s">
        <v>5</v>
      </c>
      <c r="R183" s="380" t="s">
        <v>1</v>
      </c>
      <c r="S183" s="390" t="s">
        <v>941</v>
      </c>
      <c r="T183" s="363" t="s">
        <v>942</v>
      </c>
      <c r="U183" s="390" t="s">
        <v>943</v>
      </c>
      <c r="V183" s="363" t="s">
        <v>944</v>
      </c>
      <c r="W183" s="390" t="s">
        <v>945</v>
      </c>
      <c r="X183" s="363" t="s">
        <v>946</v>
      </c>
      <c r="Y183" s="363"/>
      <c r="Z183" s="363"/>
      <c r="AA183" s="363"/>
      <c r="AB183" s="363"/>
      <c r="AC183" s="363"/>
      <c r="AD183" s="363"/>
      <c r="AE183" s="363" t="s">
        <v>183</v>
      </c>
      <c r="AF183" s="380" t="s">
        <v>97</v>
      </c>
      <c r="AG183" s="380">
        <v>2</v>
      </c>
      <c r="AH183" s="363" t="s">
        <v>947</v>
      </c>
    </row>
    <row r="184" spans="2:34" ht="14.4" hidden="1" x14ac:dyDescent="0.3">
      <c r="B184" s="380" t="s">
        <v>14</v>
      </c>
      <c r="C184" s="409" t="s">
        <v>130</v>
      </c>
      <c r="D184" s="423" t="s">
        <v>940</v>
      </c>
      <c r="E184" s="419">
        <v>6800046959</v>
      </c>
      <c r="F184" s="387"/>
      <c r="G184" s="380" t="s">
        <v>55</v>
      </c>
      <c r="H184" s="380">
        <v>5</v>
      </c>
      <c r="I184" s="388">
        <v>425000</v>
      </c>
      <c r="J184" s="380">
        <v>3</v>
      </c>
      <c r="K184" s="389">
        <f t="shared" si="5"/>
        <v>141666.66666666666</v>
      </c>
      <c r="L184" s="381">
        <v>45753</v>
      </c>
      <c r="M184" s="381">
        <v>46117</v>
      </c>
      <c r="N184" s="663"/>
      <c r="O184" s="680"/>
      <c r="P184" s="363" t="s">
        <v>19</v>
      </c>
      <c r="Q184" s="380" t="s">
        <v>5</v>
      </c>
      <c r="R184" s="380" t="s">
        <v>1</v>
      </c>
      <c r="S184" s="390" t="s">
        <v>941</v>
      </c>
      <c r="T184" s="363" t="s">
        <v>942</v>
      </c>
      <c r="U184" s="390" t="s">
        <v>943</v>
      </c>
      <c r="V184" s="363" t="s">
        <v>944</v>
      </c>
      <c r="W184" s="390" t="s">
        <v>945</v>
      </c>
      <c r="X184" s="363" t="s">
        <v>946</v>
      </c>
      <c r="Y184" s="363"/>
      <c r="Z184" s="363"/>
      <c r="AA184" s="363"/>
      <c r="AB184" s="363"/>
      <c r="AC184" s="363"/>
      <c r="AD184" s="363"/>
      <c r="AE184" s="363" t="s">
        <v>183</v>
      </c>
      <c r="AF184" s="380" t="s">
        <v>97</v>
      </c>
      <c r="AG184" s="380">
        <v>2</v>
      </c>
      <c r="AH184" s="363" t="s">
        <v>947</v>
      </c>
    </row>
    <row r="185" spans="2:34" ht="14.4" hidden="1" x14ac:dyDescent="0.3">
      <c r="B185" s="380" t="s">
        <v>14</v>
      </c>
      <c r="C185" s="409" t="s">
        <v>948</v>
      </c>
      <c r="D185" s="423" t="s">
        <v>949</v>
      </c>
      <c r="E185" s="380">
        <v>916184</v>
      </c>
      <c r="F185" s="387">
        <v>45722</v>
      </c>
      <c r="G185" s="380" t="s">
        <v>55</v>
      </c>
      <c r="H185" s="380">
        <v>4</v>
      </c>
      <c r="I185" s="388">
        <v>297920</v>
      </c>
      <c r="J185" s="380">
        <v>4</v>
      </c>
      <c r="K185" s="389">
        <f t="shared" si="5"/>
        <v>74480</v>
      </c>
      <c r="L185" s="381">
        <v>45778</v>
      </c>
      <c r="M185" s="381">
        <v>46142</v>
      </c>
      <c r="N185" s="663"/>
      <c r="O185" s="680"/>
      <c r="P185" s="363" t="s">
        <v>19</v>
      </c>
      <c r="Q185" s="380" t="s">
        <v>5</v>
      </c>
      <c r="R185" s="380"/>
      <c r="S185" s="390" t="s">
        <v>266</v>
      </c>
      <c r="T185" s="363" t="s">
        <v>676</v>
      </c>
      <c r="U185" s="390" t="s">
        <v>267</v>
      </c>
      <c r="V185" s="363" t="s">
        <v>492</v>
      </c>
      <c r="W185" s="390" t="s">
        <v>269</v>
      </c>
      <c r="X185" s="363" t="s">
        <v>709</v>
      </c>
      <c r="Y185" s="390" t="s">
        <v>442</v>
      </c>
      <c r="Z185" s="363" t="s">
        <v>820</v>
      </c>
      <c r="AA185" s="363"/>
      <c r="AB185" s="363"/>
      <c r="AC185" s="363"/>
      <c r="AD185" s="363"/>
      <c r="AE185" s="363" t="s">
        <v>551</v>
      </c>
      <c r="AF185" s="380" t="s">
        <v>207</v>
      </c>
      <c r="AG185" s="380">
        <v>3</v>
      </c>
      <c r="AH185" s="363" t="s">
        <v>736</v>
      </c>
    </row>
    <row r="186" spans="2:34" ht="14.4" hidden="1" x14ac:dyDescent="0.3">
      <c r="B186" s="380" t="s">
        <v>14</v>
      </c>
      <c r="C186" s="409" t="s">
        <v>663</v>
      </c>
      <c r="D186" s="434" t="s">
        <v>950</v>
      </c>
      <c r="E186" s="380">
        <v>4507494931</v>
      </c>
      <c r="F186" s="387">
        <v>45771</v>
      </c>
      <c r="G186" s="380" t="s">
        <v>55</v>
      </c>
      <c r="H186" s="380">
        <v>6</v>
      </c>
      <c r="I186" s="388">
        <v>371999.98</v>
      </c>
      <c r="J186" s="380">
        <v>3</v>
      </c>
      <c r="K186" s="389">
        <f t="shared" si="5"/>
        <v>123999.99333333333</v>
      </c>
      <c r="L186" s="381">
        <v>45748</v>
      </c>
      <c r="M186" s="381">
        <v>46112</v>
      </c>
      <c r="N186" s="663"/>
      <c r="O186" s="680"/>
      <c r="P186" s="363" t="s">
        <v>19</v>
      </c>
      <c r="Q186" s="380" t="s">
        <v>3</v>
      </c>
      <c r="R186" s="380"/>
      <c r="S186" s="390" t="s">
        <v>357</v>
      </c>
      <c r="T186" s="363" t="s">
        <v>951</v>
      </c>
      <c r="U186" s="390" t="s">
        <v>665</v>
      </c>
      <c r="V186" s="363" t="s">
        <v>707</v>
      </c>
      <c r="W186" s="390" t="s">
        <v>361</v>
      </c>
      <c r="X186" s="363" t="s">
        <v>952</v>
      </c>
      <c r="Y186" s="363"/>
      <c r="Z186" s="363"/>
      <c r="AA186" s="363"/>
      <c r="AB186" s="363"/>
      <c r="AC186" s="363"/>
      <c r="AD186" s="363"/>
      <c r="AE186" s="363" t="s">
        <v>478</v>
      </c>
      <c r="AF186" s="380" t="s">
        <v>63</v>
      </c>
      <c r="AG186" s="380">
        <v>3</v>
      </c>
      <c r="AH186" s="403" t="s">
        <v>953</v>
      </c>
    </row>
    <row r="187" spans="2:34" ht="14.4" hidden="1" x14ac:dyDescent="0.3">
      <c r="B187" s="380" t="s">
        <v>14</v>
      </c>
      <c r="C187" s="409" t="s">
        <v>954</v>
      </c>
      <c r="D187" s="423" t="s">
        <v>151</v>
      </c>
      <c r="E187" s="380">
        <v>4601450532</v>
      </c>
      <c r="F187" s="387">
        <v>45796</v>
      </c>
      <c r="G187" s="380" t="s">
        <v>55</v>
      </c>
      <c r="H187" s="380">
        <v>1</v>
      </c>
      <c r="I187" s="388">
        <v>75000</v>
      </c>
      <c r="J187" s="380">
        <v>3</v>
      </c>
      <c r="K187" s="389">
        <f t="shared" si="5"/>
        <v>25000</v>
      </c>
      <c r="L187" s="381">
        <v>45748</v>
      </c>
      <c r="M187" s="381">
        <v>46112</v>
      </c>
      <c r="N187" s="663"/>
      <c r="O187" s="680"/>
      <c r="P187" s="363" t="s">
        <v>19</v>
      </c>
      <c r="Q187" s="380" t="s">
        <v>3</v>
      </c>
      <c r="R187" s="380"/>
      <c r="S187" s="390" t="s">
        <v>357</v>
      </c>
      <c r="T187" s="363" t="s">
        <v>955</v>
      </c>
      <c r="U187" s="390" t="s">
        <v>665</v>
      </c>
      <c r="V187" s="363" t="s">
        <v>956</v>
      </c>
      <c r="W187" s="390" t="s">
        <v>361</v>
      </c>
      <c r="X187" s="363" t="s">
        <v>957</v>
      </c>
      <c r="Y187" s="363"/>
      <c r="Z187" s="363"/>
      <c r="AA187" s="363"/>
      <c r="AB187" s="363"/>
      <c r="AC187" s="363"/>
      <c r="AD187" s="363"/>
      <c r="AE187" s="363" t="s">
        <v>478</v>
      </c>
      <c r="AF187" s="380" t="s">
        <v>63</v>
      </c>
      <c r="AG187" s="380">
        <v>3</v>
      </c>
      <c r="AH187" s="363" t="s">
        <v>736</v>
      </c>
    </row>
    <row r="188" spans="2:34" ht="14.4" hidden="1" x14ac:dyDescent="0.3">
      <c r="B188" s="380" t="s">
        <v>14</v>
      </c>
      <c r="C188" s="409" t="s">
        <v>905</v>
      </c>
      <c r="D188" s="423" t="s">
        <v>801</v>
      </c>
      <c r="E188" s="380">
        <v>1100033993</v>
      </c>
      <c r="F188" s="387">
        <v>45780</v>
      </c>
      <c r="G188" s="380" t="s">
        <v>55</v>
      </c>
      <c r="H188" s="380">
        <v>1</v>
      </c>
      <c r="I188" s="388">
        <v>75000</v>
      </c>
      <c r="J188" s="380">
        <v>2</v>
      </c>
      <c r="K188" s="389">
        <f t="shared" si="5"/>
        <v>37500</v>
      </c>
      <c r="L188" s="381">
        <v>45778</v>
      </c>
      <c r="M188" s="381">
        <v>46142</v>
      </c>
      <c r="N188" s="663"/>
      <c r="O188" s="680"/>
      <c r="P188" s="363" t="s">
        <v>19</v>
      </c>
      <c r="Q188" s="380" t="s">
        <v>5</v>
      </c>
      <c r="R188" s="380"/>
      <c r="S188" s="390" t="s">
        <v>328</v>
      </c>
      <c r="T188" s="363" t="s">
        <v>958</v>
      </c>
      <c r="U188" s="390" t="s">
        <v>330</v>
      </c>
      <c r="V188" s="363" t="s">
        <v>173</v>
      </c>
      <c r="W188" s="363"/>
      <c r="X188" s="363"/>
      <c r="Y188" s="363"/>
      <c r="Z188" s="363"/>
      <c r="AA188" s="363"/>
      <c r="AB188" s="363"/>
      <c r="AC188" s="363"/>
      <c r="AD188" s="363"/>
      <c r="AE188" s="363" t="s">
        <v>485</v>
      </c>
      <c r="AF188" s="380" t="s">
        <v>63</v>
      </c>
      <c r="AG188" s="380">
        <v>3</v>
      </c>
      <c r="AH188" s="363" t="s">
        <v>736</v>
      </c>
    </row>
    <row r="189" spans="2:34" ht="14.4" hidden="1" x14ac:dyDescent="0.3">
      <c r="B189" s="380" t="s">
        <v>14</v>
      </c>
      <c r="C189" s="430" t="s">
        <v>959</v>
      </c>
      <c r="D189" s="445" t="s">
        <v>151</v>
      </c>
      <c r="E189" s="419">
        <v>4521013686</v>
      </c>
      <c r="F189" s="387">
        <v>45801</v>
      </c>
      <c r="G189" s="380" t="s">
        <v>55</v>
      </c>
      <c r="H189" s="380">
        <v>1</v>
      </c>
      <c r="I189" s="388">
        <v>70000</v>
      </c>
      <c r="J189" s="380">
        <v>3</v>
      </c>
      <c r="K189" s="391">
        <f t="shared" si="5"/>
        <v>23333.333333333332</v>
      </c>
      <c r="L189" s="381">
        <v>45801</v>
      </c>
      <c r="M189" s="381">
        <v>46165</v>
      </c>
      <c r="N189" s="663"/>
      <c r="O189" s="680"/>
      <c r="P189" s="363" t="s">
        <v>19</v>
      </c>
      <c r="Q189" s="380" t="s">
        <v>9</v>
      </c>
      <c r="R189" s="380"/>
      <c r="S189" s="390" t="s">
        <v>960</v>
      </c>
      <c r="T189" s="363" t="s">
        <v>961</v>
      </c>
      <c r="U189" s="390" t="s">
        <v>962</v>
      </c>
      <c r="V189" s="363" t="s">
        <v>606</v>
      </c>
      <c r="W189" s="390" t="s">
        <v>963</v>
      </c>
      <c r="X189" s="363" t="s">
        <v>1852</v>
      </c>
      <c r="Y189" s="363"/>
      <c r="Z189" s="363"/>
      <c r="AA189" s="363"/>
      <c r="AB189" s="363"/>
      <c r="AC189" s="363"/>
      <c r="AD189" s="363"/>
      <c r="AE189" s="363" t="s">
        <v>964</v>
      </c>
      <c r="AF189" s="380" t="s">
        <v>63</v>
      </c>
      <c r="AG189" s="380">
        <v>3</v>
      </c>
      <c r="AH189" s="363" t="s">
        <v>736</v>
      </c>
    </row>
    <row r="190" spans="2:34" ht="14.4" hidden="1" x14ac:dyDescent="0.3">
      <c r="B190" s="380" t="s">
        <v>14</v>
      </c>
      <c r="C190" s="430" t="s">
        <v>965</v>
      </c>
      <c r="D190" s="445" t="s">
        <v>447</v>
      </c>
      <c r="E190" s="419">
        <v>5400057119</v>
      </c>
      <c r="F190" s="387">
        <v>45801</v>
      </c>
      <c r="G190" s="380" t="s">
        <v>55</v>
      </c>
      <c r="H190" s="380">
        <v>1</v>
      </c>
      <c r="I190" s="388">
        <v>107040</v>
      </c>
      <c r="J190" s="380">
        <v>4</v>
      </c>
      <c r="K190" s="389">
        <f t="shared" si="5"/>
        <v>26760</v>
      </c>
      <c r="L190" s="381">
        <v>45748</v>
      </c>
      <c r="M190" s="381">
        <v>46112</v>
      </c>
      <c r="N190" s="663"/>
      <c r="O190" s="680"/>
      <c r="P190" s="363" t="s">
        <v>19</v>
      </c>
      <c r="Q190" s="380" t="s">
        <v>3</v>
      </c>
      <c r="R190" s="380"/>
      <c r="S190" s="390" t="s">
        <v>391</v>
      </c>
      <c r="T190" s="363" t="s">
        <v>722</v>
      </c>
      <c r="U190" s="390" t="s">
        <v>168</v>
      </c>
      <c r="V190" s="363" t="s">
        <v>966</v>
      </c>
      <c r="W190" s="390" t="s">
        <v>228</v>
      </c>
      <c r="X190" s="363" t="s">
        <v>967</v>
      </c>
      <c r="Y190" s="390" t="s">
        <v>396</v>
      </c>
      <c r="Z190" s="363" t="s">
        <v>526</v>
      </c>
      <c r="AA190" s="363"/>
      <c r="AB190" s="363"/>
      <c r="AC190" s="363"/>
      <c r="AD190" s="363"/>
      <c r="AE190" s="363" t="s">
        <v>96</v>
      </c>
      <c r="AF190" s="380" t="s">
        <v>97</v>
      </c>
      <c r="AG190" s="380" t="s">
        <v>494</v>
      </c>
      <c r="AH190" s="430" t="s">
        <v>969</v>
      </c>
    </row>
    <row r="191" spans="2:34" ht="14.4" hidden="1" x14ac:dyDescent="0.3">
      <c r="B191" s="380" t="s">
        <v>14</v>
      </c>
      <c r="C191" s="412" t="s">
        <v>614</v>
      </c>
      <c r="D191" s="444" t="s">
        <v>970</v>
      </c>
      <c r="E191" s="425">
        <v>4500049503</v>
      </c>
      <c r="F191" s="448">
        <v>45796</v>
      </c>
      <c r="G191" s="380" t="s">
        <v>55</v>
      </c>
      <c r="H191" s="380">
        <v>2</v>
      </c>
      <c r="I191" s="388">
        <v>152880</v>
      </c>
      <c r="J191" s="380">
        <v>3</v>
      </c>
      <c r="K191" s="389">
        <f t="shared" si="5"/>
        <v>50960</v>
      </c>
      <c r="L191" s="381">
        <v>45797</v>
      </c>
      <c r="M191" s="381">
        <v>46161</v>
      </c>
      <c r="N191" s="663"/>
      <c r="O191" s="680"/>
      <c r="P191" s="363" t="s">
        <v>19</v>
      </c>
      <c r="Q191" s="380" t="s">
        <v>6</v>
      </c>
      <c r="R191" s="380"/>
      <c r="S191" s="390" t="s">
        <v>971</v>
      </c>
      <c r="T191" s="363" t="s">
        <v>439</v>
      </c>
      <c r="U191" s="390" t="s">
        <v>972</v>
      </c>
      <c r="V191" s="363" t="s">
        <v>673</v>
      </c>
      <c r="W191" s="390" t="s">
        <v>973</v>
      </c>
      <c r="X191" s="363" t="s">
        <v>782</v>
      </c>
      <c r="Y191" s="363"/>
      <c r="Z191" s="363"/>
      <c r="AA191" s="363"/>
      <c r="AB191" s="363"/>
      <c r="AC191" s="363"/>
      <c r="AD191" s="363"/>
      <c r="AE191" s="363" t="s">
        <v>281</v>
      </c>
      <c r="AF191" s="380" t="s">
        <v>97</v>
      </c>
      <c r="AG191" s="380">
        <v>3</v>
      </c>
      <c r="AH191" s="363" t="s">
        <v>974</v>
      </c>
    </row>
    <row r="192" spans="2:34" ht="14.4" hidden="1" x14ac:dyDescent="0.3">
      <c r="B192" s="380" t="s">
        <v>14</v>
      </c>
      <c r="C192" s="409" t="s">
        <v>975</v>
      </c>
      <c r="D192" s="445" t="s">
        <v>976</v>
      </c>
      <c r="E192" s="380">
        <v>6100008808</v>
      </c>
      <c r="F192" s="387">
        <v>45799</v>
      </c>
      <c r="G192" s="380" t="s">
        <v>55</v>
      </c>
      <c r="H192" s="380">
        <v>3</v>
      </c>
      <c r="I192" s="388">
        <v>360000</v>
      </c>
      <c r="J192" s="380">
        <v>3</v>
      </c>
      <c r="K192" s="389">
        <f t="shared" si="5"/>
        <v>120000</v>
      </c>
      <c r="L192" s="381">
        <v>45709</v>
      </c>
      <c r="M192" s="381">
        <v>46073</v>
      </c>
      <c r="N192" s="663"/>
      <c r="O192" s="680"/>
      <c r="P192" s="363" t="s">
        <v>19</v>
      </c>
      <c r="Q192" s="380" t="s">
        <v>2</v>
      </c>
      <c r="R192" s="380"/>
      <c r="S192" s="390" t="s">
        <v>977</v>
      </c>
      <c r="T192" s="363" t="s">
        <v>722</v>
      </c>
      <c r="U192" s="390" t="s">
        <v>978</v>
      </c>
      <c r="V192" s="363" t="s">
        <v>791</v>
      </c>
      <c r="W192" s="390" t="s">
        <v>979</v>
      </c>
      <c r="X192" s="363" t="s">
        <v>980</v>
      </c>
      <c r="Y192" s="363"/>
      <c r="Z192" s="363"/>
      <c r="AA192" s="363"/>
      <c r="AB192" s="363"/>
      <c r="AC192" s="363"/>
      <c r="AD192" s="363"/>
      <c r="AE192" s="363" t="s">
        <v>551</v>
      </c>
      <c r="AF192" s="380" t="s">
        <v>207</v>
      </c>
      <c r="AG192" s="380">
        <v>3</v>
      </c>
      <c r="AH192" s="430" t="s">
        <v>981</v>
      </c>
    </row>
    <row r="193" spans="2:34" ht="14.4" hidden="1" x14ac:dyDescent="0.3">
      <c r="B193" s="380" t="s">
        <v>14</v>
      </c>
      <c r="C193" s="409" t="s">
        <v>982</v>
      </c>
      <c r="D193" s="423" t="s">
        <v>801</v>
      </c>
      <c r="E193" s="380" t="s">
        <v>983</v>
      </c>
      <c r="F193" s="387">
        <v>45761</v>
      </c>
      <c r="G193" s="380" t="s">
        <v>55</v>
      </c>
      <c r="H193" s="380">
        <v>1</v>
      </c>
      <c r="I193" s="388">
        <v>90000</v>
      </c>
      <c r="J193" s="380">
        <v>2</v>
      </c>
      <c r="K193" s="389">
        <f t="shared" si="5"/>
        <v>45000</v>
      </c>
      <c r="L193" s="381">
        <v>45809</v>
      </c>
      <c r="M193" s="381">
        <v>46173</v>
      </c>
      <c r="N193" s="663"/>
      <c r="O193" s="680"/>
      <c r="P193" s="363" t="s">
        <v>19</v>
      </c>
      <c r="Q193" s="380" t="s">
        <v>6</v>
      </c>
      <c r="R193" s="380"/>
      <c r="S193" s="390" t="s">
        <v>125</v>
      </c>
      <c r="T193" s="363" t="s">
        <v>423</v>
      </c>
      <c r="U193" s="390" t="s">
        <v>127</v>
      </c>
      <c r="V193" s="363" t="s">
        <v>712</v>
      </c>
      <c r="W193" s="363"/>
      <c r="X193" s="363"/>
      <c r="Y193" s="363"/>
      <c r="Z193" s="363"/>
      <c r="AA193" s="363"/>
      <c r="AB193" s="363"/>
      <c r="AC193" s="363"/>
      <c r="AD193" s="363"/>
      <c r="AE193" s="363" t="s">
        <v>485</v>
      </c>
      <c r="AF193" s="380" t="s">
        <v>63</v>
      </c>
      <c r="AG193" s="380">
        <v>2</v>
      </c>
      <c r="AH193" s="363" t="s">
        <v>667</v>
      </c>
    </row>
    <row r="194" spans="2:34" ht="14.4" hidden="1" x14ac:dyDescent="0.3">
      <c r="B194" s="380" t="s">
        <v>14</v>
      </c>
      <c r="C194" s="412" t="s">
        <v>727</v>
      </c>
      <c r="D194" s="437" t="s">
        <v>984</v>
      </c>
      <c r="E194" s="438">
        <v>4100031856</v>
      </c>
      <c r="F194" s="387">
        <v>45804</v>
      </c>
      <c r="G194" s="380" t="s">
        <v>55</v>
      </c>
      <c r="H194" s="380">
        <v>4</v>
      </c>
      <c r="I194" s="388">
        <v>608328</v>
      </c>
      <c r="J194" s="380">
        <v>3</v>
      </c>
      <c r="K194" s="389"/>
      <c r="L194" s="381">
        <v>45809</v>
      </c>
      <c r="M194" s="381">
        <v>46173</v>
      </c>
      <c r="N194" s="663"/>
      <c r="O194" s="680"/>
      <c r="P194" s="363" t="s">
        <v>19</v>
      </c>
      <c r="Q194" s="380" t="s">
        <v>6</v>
      </c>
      <c r="R194" s="380"/>
      <c r="S194" s="390" t="s">
        <v>81</v>
      </c>
      <c r="T194" s="363" t="s">
        <v>637</v>
      </c>
      <c r="U194" s="390" t="s">
        <v>83</v>
      </c>
      <c r="V194" s="363" t="s">
        <v>985</v>
      </c>
      <c r="W194" s="390" t="s">
        <v>887</v>
      </c>
      <c r="X194" s="363" t="s">
        <v>986</v>
      </c>
      <c r="Y194" s="363"/>
      <c r="Z194" s="363"/>
      <c r="AA194" s="363"/>
      <c r="AB194" s="363"/>
      <c r="AC194" s="363"/>
      <c r="AD194" s="363"/>
      <c r="AE194" s="363" t="s">
        <v>281</v>
      </c>
      <c r="AF194" s="380" t="s">
        <v>97</v>
      </c>
      <c r="AG194" s="380">
        <v>3</v>
      </c>
      <c r="AH194" s="363" t="s">
        <v>774</v>
      </c>
    </row>
    <row r="195" spans="2:34" ht="14.4" hidden="1" x14ac:dyDescent="0.3">
      <c r="B195" s="380" t="s">
        <v>14</v>
      </c>
      <c r="C195" s="443" t="s">
        <v>990</v>
      </c>
      <c r="D195" s="444" t="s">
        <v>991</v>
      </c>
      <c r="E195" s="426">
        <v>115487274</v>
      </c>
      <c r="F195" s="387">
        <v>45807</v>
      </c>
      <c r="G195" s="380" t="s">
        <v>55</v>
      </c>
      <c r="H195" s="380">
        <v>3</v>
      </c>
      <c r="I195" s="388">
        <f>81600*3</f>
        <v>244800</v>
      </c>
      <c r="J195" s="380">
        <v>2</v>
      </c>
      <c r="K195" s="389"/>
      <c r="L195" s="381">
        <v>45809</v>
      </c>
      <c r="M195" s="381">
        <v>46173</v>
      </c>
      <c r="N195" s="663"/>
      <c r="O195" s="680"/>
      <c r="P195" s="363" t="s">
        <v>19</v>
      </c>
      <c r="Q195" s="380" t="s">
        <v>6</v>
      </c>
      <c r="R195" s="380"/>
      <c r="S195" s="390" t="s">
        <v>125</v>
      </c>
      <c r="T195" s="363" t="s">
        <v>289</v>
      </c>
      <c r="U195" s="390" t="s">
        <v>127</v>
      </c>
      <c r="V195" s="363" t="s">
        <v>1712</v>
      </c>
      <c r="W195" s="363"/>
      <c r="X195" s="363"/>
      <c r="Y195" s="363"/>
      <c r="Z195" s="363"/>
      <c r="AA195" s="363"/>
      <c r="AB195" s="363"/>
      <c r="AC195" s="363"/>
      <c r="AD195" s="363"/>
      <c r="AE195" s="363" t="s">
        <v>485</v>
      </c>
      <c r="AF195" s="380" t="s">
        <v>63</v>
      </c>
      <c r="AG195" s="380">
        <v>2</v>
      </c>
      <c r="AH195" s="363" t="s">
        <v>992</v>
      </c>
    </row>
    <row r="196" spans="2:34" ht="14.4" hidden="1" x14ac:dyDescent="0.3">
      <c r="B196" s="380" t="s">
        <v>14</v>
      </c>
      <c r="C196" s="443" t="s">
        <v>508</v>
      </c>
      <c r="D196" s="444" t="s">
        <v>866</v>
      </c>
      <c r="E196" s="426" t="s">
        <v>993</v>
      </c>
      <c r="F196" s="387">
        <v>45806</v>
      </c>
      <c r="G196" s="380" t="s">
        <v>55</v>
      </c>
      <c r="H196" s="380">
        <v>2</v>
      </c>
      <c r="I196" s="452">
        <v>178000</v>
      </c>
      <c r="J196" s="380">
        <v>3</v>
      </c>
      <c r="K196" s="389"/>
      <c r="L196" s="381">
        <v>45809</v>
      </c>
      <c r="M196" s="381">
        <v>46173</v>
      </c>
      <c r="N196" s="663"/>
      <c r="O196" s="680"/>
      <c r="P196" s="363" t="s">
        <v>19</v>
      </c>
      <c r="Q196" s="380" t="s">
        <v>6</v>
      </c>
      <c r="R196" s="380"/>
      <c r="S196" s="390" t="s">
        <v>81</v>
      </c>
      <c r="T196" s="363" t="s">
        <v>562</v>
      </c>
      <c r="U196" s="390" t="s">
        <v>83</v>
      </c>
      <c r="V196" s="363" t="s">
        <v>994</v>
      </c>
      <c r="W196" s="390" t="s">
        <v>404</v>
      </c>
      <c r="X196" s="363" t="s">
        <v>995</v>
      </c>
      <c r="Y196" s="363"/>
      <c r="Z196" s="363"/>
      <c r="AA196" s="363"/>
      <c r="AB196" s="363"/>
      <c r="AC196" s="363"/>
      <c r="AD196" s="363"/>
      <c r="AE196" s="363" t="s">
        <v>96</v>
      </c>
      <c r="AF196" s="380" t="s">
        <v>97</v>
      </c>
      <c r="AG196" s="380" t="s">
        <v>494</v>
      </c>
      <c r="AH196" s="453" t="s">
        <v>996</v>
      </c>
    </row>
    <row r="197" spans="2:34" ht="14.4" hidden="1" x14ac:dyDescent="0.3">
      <c r="B197" s="380" t="s">
        <v>14</v>
      </c>
      <c r="C197" s="409" t="s">
        <v>634</v>
      </c>
      <c r="D197" s="445" t="s">
        <v>997</v>
      </c>
      <c r="E197" s="419">
        <v>4500268257</v>
      </c>
      <c r="F197" s="387">
        <v>45806</v>
      </c>
      <c r="G197" s="380" t="s">
        <v>55</v>
      </c>
      <c r="H197" s="380"/>
      <c r="I197" s="388">
        <f>24875*4</f>
        <v>99500</v>
      </c>
      <c r="J197" s="380">
        <v>4</v>
      </c>
      <c r="K197" s="389">
        <f t="shared" ref="K197:K207" si="6">I197/J197</f>
        <v>24875</v>
      </c>
      <c r="L197" s="381">
        <v>45748</v>
      </c>
      <c r="M197" s="381">
        <v>46112</v>
      </c>
      <c r="N197" s="663"/>
      <c r="O197" s="680"/>
      <c r="P197" s="363" t="s">
        <v>998</v>
      </c>
      <c r="Q197" s="380" t="s">
        <v>9</v>
      </c>
      <c r="R197" s="380"/>
      <c r="S197" s="390" t="s">
        <v>391</v>
      </c>
      <c r="T197" s="363" t="s">
        <v>636</v>
      </c>
      <c r="U197" s="390" t="s">
        <v>168</v>
      </c>
      <c r="V197" s="363" t="s">
        <v>637</v>
      </c>
      <c r="W197" s="390" t="s">
        <v>228</v>
      </c>
      <c r="X197" s="363" t="s">
        <v>493</v>
      </c>
      <c r="Y197" s="390" t="s">
        <v>396</v>
      </c>
      <c r="Z197" s="363" t="s">
        <v>639</v>
      </c>
      <c r="AA197" s="363"/>
      <c r="AB197" s="363"/>
      <c r="AC197" s="363"/>
      <c r="AD197" s="363"/>
      <c r="AE197" s="363" t="s">
        <v>96</v>
      </c>
      <c r="AF197" s="380" t="s">
        <v>97</v>
      </c>
      <c r="AG197" s="380" t="s">
        <v>494</v>
      </c>
      <c r="AH197" s="363"/>
    </row>
    <row r="198" spans="2:34" ht="14.4" hidden="1" x14ac:dyDescent="0.3">
      <c r="B198" s="380" t="s">
        <v>14</v>
      </c>
      <c r="C198" s="409" t="s">
        <v>634</v>
      </c>
      <c r="D198" s="445" t="s">
        <v>997</v>
      </c>
      <c r="E198" s="419">
        <v>4500268257</v>
      </c>
      <c r="F198" s="387">
        <v>45806</v>
      </c>
      <c r="G198" s="380" t="s">
        <v>55</v>
      </c>
      <c r="H198" s="380"/>
      <c r="I198" s="388">
        <f>24875*4</f>
        <v>99500</v>
      </c>
      <c r="J198" s="380">
        <v>4</v>
      </c>
      <c r="K198" s="389">
        <f t="shared" si="6"/>
        <v>24875</v>
      </c>
      <c r="L198" s="381">
        <v>46113</v>
      </c>
      <c r="M198" s="381">
        <v>46477</v>
      </c>
      <c r="N198" s="663"/>
      <c r="O198" s="680"/>
      <c r="P198" s="363" t="s">
        <v>998</v>
      </c>
      <c r="Q198" s="380" t="s">
        <v>9</v>
      </c>
      <c r="R198" s="380"/>
      <c r="S198" s="390" t="s">
        <v>397</v>
      </c>
      <c r="T198" s="363" t="s">
        <v>1715</v>
      </c>
      <c r="U198" s="363" t="s">
        <v>496</v>
      </c>
      <c r="V198" s="363"/>
      <c r="W198" s="363" t="s">
        <v>497</v>
      </c>
      <c r="X198" s="363"/>
      <c r="Y198" s="363" t="s">
        <v>498</v>
      </c>
      <c r="Z198" s="363"/>
      <c r="AA198" s="363"/>
      <c r="AB198" s="363"/>
      <c r="AC198" s="363"/>
      <c r="AD198" s="363"/>
      <c r="AE198" s="363" t="s">
        <v>96</v>
      </c>
      <c r="AF198" s="380" t="s">
        <v>97</v>
      </c>
      <c r="AG198" s="380"/>
      <c r="AH198" s="363"/>
    </row>
    <row r="199" spans="2:34" ht="14.4" hidden="1" x14ac:dyDescent="0.3">
      <c r="B199" s="380" t="s">
        <v>14</v>
      </c>
      <c r="C199" s="409" t="s">
        <v>634</v>
      </c>
      <c r="D199" s="445" t="s">
        <v>997</v>
      </c>
      <c r="E199" s="419">
        <v>4500268257</v>
      </c>
      <c r="F199" s="387">
        <v>45806</v>
      </c>
      <c r="G199" s="380" t="s">
        <v>55</v>
      </c>
      <c r="H199" s="380">
        <v>1</v>
      </c>
      <c r="I199" s="388">
        <f>24875*3</f>
        <v>74625</v>
      </c>
      <c r="J199" s="380">
        <v>3</v>
      </c>
      <c r="K199" s="389">
        <f t="shared" si="6"/>
        <v>24875</v>
      </c>
      <c r="L199" s="381">
        <v>46478</v>
      </c>
      <c r="M199" s="381">
        <v>46752</v>
      </c>
      <c r="N199" s="663"/>
      <c r="O199" s="680"/>
      <c r="P199" s="363" t="s">
        <v>998</v>
      </c>
      <c r="Q199" s="380" t="s">
        <v>9</v>
      </c>
      <c r="R199" s="380"/>
      <c r="S199" s="363" t="s">
        <v>499</v>
      </c>
      <c r="T199" s="363"/>
      <c r="U199" s="363" t="s">
        <v>500</v>
      </c>
      <c r="V199" s="363"/>
      <c r="W199" s="363" t="s">
        <v>501</v>
      </c>
      <c r="X199" s="363"/>
      <c r="Y199" s="363"/>
      <c r="Z199" s="363"/>
      <c r="AA199" s="363"/>
      <c r="AB199" s="363"/>
      <c r="AC199" s="363"/>
      <c r="AD199" s="363"/>
      <c r="AE199" s="363" t="s">
        <v>96</v>
      </c>
      <c r="AF199" s="380" t="s">
        <v>97</v>
      </c>
      <c r="AG199" s="380"/>
      <c r="AH199" s="363"/>
    </row>
    <row r="200" spans="2:34" ht="14.4" hidden="1" x14ac:dyDescent="0.3">
      <c r="B200" s="380" t="s">
        <v>14</v>
      </c>
      <c r="C200" s="409" t="s">
        <v>751</v>
      </c>
      <c r="D200" s="423" t="s">
        <v>151</v>
      </c>
      <c r="E200" s="408">
        <v>307000194</v>
      </c>
      <c r="F200" s="387">
        <v>45799</v>
      </c>
      <c r="G200" s="380" t="s">
        <v>55</v>
      </c>
      <c r="H200" s="380">
        <v>1</v>
      </c>
      <c r="I200" s="388">
        <v>124440</v>
      </c>
      <c r="J200" s="380">
        <v>4</v>
      </c>
      <c r="K200" s="389">
        <f t="shared" si="6"/>
        <v>31110</v>
      </c>
      <c r="L200" s="381">
        <v>45748</v>
      </c>
      <c r="M200" s="381">
        <v>46112</v>
      </c>
      <c r="N200" s="663"/>
      <c r="O200" s="680"/>
      <c r="P200" s="363" t="s">
        <v>19</v>
      </c>
      <c r="Q200" s="380" t="s">
        <v>3</v>
      </c>
      <c r="R200" s="380"/>
      <c r="S200" s="390" t="s">
        <v>391</v>
      </c>
      <c r="T200" s="363" t="s">
        <v>725</v>
      </c>
      <c r="U200" s="390" t="s">
        <v>168</v>
      </c>
      <c r="V200" s="363" t="s">
        <v>169</v>
      </c>
      <c r="W200" s="390" t="s">
        <v>228</v>
      </c>
      <c r="X200" s="363" t="s">
        <v>687</v>
      </c>
      <c r="Y200" s="390" t="s">
        <v>396</v>
      </c>
      <c r="Z200" s="363" t="s">
        <v>999</v>
      </c>
      <c r="AA200" s="363"/>
      <c r="AB200" s="363"/>
      <c r="AC200" s="363"/>
      <c r="AD200" s="363"/>
      <c r="AE200" s="363" t="s">
        <v>507</v>
      </c>
      <c r="AF200" s="380" t="s">
        <v>63</v>
      </c>
      <c r="AG200" s="380">
        <v>4</v>
      </c>
      <c r="AH200" s="363" t="s">
        <v>667</v>
      </c>
    </row>
    <row r="201" spans="2:34" ht="14.4" hidden="1" x14ac:dyDescent="0.3">
      <c r="B201" s="380" t="s">
        <v>14</v>
      </c>
      <c r="C201" s="409" t="s">
        <v>595</v>
      </c>
      <c r="D201" s="418" t="s">
        <v>1000</v>
      </c>
      <c r="E201" s="454">
        <v>3110015195</v>
      </c>
      <c r="F201" s="387">
        <v>45807</v>
      </c>
      <c r="G201" s="380" t="s">
        <v>55</v>
      </c>
      <c r="H201" s="380">
        <v>1</v>
      </c>
      <c r="I201" s="388">
        <v>75999.990000000005</v>
      </c>
      <c r="J201" s="380">
        <v>3</v>
      </c>
      <c r="K201" s="389">
        <f t="shared" si="6"/>
        <v>25333.33</v>
      </c>
      <c r="L201" s="381">
        <v>45778</v>
      </c>
      <c r="M201" s="381">
        <v>46142</v>
      </c>
      <c r="N201" s="663"/>
      <c r="O201" s="680"/>
      <c r="P201" s="363" t="s">
        <v>19</v>
      </c>
      <c r="Q201" s="380" t="s">
        <v>6</v>
      </c>
      <c r="R201" s="380" t="s">
        <v>437</v>
      </c>
      <c r="S201" s="390" t="s">
        <v>343</v>
      </c>
      <c r="T201" s="363" t="s">
        <v>394</v>
      </c>
      <c r="U201" s="390" t="s">
        <v>345</v>
      </c>
      <c r="V201" s="363" t="s">
        <v>1001</v>
      </c>
      <c r="W201" s="390" t="s">
        <v>347</v>
      </c>
      <c r="X201" s="363" t="s">
        <v>1717</v>
      </c>
      <c r="Y201" s="363"/>
      <c r="Z201" s="363"/>
      <c r="AA201" s="363"/>
      <c r="AB201" s="363"/>
      <c r="AC201" s="363"/>
      <c r="AD201" s="363"/>
      <c r="AE201" s="363" t="s">
        <v>507</v>
      </c>
      <c r="AF201" s="380" t="s">
        <v>63</v>
      </c>
      <c r="AG201" s="380">
        <v>3</v>
      </c>
      <c r="AH201" s="363" t="s">
        <v>799</v>
      </c>
    </row>
    <row r="202" spans="2:34" ht="14.4" hidden="1" x14ac:dyDescent="0.3">
      <c r="B202" s="380" t="s">
        <v>14</v>
      </c>
      <c r="C202" s="409" t="s">
        <v>1002</v>
      </c>
      <c r="D202" s="418" t="s">
        <v>151</v>
      </c>
      <c r="E202" s="419">
        <v>4518004947</v>
      </c>
      <c r="F202" s="387">
        <v>45812</v>
      </c>
      <c r="G202" s="380" t="s">
        <v>55</v>
      </c>
      <c r="H202" s="380">
        <v>4</v>
      </c>
      <c r="I202" s="388">
        <v>186000</v>
      </c>
      <c r="J202" s="380">
        <v>1</v>
      </c>
      <c r="K202" s="389">
        <f t="shared" si="6"/>
        <v>186000</v>
      </c>
      <c r="L202" s="381">
        <v>45748</v>
      </c>
      <c r="M202" s="381">
        <v>46112</v>
      </c>
      <c r="N202" s="663"/>
      <c r="O202" s="680"/>
      <c r="P202" s="363" t="s">
        <v>19</v>
      </c>
      <c r="Q202" s="380" t="s">
        <v>3</v>
      </c>
      <c r="R202" s="380" t="s">
        <v>437</v>
      </c>
      <c r="S202" s="390" t="s">
        <v>631</v>
      </c>
      <c r="T202" s="363" t="s">
        <v>1003</v>
      </c>
      <c r="U202" s="363"/>
      <c r="V202" s="363"/>
      <c r="W202" s="363"/>
      <c r="X202" s="363"/>
      <c r="Y202" s="363"/>
      <c r="Z202" s="363"/>
      <c r="AA202" s="363"/>
      <c r="AB202" s="363"/>
      <c r="AC202" s="363"/>
      <c r="AD202" s="363"/>
      <c r="AE202" s="363" t="s">
        <v>507</v>
      </c>
      <c r="AF202" s="380" t="s">
        <v>63</v>
      </c>
      <c r="AG202" s="380">
        <v>2</v>
      </c>
      <c r="AH202" s="363" t="s">
        <v>667</v>
      </c>
    </row>
    <row r="203" spans="2:34" ht="14.4" hidden="1" x14ac:dyDescent="0.3">
      <c r="B203" s="380" t="s">
        <v>14</v>
      </c>
      <c r="C203" s="412" t="s">
        <v>614</v>
      </c>
      <c r="D203" s="437" t="s">
        <v>970</v>
      </c>
      <c r="E203" s="426">
        <v>4500049533</v>
      </c>
      <c r="F203" s="387">
        <v>45810</v>
      </c>
      <c r="G203" s="380" t="s">
        <v>55</v>
      </c>
      <c r="H203" s="380">
        <v>2</v>
      </c>
      <c r="I203" s="388">
        <v>152880</v>
      </c>
      <c r="J203" s="380">
        <v>3</v>
      </c>
      <c r="K203" s="389">
        <f t="shared" si="6"/>
        <v>50960</v>
      </c>
      <c r="L203" s="381">
        <v>45818</v>
      </c>
      <c r="M203" s="381">
        <v>46182</v>
      </c>
      <c r="N203" s="663"/>
      <c r="O203" s="680"/>
      <c r="P203" s="363" t="s">
        <v>19</v>
      </c>
      <c r="Q203" s="380" t="s">
        <v>9</v>
      </c>
      <c r="R203" s="380"/>
      <c r="S203" s="390" t="s">
        <v>592</v>
      </c>
      <c r="T203" s="363"/>
      <c r="U203" s="390" t="s">
        <v>593</v>
      </c>
      <c r="V203" s="363" t="s">
        <v>84</v>
      </c>
      <c r="W203" s="390" t="s">
        <v>1004</v>
      </c>
      <c r="X203" s="363" t="s">
        <v>1710</v>
      </c>
      <c r="Y203" s="363"/>
      <c r="Z203" s="363"/>
      <c r="AA203" s="363"/>
      <c r="AB203" s="363"/>
      <c r="AC203" s="363"/>
      <c r="AD203" s="363"/>
      <c r="AE203" s="363" t="s">
        <v>281</v>
      </c>
      <c r="AF203" s="380" t="s">
        <v>97</v>
      </c>
      <c r="AG203" s="380">
        <v>3</v>
      </c>
      <c r="AH203" s="455" t="s">
        <v>1005</v>
      </c>
    </row>
    <row r="204" spans="2:34" ht="14.4" hidden="1" x14ac:dyDescent="0.3">
      <c r="B204" s="380" t="s">
        <v>14</v>
      </c>
      <c r="C204" s="409" t="s">
        <v>433</v>
      </c>
      <c r="D204" s="386" t="s">
        <v>388</v>
      </c>
      <c r="E204" s="419" t="s">
        <v>1006</v>
      </c>
      <c r="F204" s="387">
        <v>45804</v>
      </c>
      <c r="G204" s="380" t="s">
        <v>55</v>
      </c>
      <c r="H204" s="380">
        <v>16</v>
      </c>
      <c r="I204" s="388">
        <f>3746500
/1.18</f>
        <v>3175000</v>
      </c>
      <c r="J204" s="380">
        <v>4</v>
      </c>
      <c r="K204" s="391">
        <f t="shared" si="6"/>
        <v>793750</v>
      </c>
      <c r="L204" s="381">
        <v>45807</v>
      </c>
      <c r="M204" s="381">
        <v>46171</v>
      </c>
      <c r="N204" s="663"/>
      <c r="O204" s="680"/>
      <c r="P204" s="363" t="s">
        <v>19</v>
      </c>
      <c r="Q204" s="380" t="s">
        <v>6</v>
      </c>
      <c r="R204" s="380"/>
      <c r="S204" s="390" t="s">
        <v>286</v>
      </c>
      <c r="T204" s="363" t="s">
        <v>505</v>
      </c>
      <c r="U204" s="390" t="s">
        <v>1007</v>
      </c>
      <c r="V204" s="363" t="s">
        <v>1008</v>
      </c>
      <c r="W204" s="390" t="s">
        <v>290</v>
      </c>
      <c r="X204" s="363" t="s">
        <v>1009</v>
      </c>
      <c r="Y204" s="390" t="s">
        <v>1010</v>
      </c>
      <c r="Z204" s="363" t="s">
        <v>251</v>
      </c>
      <c r="AA204" s="363"/>
      <c r="AB204" s="363"/>
      <c r="AC204" s="363"/>
      <c r="AD204" s="363"/>
      <c r="AE204" s="363" t="s">
        <v>478</v>
      </c>
      <c r="AF204" s="380" t="s">
        <v>63</v>
      </c>
      <c r="AG204" s="380"/>
      <c r="AH204" s="363" t="s">
        <v>667</v>
      </c>
    </row>
    <row r="205" spans="2:34" ht="14.4" hidden="1" x14ac:dyDescent="0.3">
      <c r="B205" s="380" t="s">
        <v>14</v>
      </c>
      <c r="C205" s="456" t="s">
        <v>1011</v>
      </c>
      <c r="D205" s="418" t="s">
        <v>1012</v>
      </c>
      <c r="E205" s="457" t="s">
        <v>1013</v>
      </c>
      <c r="F205" s="387">
        <v>46000</v>
      </c>
      <c r="G205" s="380" t="s">
        <v>55</v>
      </c>
      <c r="H205" s="380"/>
      <c r="I205" s="388"/>
      <c r="J205" s="380"/>
      <c r="K205" s="389" t="e">
        <f t="shared" si="6"/>
        <v>#DIV/0!</v>
      </c>
      <c r="L205" s="381"/>
      <c r="M205" s="381"/>
      <c r="N205" s="663"/>
      <c r="O205" s="680"/>
      <c r="P205" s="363"/>
      <c r="Q205" s="380"/>
      <c r="R205" s="380"/>
      <c r="S205" s="363"/>
      <c r="T205" s="363"/>
      <c r="U205" s="363"/>
      <c r="V205" s="363"/>
      <c r="W205" s="363"/>
      <c r="X205" s="363"/>
      <c r="Y205" s="363"/>
      <c r="Z205" s="363"/>
      <c r="AA205" s="363"/>
      <c r="AB205" s="363"/>
      <c r="AC205" s="363"/>
      <c r="AD205" s="363"/>
      <c r="AE205" s="363" t="s">
        <v>619</v>
      </c>
      <c r="AF205" s="380" t="s">
        <v>63</v>
      </c>
      <c r="AG205" s="380"/>
      <c r="AH205" s="363"/>
    </row>
    <row r="206" spans="2:34" ht="14.4" hidden="1" x14ac:dyDescent="0.3">
      <c r="B206" s="380" t="s">
        <v>14</v>
      </c>
      <c r="C206" s="409" t="s">
        <v>1014</v>
      </c>
      <c r="D206" s="418" t="s">
        <v>151</v>
      </c>
      <c r="E206" s="419">
        <v>4500539790</v>
      </c>
      <c r="F206" s="387">
        <v>45818</v>
      </c>
      <c r="G206" s="380" t="s">
        <v>55</v>
      </c>
      <c r="H206" s="380">
        <v>2</v>
      </c>
      <c r="I206" s="388">
        <f>3*60000</f>
        <v>180000</v>
      </c>
      <c r="J206" s="380">
        <v>3</v>
      </c>
      <c r="K206" s="389">
        <f t="shared" si="6"/>
        <v>60000</v>
      </c>
      <c r="L206" s="381">
        <v>45809</v>
      </c>
      <c r="M206" s="381">
        <v>46173</v>
      </c>
      <c r="N206" s="663"/>
      <c r="O206" s="680"/>
      <c r="P206" s="363" t="s">
        <v>19</v>
      </c>
      <c r="Q206" s="380" t="s">
        <v>6</v>
      </c>
      <c r="R206" s="380"/>
      <c r="S206" s="390" t="s">
        <v>81</v>
      </c>
      <c r="T206" s="363" t="s">
        <v>1015</v>
      </c>
      <c r="U206" s="390" t="s">
        <v>83</v>
      </c>
      <c r="V206" s="363" t="s">
        <v>191</v>
      </c>
      <c r="W206" s="390" t="s">
        <v>404</v>
      </c>
      <c r="X206" s="363" t="s">
        <v>291</v>
      </c>
      <c r="Y206" s="363"/>
      <c r="Z206" s="363"/>
      <c r="AA206" s="363"/>
      <c r="AB206" s="363"/>
      <c r="AC206" s="363"/>
      <c r="AD206" s="363"/>
      <c r="AE206" s="363" t="s">
        <v>507</v>
      </c>
      <c r="AF206" s="380" t="s">
        <v>63</v>
      </c>
      <c r="AG206" s="380">
        <v>3</v>
      </c>
      <c r="AH206" s="363" t="s">
        <v>667</v>
      </c>
    </row>
    <row r="207" spans="2:34" ht="14.4" hidden="1" x14ac:dyDescent="0.3">
      <c r="B207" s="380" t="s">
        <v>14</v>
      </c>
      <c r="C207" s="429" t="s">
        <v>609</v>
      </c>
      <c r="D207" s="418" t="s">
        <v>1016</v>
      </c>
      <c r="E207" s="419">
        <v>3791227950</v>
      </c>
      <c r="F207" s="387">
        <v>45770</v>
      </c>
      <c r="G207" s="380" t="s">
        <v>55</v>
      </c>
      <c r="H207" s="380">
        <v>1</v>
      </c>
      <c r="I207" s="388">
        <v>61500</v>
      </c>
      <c r="J207" s="380">
        <v>3</v>
      </c>
      <c r="K207" s="389">
        <f t="shared" si="6"/>
        <v>20500</v>
      </c>
      <c r="L207" s="381">
        <v>45748</v>
      </c>
      <c r="M207" s="381">
        <v>46112</v>
      </c>
      <c r="N207" s="663"/>
      <c r="O207" s="680"/>
      <c r="P207" s="363" t="s">
        <v>19</v>
      </c>
      <c r="Q207" s="380" t="s">
        <v>5</v>
      </c>
      <c r="R207" s="380"/>
      <c r="S207" s="390" t="s">
        <v>357</v>
      </c>
      <c r="T207" s="363" t="s">
        <v>1017</v>
      </c>
      <c r="U207" s="390" t="s">
        <v>665</v>
      </c>
      <c r="V207" s="363" t="s">
        <v>967</v>
      </c>
      <c r="W207" s="390" t="s">
        <v>361</v>
      </c>
      <c r="X207" s="363" t="s">
        <v>455</v>
      </c>
      <c r="Y207" s="363"/>
      <c r="Z207" s="363"/>
      <c r="AA207" s="363"/>
      <c r="AB207" s="363"/>
      <c r="AC207" s="363"/>
      <c r="AD207" s="363"/>
      <c r="AE207" s="363" t="s">
        <v>619</v>
      </c>
      <c r="AF207" s="380" t="s">
        <v>63</v>
      </c>
      <c r="AG207" s="380">
        <v>3</v>
      </c>
      <c r="AH207" s="363" t="s">
        <v>667</v>
      </c>
    </row>
    <row r="208" spans="2:34" ht="14.4" hidden="1" x14ac:dyDescent="0.3">
      <c r="B208" s="380" t="s">
        <v>14</v>
      </c>
      <c r="C208" s="429" t="s">
        <v>614</v>
      </c>
      <c r="D208" s="458" t="s">
        <v>447</v>
      </c>
      <c r="E208" s="459" t="s">
        <v>1018</v>
      </c>
      <c r="F208" s="387">
        <v>45806</v>
      </c>
      <c r="G208" s="380" t="s">
        <v>55</v>
      </c>
      <c r="H208" s="380">
        <v>1</v>
      </c>
      <c r="I208" s="388">
        <v>76440</v>
      </c>
      <c r="J208" s="380">
        <v>3</v>
      </c>
      <c r="K208" s="389"/>
      <c r="L208" s="381">
        <v>45778</v>
      </c>
      <c r="M208" s="381">
        <v>46142</v>
      </c>
      <c r="N208" s="663"/>
      <c r="O208" s="680"/>
      <c r="P208" s="363" t="s">
        <v>19</v>
      </c>
      <c r="Q208" s="380" t="s">
        <v>5</v>
      </c>
      <c r="R208" s="380"/>
      <c r="S208" s="390" t="s">
        <v>343</v>
      </c>
      <c r="T208" s="363" t="s">
        <v>759</v>
      </c>
      <c r="U208" s="390" t="s">
        <v>345</v>
      </c>
      <c r="V208" s="363" t="s">
        <v>781</v>
      </c>
      <c r="W208" s="390" t="s">
        <v>347</v>
      </c>
      <c r="X208" s="363" t="s">
        <v>1019</v>
      </c>
      <c r="Y208" s="363"/>
      <c r="Z208" s="363"/>
      <c r="AA208" s="363"/>
      <c r="AB208" s="363"/>
      <c r="AC208" s="363"/>
      <c r="AD208" s="363"/>
      <c r="AE208" s="363" t="s">
        <v>281</v>
      </c>
      <c r="AF208" s="380" t="s">
        <v>97</v>
      </c>
      <c r="AG208" s="380">
        <v>3</v>
      </c>
      <c r="AH208" s="363" t="s">
        <v>1020</v>
      </c>
    </row>
    <row r="209" spans="2:34" ht="14.4" hidden="1" x14ac:dyDescent="0.3">
      <c r="B209" s="380" t="s">
        <v>14</v>
      </c>
      <c r="C209" s="460" t="s">
        <v>1021</v>
      </c>
      <c r="D209" s="461" t="s">
        <v>1022</v>
      </c>
      <c r="E209" s="426">
        <v>1421076377</v>
      </c>
      <c r="F209" s="387">
        <v>45812</v>
      </c>
      <c r="G209" s="380" t="s">
        <v>55</v>
      </c>
      <c r="H209" s="380">
        <v>1</v>
      </c>
      <c r="I209" s="388">
        <v>84480</v>
      </c>
      <c r="J209" s="380">
        <v>2</v>
      </c>
      <c r="K209" s="389">
        <f t="shared" ref="K209:K216" si="7">I209/J209</f>
        <v>42240</v>
      </c>
      <c r="L209" s="381">
        <v>45809</v>
      </c>
      <c r="M209" s="381">
        <v>46173</v>
      </c>
      <c r="N209" s="663"/>
      <c r="O209" s="680"/>
      <c r="P209" s="363" t="s">
        <v>19</v>
      </c>
      <c r="Q209" s="380" t="s">
        <v>6</v>
      </c>
      <c r="R209" s="380"/>
      <c r="S209" s="390" t="s">
        <v>125</v>
      </c>
      <c r="T209" s="363" t="s">
        <v>287</v>
      </c>
      <c r="U209" s="390" t="s">
        <v>127</v>
      </c>
      <c r="V209" s="363" t="s">
        <v>939</v>
      </c>
      <c r="W209" s="363"/>
      <c r="X209" s="363"/>
      <c r="Y209" s="363"/>
      <c r="Z209" s="363"/>
      <c r="AA209" s="363"/>
      <c r="AB209" s="363"/>
      <c r="AC209" s="363"/>
      <c r="AD209" s="363"/>
      <c r="AE209" s="363" t="s">
        <v>485</v>
      </c>
      <c r="AF209" s="380" t="s">
        <v>63</v>
      </c>
      <c r="AG209" s="380">
        <v>2</v>
      </c>
      <c r="AH209" s="363" t="s">
        <v>1023</v>
      </c>
    </row>
    <row r="210" spans="2:34" ht="14.4" hidden="1" x14ac:dyDescent="0.3">
      <c r="B210" s="380" t="s">
        <v>14</v>
      </c>
      <c r="C210" s="429" t="s">
        <v>1024</v>
      </c>
      <c r="D210" s="458" t="s">
        <v>1025</v>
      </c>
      <c r="E210" s="419">
        <v>7026010733</v>
      </c>
      <c r="F210" s="387">
        <v>45819</v>
      </c>
      <c r="G210" s="380" t="s">
        <v>55</v>
      </c>
      <c r="H210" s="380">
        <v>8</v>
      </c>
      <c r="I210" s="388">
        <v>512000</v>
      </c>
      <c r="J210" s="380">
        <v>2</v>
      </c>
      <c r="K210" s="389">
        <f t="shared" si="7"/>
        <v>256000</v>
      </c>
      <c r="L210" s="381">
        <v>45748</v>
      </c>
      <c r="M210" s="381">
        <v>46112</v>
      </c>
      <c r="N210" s="663"/>
      <c r="O210" s="680"/>
      <c r="P210" s="363" t="s">
        <v>19</v>
      </c>
      <c r="Q210" s="380" t="s">
        <v>9</v>
      </c>
      <c r="R210" s="380"/>
      <c r="S210" s="390" t="s">
        <v>463</v>
      </c>
      <c r="T210" s="363" t="s">
        <v>1026</v>
      </c>
      <c r="U210" s="390" t="s">
        <v>465</v>
      </c>
      <c r="V210" s="363" t="s">
        <v>1853</v>
      </c>
      <c r="W210" s="363"/>
      <c r="X210" s="363"/>
      <c r="Y210" s="363"/>
      <c r="Z210" s="363"/>
      <c r="AA210" s="363"/>
      <c r="AB210" s="363"/>
      <c r="AC210" s="363"/>
      <c r="AD210" s="363"/>
      <c r="AE210" s="363" t="s">
        <v>507</v>
      </c>
      <c r="AF210" s="380" t="s">
        <v>63</v>
      </c>
      <c r="AG210" s="380">
        <v>2</v>
      </c>
      <c r="AH210" s="363" t="s">
        <v>1027</v>
      </c>
    </row>
    <row r="211" spans="2:34" ht="14.4" hidden="1" x14ac:dyDescent="0.3">
      <c r="B211" s="380" t="s">
        <v>14</v>
      </c>
      <c r="C211" s="429" t="s">
        <v>658</v>
      </c>
      <c r="D211" s="458" t="s">
        <v>151</v>
      </c>
      <c r="E211" s="419">
        <v>6500007595</v>
      </c>
      <c r="F211" s="387">
        <v>45820</v>
      </c>
      <c r="G211" s="380" t="s">
        <v>55</v>
      </c>
      <c r="H211" s="380">
        <v>8</v>
      </c>
      <c r="I211" s="388">
        <v>448000</v>
      </c>
      <c r="J211" s="380">
        <v>1</v>
      </c>
      <c r="K211" s="389">
        <f t="shared" si="7"/>
        <v>448000</v>
      </c>
      <c r="L211" s="381">
        <v>45748</v>
      </c>
      <c r="M211" s="381">
        <v>46112</v>
      </c>
      <c r="N211" s="663"/>
      <c r="O211" s="680"/>
      <c r="P211" s="363" t="s">
        <v>19</v>
      </c>
      <c r="Q211" s="380" t="s">
        <v>3</v>
      </c>
      <c r="R211" s="380"/>
      <c r="S211" s="390" t="s">
        <v>631</v>
      </c>
      <c r="T211" s="363" t="s">
        <v>939</v>
      </c>
      <c r="U211" s="363"/>
      <c r="V211" s="363"/>
      <c r="W211" s="363"/>
      <c r="X211" s="363"/>
      <c r="Y211" s="363"/>
      <c r="Z211" s="363"/>
      <c r="AA211" s="363"/>
      <c r="AB211" s="363"/>
      <c r="AC211" s="363"/>
      <c r="AD211" s="363"/>
      <c r="AE211" s="363" t="s">
        <v>507</v>
      </c>
      <c r="AF211" s="380" t="s">
        <v>63</v>
      </c>
      <c r="AG211" s="380">
        <v>2</v>
      </c>
      <c r="AH211" s="363" t="s">
        <v>1028</v>
      </c>
    </row>
    <row r="212" spans="2:34" ht="14.4" hidden="1" x14ac:dyDescent="0.3">
      <c r="B212" s="380" t="s">
        <v>14</v>
      </c>
      <c r="C212" s="429" t="s">
        <v>544</v>
      </c>
      <c r="D212" s="458" t="s">
        <v>1029</v>
      </c>
      <c r="E212" s="419">
        <v>1250008989</v>
      </c>
      <c r="F212" s="387">
        <v>45798</v>
      </c>
      <c r="G212" s="380" t="s">
        <v>55</v>
      </c>
      <c r="H212" s="380">
        <v>1</v>
      </c>
      <c r="I212" s="388">
        <v>130002</v>
      </c>
      <c r="J212" s="380">
        <v>3</v>
      </c>
      <c r="K212" s="389">
        <f t="shared" si="7"/>
        <v>43334</v>
      </c>
      <c r="L212" s="381">
        <v>45778</v>
      </c>
      <c r="M212" s="381">
        <v>46142</v>
      </c>
      <c r="N212" s="663"/>
      <c r="O212" s="680"/>
      <c r="P212" s="363" t="s">
        <v>19</v>
      </c>
      <c r="Q212" s="380" t="s">
        <v>5</v>
      </c>
      <c r="R212" s="380"/>
      <c r="S212" s="390" t="s">
        <v>343</v>
      </c>
      <c r="T212" s="363" t="s">
        <v>1030</v>
      </c>
      <c r="U212" s="390" t="s">
        <v>345</v>
      </c>
      <c r="V212" s="363" t="s">
        <v>395</v>
      </c>
      <c r="W212" s="390" t="s">
        <v>347</v>
      </c>
      <c r="X212" s="363" t="s">
        <v>443</v>
      </c>
      <c r="Y212" s="363"/>
      <c r="Z212" s="363"/>
      <c r="AA212" s="363"/>
      <c r="AB212" s="363"/>
      <c r="AC212" s="363"/>
      <c r="AD212" s="363"/>
      <c r="AE212" s="363" t="s">
        <v>551</v>
      </c>
      <c r="AF212" s="380" t="s">
        <v>207</v>
      </c>
      <c r="AG212" s="380">
        <v>3</v>
      </c>
      <c r="AH212" s="363" t="s">
        <v>667</v>
      </c>
    </row>
    <row r="213" spans="2:34" ht="14.4" hidden="1" x14ac:dyDescent="0.3">
      <c r="B213" s="380" t="s">
        <v>14</v>
      </c>
      <c r="C213" s="429" t="s">
        <v>685</v>
      </c>
      <c r="D213" s="458" t="s">
        <v>1031</v>
      </c>
      <c r="E213" s="419">
        <v>4512760492</v>
      </c>
      <c r="F213" s="387">
        <v>45826</v>
      </c>
      <c r="G213" s="380" t="s">
        <v>55</v>
      </c>
      <c r="H213" s="380">
        <v>2</v>
      </c>
      <c r="I213" s="388">
        <v>92000</v>
      </c>
      <c r="J213" s="380">
        <v>3</v>
      </c>
      <c r="K213" s="391">
        <f t="shared" si="7"/>
        <v>30666.666666666668</v>
      </c>
      <c r="L213" s="381">
        <v>45809</v>
      </c>
      <c r="M213" s="381">
        <v>46173</v>
      </c>
      <c r="N213" s="663"/>
      <c r="O213" s="680"/>
      <c r="P213" s="363" t="s">
        <v>19</v>
      </c>
      <c r="Q213" s="380" t="s">
        <v>6</v>
      </c>
      <c r="R213" s="380"/>
      <c r="S213" s="390" t="s">
        <v>81</v>
      </c>
      <c r="T213" s="363" t="s">
        <v>582</v>
      </c>
      <c r="U213" s="390" t="s">
        <v>83</v>
      </c>
      <c r="V213" s="363" t="s">
        <v>432</v>
      </c>
      <c r="W213" s="390" t="s">
        <v>404</v>
      </c>
      <c r="X213" s="363" t="s">
        <v>1718</v>
      </c>
      <c r="Y213" s="363"/>
      <c r="Z213" s="363"/>
      <c r="AA213" s="363"/>
      <c r="AB213" s="363"/>
      <c r="AC213" s="363"/>
      <c r="AD213" s="363"/>
      <c r="AE213" s="363" t="s">
        <v>478</v>
      </c>
      <c r="AF213" s="380" t="s">
        <v>63</v>
      </c>
      <c r="AG213" s="380">
        <v>3</v>
      </c>
      <c r="AH213" s="363" t="s">
        <v>667</v>
      </c>
    </row>
    <row r="214" spans="2:34" ht="14.4" hidden="1" x14ac:dyDescent="0.3">
      <c r="B214" s="380" t="s">
        <v>14</v>
      </c>
      <c r="C214" s="429" t="s">
        <v>1032</v>
      </c>
      <c r="D214" s="458" t="s">
        <v>693</v>
      </c>
      <c r="E214" s="419">
        <v>3430061224</v>
      </c>
      <c r="F214" s="387">
        <v>45800</v>
      </c>
      <c r="G214" s="380" t="s">
        <v>55</v>
      </c>
      <c r="H214" s="380">
        <v>10</v>
      </c>
      <c r="I214" s="388">
        <v>582120</v>
      </c>
      <c r="J214" s="380">
        <v>3</v>
      </c>
      <c r="K214" s="389">
        <f t="shared" si="7"/>
        <v>194040</v>
      </c>
      <c r="L214" s="381">
        <v>45748</v>
      </c>
      <c r="M214" s="381">
        <v>46112</v>
      </c>
      <c r="N214" s="663"/>
      <c r="O214" s="680"/>
      <c r="P214" s="363" t="s">
        <v>19</v>
      </c>
      <c r="Q214" s="380" t="s">
        <v>5</v>
      </c>
      <c r="R214" s="380"/>
      <c r="S214" s="394" t="s">
        <v>357</v>
      </c>
      <c r="T214" s="363" t="s">
        <v>1033</v>
      </c>
      <c r="U214" s="390" t="s">
        <v>665</v>
      </c>
      <c r="V214" s="363" t="s">
        <v>1034</v>
      </c>
      <c r="W214" s="390" t="s">
        <v>361</v>
      </c>
      <c r="X214" s="363" t="s">
        <v>782</v>
      </c>
      <c r="Y214" s="363"/>
      <c r="Z214" s="363"/>
      <c r="AA214" s="363"/>
      <c r="AB214" s="363"/>
      <c r="AC214" s="363"/>
      <c r="AD214" s="363"/>
      <c r="AE214" s="363" t="s">
        <v>128</v>
      </c>
      <c r="AF214" s="380" t="s">
        <v>129</v>
      </c>
      <c r="AG214" s="380">
        <v>2</v>
      </c>
      <c r="AH214" s="430" t="s">
        <v>1035</v>
      </c>
    </row>
    <row r="215" spans="2:34" ht="14.4" hidden="1" x14ac:dyDescent="0.3">
      <c r="B215" s="380" t="s">
        <v>14</v>
      </c>
      <c r="C215" s="429" t="s">
        <v>1032</v>
      </c>
      <c r="D215" s="458" t="s">
        <v>1036</v>
      </c>
      <c r="E215" s="419">
        <v>4430017625</v>
      </c>
      <c r="F215" s="387">
        <v>45829</v>
      </c>
      <c r="G215" s="380" t="s">
        <v>55</v>
      </c>
      <c r="H215" s="380">
        <v>3</v>
      </c>
      <c r="I215" s="388">
        <v>350000</v>
      </c>
      <c r="J215" s="380">
        <v>2</v>
      </c>
      <c r="K215" s="389">
        <f t="shared" si="7"/>
        <v>175000</v>
      </c>
      <c r="L215" s="381">
        <v>45839</v>
      </c>
      <c r="M215" s="381">
        <v>46203</v>
      </c>
      <c r="N215" s="663"/>
      <c r="O215" s="680"/>
      <c r="P215" s="363" t="s">
        <v>19</v>
      </c>
      <c r="Q215" s="380" t="s">
        <v>9</v>
      </c>
      <c r="R215" s="380"/>
      <c r="S215" s="390" t="s">
        <v>483</v>
      </c>
      <c r="T215" s="363" t="s">
        <v>423</v>
      </c>
      <c r="U215" s="390" t="s">
        <v>607</v>
      </c>
      <c r="V215" s="363" t="s">
        <v>1850</v>
      </c>
      <c r="W215" s="363"/>
      <c r="X215" s="363"/>
      <c r="Y215" s="363"/>
      <c r="Z215" s="363"/>
      <c r="AA215" s="363"/>
      <c r="AB215" s="363"/>
      <c r="AC215" s="363"/>
      <c r="AD215" s="363"/>
      <c r="AE215" s="363" t="s">
        <v>834</v>
      </c>
      <c r="AF215" s="380" t="s">
        <v>207</v>
      </c>
      <c r="AG215" s="380">
        <v>2</v>
      </c>
      <c r="AH215" s="430" t="s">
        <v>1035</v>
      </c>
    </row>
    <row r="216" spans="2:34" ht="14.4" hidden="1" x14ac:dyDescent="0.3">
      <c r="B216" s="380" t="s">
        <v>14</v>
      </c>
      <c r="C216" s="423" t="s">
        <v>595</v>
      </c>
      <c r="D216" s="418" t="s">
        <v>1000</v>
      </c>
      <c r="E216" s="462">
        <v>3110015090</v>
      </c>
      <c r="F216" s="387">
        <v>45792</v>
      </c>
      <c r="G216" s="380" t="s">
        <v>55</v>
      </c>
      <c r="H216" s="380">
        <v>10</v>
      </c>
      <c r="I216" s="388">
        <v>600000</v>
      </c>
      <c r="J216" s="380">
        <v>3</v>
      </c>
      <c r="K216" s="389">
        <f t="shared" si="7"/>
        <v>200000</v>
      </c>
      <c r="L216" s="381">
        <v>45778</v>
      </c>
      <c r="M216" s="381">
        <v>46142</v>
      </c>
      <c r="N216" s="663"/>
      <c r="O216" s="680"/>
      <c r="P216" s="363" t="s">
        <v>19</v>
      </c>
      <c r="Q216" s="380" t="s">
        <v>6</v>
      </c>
      <c r="R216" s="380"/>
      <c r="S216" s="390" t="s">
        <v>343</v>
      </c>
      <c r="T216" s="363" t="s">
        <v>394</v>
      </c>
      <c r="U216" s="390" t="s">
        <v>345</v>
      </c>
      <c r="V216" s="363" t="s">
        <v>1001</v>
      </c>
      <c r="W216" s="390" t="s">
        <v>347</v>
      </c>
      <c r="X216" s="363" t="s">
        <v>114</v>
      </c>
      <c r="Y216" s="363"/>
      <c r="Z216" s="363"/>
      <c r="AA216" s="363"/>
      <c r="AB216" s="363"/>
      <c r="AC216" s="363"/>
      <c r="AD216" s="363"/>
      <c r="AE216" s="363" t="s">
        <v>507</v>
      </c>
      <c r="AF216" s="380" t="s">
        <v>63</v>
      </c>
      <c r="AG216" s="380">
        <v>3</v>
      </c>
      <c r="AH216" s="363" t="s">
        <v>1037</v>
      </c>
    </row>
    <row r="217" spans="2:34" ht="14.4" hidden="1" x14ac:dyDescent="0.3">
      <c r="B217" s="380" t="s">
        <v>14</v>
      </c>
      <c r="C217" s="412" t="s">
        <v>614</v>
      </c>
      <c r="D217" s="463" t="s">
        <v>1016</v>
      </c>
      <c r="E217" s="414" t="s">
        <v>1038</v>
      </c>
      <c r="F217" s="415">
        <v>45810</v>
      </c>
      <c r="G217" s="380" t="s">
        <v>55</v>
      </c>
      <c r="H217" s="380">
        <v>12</v>
      </c>
      <c r="I217" s="388">
        <f>76440*12</f>
        <v>917280</v>
      </c>
      <c r="J217" s="380">
        <v>3</v>
      </c>
      <c r="K217" s="389"/>
      <c r="L217" s="381">
        <v>45809</v>
      </c>
      <c r="M217" s="381">
        <v>46173</v>
      </c>
      <c r="N217" s="663"/>
      <c r="O217" s="680"/>
      <c r="P217" s="363" t="s">
        <v>19</v>
      </c>
      <c r="Q217" s="380" t="s">
        <v>9</v>
      </c>
      <c r="R217" s="380"/>
      <c r="S217" s="390" t="s">
        <v>81</v>
      </c>
      <c r="T217" s="363" t="s">
        <v>1039</v>
      </c>
      <c r="U217" s="390" t="s">
        <v>83</v>
      </c>
      <c r="V217" s="363" t="s">
        <v>441</v>
      </c>
      <c r="W217" s="390" t="s">
        <v>404</v>
      </c>
      <c r="X217" s="363" t="s">
        <v>1849</v>
      </c>
      <c r="Y217" s="363"/>
      <c r="Z217" s="363"/>
      <c r="AA217" s="363"/>
      <c r="AB217" s="363"/>
      <c r="AC217" s="363"/>
      <c r="AD217" s="363"/>
      <c r="AE217" s="363" t="s">
        <v>619</v>
      </c>
      <c r="AF217" s="380" t="s">
        <v>63</v>
      </c>
      <c r="AG217" s="380">
        <v>3</v>
      </c>
      <c r="AH217" s="431" t="s">
        <v>1040</v>
      </c>
    </row>
    <row r="218" spans="2:34" ht="14.4" hidden="1" x14ac:dyDescent="0.3">
      <c r="B218" s="380" t="s">
        <v>14</v>
      </c>
      <c r="C218" s="409" t="s">
        <v>1041</v>
      </c>
      <c r="D218" s="434" t="s">
        <v>1016</v>
      </c>
      <c r="E218" s="419">
        <v>4220019956</v>
      </c>
      <c r="F218" s="387">
        <v>45802</v>
      </c>
      <c r="G218" s="380" t="s">
        <v>55</v>
      </c>
      <c r="H218" s="380">
        <v>3</v>
      </c>
      <c r="I218" s="388">
        <v>218592</v>
      </c>
      <c r="J218" s="380">
        <v>3</v>
      </c>
      <c r="K218" s="389">
        <f>I218/J218</f>
        <v>72864</v>
      </c>
      <c r="L218" s="381">
        <v>45748</v>
      </c>
      <c r="M218" s="381">
        <v>46112</v>
      </c>
      <c r="N218" s="663"/>
      <c r="O218" s="680"/>
      <c r="P218" s="363" t="s">
        <v>19</v>
      </c>
      <c r="Q218" s="380" t="s">
        <v>3</v>
      </c>
      <c r="R218" s="380"/>
      <c r="S218" s="390" t="s">
        <v>357</v>
      </c>
      <c r="T218" s="363" t="s">
        <v>806</v>
      </c>
      <c r="U218" s="390" t="s">
        <v>665</v>
      </c>
      <c r="V218" s="363" t="s">
        <v>191</v>
      </c>
      <c r="W218" s="390" t="s">
        <v>361</v>
      </c>
      <c r="X218" s="363" t="s">
        <v>1042</v>
      </c>
      <c r="Y218" s="363"/>
      <c r="Z218" s="363"/>
      <c r="AA218" s="363"/>
      <c r="AB218" s="363"/>
      <c r="AC218" s="363"/>
      <c r="AD218" s="363"/>
      <c r="AE218" s="363" t="s">
        <v>619</v>
      </c>
      <c r="AF218" s="380" t="s">
        <v>63</v>
      </c>
      <c r="AG218" s="380">
        <v>3</v>
      </c>
      <c r="AH218" s="363" t="s">
        <v>667</v>
      </c>
    </row>
    <row r="219" spans="2:34" ht="14.4" hidden="1" x14ac:dyDescent="0.3">
      <c r="B219" s="380" t="s">
        <v>14</v>
      </c>
      <c r="C219" s="430" t="s">
        <v>1043</v>
      </c>
      <c r="D219" s="445" t="s">
        <v>151</v>
      </c>
      <c r="E219" s="419">
        <v>8176740</v>
      </c>
      <c r="F219" s="387">
        <v>45832</v>
      </c>
      <c r="G219" s="380" t="s">
        <v>55</v>
      </c>
      <c r="H219" s="380">
        <v>2</v>
      </c>
      <c r="I219" s="388">
        <v>155000</v>
      </c>
      <c r="J219" s="380">
        <v>3</v>
      </c>
      <c r="K219" s="389">
        <f>I219/J219</f>
        <v>51666.666666666664</v>
      </c>
      <c r="L219" s="381">
        <v>45901</v>
      </c>
      <c r="M219" s="381">
        <v>46265</v>
      </c>
      <c r="N219" s="663"/>
      <c r="O219" s="680"/>
      <c r="P219" s="363" t="s">
        <v>520</v>
      </c>
      <c r="Q219" s="380" t="s">
        <v>9</v>
      </c>
      <c r="R219" s="380"/>
      <c r="S219" s="390" t="s">
        <v>345</v>
      </c>
      <c r="T219" s="363" t="s">
        <v>147</v>
      </c>
      <c r="U219" s="390" t="s">
        <v>347</v>
      </c>
      <c r="V219" s="363" t="s">
        <v>1044</v>
      </c>
      <c r="W219" s="363" t="s">
        <v>348</v>
      </c>
      <c r="X219" s="363" t="s">
        <v>1045</v>
      </c>
      <c r="Y219" s="363"/>
      <c r="Z219" s="363"/>
      <c r="AA219" s="363"/>
      <c r="AB219" s="363"/>
      <c r="AC219" s="363"/>
      <c r="AD219" s="363"/>
      <c r="AE219" s="363" t="s">
        <v>478</v>
      </c>
      <c r="AF219" s="380" t="s">
        <v>63</v>
      </c>
      <c r="AG219" s="380">
        <v>3</v>
      </c>
      <c r="AH219" s="430" t="s">
        <v>1046</v>
      </c>
    </row>
    <row r="220" spans="2:34" ht="14.4" hidden="1" x14ac:dyDescent="0.3">
      <c r="B220" s="380" t="s">
        <v>14</v>
      </c>
      <c r="C220" s="412" t="s">
        <v>614</v>
      </c>
      <c r="D220" s="463" t="s">
        <v>1016</v>
      </c>
      <c r="E220" s="414" t="s">
        <v>1047</v>
      </c>
      <c r="F220" s="415">
        <v>45831</v>
      </c>
      <c r="G220" s="380" t="s">
        <v>55</v>
      </c>
      <c r="H220" s="380">
        <v>7</v>
      </c>
      <c r="I220" s="388">
        <v>535080</v>
      </c>
      <c r="J220" s="380">
        <v>3</v>
      </c>
      <c r="K220" s="389"/>
      <c r="L220" s="381">
        <v>45809</v>
      </c>
      <c r="M220" s="381">
        <v>46173</v>
      </c>
      <c r="N220" s="663"/>
      <c r="O220" s="680"/>
      <c r="P220" s="363" t="s">
        <v>19</v>
      </c>
      <c r="Q220" s="380" t="s">
        <v>9</v>
      </c>
      <c r="R220" s="380"/>
      <c r="S220" s="390" t="s">
        <v>81</v>
      </c>
      <c r="T220" s="363" t="s">
        <v>819</v>
      </c>
      <c r="U220" s="390" t="s">
        <v>83</v>
      </c>
      <c r="V220" s="363" t="s">
        <v>903</v>
      </c>
      <c r="W220" s="390" t="s">
        <v>404</v>
      </c>
      <c r="X220" s="363" t="s">
        <v>1854</v>
      </c>
      <c r="Y220" s="363"/>
      <c r="Z220" s="363"/>
      <c r="AA220" s="363"/>
      <c r="AB220" s="363"/>
      <c r="AC220" s="363"/>
      <c r="AD220" s="363"/>
      <c r="AE220" s="363" t="s">
        <v>619</v>
      </c>
      <c r="AF220" s="380" t="s">
        <v>63</v>
      </c>
      <c r="AG220" s="380">
        <v>3</v>
      </c>
      <c r="AH220" s="363" t="s">
        <v>1048</v>
      </c>
    </row>
    <row r="221" spans="2:34" ht="14.4" hidden="1" x14ac:dyDescent="0.3">
      <c r="B221" s="380" t="s">
        <v>14</v>
      </c>
      <c r="C221" s="409" t="s">
        <v>1049</v>
      </c>
      <c r="D221" s="423" t="s">
        <v>447</v>
      </c>
      <c r="E221" s="464">
        <v>3300013521</v>
      </c>
      <c r="F221" s="387">
        <v>45832</v>
      </c>
      <c r="G221" s="380" t="s">
        <v>55</v>
      </c>
      <c r="H221" s="380">
        <v>1</v>
      </c>
      <c r="I221" s="388">
        <v>109500</v>
      </c>
      <c r="J221" s="380">
        <v>4</v>
      </c>
      <c r="K221" s="389">
        <f>I221/J221</f>
        <v>27375</v>
      </c>
      <c r="L221" s="381">
        <v>45778</v>
      </c>
      <c r="M221" s="381">
        <v>46142</v>
      </c>
      <c r="N221" s="663"/>
      <c r="O221" s="680"/>
      <c r="P221" s="363" t="s">
        <v>19</v>
      </c>
      <c r="Q221" s="380" t="s">
        <v>5</v>
      </c>
      <c r="R221" s="380"/>
      <c r="S221" s="390" t="s">
        <v>266</v>
      </c>
      <c r="T221" s="363" t="s">
        <v>145</v>
      </c>
      <c r="U221" s="390" t="s">
        <v>267</v>
      </c>
      <c r="V221" s="363" t="s">
        <v>452</v>
      </c>
      <c r="W221" s="390" t="s">
        <v>269</v>
      </c>
      <c r="X221" s="363" t="s">
        <v>320</v>
      </c>
      <c r="Y221" s="390" t="s">
        <v>442</v>
      </c>
      <c r="Z221" s="363" t="s">
        <v>1050</v>
      </c>
      <c r="AA221" s="363"/>
      <c r="AB221" s="363"/>
      <c r="AC221" s="363"/>
      <c r="AD221" s="363"/>
      <c r="AE221" s="363" t="s">
        <v>281</v>
      </c>
      <c r="AF221" s="380" t="s">
        <v>97</v>
      </c>
      <c r="AG221" s="380" t="s">
        <v>494</v>
      </c>
      <c r="AH221" s="363" t="s">
        <v>667</v>
      </c>
    </row>
    <row r="222" spans="2:34" ht="14.4" hidden="1" x14ac:dyDescent="0.3">
      <c r="B222" s="380" t="s">
        <v>14</v>
      </c>
      <c r="C222" s="409" t="s">
        <v>195</v>
      </c>
      <c r="D222" s="423" t="s">
        <v>1051</v>
      </c>
      <c r="E222" s="464" t="s">
        <v>1052</v>
      </c>
      <c r="F222" s="387">
        <v>45834</v>
      </c>
      <c r="G222" s="380" t="s">
        <v>55</v>
      </c>
      <c r="H222" s="380">
        <v>6</v>
      </c>
      <c r="I222" s="388">
        <v>497859.84000000003</v>
      </c>
      <c r="J222" s="380">
        <v>3</v>
      </c>
      <c r="K222" s="389">
        <f>I222/J222</f>
        <v>165953.28</v>
      </c>
      <c r="L222" s="381">
        <v>45834</v>
      </c>
      <c r="M222" s="381">
        <v>46198</v>
      </c>
      <c r="N222" s="663"/>
      <c r="O222" s="680"/>
      <c r="P222" s="363" t="s">
        <v>19</v>
      </c>
      <c r="Q222" s="380" t="s">
        <v>9</v>
      </c>
      <c r="R222" s="380"/>
      <c r="S222" s="390" t="s">
        <v>1053</v>
      </c>
      <c r="T222" s="363" t="s">
        <v>1054</v>
      </c>
      <c r="U222" s="390" t="s">
        <v>1055</v>
      </c>
      <c r="V222" s="363" t="s">
        <v>1056</v>
      </c>
      <c r="W222" s="390" t="s">
        <v>1057</v>
      </c>
      <c r="X222" s="363" t="s">
        <v>1855</v>
      </c>
      <c r="Y222" s="363"/>
      <c r="Z222" s="363"/>
      <c r="AA222" s="363"/>
      <c r="AB222" s="363"/>
      <c r="AC222" s="363"/>
      <c r="AD222" s="363"/>
      <c r="AE222" s="363" t="s">
        <v>281</v>
      </c>
      <c r="AF222" s="380" t="s">
        <v>97</v>
      </c>
      <c r="AG222" s="380">
        <v>3</v>
      </c>
      <c r="AH222" s="363" t="s">
        <v>667</v>
      </c>
    </row>
    <row r="223" spans="2:34" ht="14.4" hidden="1" x14ac:dyDescent="0.3">
      <c r="B223" s="380" t="s">
        <v>14</v>
      </c>
      <c r="C223" s="412" t="s">
        <v>614</v>
      </c>
      <c r="D223" s="437" t="s">
        <v>447</v>
      </c>
      <c r="E223" s="465" t="s">
        <v>1058</v>
      </c>
      <c r="F223" s="387">
        <v>45821</v>
      </c>
      <c r="G223" s="380" t="s">
        <v>55</v>
      </c>
      <c r="H223" s="380">
        <v>15</v>
      </c>
      <c r="I223" s="388">
        <v>1146600</v>
      </c>
      <c r="J223" s="380">
        <v>3</v>
      </c>
      <c r="K223" s="389"/>
      <c r="L223" s="381">
        <v>45809</v>
      </c>
      <c r="M223" s="381">
        <v>46173</v>
      </c>
      <c r="N223" s="663"/>
      <c r="O223" s="680"/>
      <c r="P223" s="363" t="s">
        <v>19</v>
      </c>
      <c r="Q223" s="380" t="s">
        <v>6</v>
      </c>
      <c r="R223" s="380"/>
      <c r="S223" s="390" t="s">
        <v>81</v>
      </c>
      <c r="T223" s="363" t="s">
        <v>811</v>
      </c>
      <c r="U223" s="390" t="s">
        <v>83</v>
      </c>
      <c r="V223" s="363" t="s">
        <v>1059</v>
      </c>
      <c r="W223" s="390" t="s">
        <v>404</v>
      </c>
      <c r="X223" s="363" t="s">
        <v>688</v>
      </c>
      <c r="Y223" s="363"/>
      <c r="Z223" s="363"/>
      <c r="AA223" s="363"/>
      <c r="AB223" s="363"/>
      <c r="AC223" s="363"/>
      <c r="AD223" s="363"/>
      <c r="AE223" s="363" t="s">
        <v>281</v>
      </c>
      <c r="AF223" s="380" t="s">
        <v>97</v>
      </c>
      <c r="AG223" s="380">
        <v>3</v>
      </c>
      <c r="AH223" s="363" t="s">
        <v>1060</v>
      </c>
    </row>
    <row r="224" spans="2:34" ht="15" hidden="1" customHeight="1" x14ac:dyDescent="0.3">
      <c r="B224" s="380" t="s">
        <v>14</v>
      </c>
      <c r="C224" s="412" t="s">
        <v>789</v>
      </c>
      <c r="D224" s="437" t="s">
        <v>629</v>
      </c>
      <c r="E224" s="426">
        <v>8480224138</v>
      </c>
      <c r="F224" s="387">
        <v>45818</v>
      </c>
      <c r="G224" s="380" t="s">
        <v>55</v>
      </c>
      <c r="H224" s="380">
        <v>10</v>
      </c>
      <c r="I224" s="388">
        <v>764400</v>
      </c>
      <c r="J224" s="380">
        <v>3</v>
      </c>
      <c r="K224" s="389"/>
      <c r="L224" s="381">
        <v>45809</v>
      </c>
      <c r="M224" s="381">
        <v>46173</v>
      </c>
      <c r="N224" s="663"/>
      <c r="O224" s="680"/>
      <c r="P224" s="363" t="s">
        <v>19</v>
      </c>
      <c r="Q224" s="380" t="s">
        <v>6</v>
      </c>
      <c r="R224" s="380"/>
      <c r="S224" s="390" t="s">
        <v>81</v>
      </c>
      <c r="T224" s="363" t="s">
        <v>492</v>
      </c>
      <c r="U224" s="390" t="s">
        <v>83</v>
      </c>
      <c r="V224" s="363" t="s">
        <v>346</v>
      </c>
      <c r="W224" s="390" t="s">
        <v>404</v>
      </c>
      <c r="X224" s="363" t="s">
        <v>1719</v>
      </c>
      <c r="Y224" s="363"/>
      <c r="Z224" s="363"/>
      <c r="AA224" s="363"/>
      <c r="AB224" s="363"/>
      <c r="AC224" s="363"/>
      <c r="AD224" s="363"/>
      <c r="AE224" s="363" t="s">
        <v>485</v>
      </c>
      <c r="AF224" s="380" t="s">
        <v>63</v>
      </c>
      <c r="AG224" s="380">
        <v>3</v>
      </c>
      <c r="AH224" s="363" t="s">
        <v>1060</v>
      </c>
    </row>
    <row r="225" spans="2:34" ht="14.4" hidden="1" x14ac:dyDescent="0.3">
      <c r="B225" s="380" t="s">
        <v>14</v>
      </c>
      <c r="C225" s="409" t="s">
        <v>1061</v>
      </c>
      <c r="D225" s="423" t="s">
        <v>841</v>
      </c>
      <c r="E225" s="464">
        <v>326050136</v>
      </c>
      <c r="F225" s="387">
        <v>45831</v>
      </c>
      <c r="G225" s="380" t="s">
        <v>55</v>
      </c>
      <c r="H225" s="380">
        <v>1</v>
      </c>
      <c r="I225" s="388">
        <v>90000</v>
      </c>
      <c r="J225" s="380">
        <v>3</v>
      </c>
      <c r="K225" s="389">
        <f t="shared" ref="K225:K232" si="8">I225/J225</f>
        <v>30000</v>
      </c>
      <c r="L225" s="381">
        <v>45809</v>
      </c>
      <c r="M225" s="381">
        <v>46173</v>
      </c>
      <c r="N225" s="663"/>
      <c r="O225" s="680"/>
      <c r="P225" s="363" t="s">
        <v>19</v>
      </c>
      <c r="Q225" s="380" t="s">
        <v>6</v>
      </c>
      <c r="R225" s="380" t="s">
        <v>1</v>
      </c>
      <c r="S225" s="390" t="s">
        <v>81</v>
      </c>
      <c r="T225" s="363" t="s">
        <v>431</v>
      </c>
      <c r="U225" s="390" t="s">
        <v>83</v>
      </c>
      <c r="V225" s="363" t="s">
        <v>765</v>
      </c>
      <c r="W225" s="390" t="s">
        <v>404</v>
      </c>
      <c r="X225" s="363" t="s">
        <v>820</v>
      </c>
      <c r="Y225" s="363"/>
      <c r="Z225" s="363"/>
      <c r="AA225" s="363"/>
      <c r="AB225" s="363"/>
      <c r="AC225" s="363"/>
      <c r="AD225" s="363"/>
      <c r="AE225" s="363" t="s">
        <v>485</v>
      </c>
      <c r="AF225" s="380" t="s">
        <v>63</v>
      </c>
      <c r="AG225" s="380">
        <v>3</v>
      </c>
      <c r="AH225" s="363" t="s">
        <v>667</v>
      </c>
    </row>
    <row r="226" spans="2:34" ht="14.4" hidden="1" x14ac:dyDescent="0.3">
      <c r="B226" s="380" t="s">
        <v>14</v>
      </c>
      <c r="C226" s="409" t="s">
        <v>1062</v>
      </c>
      <c r="D226" s="434" t="s">
        <v>388</v>
      </c>
      <c r="E226" s="419">
        <v>3006483602</v>
      </c>
      <c r="F226" s="387">
        <v>45840</v>
      </c>
      <c r="G226" s="380" t="s">
        <v>55</v>
      </c>
      <c r="H226" s="380">
        <v>1</v>
      </c>
      <c r="I226" s="388">
        <v>87500</v>
      </c>
      <c r="J226" s="380">
        <v>2</v>
      </c>
      <c r="K226" s="389">
        <f t="shared" si="8"/>
        <v>43750</v>
      </c>
      <c r="L226" s="381">
        <v>45839</v>
      </c>
      <c r="M226" s="466">
        <v>46203</v>
      </c>
      <c r="N226" s="665"/>
      <c r="O226" s="682"/>
      <c r="P226" s="363" t="s">
        <v>19</v>
      </c>
      <c r="Q226" s="380" t="s">
        <v>9</v>
      </c>
      <c r="R226" s="380"/>
      <c r="S226" s="390" t="s">
        <v>483</v>
      </c>
      <c r="T226" s="363" t="s">
        <v>709</v>
      </c>
      <c r="U226" s="390" t="s">
        <v>607</v>
      </c>
      <c r="V226" s="363" t="s">
        <v>1856</v>
      </c>
      <c r="W226" s="363"/>
      <c r="X226" s="363"/>
      <c r="Y226" s="363"/>
      <c r="Z226" s="363"/>
      <c r="AA226" s="363"/>
      <c r="AB226" s="363"/>
      <c r="AC226" s="363"/>
      <c r="AD226" s="363"/>
      <c r="AE226" s="363" t="s">
        <v>619</v>
      </c>
      <c r="AF226" s="380" t="s">
        <v>63</v>
      </c>
      <c r="AG226" s="380">
        <v>2</v>
      </c>
      <c r="AH226" s="363" t="s">
        <v>799</v>
      </c>
    </row>
    <row r="227" spans="2:34" ht="14.4" hidden="1" x14ac:dyDescent="0.3">
      <c r="B227" s="380" t="s">
        <v>14</v>
      </c>
      <c r="C227" s="430" t="s">
        <v>1063</v>
      </c>
      <c r="D227" s="445" t="s">
        <v>151</v>
      </c>
      <c r="E227" s="419" t="s">
        <v>1064</v>
      </c>
      <c r="F227" s="387">
        <v>45723</v>
      </c>
      <c r="G227" s="380" t="s">
        <v>55</v>
      </c>
      <c r="H227" s="380">
        <v>4</v>
      </c>
      <c r="I227" s="388">
        <v>340000</v>
      </c>
      <c r="J227" s="380">
        <v>3</v>
      </c>
      <c r="K227" s="389">
        <f t="shared" si="8"/>
        <v>113333.33333333333</v>
      </c>
      <c r="L227" s="381">
        <v>45839</v>
      </c>
      <c r="M227" s="466">
        <v>46203</v>
      </c>
      <c r="N227" s="665">
        <v>154516</v>
      </c>
      <c r="O227" s="682">
        <v>4897</v>
      </c>
      <c r="P227" s="363" t="s">
        <v>19</v>
      </c>
      <c r="Q227" s="380" t="s">
        <v>9</v>
      </c>
      <c r="R227" s="380" t="s">
        <v>1</v>
      </c>
      <c r="S227" s="390" t="s">
        <v>190</v>
      </c>
      <c r="T227" s="363" t="s">
        <v>886</v>
      </c>
      <c r="U227" s="390" t="s">
        <v>192</v>
      </c>
      <c r="V227" s="363" t="s">
        <v>1065</v>
      </c>
      <c r="W227" s="390" t="s">
        <v>194</v>
      </c>
      <c r="X227" s="363" t="s">
        <v>1515</v>
      </c>
      <c r="Y227" s="363"/>
      <c r="Z227" s="363"/>
      <c r="AA227" s="363"/>
      <c r="AB227" s="363"/>
      <c r="AC227" s="363"/>
      <c r="AD227" s="363"/>
      <c r="AE227" s="363" t="s">
        <v>507</v>
      </c>
      <c r="AF227" s="380" t="s">
        <v>63</v>
      </c>
      <c r="AG227" s="380">
        <v>3</v>
      </c>
      <c r="AH227" s="363" t="s">
        <v>1066</v>
      </c>
    </row>
    <row r="228" spans="2:34" ht="14.4" hidden="1" x14ac:dyDescent="0.3">
      <c r="B228" s="380" t="s">
        <v>14</v>
      </c>
      <c r="C228" s="412" t="s">
        <v>614</v>
      </c>
      <c r="D228" s="444" t="s">
        <v>447</v>
      </c>
      <c r="E228" s="467" t="s">
        <v>1067</v>
      </c>
      <c r="F228" s="387">
        <v>45827</v>
      </c>
      <c r="G228" s="380" t="s">
        <v>55</v>
      </c>
      <c r="H228" s="380">
        <v>1</v>
      </c>
      <c r="I228" s="388">
        <v>76440</v>
      </c>
      <c r="J228" s="380">
        <v>3</v>
      </c>
      <c r="K228" s="389">
        <f t="shared" si="8"/>
        <v>25480</v>
      </c>
      <c r="L228" s="381">
        <v>45809</v>
      </c>
      <c r="M228" s="466">
        <v>46173</v>
      </c>
      <c r="N228" s="665"/>
      <c r="O228" s="682"/>
      <c r="P228" s="363" t="s">
        <v>19</v>
      </c>
      <c r="Q228" s="380" t="s">
        <v>6</v>
      </c>
      <c r="R228" s="380"/>
      <c r="S228" s="394" t="s">
        <v>81</v>
      </c>
      <c r="T228" s="363" t="s">
        <v>431</v>
      </c>
      <c r="U228" s="390" t="s">
        <v>83</v>
      </c>
      <c r="V228" s="363" t="s">
        <v>1059</v>
      </c>
      <c r="W228" s="390" t="s">
        <v>887</v>
      </c>
      <c r="X228" s="363" t="s">
        <v>712</v>
      </c>
      <c r="Y228" s="363"/>
      <c r="Z228" s="363"/>
      <c r="AA228" s="363"/>
      <c r="AB228" s="363"/>
      <c r="AC228" s="363"/>
      <c r="AD228" s="363"/>
      <c r="AE228" s="363" t="s">
        <v>281</v>
      </c>
      <c r="AF228" s="380" t="s">
        <v>97</v>
      </c>
      <c r="AG228" s="380">
        <v>3</v>
      </c>
      <c r="AH228" s="363" t="s">
        <v>1068</v>
      </c>
    </row>
    <row r="229" spans="2:34" ht="14.4" hidden="1" x14ac:dyDescent="0.3">
      <c r="B229" s="380" t="s">
        <v>14</v>
      </c>
      <c r="C229" s="409" t="s">
        <v>1069</v>
      </c>
      <c r="D229" s="445" t="s">
        <v>151</v>
      </c>
      <c r="E229" s="419">
        <v>4400012768</v>
      </c>
      <c r="F229" s="387">
        <v>45845</v>
      </c>
      <c r="G229" s="380" t="s">
        <v>55</v>
      </c>
      <c r="H229" s="380">
        <v>1</v>
      </c>
      <c r="I229" s="388">
        <v>46000</v>
      </c>
      <c r="J229" s="380">
        <v>3</v>
      </c>
      <c r="K229" s="389">
        <f t="shared" si="8"/>
        <v>15333.333333333334</v>
      </c>
      <c r="L229" s="381">
        <v>45839</v>
      </c>
      <c r="M229" s="381">
        <v>46203</v>
      </c>
      <c r="N229" s="663"/>
      <c r="O229" s="680"/>
      <c r="P229" s="363" t="s">
        <v>19</v>
      </c>
      <c r="Q229" s="380" t="s">
        <v>9</v>
      </c>
      <c r="R229" s="380"/>
      <c r="S229" s="390" t="s">
        <v>190</v>
      </c>
      <c r="T229" s="363" t="s">
        <v>611</v>
      </c>
      <c r="U229" s="390" t="s">
        <v>192</v>
      </c>
      <c r="V229" s="363" t="s">
        <v>430</v>
      </c>
      <c r="W229" s="390" t="s">
        <v>194</v>
      </c>
      <c r="X229" s="363" t="s">
        <v>1712</v>
      </c>
      <c r="Y229" s="363"/>
      <c r="Z229" s="363"/>
      <c r="AA229" s="363"/>
      <c r="AB229" s="363"/>
      <c r="AC229" s="363"/>
      <c r="AD229" s="363"/>
      <c r="AE229" s="363" t="s">
        <v>478</v>
      </c>
      <c r="AF229" s="380" t="s">
        <v>63</v>
      </c>
      <c r="AG229" s="380">
        <v>5</v>
      </c>
      <c r="AH229" s="363" t="s">
        <v>667</v>
      </c>
    </row>
    <row r="230" spans="2:34" ht="14.4" hidden="1" x14ac:dyDescent="0.3">
      <c r="B230" s="380" t="s">
        <v>14</v>
      </c>
      <c r="C230" s="409" t="s">
        <v>954</v>
      </c>
      <c r="D230" s="423" t="s">
        <v>1070</v>
      </c>
      <c r="E230" s="419">
        <v>4601465628</v>
      </c>
      <c r="F230" s="387">
        <v>45845</v>
      </c>
      <c r="G230" s="380" t="s">
        <v>55</v>
      </c>
      <c r="H230" s="380">
        <v>1</v>
      </c>
      <c r="I230" s="388">
        <v>85000</v>
      </c>
      <c r="J230" s="380">
        <v>1</v>
      </c>
      <c r="K230" s="389">
        <f t="shared" si="8"/>
        <v>85000</v>
      </c>
      <c r="L230" s="381">
        <v>45839</v>
      </c>
      <c r="M230" s="381">
        <v>46203</v>
      </c>
      <c r="N230" s="663"/>
      <c r="O230" s="680"/>
      <c r="P230" s="363" t="s">
        <v>19</v>
      </c>
      <c r="Q230" s="380" t="s">
        <v>9</v>
      </c>
      <c r="R230" s="380"/>
      <c r="S230" s="390" t="s">
        <v>1071</v>
      </c>
      <c r="T230" s="363" t="s">
        <v>618</v>
      </c>
      <c r="U230" s="363"/>
      <c r="V230" s="363"/>
      <c r="W230" s="363"/>
      <c r="X230" s="363"/>
      <c r="Y230" s="363"/>
      <c r="Z230" s="363"/>
      <c r="AA230" s="363"/>
      <c r="AB230" s="363"/>
      <c r="AC230" s="363"/>
      <c r="AD230" s="363"/>
      <c r="AE230" s="363" t="s">
        <v>478</v>
      </c>
      <c r="AF230" s="380" t="s">
        <v>63</v>
      </c>
      <c r="AG230" s="380">
        <v>3</v>
      </c>
      <c r="AH230" s="363" t="s">
        <v>667</v>
      </c>
    </row>
    <row r="231" spans="2:34" ht="14.4" hidden="1" x14ac:dyDescent="0.3">
      <c r="B231" s="380" t="s">
        <v>14</v>
      </c>
      <c r="C231" s="409" t="s">
        <v>954</v>
      </c>
      <c r="D231" s="423" t="s">
        <v>1072</v>
      </c>
      <c r="E231" s="419">
        <v>4601465566</v>
      </c>
      <c r="F231" s="387">
        <v>45845</v>
      </c>
      <c r="G231" s="380" t="s">
        <v>55</v>
      </c>
      <c r="H231" s="380">
        <v>1</v>
      </c>
      <c r="I231" s="388">
        <v>85000</v>
      </c>
      <c r="J231" s="380">
        <v>1</v>
      </c>
      <c r="K231" s="389">
        <f t="shared" si="8"/>
        <v>85000</v>
      </c>
      <c r="L231" s="381">
        <v>45839</v>
      </c>
      <c r="M231" s="381">
        <v>46203</v>
      </c>
      <c r="N231" s="663"/>
      <c r="O231" s="680"/>
      <c r="P231" s="363" t="s">
        <v>19</v>
      </c>
      <c r="Q231" s="380" t="s">
        <v>9</v>
      </c>
      <c r="R231" s="380"/>
      <c r="S231" s="390" t="s">
        <v>1071</v>
      </c>
      <c r="T231" s="363" t="s">
        <v>618</v>
      </c>
      <c r="U231" s="363"/>
      <c r="V231" s="363"/>
      <c r="W231" s="363"/>
      <c r="X231" s="363"/>
      <c r="Y231" s="363"/>
      <c r="Z231" s="363"/>
      <c r="AA231" s="363"/>
      <c r="AB231" s="363"/>
      <c r="AC231" s="363"/>
      <c r="AD231" s="363"/>
      <c r="AE231" s="363" t="s">
        <v>478</v>
      </c>
      <c r="AF231" s="380" t="s">
        <v>63</v>
      </c>
      <c r="AG231" s="380">
        <v>3</v>
      </c>
      <c r="AH231" s="363" t="s">
        <v>667</v>
      </c>
    </row>
    <row r="232" spans="2:34" ht="14.4" hidden="1" x14ac:dyDescent="0.3">
      <c r="B232" s="380" t="s">
        <v>14</v>
      </c>
      <c r="C232" s="409" t="s">
        <v>1073</v>
      </c>
      <c r="D232" s="423" t="s">
        <v>1074</v>
      </c>
      <c r="E232" s="468">
        <v>440000458</v>
      </c>
      <c r="F232" s="387">
        <v>45834</v>
      </c>
      <c r="G232" s="380" t="s">
        <v>55</v>
      </c>
      <c r="H232" s="380"/>
      <c r="I232" s="452">
        <v>243000</v>
      </c>
      <c r="J232" s="380">
        <v>2</v>
      </c>
      <c r="K232" s="389">
        <f t="shared" si="8"/>
        <v>121500</v>
      </c>
      <c r="L232" s="381">
        <v>45839</v>
      </c>
      <c r="M232" s="381">
        <v>46022</v>
      </c>
      <c r="N232" s="663"/>
      <c r="O232" s="680"/>
      <c r="P232" s="363" t="s">
        <v>520</v>
      </c>
      <c r="Q232" s="380" t="s">
        <v>11</v>
      </c>
      <c r="R232" s="380" t="s">
        <v>1</v>
      </c>
      <c r="S232" s="390" t="s">
        <v>168</v>
      </c>
      <c r="T232" s="363" t="s">
        <v>505</v>
      </c>
      <c r="U232" s="390" t="s">
        <v>228</v>
      </c>
      <c r="V232" s="363" t="s">
        <v>1075</v>
      </c>
      <c r="W232" s="363"/>
      <c r="X232" s="363"/>
      <c r="Y232" s="363"/>
      <c r="Z232" s="363"/>
      <c r="AA232" s="363"/>
      <c r="AB232" s="363"/>
      <c r="AC232" s="363"/>
      <c r="AD232" s="363"/>
      <c r="AE232" s="363" t="s">
        <v>551</v>
      </c>
      <c r="AF232" s="380" t="s">
        <v>207</v>
      </c>
      <c r="AG232" s="380">
        <v>2</v>
      </c>
      <c r="AH232" s="363" t="s">
        <v>1076</v>
      </c>
    </row>
    <row r="233" spans="2:34" ht="14.4" hidden="1" x14ac:dyDescent="0.3">
      <c r="B233" s="380" t="s">
        <v>14</v>
      </c>
      <c r="C233" s="409" t="s">
        <v>1073</v>
      </c>
      <c r="D233" s="423" t="s">
        <v>1074</v>
      </c>
      <c r="E233" s="468">
        <v>440000458</v>
      </c>
      <c r="F233" s="387">
        <v>45834</v>
      </c>
      <c r="G233" s="380" t="s">
        <v>55</v>
      </c>
      <c r="H233" s="380"/>
      <c r="I233" s="452">
        <v>518700</v>
      </c>
      <c r="J233" s="380">
        <v>3</v>
      </c>
      <c r="K233" s="389">
        <f>I233/2</f>
        <v>259350</v>
      </c>
      <c r="L233" s="381">
        <v>46023</v>
      </c>
      <c r="M233" s="381">
        <v>46387</v>
      </c>
      <c r="N233" s="663"/>
      <c r="O233" s="680"/>
      <c r="P233" s="363" t="s">
        <v>520</v>
      </c>
      <c r="Q233" s="380" t="s">
        <v>11</v>
      </c>
      <c r="R233" s="380" t="s">
        <v>1</v>
      </c>
      <c r="S233" s="390" t="s">
        <v>347</v>
      </c>
      <c r="T233" s="363" t="s">
        <v>1056</v>
      </c>
      <c r="U233" s="390" t="s">
        <v>348</v>
      </c>
      <c r="V233" s="363" t="s">
        <v>1942</v>
      </c>
      <c r="W233" s="363" t="s">
        <v>349</v>
      </c>
      <c r="X233" s="363"/>
      <c r="Y233" s="363"/>
      <c r="Z233" s="363"/>
      <c r="AA233" s="363"/>
      <c r="AB233" s="363"/>
      <c r="AC233" s="363"/>
      <c r="AD233" s="363"/>
      <c r="AE233" s="363" t="s">
        <v>551</v>
      </c>
      <c r="AF233" s="380" t="s">
        <v>207</v>
      </c>
      <c r="AG233" s="380">
        <v>3</v>
      </c>
      <c r="AH233" s="363" t="s">
        <v>1076</v>
      </c>
    </row>
    <row r="234" spans="2:34" ht="14.4" hidden="1" x14ac:dyDescent="0.3">
      <c r="B234" s="380" t="s">
        <v>14</v>
      </c>
      <c r="C234" s="409" t="s">
        <v>1073</v>
      </c>
      <c r="D234" s="423" t="s">
        <v>1074</v>
      </c>
      <c r="E234" s="468">
        <v>440000458</v>
      </c>
      <c r="F234" s="387">
        <v>45834</v>
      </c>
      <c r="G234" s="380" t="s">
        <v>55</v>
      </c>
      <c r="H234" s="380">
        <v>3</v>
      </c>
      <c r="I234" s="452">
        <v>518700</v>
      </c>
      <c r="J234" s="380">
        <v>3</v>
      </c>
      <c r="K234" s="389">
        <f>I234/2</f>
        <v>259350</v>
      </c>
      <c r="L234" s="381">
        <v>46388</v>
      </c>
      <c r="M234" s="381">
        <v>46752</v>
      </c>
      <c r="N234" s="663"/>
      <c r="O234" s="680"/>
      <c r="P234" s="363" t="s">
        <v>520</v>
      </c>
      <c r="Q234" s="380" t="s">
        <v>11</v>
      </c>
      <c r="R234" s="380" t="s">
        <v>1</v>
      </c>
      <c r="S234" s="363" t="s">
        <v>738</v>
      </c>
      <c r="T234" s="363"/>
      <c r="U234" s="363" t="s">
        <v>1077</v>
      </c>
      <c r="V234" s="363" t="s">
        <v>1659</v>
      </c>
      <c r="W234" s="363" t="s">
        <v>1078</v>
      </c>
      <c r="X234" s="363"/>
      <c r="Y234" s="363"/>
      <c r="Z234" s="363"/>
      <c r="AA234" s="363"/>
      <c r="AB234" s="363"/>
      <c r="AC234" s="363"/>
      <c r="AD234" s="363"/>
      <c r="AE234" s="363" t="s">
        <v>551</v>
      </c>
      <c r="AF234" s="380" t="s">
        <v>207</v>
      </c>
      <c r="AG234" s="380">
        <v>3</v>
      </c>
      <c r="AH234" s="363" t="s">
        <v>1076</v>
      </c>
    </row>
    <row r="235" spans="2:34" ht="14.4" hidden="1" x14ac:dyDescent="0.3">
      <c r="B235" s="380" t="s">
        <v>14</v>
      </c>
      <c r="C235" s="409" t="s">
        <v>775</v>
      </c>
      <c r="D235" s="423" t="s">
        <v>1079</v>
      </c>
      <c r="E235" s="419">
        <v>2700033067</v>
      </c>
      <c r="F235" s="387">
        <v>45848</v>
      </c>
      <c r="G235" s="380" t="s">
        <v>55</v>
      </c>
      <c r="H235" s="380">
        <v>2</v>
      </c>
      <c r="I235" s="388">
        <v>160000</v>
      </c>
      <c r="J235" s="380">
        <v>3</v>
      </c>
      <c r="K235" s="389">
        <f>I235/J235</f>
        <v>53333.333333333336</v>
      </c>
      <c r="L235" s="381">
        <v>45870</v>
      </c>
      <c r="M235" s="381">
        <v>46234</v>
      </c>
      <c r="N235" s="663"/>
      <c r="O235" s="680"/>
      <c r="P235" s="363" t="s">
        <v>19</v>
      </c>
      <c r="Q235" s="380" t="s">
        <v>11</v>
      </c>
      <c r="R235" s="380"/>
      <c r="S235" s="390" t="s">
        <v>665</v>
      </c>
      <c r="T235" s="363" t="s">
        <v>966</v>
      </c>
      <c r="U235" s="390" t="s">
        <v>361</v>
      </c>
      <c r="V235" s="363" t="s">
        <v>193</v>
      </c>
      <c r="W235" s="390" t="s">
        <v>1080</v>
      </c>
      <c r="X235" s="363" t="s">
        <v>1858</v>
      </c>
      <c r="Y235" s="363"/>
      <c r="Z235" s="363"/>
      <c r="AA235" s="363"/>
      <c r="AB235" s="363"/>
      <c r="AC235" s="363"/>
      <c r="AD235" s="363"/>
      <c r="AE235" s="363" t="s">
        <v>551</v>
      </c>
      <c r="AF235" s="380" t="s">
        <v>207</v>
      </c>
      <c r="AG235" s="380">
        <v>3</v>
      </c>
      <c r="AH235" s="446">
        <v>1</v>
      </c>
    </row>
    <row r="236" spans="2:34" ht="15" hidden="1" customHeight="1" x14ac:dyDescent="0.3">
      <c r="B236" s="380" t="s">
        <v>14</v>
      </c>
      <c r="C236" s="409" t="s">
        <v>195</v>
      </c>
      <c r="D236" s="423" t="s">
        <v>447</v>
      </c>
      <c r="E236" s="464" t="s">
        <v>1081</v>
      </c>
      <c r="F236" s="387">
        <v>45852</v>
      </c>
      <c r="G236" s="380" t="s">
        <v>55</v>
      </c>
      <c r="H236" s="380">
        <v>1</v>
      </c>
      <c r="I236" s="388">
        <v>65500</v>
      </c>
      <c r="J236" s="380">
        <v>4</v>
      </c>
      <c r="K236" s="389">
        <f>I236/J236</f>
        <v>16375</v>
      </c>
      <c r="L236" s="381">
        <v>45853</v>
      </c>
      <c r="M236" s="381">
        <v>46217</v>
      </c>
      <c r="N236" s="663"/>
      <c r="O236" s="680"/>
      <c r="P236" s="363" t="s">
        <v>19</v>
      </c>
      <c r="Q236" s="380" t="s">
        <v>11</v>
      </c>
      <c r="R236" s="380"/>
      <c r="S236" s="390" t="s">
        <v>1082</v>
      </c>
      <c r="T236" s="363" t="s">
        <v>623</v>
      </c>
      <c r="U236" s="390" t="s">
        <v>1083</v>
      </c>
      <c r="V236" s="363" t="s">
        <v>865</v>
      </c>
      <c r="W236" s="390" t="s">
        <v>1084</v>
      </c>
      <c r="X236" s="363" t="s">
        <v>1085</v>
      </c>
      <c r="Y236" s="390" t="s">
        <v>1086</v>
      </c>
      <c r="Z236" s="363" t="s">
        <v>1943</v>
      </c>
      <c r="AA236" s="363"/>
      <c r="AB236" s="363"/>
      <c r="AC236" s="363"/>
      <c r="AD236" s="363"/>
      <c r="AE236" s="363" t="s">
        <v>96</v>
      </c>
      <c r="AF236" s="380" t="s">
        <v>97</v>
      </c>
      <c r="AG236" s="380" t="s">
        <v>494</v>
      </c>
      <c r="AH236" s="363" t="s">
        <v>667</v>
      </c>
    </row>
    <row r="237" spans="2:34" ht="14.4" hidden="1" x14ac:dyDescent="0.3">
      <c r="B237" s="380" t="s">
        <v>14</v>
      </c>
      <c r="C237" s="409" t="s">
        <v>1087</v>
      </c>
      <c r="D237" s="423" t="s">
        <v>1088</v>
      </c>
      <c r="E237" s="464" t="s">
        <v>1089</v>
      </c>
      <c r="F237" s="387">
        <v>45854</v>
      </c>
      <c r="G237" s="380" t="s">
        <v>55</v>
      </c>
      <c r="H237" s="380">
        <v>2</v>
      </c>
      <c r="I237" s="388">
        <v>240000</v>
      </c>
      <c r="J237" s="380">
        <v>3</v>
      </c>
      <c r="K237" s="389">
        <f>I237/J237</f>
        <v>80000</v>
      </c>
      <c r="L237" s="381">
        <v>45870</v>
      </c>
      <c r="M237" s="381">
        <v>46234</v>
      </c>
      <c r="N237" s="663"/>
      <c r="O237" s="680"/>
      <c r="P237" s="363" t="s">
        <v>19</v>
      </c>
      <c r="Q237" s="380" t="s">
        <v>11</v>
      </c>
      <c r="R237" s="380"/>
      <c r="S237" s="390" t="s">
        <v>665</v>
      </c>
      <c r="T237" s="363" t="s">
        <v>1003</v>
      </c>
      <c r="U237" s="390" t="s">
        <v>361</v>
      </c>
      <c r="V237" s="363" t="s">
        <v>844</v>
      </c>
      <c r="W237" s="390" t="s">
        <v>1080</v>
      </c>
      <c r="X237" s="363" t="s">
        <v>1944</v>
      </c>
      <c r="Y237" s="363"/>
      <c r="Z237" s="363"/>
      <c r="AA237" s="363"/>
      <c r="AB237" s="363"/>
      <c r="AC237" s="363"/>
      <c r="AD237" s="363"/>
      <c r="AE237" s="363" t="s">
        <v>96</v>
      </c>
      <c r="AF237" s="380" t="s">
        <v>97</v>
      </c>
      <c r="AG237" s="380">
        <v>4</v>
      </c>
      <c r="AH237" s="363" t="s">
        <v>667</v>
      </c>
    </row>
    <row r="238" spans="2:34" ht="14.4" hidden="1" x14ac:dyDescent="0.3">
      <c r="B238" s="380" t="s">
        <v>14</v>
      </c>
      <c r="C238" s="409" t="s">
        <v>845</v>
      </c>
      <c r="D238" s="423" t="s">
        <v>846</v>
      </c>
      <c r="E238" s="464">
        <v>901968953</v>
      </c>
      <c r="F238" s="387">
        <v>45804</v>
      </c>
      <c r="G238" s="380" t="s">
        <v>55</v>
      </c>
      <c r="H238" s="380">
        <v>1</v>
      </c>
      <c r="I238" s="388">
        <v>98000</v>
      </c>
      <c r="J238" s="380">
        <v>3</v>
      </c>
      <c r="K238" s="389">
        <f>98000/2</f>
        <v>49000</v>
      </c>
      <c r="L238" s="381">
        <v>45848</v>
      </c>
      <c r="M238" s="381">
        <v>46212</v>
      </c>
      <c r="N238" s="663"/>
      <c r="O238" s="680"/>
      <c r="P238" s="363" t="s">
        <v>19</v>
      </c>
      <c r="Q238" s="380" t="s">
        <v>11</v>
      </c>
      <c r="R238" s="380"/>
      <c r="S238" s="390" t="s">
        <v>729</v>
      </c>
      <c r="T238" s="363" t="s">
        <v>1090</v>
      </c>
      <c r="U238" s="390" t="s">
        <v>731</v>
      </c>
      <c r="V238" s="363" t="s">
        <v>1091</v>
      </c>
      <c r="W238" s="390" t="s">
        <v>1092</v>
      </c>
      <c r="X238" s="363" t="s">
        <v>1093</v>
      </c>
      <c r="Y238" s="363"/>
      <c r="Z238" s="363"/>
      <c r="AA238" s="363"/>
      <c r="AB238" s="363"/>
      <c r="AC238" s="363"/>
      <c r="AD238" s="363"/>
      <c r="AE238" s="363" t="s">
        <v>834</v>
      </c>
      <c r="AF238" s="380" t="s">
        <v>207</v>
      </c>
      <c r="AG238" s="380">
        <v>3</v>
      </c>
      <c r="AH238" s="363" t="s">
        <v>1094</v>
      </c>
    </row>
    <row r="239" spans="2:34" ht="14.4" hidden="1" x14ac:dyDescent="0.3">
      <c r="B239" s="380" t="s">
        <v>14</v>
      </c>
      <c r="C239" s="409" t="s">
        <v>1095</v>
      </c>
      <c r="D239" s="423" t="s">
        <v>1016</v>
      </c>
      <c r="E239" s="464">
        <v>9709257840</v>
      </c>
      <c r="F239" s="387">
        <v>45854</v>
      </c>
      <c r="G239" s="380" t="s">
        <v>55</v>
      </c>
      <c r="H239" s="380">
        <v>13</v>
      </c>
      <c r="I239" s="388">
        <v>949819</v>
      </c>
      <c r="J239" s="380">
        <v>4</v>
      </c>
      <c r="K239" s="389">
        <f t="shared" ref="K239:K250" si="9">I239/J239</f>
        <v>237454.75</v>
      </c>
      <c r="L239" s="381">
        <v>45839</v>
      </c>
      <c r="M239" s="381">
        <v>46203</v>
      </c>
      <c r="N239" s="663"/>
      <c r="O239" s="680"/>
      <c r="P239" s="363" t="s">
        <v>19</v>
      </c>
      <c r="Q239" s="380" t="s">
        <v>9</v>
      </c>
      <c r="R239" s="380"/>
      <c r="S239" s="390" t="s">
        <v>168</v>
      </c>
      <c r="T239" s="363" t="s">
        <v>1096</v>
      </c>
      <c r="U239" s="394" t="s">
        <v>228</v>
      </c>
      <c r="V239" s="363" t="s">
        <v>1097</v>
      </c>
      <c r="W239" s="390" t="s">
        <v>396</v>
      </c>
      <c r="X239" s="363" t="s">
        <v>454</v>
      </c>
      <c r="Y239" s="390" t="s">
        <v>397</v>
      </c>
      <c r="Z239" s="363" t="s">
        <v>556</v>
      </c>
      <c r="AA239" s="363"/>
      <c r="AB239" s="363"/>
      <c r="AC239" s="363"/>
      <c r="AD239" s="363"/>
      <c r="AE239" s="363" t="s">
        <v>619</v>
      </c>
      <c r="AF239" s="380" t="s">
        <v>63</v>
      </c>
      <c r="AG239" s="380">
        <v>4</v>
      </c>
      <c r="AH239" s="430" t="s">
        <v>1098</v>
      </c>
    </row>
    <row r="240" spans="2:34" ht="14.4" hidden="1" x14ac:dyDescent="0.3">
      <c r="B240" s="380" t="s">
        <v>14</v>
      </c>
      <c r="C240" s="409" t="s">
        <v>595</v>
      </c>
      <c r="D240" s="418" t="s">
        <v>1012</v>
      </c>
      <c r="E240" s="454" t="s">
        <v>1099</v>
      </c>
      <c r="F240" s="387">
        <v>45843</v>
      </c>
      <c r="G240" s="380" t="s">
        <v>55</v>
      </c>
      <c r="H240" s="380">
        <v>1</v>
      </c>
      <c r="I240" s="388">
        <v>93312</v>
      </c>
      <c r="J240" s="380">
        <v>3</v>
      </c>
      <c r="K240" s="389">
        <f t="shared" si="9"/>
        <v>31104</v>
      </c>
      <c r="L240" s="381">
        <v>45870</v>
      </c>
      <c r="M240" s="381">
        <v>46234</v>
      </c>
      <c r="N240" s="663">
        <v>154699</v>
      </c>
      <c r="O240" s="680">
        <v>4627</v>
      </c>
      <c r="P240" s="363" t="s">
        <v>19</v>
      </c>
      <c r="Q240" s="380" t="s">
        <v>11</v>
      </c>
      <c r="R240" s="380"/>
      <c r="S240" s="390" t="s">
        <v>665</v>
      </c>
      <c r="T240" s="363" t="s">
        <v>1091</v>
      </c>
      <c r="U240" s="390" t="s">
        <v>361</v>
      </c>
      <c r="V240" s="363" t="s">
        <v>1100</v>
      </c>
      <c r="W240" s="390" t="s">
        <v>1080</v>
      </c>
      <c r="X240" s="363" t="s">
        <v>1945</v>
      </c>
      <c r="Y240" s="363"/>
      <c r="Z240" s="363"/>
      <c r="AA240" s="363"/>
      <c r="AB240" s="363"/>
      <c r="AC240" s="363"/>
      <c r="AD240" s="363"/>
      <c r="AE240" s="363" t="s">
        <v>619</v>
      </c>
      <c r="AF240" s="380" t="s">
        <v>63</v>
      </c>
      <c r="AG240" s="380">
        <v>3</v>
      </c>
      <c r="AH240" s="363" t="s">
        <v>799</v>
      </c>
    </row>
    <row r="241" spans="1:34" ht="15" hidden="1" customHeight="1" x14ac:dyDescent="0.3">
      <c r="B241" s="380" t="s">
        <v>14</v>
      </c>
      <c r="C241" s="409" t="s">
        <v>1101</v>
      </c>
      <c r="D241" s="434" t="s">
        <v>1012</v>
      </c>
      <c r="E241" s="419" t="s">
        <v>1102</v>
      </c>
      <c r="F241" s="387">
        <v>45846</v>
      </c>
      <c r="G241" s="380" t="s">
        <v>55</v>
      </c>
      <c r="H241" s="380">
        <v>7</v>
      </c>
      <c r="I241" s="388">
        <v>455000</v>
      </c>
      <c r="J241" s="380">
        <v>2</v>
      </c>
      <c r="K241" s="391">
        <f t="shared" si="9"/>
        <v>227500</v>
      </c>
      <c r="L241" s="381">
        <v>45809</v>
      </c>
      <c r="M241" s="381">
        <v>46173</v>
      </c>
      <c r="N241" s="663"/>
      <c r="O241" s="680"/>
      <c r="P241" s="363" t="s">
        <v>19</v>
      </c>
      <c r="Q241" s="380" t="s">
        <v>9</v>
      </c>
      <c r="R241" s="380"/>
      <c r="S241" s="390" t="s">
        <v>125</v>
      </c>
      <c r="T241" s="363" t="s">
        <v>807</v>
      </c>
      <c r="U241" s="390" t="s">
        <v>127</v>
      </c>
      <c r="V241" s="363" t="s">
        <v>1852</v>
      </c>
      <c r="W241" s="363"/>
      <c r="X241" s="363"/>
      <c r="Y241" s="363"/>
      <c r="Z241" s="363"/>
      <c r="AA241" s="363"/>
      <c r="AB241" s="363"/>
      <c r="AC241" s="363"/>
      <c r="AD241" s="363"/>
      <c r="AE241" s="363" t="s">
        <v>619</v>
      </c>
      <c r="AF241" s="380" t="s">
        <v>63</v>
      </c>
      <c r="AG241" s="380">
        <v>2</v>
      </c>
      <c r="AH241" s="363" t="s">
        <v>667</v>
      </c>
    </row>
    <row r="242" spans="1:34" ht="15" hidden="1" customHeight="1" x14ac:dyDescent="0.3">
      <c r="B242" s="380" t="s">
        <v>14</v>
      </c>
      <c r="C242" s="434" t="s">
        <v>1103</v>
      </c>
      <c r="D242" s="434" t="s">
        <v>1088</v>
      </c>
      <c r="E242" s="419" t="s">
        <v>1104</v>
      </c>
      <c r="F242" s="387">
        <v>45855</v>
      </c>
      <c r="G242" s="380" t="s">
        <v>55</v>
      </c>
      <c r="H242" s="380">
        <v>1</v>
      </c>
      <c r="I242" s="388">
        <v>62000</v>
      </c>
      <c r="J242" s="380">
        <v>4</v>
      </c>
      <c r="K242" s="389">
        <f t="shared" si="9"/>
        <v>15500</v>
      </c>
      <c r="L242" s="381">
        <v>45870</v>
      </c>
      <c r="M242" s="381">
        <v>46234</v>
      </c>
      <c r="N242" s="663">
        <v>154605</v>
      </c>
      <c r="O242" s="680"/>
      <c r="P242" s="363" t="s">
        <v>19</v>
      </c>
      <c r="Q242" s="380" t="s">
        <v>11</v>
      </c>
      <c r="R242" s="380"/>
      <c r="S242" s="390" t="s">
        <v>267</v>
      </c>
      <c r="T242" s="363" t="s">
        <v>623</v>
      </c>
      <c r="U242" s="390" t="s">
        <v>269</v>
      </c>
      <c r="V242" s="363" t="s">
        <v>1105</v>
      </c>
      <c r="W242" s="390" t="s">
        <v>442</v>
      </c>
      <c r="X242" s="363" t="s">
        <v>782</v>
      </c>
      <c r="Y242" s="390" t="s">
        <v>444</v>
      </c>
      <c r="Z242" s="363" t="s">
        <v>1946</v>
      </c>
      <c r="AA242" s="363"/>
      <c r="AB242" s="363"/>
      <c r="AC242" s="363"/>
      <c r="AD242" s="363"/>
      <c r="AE242" s="363" t="s">
        <v>96</v>
      </c>
      <c r="AF242" s="380" t="s">
        <v>97</v>
      </c>
      <c r="AG242" s="380" t="s">
        <v>494</v>
      </c>
      <c r="AH242" s="363" t="s">
        <v>667</v>
      </c>
    </row>
    <row r="243" spans="1:34" ht="15" hidden="1" customHeight="1" x14ac:dyDescent="0.3">
      <c r="B243" s="380" t="s">
        <v>14</v>
      </c>
      <c r="C243" s="409" t="s">
        <v>1106</v>
      </c>
      <c r="D243" s="423" t="s">
        <v>1107</v>
      </c>
      <c r="E243" s="419">
        <v>4502348009</v>
      </c>
      <c r="F243" s="387">
        <v>45853</v>
      </c>
      <c r="G243" s="380" t="s">
        <v>55</v>
      </c>
      <c r="H243" s="380"/>
      <c r="I243" s="388">
        <f>432000/3</f>
        <v>144000</v>
      </c>
      <c r="J243" s="380">
        <v>3</v>
      </c>
      <c r="K243" s="389">
        <f t="shared" si="9"/>
        <v>48000</v>
      </c>
      <c r="L243" s="381">
        <v>45748</v>
      </c>
      <c r="M243" s="381">
        <v>46112</v>
      </c>
      <c r="N243" s="663"/>
      <c r="O243" s="680"/>
      <c r="P243" s="363" t="s">
        <v>520</v>
      </c>
      <c r="Q243" s="380" t="s">
        <v>11</v>
      </c>
      <c r="R243" s="380"/>
      <c r="S243" s="390" t="s">
        <v>357</v>
      </c>
      <c r="T243" s="363" t="s">
        <v>811</v>
      </c>
      <c r="U243" s="390" t="s">
        <v>901</v>
      </c>
      <c r="V243" s="363" t="s">
        <v>1091</v>
      </c>
      <c r="W243" s="390" t="s">
        <v>361</v>
      </c>
      <c r="X243" s="363" t="s">
        <v>1100</v>
      </c>
      <c r="Y243" s="363"/>
      <c r="Z243" s="363"/>
      <c r="AA243" s="363"/>
      <c r="AB243" s="363"/>
      <c r="AC243" s="363"/>
      <c r="AD243" s="363"/>
      <c r="AE243" s="363" t="s">
        <v>478</v>
      </c>
      <c r="AF243" s="380" t="s">
        <v>63</v>
      </c>
      <c r="AG243" s="380">
        <v>5</v>
      </c>
      <c r="AH243" s="363" t="s">
        <v>667</v>
      </c>
    </row>
    <row r="244" spans="1:34" ht="15" hidden="1" customHeight="1" x14ac:dyDescent="0.3">
      <c r="B244" s="380" t="s">
        <v>14</v>
      </c>
      <c r="C244" s="409" t="s">
        <v>1106</v>
      </c>
      <c r="D244" s="423" t="s">
        <v>1107</v>
      </c>
      <c r="E244" s="419">
        <v>4502348009</v>
      </c>
      <c r="F244" s="387">
        <v>45853</v>
      </c>
      <c r="G244" s="380" t="s">
        <v>55</v>
      </c>
      <c r="H244" s="380"/>
      <c r="I244" s="388">
        <f>432000/3</f>
        <v>144000</v>
      </c>
      <c r="J244" s="380">
        <v>3</v>
      </c>
      <c r="K244" s="389">
        <f t="shared" si="9"/>
        <v>48000</v>
      </c>
      <c r="L244" s="381">
        <v>46113</v>
      </c>
      <c r="M244" s="381">
        <v>46477</v>
      </c>
      <c r="N244" s="663"/>
      <c r="O244" s="680"/>
      <c r="P244" s="363" t="s">
        <v>520</v>
      </c>
      <c r="Q244" s="380" t="s">
        <v>11</v>
      </c>
      <c r="R244" s="380"/>
      <c r="S244" s="390" t="s">
        <v>1080</v>
      </c>
      <c r="T244" s="363" t="s">
        <v>1947</v>
      </c>
      <c r="U244" s="363" t="s">
        <v>1108</v>
      </c>
      <c r="V244" s="363"/>
      <c r="W244" s="363" t="s">
        <v>1109</v>
      </c>
      <c r="X244" s="363"/>
      <c r="Y244" s="363"/>
      <c r="Z244" s="363"/>
      <c r="AA244" s="363"/>
      <c r="AB244" s="363"/>
      <c r="AC244" s="363"/>
      <c r="AD244" s="363"/>
      <c r="AE244" s="363" t="s">
        <v>478</v>
      </c>
      <c r="AF244" s="380" t="s">
        <v>63</v>
      </c>
      <c r="AG244" s="380">
        <v>5</v>
      </c>
      <c r="AH244" s="363" t="s">
        <v>667</v>
      </c>
    </row>
    <row r="245" spans="1:34" ht="15" hidden="1" customHeight="1" x14ac:dyDescent="0.3">
      <c r="B245" s="380" t="s">
        <v>14</v>
      </c>
      <c r="C245" s="409" t="s">
        <v>1106</v>
      </c>
      <c r="D245" s="423" t="s">
        <v>1107</v>
      </c>
      <c r="E245" s="419">
        <v>4502348009</v>
      </c>
      <c r="F245" s="387">
        <v>45853</v>
      </c>
      <c r="G245" s="380" t="s">
        <v>55</v>
      </c>
      <c r="H245" s="380">
        <v>2</v>
      </c>
      <c r="I245" s="417">
        <f>432000/3</f>
        <v>144000</v>
      </c>
      <c r="J245" s="380">
        <v>3</v>
      </c>
      <c r="K245" s="389">
        <f t="shared" si="9"/>
        <v>48000</v>
      </c>
      <c r="L245" s="381">
        <v>46478</v>
      </c>
      <c r="M245" s="381">
        <v>46843</v>
      </c>
      <c r="N245" s="663"/>
      <c r="O245" s="680"/>
      <c r="P245" s="363" t="s">
        <v>520</v>
      </c>
      <c r="Q245" s="380" t="s">
        <v>11</v>
      </c>
      <c r="R245" s="380"/>
      <c r="S245" s="363" t="s">
        <v>1110</v>
      </c>
      <c r="T245" s="363"/>
      <c r="U245" s="363" t="s">
        <v>1111</v>
      </c>
      <c r="V245" s="363"/>
      <c r="W245" s="363" t="s">
        <v>1112</v>
      </c>
      <c r="X245" s="363"/>
      <c r="Y245" s="363"/>
      <c r="Z245" s="363"/>
      <c r="AA245" s="363"/>
      <c r="AB245" s="363"/>
      <c r="AC245" s="363"/>
      <c r="AD245" s="363"/>
      <c r="AE245" s="363" t="s">
        <v>478</v>
      </c>
      <c r="AF245" s="380" t="s">
        <v>63</v>
      </c>
      <c r="AG245" s="380">
        <v>5</v>
      </c>
      <c r="AH245" s="363" t="s">
        <v>667</v>
      </c>
    </row>
    <row r="246" spans="1:34" ht="15" hidden="1" customHeight="1" x14ac:dyDescent="0.3">
      <c r="B246" s="380" t="s">
        <v>14</v>
      </c>
      <c r="C246" s="409" t="s">
        <v>1113</v>
      </c>
      <c r="D246" s="423" t="s">
        <v>1114</v>
      </c>
      <c r="E246" s="464">
        <v>700005514</v>
      </c>
      <c r="F246" s="387">
        <v>45800</v>
      </c>
      <c r="G246" s="380" t="s">
        <v>55</v>
      </c>
      <c r="H246" s="380">
        <v>2</v>
      </c>
      <c r="I246" s="388">
        <v>175970</v>
      </c>
      <c r="J246" s="380">
        <v>3</v>
      </c>
      <c r="K246" s="389">
        <f>I246/2</f>
        <v>87985</v>
      </c>
      <c r="L246" s="381">
        <v>45748</v>
      </c>
      <c r="M246" s="381">
        <v>46112</v>
      </c>
      <c r="N246" s="663"/>
      <c r="O246" s="680"/>
      <c r="P246" s="363" t="s">
        <v>19</v>
      </c>
      <c r="Q246" s="380" t="s">
        <v>3</v>
      </c>
      <c r="R246" s="380"/>
      <c r="S246" s="390" t="s">
        <v>357</v>
      </c>
      <c r="T246" s="363" t="s">
        <v>451</v>
      </c>
      <c r="U246" s="390" t="s">
        <v>665</v>
      </c>
      <c r="V246" s="363" t="s">
        <v>848</v>
      </c>
      <c r="W246" s="390" t="s">
        <v>361</v>
      </c>
      <c r="X246" s="363" t="s">
        <v>1115</v>
      </c>
      <c r="Y246" s="363"/>
      <c r="Z246" s="363"/>
      <c r="AA246" s="363"/>
      <c r="AB246" s="363"/>
      <c r="AC246" s="363"/>
      <c r="AD246" s="363"/>
      <c r="AE246" s="363" t="s">
        <v>183</v>
      </c>
      <c r="AF246" s="380" t="s">
        <v>97</v>
      </c>
      <c r="AG246" s="380">
        <v>1</v>
      </c>
      <c r="AH246" s="363" t="s">
        <v>1116</v>
      </c>
    </row>
    <row r="247" spans="1:34" ht="15" hidden="1" customHeight="1" x14ac:dyDescent="0.3">
      <c r="A247" s="469"/>
      <c r="B247" s="380" t="s">
        <v>14</v>
      </c>
      <c r="C247" s="409" t="s">
        <v>1117</v>
      </c>
      <c r="D247" s="423" t="s">
        <v>1118</v>
      </c>
      <c r="E247" s="419">
        <v>8200197699</v>
      </c>
      <c r="F247" s="387">
        <v>45855</v>
      </c>
      <c r="G247" s="380" t="s">
        <v>55</v>
      </c>
      <c r="H247" s="380"/>
      <c r="I247" s="388">
        <v>91060</v>
      </c>
      <c r="J247" s="380">
        <v>2</v>
      </c>
      <c r="K247" s="389">
        <f t="shared" si="9"/>
        <v>45530</v>
      </c>
      <c r="L247" s="381">
        <v>45839</v>
      </c>
      <c r="M247" s="381">
        <v>46203</v>
      </c>
      <c r="N247" s="663">
        <v>154916</v>
      </c>
      <c r="O247" s="680">
        <v>4535</v>
      </c>
      <c r="P247" s="363" t="s">
        <v>520</v>
      </c>
      <c r="Q247" s="380" t="s">
        <v>11</v>
      </c>
      <c r="R247" s="380"/>
      <c r="S247" s="390" t="s">
        <v>483</v>
      </c>
      <c r="T247" s="363" t="s">
        <v>1009</v>
      </c>
      <c r="U247" s="390" t="s">
        <v>607</v>
      </c>
      <c r="V247" s="363" t="s">
        <v>1937</v>
      </c>
      <c r="W247" s="363"/>
      <c r="X247" s="363"/>
      <c r="Y247" s="363"/>
      <c r="Z247" s="363"/>
      <c r="AA247" s="363"/>
      <c r="AB247" s="363"/>
      <c r="AC247" s="363"/>
      <c r="AD247" s="363"/>
      <c r="AE247" s="363" t="s">
        <v>128</v>
      </c>
      <c r="AF247" s="380" t="s">
        <v>129</v>
      </c>
      <c r="AG247" s="380">
        <v>2</v>
      </c>
      <c r="AH247" s="363" t="s">
        <v>667</v>
      </c>
    </row>
    <row r="248" spans="1:34" ht="15" hidden="1" customHeight="1" x14ac:dyDescent="0.3">
      <c r="A248" s="469"/>
      <c r="B248" s="380" t="s">
        <v>14</v>
      </c>
      <c r="C248" s="409" t="s">
        <v>1117</v>
      </c>
      <c r="D248" s="423" t="s">
        <v>1118</v>
      </c>
      <c r="E248" s="419">
        <v>8200197699</v>
      </c>
      <c r="F248" s="387">
        <v>45855</v>
      </c>
      <c r="G248" s="380" t="s">
        <v>55</v>
      </c>
      <c r="H248" s="380">
        <v>1</v>
      </c>
      <c r="I248" s="388">
        <v>91060</v>
      </c>
      <c r="J248" s="380">
        <v>2</v>
      </c>
      <c r="K248" s="389">
        <f t="shared" si="9"/>
        <v>45530</v>
      </c>
      <c r="L248" s="381">
        <v>46204</v>
      </c>
      <c r="M248" s="381">
        <v>46568</v>
      </c>
      <c r="N248" s="663"/>
      <c r="O248" s="680"/>
      <c r="P248" s="363" t="s">
        <v>520</v>
      </c>
      <c r="Q248" s="380" t="s">
        <v>11</v>
      </c>
      <c r="R248" s="380"/>
      <c r="S248" s="363" t="s">
        <v>608</v>
      </c>
      <c r="T248" s="363"/>
      <c r="U248" s="363" t="s">
        <v>1119</v>
      </c>
      <c r="V248" s="363"/>
      <c r="W248" s="363"/>
      <c r="X248" s="363"/>
      <c r="Y248" s="363"/>
      <c r="Z248" s="363"/>
      <c r="AA248" s="363"/>
      <c r="AB248" s="363"/>
      <c r="AC248" s="363"/>
      <c r="AD248" s="363"/>
      <c r="AE248" s="363" t="s">
        <v>128</v>
      </c>
      <c r="AF248" s="380" t="s">
        <v>129</v>
      </c>
      <c r="AG248" s="380">
        <v>2</v>
      </c>
      <c r="AH248" s="363" t="s">
        <v>667</v>
      </c>
    </row>
    <row r="249" spans="1:34" ht="15" hidden="1" customHeight="1" x14ac:dyDescent="0.3">
      <c r="B249" s="380" t="s">
        <v>14</v>
      </c>
      <c r="C249" s="363" t="s">
        <v>1120</v>
      </c>
      <c r="D249" s="423" t="s">
        <v>447</v>
      </c>
      <c r="E249" s="419">
        <v>5891136624</v>
      </c>
      <c r="F249" s="387">
        <v>45856</v>
      </c>
      <c r="G249" s="380" t="s">
        <v>55</v>
      </c>
      <c r="H249" s="380">
        <v>3</v>
      </c>
      <c r="I249" s="388">
        <v>307691.73</v>
      </c>
      <c r="J249" s="380">
        <v>3</v>
      </c>
      <c r="K249" s="389">
        <f t="shared" si="9"/>
        <v>102563.90999999999</v>
      </c>
      <c r="L249" s="381">
        <v>45870</v>
      </c>
      <c r="M249" s="381">
        <v>46234</v>
      </c>
      <c r="N249" s="663">
        <v>154684</v>
      </c>
      <c r="O249" s="680">
        <v>4604</v>
      </c>
      <c r="P249" s="363" t="s">
        <v>19</v>
      </c>
      <c r="Q249" s="380" t="s">
        <v>11</v>
      </c>
      <c r="R249" s="380"/>
      <c r="S249" s="390" t="s">
        <v>665</v>
      </c>
      <c r="T249" s="363" t="s">
        <v>229</v>
      </c>
      <c r="U249" s="390" t="s">
        <v>361</v>
      </c>
      <c r="V249" s="363" t="s">
        <v>495</v>
      </c>
      <c r="W249" s="390" t="s">
        <v>1080</v>
      </c>
      <c r="X249" s="363" t="s">
        <v>1948</v>
      </c>
      <c r="Y249" s="363"/>
      <c r="Z249" s="363"/>
      <c r="AA249" s="363"/>
      <c r="AB249" s="363"/>
      <c r="AC249" s="363"/>
      <c r="AD249" s="363"/>
      <c r="AE249" s="363" t="s">
        <v>96</v>
      </c>
      <c r="AF249" s="380" t="s">
        <v>97</v>
      </c>
      <c r="AG249" s="380" t="s">
        <v>494</v>
      </c>
      <c r="AH249" s="363" t="s">
        <v>1121</v>
      </c>
    </row>
    <row r="250" spans="1:34" ht="15" hidden="1" customHeight="1" x14ac:dyDescent="0.3">
      <c r="B250" s="380" t="s">
        <v>14</v>
      </c>
      <c r="C250" s="412" t="s">
        <v>845</v>
      </c>
      <c r="D250" s="437" t="s">
        <v>846</v>
      </c>
      <c r="E250" s="426">
        <v>901971263</v>
      </c>
      <c r="F250" s="415">
        <v>45856</v>
      </c>
      <c r="G250" s="425" t="s">
        <v>55</v>
      </c>
      <c r="H250" s="380">
        <v>2</v>
      </c>
      <c r="I250" s="388">
        <v>196000</v>
      </c>
      <c r="J250" s="380">
        <v>3</v>
      </c>
      <c r="K250" s="389">
        <f t="shared" si="9"/>
        <v>65333.333333333336</v>
      </c>
      <c r="L250" s="381">
        <v>45848</v>
      </c>
      <c r="M250" s="381">
        <v>46212</v>
      </c>
      <c r="N250" s="663"/>
      <c r="O250" s="680"/>
      <c r="P250" s="363" t="s">
        <v>19</v>
      </c>
      <c r="Q250" s="380" t="s">
        <v>11</v>
      </c>
      <c r="R250" s="380"/>
      <c r="S250" s="390" t="s">
        <v>729</v>
      </c>
      <c r="T250" s="363" t="s">
        <v>777</v>
      </c>
      <c r="U250" s="390" t="s">
        <v>731</v>
      </c>
      <c r="V250" s="363" t="s">
        <v>1122</v>
      </c>
      <c r="W250" s="390" t="s">
        <v>1092</v>
      </c>
      <c r="X250" s="363" t="s">
        <v>828</v>
      </c>
      <c r="Y250" s="363"/>
      <c r="Z250" s="363"/>
      <c r="AA250" s="363"/>
      <c r="AB250" s="363"/>
      <c r="AC250" s="363"/>
      <c r="AD250" s="363"/>
      <c r="AE250" s="363" t="s">
        <v>834</v>
      </c>
      <c r="AF250" s="380" t="s">
        <v>207</v>
      </c>
      <c r="AG250" s="380">
        <v>6</v>
      </c>
      <c r="AH250" s="363" t="s">
        <v>1123</v>
      </c>
    </row>
    <row r="251" spans="1:34" ht="15" hidden="1" customHeight="1" x14ac:dyDescent="0.3">
      <c r="B251" s="380" t="s">
        <v>14</v>
      </c>
      <c r="C251" s="463" t="s">
        <v>614</v>
      </c>
      <c r="D251" s="463" t="s">
        <v>1016</v>
      </c>
      <c r="E251" s="470" t="s">
        <v>1124</v>
      </c>
      <c r="F251" s="415">
        <v>45849</v>
      </c>
      <c r="G251" s="380" t="s">
        <v>55</v>
      </c>
      <c r="H251" s="380">
        <v>1</v>
      </c>
      <c r="I251" s="388">
        <v>76440</v>
      </c>
      <c r="J251" s="380">
        <v>3</v>
      </c>
      <c r="K251" s="389"/>
      <c r="L251" s="381">
        <v>45809</v>
      </c>
      <c r="M251" s="381">
        <v>46173</v>
      </c>
      <c r="N251" s="663"/>
      <c r="O251" s="680"/>
      <c r="P251" s="363" t="s">
        <v>19</v>
      </c>
      <c r="Q251" s="380" t="s">
        <v>6</v>
      </c>
      <c r="R251" s="380"/>
      <c r="S251" s="390" t="s">
        <v>1125</v>
      </c>
      <c r="T251" s="363" t="s">
        <v>1126</v>
      </c>
      <c r="U251" s="390" t="s">
        <v>83</v>
      </c>
      <c r="V251" s="363" t="s">
        <v>270</v>
      </c>
      <c r="W251" s="390" t="s">
        <v>404</v>
      </c>
      <c r="X251" s="363" t="s">
        <v>1711</v>
      </c>
      <c r="Y251" s="363"/>
      <c r="Z251" s="363"/>
      <c r="AA251" s="363"/>
      <c r="AB251" s="363"/>
      <c r="AC251" s="363"/>
      <c r="AD251" s="363"/>
      <c r="AE251" s="363" t="s">
        <v>619</v>
      </c>
      <c r="AF251" s="380" t="s">
        <v>63</v>
      </c>
      <c r="AG251" s="380">
        <v>3</v>
      </c>
      <c r="AH251" s="363" t="s">
        <v>1127</v>
      </c>
    </row>
    <row r="252" spans="1:34" ht="15" hidden="1" customHeight="1" x14ac:dyDescent="0.3">
      <c r="B252" s="380" t="s">
        <v>14</v>
      </c>
      <c r="C252" s="418" t="s">
        <v>1128</v>
      </c>
      <c r="D252" s="418" t="s">
        <v>1129</v>
      </c>
      <c r="E252" s="471">
        <v>4503060756</v>
      </c>
      <c r="F252" s="387">
        <v>45853</v>
      </c>
      <c r="G252" s="380" t="s">
        <v>55</v>
      </c>
      <c r="H252" s="380">
        <v>4</v>
      </c>
      <c r="I252" s="388">
        <v>271864</v>
      </c>
      <c r="J252" s="380">
        <v>4</v>
      </c>
      <c r="K252" s="391">
        <f>I252/J252</f>
        <v>67966</v>
      </c>
      <c r="L252" s="381">
        <v>45809</v>
      </c>
      <c r="M252" s="381">
        <v>46173</v>
      </c>
      <c r="N252" s="663"/>
      <c r="O252" s="680"/>
      <c r="P252" s="363" t="s">
        <v>19</v>
      </c>
      <c r="Q252" s="380" t="s">
        <v>6</v>
      </c>
      <c r="R252" s="380"/>
      <c r="S252" s="390" t="s">
        <v>1130</v>
      </c>
      <c r="T252" s="363" t="s">
        <v>611</v>
      </c>
      <c r="U252" s="390" t="s">
        <v>1131</v>
      </c>
      <c r="V252" s="363" t="s">
        <v>1132</v>
      </c>
      <c r="W252" s="390" t="s">
        <v>1133</v>
      </c>
      <c r="X252" s="363" t="s">
        <v>403</v>
      </c>
      <c r="Y252" s="390" t="s">
        <v>1134</v>
      </c>
      <c r="Z252" s="363" t="s">
        <v>1720</v>
      </c>
      <c r="AA252" s="363"/>
      <c r="AB252" s="363"/>
      <c r="AC252" s="363"/>
      <c r="AD252" s="363"/>
      <c r="AE252" s="363" t="s">
        <v>281</v>
      </c>
      <c r="AF252" s="380" t="s">
        <v>97</v>
      </c>
      <c r="AG252" s="380" t="s">
        <v>494</v>
      </c>
      <c r="AH252" s="363" t="s">
        <v>1135</v>
      </c>
    </row>
    <row r="253" spans="1:34" ht="15" hidden="1" customHeight="1" x14ac:dyDescent="0.3">
      <c r="B253" s="380" t="s">
        <v>14</v>
      </c>
      <c r="C253" s="409" t="s">
        <v>975</v>
      </c>
      <c r="D253" s="423" t="s">
        <v>1136</v>
      </c>
      <c r="E253" s="419">
        <v>6100009693</v>
      </c>
      <c r="F253" s="387">
        <v>45849</v>
      </c>
      <c r="G253" s="380" t="s">
        <v>55</v>
      </c>
      <c r="H253" s="380">
        <v>2</v>
      </c>
      <c r="I253" s="388">
        <v>240000</v>
      </c>
      <c r="J253" s="380">
        <v>3</v>
      </c>
      <c r="K253" s="389">
        <f>I253/2</f>
        <v>120000</v>
      </c>
      <c r="L253" s="381">
        <v>45870</v>
      </c>
      <c r="M253" s="381">
        <v>46234</v>
      </c>
      <c r="N253" s="663"/>
      <c r="O253" s="680"/>
      <c r="P253" s="363" t="s">
        <v>19</v>
      </c>
      <c r="Q253" s="380" t="s">
        <v>11</v>
      </c>
      <c r="R253" s="380"/>
      <c r="S253" s="390" t="s">
        <v>665</v>
      </c>
      <c r="T253" s="363" t="s">
        <v>464</v>
      </c>
      <c r="U253" s="390" t="s">
        <v>361</v>
      </c>
      <c r="V253" s="363" t="s">
        <v>750</v>
      </c>
      <c r="W253" s="390" t="s">
        <v>1080</v>
      </c>
      <c r="X253" s="363" t="s">
        <v>1843</v>
      </c>
      <c r="Y253" s="363"/>
      <c r="Z253" s="363"/>
      <c r="AA253" s="363"/>
      <c r="AB253" s="363"/>
      <c r="AC253" s="363"/>
      <c r="AD253" s="363"/>
      <c r="AE253" s="363" t="s">
        <v>551</v>
      </c>
      <c r="AF253" s="380" t="s">
        <v>207</v>
      </c>
      <c r="AG253" s="380">
        <v>3</v>
      </c>
      <c r="AH253" s="430" t="s">
        <v>981</v>
      </c>
    </row>
    <row r="254" spans="1:34" ht="15" hidden="1" customHeight="1" x14ac:dyDescent="0.3">
      <c r="B254" s="380" t="s">
        <v>14</v>
      </c>
      <c r="C254" s="409" t="s">
        <v>195</v>
      </c>
      <c r="D254" s="418" t="s">
        <v>1137</v>
      </c>
      <c r="E254" s="472" t="s">
        <v>1138</v>
      </c>
      <c r="F254" s="387">
        <v>45854</v>
      </c>
      <c r="G254" s="380" t="s">
        <v>55</v>
      </c>
      <c r="H254" s="380">
        <v>9</v>
      </c>
      <c r="I254" s="388">
        <f>58000*9</f>
        <v>522000</v>
      </c>
      <c r="J254" s="380">
        <v>4</v>
      </c>
      <c r="K254" s="389">
        <f t="shared" ref="K254:K270" si="10">I254/J254</f>
        <v>130500</v>
      </c>
      <c r="L254" s="381">
        <v>45762</v>
      </c>
      <c r="M254" s="381">
        <v>46156</v>
      </c>
      <c r="N254" s="663"/>
      <c r="O254" s="680"/>
      <c r="P254" s="363" t="s">
        <v>19</v>
      </c>
      <c r="Q254" s="380" t="s">
        <v>5</v>
      </c>
      <c r="R254" s="380"/>
      <c r="S254" s="390" t="s">
        <v>1139</v>
      </c>
      <c r="T254" s="363" t="s">
        <v>1140</v>
      </c>
      <c r="U254" s="390" t="s">
        <v>1082</v>
      </c>
      <c r="V254" s="363" t="s">
        <v>1054</v>
      </c>
      <c r="W254" s="390" t="s">
        <v>1083</v>
      </c>
      <c r="X254" s="363" t="s">
        <v>1122</v>
      </c>
      <c r="Y254" s="390" t="s">
        <v>1084</v>
      </c>
      <c r="Z254" s="363" t="s">
        <v>1141</v>
      </c>
      <c r="AA254" s="363"/>
      <c r="AB254" s="363"/>
      <c r="AC254" s="363"/>
      <c r="AD254" s="363"/>
      <c r="AE254" s="363" t="s">
        <v>478</v>
      </c>
      <c r="AF254" s="380" t="s">
        <v>63</v>
      </c>
      <c r="AG254" s="380">
        <v>3</v>
      </c>
      <c r="AH254" s="363" t="s">
        <v>657</v>
      </c>
    </row>
    <row r="255" spans="1:34" ht="15" hidden="1" customHeight="1" x14ac:dyDescent="0.3">
      <c r="B255" s="380" t="s">
        <v>14</v>
      </c>
      <c r="C255" s="409" t="s">
        <v>195</v>
      </c>
      <c r="D255" s="418" t="s">
        <v>388</v>
      </c>
      <c r="E255" s="419" t="s">
        <v>1142</v>
      </c>
      <c r="F255" s="387">
        <v>45862</v>
      </c>
      <c r="G255" s="380" t="s">
        <v>55</v>
      </c>
      <c r="H255" s="380"/>
      <c r="I255" s="388">
        <f>439992/2</f>
        <v>219996</v>
      </c>
      <c r="J255" s="380">
        <v>3</v>
      </c>
      <c r="K255" s="389">
        <f t="shared" si="10"/>
        <v>73332</v>
      </c>
      <c r="L255" s="381">
        <v>45862</v>
      </c>
      <c r="M255" s="381">
        <v>46226</v>
      </c>
      <c r="N255" s="663">
        <v>154585</v>
      </c>
      <c r="O255" s="680">
        <v>4618</v>
      </c>
      <c r="P255" s="363" t="s">
        <v>520</v>
      </c>
      <c r="Q255" s="380" t="s">
        <v>11</v>
      </c>
      <c r="R255" s="380"/>
      <c r="S255" s="390" t="s">
        <v>1143</v>
      </c>
      <c r="T255" s="363" t="s">
        <v>1144</v>
      </c>
      <c r="U255" s="390" t="s">
        <v>1145</v>
      </c>
      <c r="V255" s="363" t="s">
        <v>1146</v>
      </c>
      <c r="W255" s="390" t="s">
        <v>1147</v>
      </c>
      <c r="X255" s="363" t="s">
        <v>1936</v>
      </c>
      <c r="Y255" s="363"/>
      <c r="Z255" s="363"/>
      <c r="AA255" s="363"/>
      <c r="AB255" s="363"/>
      <c r="AC255" s="363"/>
      <c r="AD255" s="363"/>
      <c r="AE255" s="363" t="s">
        <v>478</v>
      </c>
      <c r="AF255" s="380" t="s">
        <v>63</v>
      </c>
      <c r="AG255" s="380">
        <v>3</v>
      </c>
      <c r="AH255" s="363" t="s">
        <v>657</v>
      </c>
    </row>
    <row r="256" spans="1:34" ht="15" hidden="1" customHeight="1" x14ac:dyDescent="0.3">
      <c r="B256" s="380" t="s">
        <v>14</v>
      </c>
      <c r="C256" s="409" t="s">
        <v>195</v>
      </c>
      <c r="D256" s="418" t="s">
        <v>388</v>
      </c>
      <c r="E256" s="419" t="s">
        <v>1142</v>
      </c>
      <c r="F256" s="387">
        <v>45862</v>
      </c>
      <c r="G256" s="380" t="s">
        <v>55</v>
      </c>
      <c r="H256" s="380">
        <v>4</v>
      </c>
      <c r="I256" s="388">
        <f>439992/2</f>
        <v>219996</v>
      </c>
      <c r="J256" s="380">
        <v>3</v>
      </c>
      <c r="K256" s="389">
        <f t="shared" si="10"/>
        <v>73332</v>
      </c>
      <c r="L256" s="381">
        <v>46227</v>
      </c>
      <c r="M256" s="381">
        <v>46591</v>
      </c>
      <c r="N256" s="663"/>
      <c r="O256" s="680"/>
      <c r="P256" s="363" t="s">
        <v>520</v>
      </c>
      <c r="Q256" s="380" t="s">
        <v>11</v>
      </c>
      <c r="R256" s="380"/>
      <c r="S256" s="363" t="s">
        <v>1148</v>
      </c>
      <c r="T256" s="363"/>
      <c r="U256" s="363" t="s">
        <v>1149</v>
      </c>
      <c r="V256" s="363"/>
      <c r="W256" s="363" t="s">
        <v>1150</v>
      </c>
      <c r="X256" s="363"/>
      <c r="Y256" s="363"/>
      <c r="Z256" s="363"/>
      <c r="AA256" s="363"/>
      <c r="AB256" s="363"/>
      <c r="AC256" s="363"/>
      <c r="AD256" s="363"/>
      <c r="AE256" s="363" t="s">
        <v>478</v>
      </c>
      <c r="AF256" s="380" t="s">
        <v>63</v>
      </c>
      <c r="AG256" s="380">
        <v>3</v>
      </c>
      <c r="AH256" s="363" t="s">
        <v>657</v>
      </c>
    </row>
    <row r="257" spans="2:34" ht="15" hidden="1" customHeight="1" x14ac:dyDescent="0.3">
      <c r="B257" s="380" t="s">
        <v>14</v>
      </c>
      <c r="C257" s="409" t="s">
        <v>1151</v>
      </c>
      <c r="D257" s="418" t="s">
        <v>151</v>
      </c>
      <c r="E257" s="419">
        <v>4512862106</v>
      </c>
      <c r="F257" s="387">
        <v>45852</v>
      </c>
      <c r="G257" s="380" t="s">
        <v>55</v>
      </c>
      <c r="H257" s="380">
        <v>10</v>
      </c>
      <c r="I257" s="388">
        <v>460000</v>
      </c>
      <c r="J257" s="380">
        <v>3</v>
      </c>
      <c r="K257" s="391">
        <f t="shared" si="10"/>
        <v>153333.33333333334</v>
      </c>
      <c r="L257" s="381">
        <v>45809</v>
      </c>
      <c r="M257" s="381">
        <v>46173</v>
      </c>
      <c r="N257" s="663"/>
      <c r="O257" s="680"/>
      <c r="P257" s="363" t="s">
        <v>19</v>
      </c>
      <c r="Q257" s="380" t="s">
        <v>9</v>
      </c>
      <c r="R257" s="380"/>
      <c r="S257" s="390" t="s">
        <v>81</v>
      </c>
      <c r="T257" s="363" t="s">
        <v>898</v>
      </c>
      <c r="U257" s="390" t="s">
        <v>83</v>
      </c>
      <c r="V257" s="363" t="s">
        <v>320</v>
      </c>
      <c r="W257" s="390" t="s">
        <v>404</v>
      </c>
      <c r="X257" s="363" t="s">
        <v>1844</v>
      </c>
      <c r="Y257" s="363"/>
      <c r="Z257" s="363"/>
      <c r="AA257" s="363"/>
      <c r="AB257" s="363"/>
      <c r="AC257" s="363"/>
      <c r="AD257" s="363"/>
      <c r="AE257" s="363" t="s">
        <v>1152</v>
      </c>
      <c r="AF257" s="380" t="s">
        <v>63</v>
      </c>
      <c r="AG257" s="380">
        <v>3</v>
      </c>
      <c r="AH257" s="363" t="s">
        <v>667</v>
      </c>
    </row>
    <row r="258" spans="2:34" ht="15" hidden="1" customHeight="1" x14ac:dyDescent="0.3">
      <c r="B258" s="380" t="s">
        <v>14</v>
      </c>
      <c r="C258" s="409" t="s">
        <v>975</v>
      </c>
      <c r="D258" s="423" t="s">
        <v>1153</v>
      </c>
      <c r="E258" s="419">
        <v>6100009808</v>
      </c>
      <c r="F258" s="387">
        <v>45855</v>
      </c>
      <c r="G258" s="380" t="s">
        <v>55</v>
      </c>
      <c r="H258" s="380">
        <v>2</v>
      </c>
      <c r="I258" s="388">
        <v>240000</v>
      </c>
      <c r="J258" s="380">
        <v>3</v>
      </c>
      <c r="K258" s="389">
        <f t="shared" si="10"/>
        <v>80000</v>
      </c>
      <c r="L258" s="381">
        <v>45870</v>
      </c>
      <c r="M258" s="381">
        <v>46234</v>
      </c>
      <c r="N258" s="663"/>
      <c r="O258" s="680"/>
      <c r="P258" s="363" t="s">
        <v>19</v>
      </c>
      <c r="Q258" s="380" t="s">
        <v>11</v>
      </c>
      <c r="R258" s="380"/>
      <c r="S258" s="390" t="s">
        <v>1154</v>
      </c>
      <c r="T258" s="363" t="s">
        <v>169</v>
      </c>
      <c r="U258" s="390" t="s">
        <v>361</v>
      </c>
      <c r="V258" s="363" t="s">
        <v>639</v>
      </c>
      <c r="W258" s="390" t="s">
        <v>1080</v>
      </c>
      <c r="X258" s="363" t="s">
        <v>1856</v>
      </c>
      <c r="Y258" s="363"/>
      <c r="Z258" s="363"/>
      <c r="AA258" s="363"/>
      <c r="AB258" s="363"/>
      <c r="AC258" s="363"/>
      <c r="AD258" s="363"/>
      <c r="AE258" s="363" t="s">
        <v>551</v>
      </c>
      <c r="AF258" s="380" t="s">
        <v>207</v>
      </c>
      <c r="AG258" s="380">
        <v>3</v>
      </c>
      <c r="AH258" s="363" t="s">
        <v>26</v>
      </c>
    </row>
    <row r="259" spans="2:34" ht="15" hidden="1" customHeight="1" x14ac:dyDescent="0.3">
      <c r="B259" s="380" t="s">
        <v>14</v>
      </c>
      <c r="C259" s="409" t="s">
        <v>1155</v>
      </c>
      <c r="D259" s="423" t="s">
        <v>151</v>
      </c>
      <c r="E259" s="419">
        <v>4300495205</v>
      </c>
      <c r="F259" s="387">
        <v>45848</v>
      </c>
      <c r="G259" s="380" t="s">
        <v>55</v>
      </c>
      <c r="H259" s="380">
        <v>4</v>
      </c>
      <c r="I259" s="388">
        <v>295998</v>
      </c>
      <c r="J259" s="380">
        <v>3</v>
      </c>
      <c r="K259" s="389">
        <f t="shared" si="10"/>
        <v>98666</v>
      </c>
      <c r="L259" s="381">
        <v>45778</v>
      </c>
      <c r="M259" s="381">
        <v>46142</v>
      </c>
      <c r="N259" s="663"/>
      <c r="O259" s="680"/>
      <c r="P259" s="363" t="s">
        <v>19</v>
      </c>
      <c r="Q259" s="380" t="s">
        <v>5</v>
      </c>
      <c r="R259" s="380"/>
      <c r="S259" s="390" t="s">
        <v>343</v>
      </c>
      <c r="T259" s="363" t="s">
        <v>753</v>
      </c>
      <c r="U259" s="390" t="s">
        <v>345</v>
      </c>
      <c r="V259" s="363" t="s">
        <v>1001</v>
      </c>
      <c r="W259" s="390" t="s">
        <v>347</v>
      </c>
      <c r="X259" s="363" t="s">
        <v>1044</v>
      </c>
      <c r="Y259" s="363"/>
      <c r="Z259" s="363"/>
      <c r="AA259" s="363"/>
      <c r="AB259" s="363"/>
      <c r="AC259" s="363"/>
      <c r="AD259" s="363"/>
      <c r="AE259" s="363" t="s">
        <v>507</v>
      </c>
      <c r="AF259" s="380" t="s">
        <v>63</v>
      </c>
      <c r="AG259" s="380">
        <v>3</v>
      </c>
      <c r="AH259" s="363" t="s">
        <v>667</v>
      </c>
    </row>
    <row r="260" spans="2:34" ht="15" hidden="1" customHeight="1" x14ac:dyDescent="0.3">
      <c r="B260" s="380" t="s">
        <v>14</v>
      </c>
      <c r="C260" s="363" t="s">
        <v>1156</v>
      </c>
      <c r="D260" s="434" t="s">
        <v>151</v>
      </c>
      <c r="E260" s="468" t="s">
        <v>1157</v>
      </c>
      <c r="F260" s="387">
        <v>45866</v>
      </c>
      <c r="G260" s="380" t="s">
        <v>55</v>
      </c>
      <c r="H260" s="380">
        <v>3</v>
      </c>
      <c r="I260" s="388">
        <v>75000</v>
      </c>
      <c r="J260" s="380">
        <v>3</v>
      </c>
      <c r="K260" s="389">
        <f t="shared" si="10"/>
        <v>25000</v>
      </c>
      <c r="L260" s="381">
        <v>45870</v>
      </c>
      <c r="M260" s="381">
        <v>46234</v>
      </c>
      <c r="N260" s="663"/>
      <c r="O260" s="680"/>
      <c r="P260" s="363" t="s">
        <v>19</v>
      </c>
      <c r="Q260" s="380" t="s">
        <v>11</v>
      </c>
      <c r="R260" s="380"/>
      <c r="S260" s="390" t="s">
        <v>665</v>
      </c>
      <c r="T260" s="363" t="s">
        <v>360</v>
      </c>
      <c r="U260" s="390" t="s">
        <v>361</v>
      </c>
      <c r="V260" s="363" t="s">
        <v>874</v>
      </c>
      <c r="W260" s="390" t="s">
        <v>1080</v>
      </c>
      <c r="X260" s="363" t="s">
        <v>1843</v>
      </c>
      <c r="Y260" s="363"/>
      <c r="Z260" s="363"/>
      <c r="AA260" s="363"/>
      <c r="AB260" s="363"/>
      <c r="AC260" s="363"/>
      <c r="AD260" s="363"/>
      <c r="AE260" s="363" t="s">
        <v>478</v>
      </c>
      <c r="AF260" s="380" t="s">
        <v>63</v>
      </c>
      <c r="AG260" s="380">
        <v>3</v>
      </c>
      <c r="AH260" s="363" t="s">
        <v>667</v>
      </c>
    </row>
    <row r="261" spans="2:34" ht="15" hidden="1" customHeight="1" x14ac:dyDescent="0.3">
      <c r="B261" s="380" t="s">
        <v>14</v>
      </c>
      <c r="C261" s="473" t="s">
        <v>150</v>
      </c>
      <c r="D261" s="434" t="s">
        <v>447</v>
      </c>
      <c r="E261" s="419">
        <v>4200342890</v>
      </c>
      <c r="F261" s="387">
        <v>45817</v>
      </c>
      <c r="G261" s="380" t="s">
        <v>55</v>
      </c>
      <c r="H261" s="380">
        <v>3</v>
      </c>
      <c r="I261" s="388">
        <v>180000</v>
      </c>
      <c r="J261" s="380">
        <v>2</v>
      </c>
      <c r="K261" s="389">
        <f t="shared" si="10"/>
        <v>90000</v>
      </c>
      <c r="L261" s="381">
        <v>45839</v>
      </c>
      <c r="M261" s="381">
        <v>46203</v>
      </c>
      <c r="N261" s="663"/>
      <c r="O261" s="680"/>
      <c r="P261" s="363" t="s">
        <v>19</v>
      </c>
      <c r="Q261" s="380" t="s">
        <v>9</v>
      </c>
      <c r="R261" s="380"/>
      <c r="S261" s="390" t="s">
        <v>483</v>
      </c>
      <c r="T261" s="363" t="s">
        <v>588</v>
      </c>
      <c r="U261" s="390" t="s">
        <v>607</v>
      </c>
      <c r="V261" s="363" t="s">
        <v>1852</v>
      </c>
      <c r="W261" s="363"/>
      <c r="X261" s="363"/>
      <c r="Y261" s="363"/>
      <c r="Z261" s="363"/>
      <c r="AA261" s="363"/>
      <c r="AB261" s="363"/>
      <c r="AC261" s="363"/>
      <c r="AD261" s="363"/>
      <c r="AE261" s="363" t="s">
        <v>96</v>
      </c>
      <c r="AF261" s="380" t="s">
        <v>97</v>
      </c>
      <c r="AG261" s="380" t="s">
        <v>494</v>
      </c>
      <c r="AH261" s="363" t="s">
        <v>667</v>
      </c>
    </row>
    <row r="262" spans="2:34" ht="15" hidden="1" customHeight="1" x14ac:dyDescent="0.3">
      <c r="B262" s="380" t="s">
        <v>14</v>
      </c>
      <c r="C262" s="434" t="s">
        <v>1158</v>
      </c>
      <c r="D262" s="434" t="s">
        <v>1159</v>
      </c>
      <c r="E262" s="419">
        <v>1600034060</v>
      </c>
      <c r="F262" s="387">
        <v>45867</v>
      </c>
      <c r="G262" s="380" t="s">
        <v>55</v>
      </c>
      <c r="H262" s="380">
        <v>2</v>
      </c>
      <c r="I262" s="388">
        <v>159080</v>
      </c>
      <c r="J262" s="380">
        <v>2</v>
      </c>
      <c r="K262" s="389">
        <f t="shared" si="10"/>
        <v>79540</v>
      </c>
      <c r="L262" s="381">
        <v>45839</v>
      </c>
      <c r="M262" s="381">
        <v>46203</v>
      </c>
      <c r="N262" s="663"/>
      <c r="O262" s="680"/>
      <c r="P262" s="363" t="s">
        <v>19</v>
      </c>
      <c r="Q262" s="380" t="s">
        <v>11</v>
      </c>
      <c r="R262" s="380"/>
      <c r="S262" s="390" t="s">
        <v>483</v>
      </c>
      <c r="T262" s="363" t="s">
        <v>1034</v>
      </c>
      <c r="U262" s="390" t="s">
        <v>607</v>
      </c>
      <c r="V262" s="363" t="s">
        <v>1949</v>
      </c>
      <c r="W262" s="363"/>
      <c r="X262" s="363"/>
      <c r="Y262" s="363"/>
      <c r="Z262" s="363"/>
      <c r="AA262" s="363"/>
      <c r="AB262" s="363"/>
      <c r="AC262" s="363"/>
      <c r="AD262" s="363"/>
      <c r="AE262" s="363" t="s">
        <v>478</v>
      </c>
      <c r="AF262" s="380" t="s">
        <v>63</v>
      </c>
      <c r="AG262" s="380">
        <v>3</v>
      </c>
      <c r="AH262" s="363" t="s">
        <v>667</v>
      </c>
    </row>
    <row r="263" spans="2:34" ht="15" hidden="1" customHeight="1" x14ac:dyDescent="0.3">
      <c r="B263" s="380" t="s">
        <v>14</v>
      </c>
      <c r="C263" s="409" t="s">
        <v>1160</v>
      </c>
      <c r="D263" s="434" t="s">
        <v>151</v>
      </c>
      <c r="E263" s="380" t="s">
        <v>1161</v>
      </c>
      <c r="F263" s="387">
        <v>45852</v>
      </c>
      <c r="G263" s="380" t="s">
        <v>55</v>
      </c>
      <c r="H263" s="380">
        <v>2</v>
      </c>
      <c r="I263" s="388">
        <v>156000</v>
      </c>
      <c r="J263" s="380">
        <v>3</v>
      </c>
      <c r="K263" s="389">
        <f t="shared" si="10"/>
        <v>52000</v>
      </c>
      <c r="L263" s="381">
        <v>45839</v>
      </c>
      <c r="M263" s="381">
        <v>46203</v>
      </c>
      <c r="N263" s="663"/>
      <c r="O263" s="680"/>
      <c r="P263" s="363" t="s">
        <v>19</v>
      </c>
      <c r="Q263" s="380" t="s">
        <v>9</v>
      </c>
      <c r="R263" s="380"/>
      <c r="S263" s="390" t="s">
        <v>190</v>
      </c>
      <c r="T263" s="363" t="s">
        <v>791</v>
      </c>
      <c r="U263" s="390" t="s">
        <v>192</v>
      </c>
      <c r="V263" s="363" t="s">
        <v>1162</v>
      </c>
      <c r="W263" s="390" t="s">
        <v>1163</v>
      </c>
      <c r="X263" s="363" t="s">
        <v>1844</v>
      </c>
      <c r="Y263" s="363"/>
      <c r="Z263" s="363"/>
      <c r="AA263" s="363"/>
      <c r="AB263" s="363"/>
      <c r="AC263" s="363"/>
      <c r="AD263" s="363"/>
      <c r="AE263" s="363" t="s">
        <v>478</v>
      </c>
      <c r="AF263" s="380" t="s">
        <v>63</v>
      </c>
      <c r="AG263" s="380">
        <v>3</v>
      </c>
      <c r="AH263" s="363" t="s">
        <v>667</v>
      </c>
    </row>
    <row r="264" spans="2:34" ht="15" hidden="1" customHeight="1" x14ac:dyDescent="0.3">
      <c r="B264" s="380" t="s">
        <v>14</v>
      </c>
      <c r="C264" s="409" t="s">
        <v>954</v>
      </c>
      <c r="D264" s="423" t="s">
        <v>1164</v>
      </c>
      <c r="E264" s="805">
        <v>4601465639</v>
      </c>
      <c r="F264" s="387">
        <v>45845</v>
      </c>
      <c r="G264" s="380" t="s">
        <v>55</v>
      </c>
      <c r="H264" s="380">
        <v>1</v>
      </c>
      <c r="I264" s="388">
        <v>85000</v>
      </c>
      <c r="J264" s="380">
        <v>1</v>
      </c>
      <c r="K264" s="389">
        <f t="shared" si="10"/>
        <v>85000</v>
      </c>
      <c r="L264" s="381">
        <v>45839</v>
      </c>
      <c r="M264" s="381">
        <v>46203</v>
      </c>
      <c r="N264" s="663"/>
      <c r="O264" s="680"/>
      <c r="P264" s="363" t="s">
        <v>19</v>
      </c>
      <c r="Q264" s="380" t="s">
        <v>9</v>
      </c>
      <c r="R264" s="380"/>
      <c r="S264" s="390" t="s">
        <v>1071</v>
      </c>
      <c r="T264" s="363" t="s">
        <v>618</v>
      </c>
      <c r="U264" s="363"/>
      <c r="V264" s="363"/>
      <c r="W264" s="363"/>
      <c r="X264" s="363"/>
      <c r="Y264" s="363"/>
      <c r="Z264" s="363"/>
      <c r="AA264" s="363"/>
      <c r="AB264" s="363"/>
      <c r="AC264" s="363"/>
      <c r="AD264" s="363"/>
      <c r="AE264" s="363" t="s">
        <v>478</v>
      </c>
      <c r="AF264" s="380" t="s">
        <v>63</v>
      </c>
      <c r="AG264" s="380">
        <v>3</v>
      </c>
      <c r="AH264" s="363" t="s">
        <v>667</v>
      </c>
    </row>
    <row r="265" spans="2:34" ht="15" hidden="1" customHeight="1" x14ac:dyDescent="0.3">
      <c r="B265" s="380" t="s">
        <v>14</v>
      </c>
      <c r="C265" s="409" t="s">
        <v>756</v>
      </c>
      <c r="D265" s="423" t="s">
        <v>757</v>
      </c>
      <c r="E265" s="419">
        <v>2265006145</v>
      </c>
      <c r="F265" s="387">
        <v>45868</v>
      </c>
      <c r="G265" s="380" t="s">
        <v>55</v>
      </c>
      <c r="H265" s="380">
        <v>2</v>
      </c>
      <c r="I265" s="388">
        <v>164160</v>
      </c>
      <c r="J265" s="380">
        <v>3</v>
      </c>
      <c r="K265" s="389">
        <f t="shared" si="10"/>
        <v>54720</v>
      </c>
      <c r="L265" s="381">
        <v>45748</v>
      </c>
      <c r="M265" s="381">
        <v>46112</v>
      </c>
      <c r="N265" s="663"/>
      <c r="O265" s="680"/>
      <c r="P265" s="363" t="s">
        <v>19</v>
      </c>
      <c r="Q265" s="380" t="s">
        <v>5</v>
      </c>
      <c r="R265" s="380"/>
      <c r="S265" s="390" t="s">
        <v>357</v>
      </c>
      <c r="T265" s="363" t="s">
        <v>872</v>
      </c>
      <c r="U265" s="390" t="s">
        <v>665</v>
      </c>
      <c r="V265" s="363" t="s">
        <v>967</v>
      </c>
      <c r="W265" s="390" t="s">
        <v>361</v>
      </c>
      <c r="X265" s="363" t="s">
        <v>882</v>
      </c>
      <c r="Y265" s="363"/>
      <c r="Z265" s="363"/>
      <c r="AA265" s="363"/>
      <c r="AB265" s="363"/>
      <c r="AC265" s="363"/>
      <c r="AD265" s="363"/>
      <c r="AE265" s="363" t="s">
        <v>507</v>
      </c>
      <c r="AF265" s="380" t="s">
        <v>63</v>
      </c>
      <c r="AG265" s="380">
        <v>3</v>
      </c>
      <c r="AH265" s="363" t="s">
        <v>799</v>
      </c>
    </row>
    <row r="266" spans="2:34" ht="15" hidden="1" customHeight="1" x14ac:dyDescent="0.3">
      <c r="B266" s="380" t="s">
        <v>14</v>
      </c>
      <c r="C266" s="409" t="s">
        <v>195</v>
      </c>
      <c r="D266" s="423" t="s">
        <v>447</v>
      </c>
      <c r="E266" s="464" t="s">
        <v>1165</v>
      </c>
      <c r="F266" s="387">
        <v>45864</v>
      </c>
      <c r="G266" s="380" t="s">
        <v>55</v>
      </c>
      <c r="H266" s="380">
        <v>8</v>
      </c>
      <c r="I266" s="388">
        <v>513520</v>
      </c>
      <c r="J266" s="380">
        <v>4</v>
      </c>
      <c r="K266" s="389">
        <f t="shared" si="10"/>
        <v>128380</v>
      </c>
      <c r="L266" s="381">
        <v>45877</v>
      </c>
      <c r="M266" s="381">
        <v>46241</v>
      </c>
      <c r="N266" s="663">
        <v>154580</v>
      </c>
      <c r="O266" s="680">
        <v>4724</v>
      </c>
      <c r="P266" s="363" t="s">
        <v>19</v>
      </c>
      <c r="Q266" s="380" t="s">
        <v>13</v>
      </c>
      <c r="R266" s="380"/>
      <c r="S266" s="390" t="s">
        <v>1166</v>
      </c>
      <c r="T266" s="363" t="s">
        <v>707</v>
      </c>
      <c r="U266" s="390" t="s">
        <v>1167</v>
      </c>
      <c r="V266" s="363" t="s">
        <v>653</v>
      </c>
      <c r="W266" s="390" t="s">
        <v>1168</v>
      </c>
      <c r="X266" s="363" t="s">
        <v>1169</v>
      </c>
      <c r="Y266" s="390" t="s">
        <v>1170</v>
      </c>
      <c r="Z266" s="363" t="s">
        <v>2020</v>
      </c>
      <c r="AA266" s="363"/>
      <c r="AB266" s="363"/>
      <c r="AC266" s="363"/>
      <c r="AD266" s="363"/>
      <c r="AE266" s="363" t="s">
        <v>96</v>
      </c>
      <c r="AF266" s="380" t="s">
        <v>97</v>
      </c>
      <c r="AG266" s="380" t="s">
        <v>494</v>
      </c>
      <c r="AH266" s="363" t="s">
        <v>667</v>
      </c>
    </row>
    <row r="267" spans="2:34" ht="15" hidden="1" customHeight="1" x14ac:dyDescent="0.3">
      <c r="B267" s="380" t="s">
        <v>14</v>
      </c>
      <c r="C267" s="409" t="s">
        <v>1172</v>
      </c>
      <c r="D267" s="423" t="s">
        <v>1016</v>
      </c>
      <c r="E267" s="419">
        <v>7100090208</v>
      </c>
      <c r="F267" s="387">
        <v>45874</v>
      </c>
      <c r="G267" s="380" t="s">
        <v>55</v>
      </c>
      <c r="H267" s="380">
        <v>1</v>
      </c>
      <c r="I267" s="388">
        <v>81000</v>
      </c>
      <c r="J267" s="380">
        <v>3</v>
      </c>
      <c r="K267" s="389">
        <f t="shared" si="10"/>
        <v>27000</v>
      </c>
      <c r="L267" s="381">
        <v>45839</v>
      </c>
      <c r="M267" s="381">
        <v>46203</v>
      </c>
      <c r="N267" s="663"/>
      <c r="O267" s="680"/>
      <c r="P267" s="363" t="s">
        <v>19</v>
      </c>
      <c r="Q267" s="380" t="s">
        <v>9</v>
      </c>
      <c r="R267" s="380"/>
      <c r="S267" s="390" t="s">
        <v>190</v>
      </c>
      <c r="T267" s="363" t="s">
        <v>760</v>
      </c>
      <c r="U267" s="390" t="s">
        <v>192</v>
      </c>
      <c r="V267" s="363" t="s">
        <v>1173</v>
      </c>
      <c r="W267" s="390" t="s">
        <v>194</v>
      </c>
      <c r="X267" s="363" t="s">
        <v>1855</v>
      </c>
      <c r="Y267" s="363"/>
      <c r="Z267" s="363"/>
      <c r="AA267" s="363"/>
      <c r="AB267" s="363"/>
      <c r="AC267" s="363"/>
      <c r="AD267" s="363"/>
      <c r="AE267" s="363" t="s">
        <v>619</v>
      </c>
      <c r="AF267" s="380" t="s">
        <v>63</v>
      </c>
      <c r="AG267" s="380">
        <v>3</v>
      </c>
      <c r="AH267" s="363" t="s">
        <v>667</v>
      </c>
    </row>
    <row r="268" spans="2:34" ht="15" hidden="1" customHeight="1" x14ac:dyDescent="0.3">
      <c r="B268" s="380" t="s">
        <v>14</v>
      </c>
      <c r="C268" s="409" t="s">
        <v>1174</v>
      </c>
      <c r="D268" s="423" t="s">
        <v>447</v>
      </c>
      <c r="E268" s="397" t="s">
        <v>1175</v>
      </c>
      <c r="F268" s="387">
        <v>45869</v>
      </c>
      <c r="G268" s="380" t="s">
        <v>55</v>
      </c>
      <c r="H268" s="380">
        <v>4</v>
      </c>
      <c r="I268" s="388">
        <v>236252</v>
      </c>
      <c r="J268" s="380">
        <v>3</v>
      </c>
      <c r="K268" s="389">
        <f t="shared" si="10"/>
        <v>78750.666666666672</v>
      </c>
      <c r="L268" s="381">
        <v>45853</v>
      </c>
      <c r="M268" s="381">
        <v>46217</v>
      </c>
      <c r="N268" s="663"/>
      <c r="O268" s="680"/>
      <c r="P268" s="363" t="s">
        <v>19</v>
      </c>
      <c r="Q268" s="380" t="s">
        <v>11</v>
      </c>
      <c r="R268" s="380"/>
      <c r="S268" s="390" t="s">
        <v>1176</v>
      </c>
      <c r="T268" s="363" t="s">
        <v>1177</v>
      </c>
      <c r="U268" s="390" t="s">
        <v>1178</v>
      </c>
      <c r="V268" s="363" t="s">
        <v>1179</v>
      </c>
      <c r="W268" s="390" t="s">
        <v>1180</v>
      </c>
      <c r="X268" s="363" t="s">
        <v>1843</v>
      </c>
      <c r="Y268" s="363"/>
      <c r="Z268" s="363"/>
      <c r="AA268" s="363"/>
      <c r="AB268" s="363"/>
      <c r="AC268" s="363"/>
      <c r="AD268" s="363"/>
      <c r="AE268" s="363" t="s">
        <v>281</v>
      </c>
      <c r="AF268" s="380" t="s">
        <v>97</v>
      </c>
      <c r="AG268" s="380">
        <v>3</v>
      </c>
      <c r="AH268" s="363" t="s">
        <v>667</v>
      </c>
    </row>
    <row r="269" spans="2:34" ht="15" hidden="1" customHeight="1" x14ac:dyDescent="0.3">
      <c r="B269" s="380" t="s">
        <v>14</v>
      </c>
      <c r="C269" s="409" t="s">
        <v>195</v>
      </c>
      <c r="D269" s="423" t="s">
        <v>447</v>
      </c>
      <c r="E269" s="397" t="s">
        <v>1181</v>
      </c>
      <c r="F269" s="387">
        <v>45868</v>
      </c>
      <c r="G269" s="380" t="s">
        <v>55</v>
      </c>
      <c r="H269" s="380">
        <v>1</v>
      </c>
      <c r="I269" s="388">
        <v>61000</v>
      </c>
      <c r="J269" s="380">
        <v>4</v>
      </c>
      <c r="K269" s="389">
        <f t="shared" si="10"/>
        <v>15250</v>
      </c>
      <c r="L269" s="381">
        <v>45874</v>
      </c>
      <c r="M269" s="381">
        <v>46238</v>
      </c>
      <c r="N269" s="663">
        <v>154682</v>
      </c>
      <c r="O269" s="680">
        <v>4713</v>
      </c>
      <c r="P269" s="363" t="s">
        <v>19</v>
      </c>
      <c r="Q269" s="380" t="s">
        <v>13</v>
      </c>
      <c r="R269" s="380"/>
      <c r="S269" s="390" t="s">
        <v>1182</v>
      </c>
      <c r="T269" s="363" t="s">
        <v>110</v>
      </c>
      <c r="U269" s="390" t="s">
        <v>1183</v>
      </c>
      <c r="V269" s="363" t="s">
        <v>270</v>
      </c>
      <c r="W269" s="390" t="s">
        <v>1184</v>
      </c>
      <c r="X269" s="363" t="s">
        <v>443</v>
      </c>
      <c r="Y269" s="390" t="s">
        <v>1185</v>
      </c>
      <c r="Z269" s="363" t="s">
        <v>1950</v>
      </c>
      <c r="AA269" s="363"/>
      <c r="AB269" s="363"/>
      <c r="AC269" s="363"/>
      <c r="AD269" s="363"/>
      <c r="AE269" s="363" t="s">
        <v>96</v>
      </c>
      <c r="AF269" s="380" t="s">
        <v>97</v>
      </c>
      <c r="AG269" s="380" t="s">
        <v>494</v>
      </c>
      <c r="AH269" s="363" t="s">
        <v>667</v>
      </c>
    </row>
    <row r="270" spans="2:34" ht="15" hidden="1" customHeight="1" x14ac:dyDescent="0.3">
      <c r="B270" s="380" t="s">
        <v>14</v>
      </c>
      <c r="C270" s="474" t="s">
        <v>1186</v>
      </c>
      <c r="D270" s="423" t="s">
        <v>841</v>
      </c>
      <c r="E270" s="464">
        <v>470072615</v>
      </c>
      <c r="F270" s="387">
        <v>45864</v>
      </c>
      <c r="G270" s="380" t="s">
        <v>55</v>
      </c>
      <c r="H270" s="380"/>
      <c r="I270" s="388">
        <v>40000</v>
      </c>
      <c r="J270" s="380">
        <v>2</v>
      </c>
      <c r="K270" s="389">
        <f t="shared" si="10"/>
        <v>20000</v>
      </c>
      <c r="L270" s="381">
        <v>45839</v>
      </c>
      <c r="M270" s="381">
        <v>46203</v>
      </c>
      <c r="N270" s="663"/>
      <c r="O270" s="680"/>
      <c r="P270" s="363" t="s">
        <v>520</v>
      </c>
      <c r="Q270" s="380" t="s">
        <v>13</v>
      </c>
      <c r="R270" s="380" t="s">
        <v>1</v>
      </c>
      <c r="S270" s="390" t="s">
        <v>483</v>
      </c>
      <c r="T270" s="363" t="s">
        <v>1187</v>
      </c>
      <c r="U270" s="363" t="s">
        <v>607</v>
      </c>
      <c r="V270" s="363"/>
      <c r="W270" s="363"/>
      <c r="X270" s="363"/>
      <c r="Y270" s="363"/>
      <c r="Z270" s="363"/>
      <c r="AA270" s="363"/>
      <c r="AB270" s="363"/>
      <c r="AC270" s="363"/>
      <c r="AD270" s="363"/>
      <c r="AE270" s="363" t="s">
        <v>1188</v>
      </c>
      <c r="AF270" s="380" t="s">
        <v>63</v>
      </c>
      <c r="AG270" s="380"/>
      <c r="AH270" s="363"/>
    </row>
    <row r="271" spans="2:34" ht="15" hidden="1" customHeight="1" x14ac:dyDescent="0.3">
      <c r="B271" s="380" t="s">
        <v>14</v>
      </c>
      <c r="C271" s="412" t="s">
        <v>508</v>
      </c>
      <c r="D271" s="437" t="s">
        <v>866</v>
      </c>
      <c r="E271" s="475" t="s">
        <v>1189</v>
      </c>
      <c r="F271" s="415">
        <v>45873</v>
      </c>
      <c r="G271" s="380" t="s">
        <v>55</v>
      </c>
      <c r="H271" s="380">
        <v>2</v>
      </c>
      <c r="I271" s="388">
        <f>89000*2</f>
        <v>178000</v>
      </c>
      <c r="J271" s="380">
        <v>3</v>
      </c>
      <c r="K271" s="389">
        <f>I271/2</f>
        <v>89000</v>
      </c>
      <c r="L271" s="381">
        <v>45878</v>
      </c>
      <c r="M271" s="381">
        <v>46242</v>
      </c>
      <c r="N271" s="663"/>
      <c r="O271" s="680"/>
      <c r="P271" s="363" t="s">
        <v>520</v>
      </c>
      <c r="Q271" s="380" t="s">
        <v>13</v>
      </c>
      <c r="R271" s="380"/>
      <c r="S271" s="390" t="s">
        <v>1190</v>
      </c>
      <c r="T271" s="363" t="s">
        <v>1191</v>
      </c>
      <c r="U271" s="390" t="s">
        <v>1192</v>
      </c>
      <c r="V271" s="363" t="s">
        <v>656</v>
      </c>
      <c r="W271" s="363" t="s">
        <v>1193</v>
      </c>
      <c r="X271" s="363" t="s">
        <v>1045</v>
      </c>
      <c r="Y271" s="363"/>
      <c r="Z271" s="363"/>
      <c r="AA271" s="363"/>
      <c r="AB271" s="363"/>
      <c r="AC271" s="363"/>
      <c r="AD271" s="363"/>
      <c r="AE271" s="363" t="s">
        <v>96</v>
      </c>
      <c r="AF271" s="380" t="s">
        <v>97</v>
      </c>
      <c r="AG271" s="380" t="s">
        <v>494</v>
      </c>
      <c r="AH271" s="453" t="s">
        <v>1194</v>
      </c>
    </row>
    <row r="272" spans="2:34" ht="15" hidden="1" customHeight="1" x14ac:dyDescent="0.3">
      <c r="B272" s="380" t="s">
        <v>14</v>
      </c>
      <c r="C272" s="409" t="s">
        <v>1195</v>
      </c>
      <c r="D272" s="423" t="s">
        <v>1196</v>
      </c>
      <c r="E272" s="472">
        <v>4601464540</v>
      </c>
      <c r="F272" s="387">
        <v>45841</v>
      </c>
      <c r="G272" s="380" t="s">
        <v>55</v>
      </c>
      <c r="H272" s="380">
        <v>2</v>
      </c>
      <c r="I272" s="388">
        <f>81900*2</f>
        <v>163800</v>
      </c>
      <c r="J272" s="380">
        <v>3</v>
      </c>
      <c r="K272" s="389">
        <f t="shared" ref="K272:K280" si="11">I272/J272</f>
        <v>54600</v>
      </c>
      <c r="L272" s="381">
        <v>45748</v>
      </c>
      <c r="M272" s="381">
        <v>46112</v>
      </c>
      <c r="N272" s="663"/>
      <c r="O272" s="680"/>
      <c r="P272" s="363" t="s">
        <v>19</v>
      </c>
      <c r="Q272" s="380" t="s">
        <v>3</v>
      </c>
      <c r="R272" s="380"/>
      <c r="S272" s="390" t="s">
        <v>357</v>
      </c>
      <c r="T272" s="363" t="s">
        <v>1197</v>
      </c>
      <c r="U272" s="390" t="s">
        <v>665</v>
      </c>
      <c r="V272" s="363" t="s">
        <v>1198</v>
      </c>
      <c r="W272" s="390" t="s">
        <v>361</v>
      </c>
      <c r="X272" s="363" t="s">
        <v>899</v>
      </c>
      <c r="Y272" s="363"/>
      <c r="Z272" s="363"/>
      <c r="AA272" s="363"/>
      <c r="AB272" s="363"/>
      <c r="AC272" s="363"/>
      <c r="AD272" s="363"/>
      <c r="AE272" s="363" t="s">
        <v>478</v>
      </c>
      <c r="AF272" s="380" t="s">
        <v>63</v>
      </c>
      <c r="AG272" s="380">
        <v>3</v>
      </c>
      <c r="AH272" s="363" t="s">
        <v>667</v>
      </c>
    </row>
    <row r="273" spans="2:34" ht="15" hidden="1" customHeight="1" x14ac:dyDescent="0.3">
      <c r="B273" s="380" t="s">
        <v>14</v>
      </c>
      <c r="C273" s="409" t="s">
        <v>1199</v>
      </c>
      <c r="D273" s="434" t="s">
        <v>151</v>
      </c>
      <c r="E273" s="380">
        <v>66981</v>
      </c>
      <c r="F273" s="387">
        <v>45881</v>
      </c>
      <c r="G273" s="380" t="s">
        <v>55</v>
      </c>
      <c r="H273" s="380">
        <v>2</v>
      </c>
      <c r="I273" s="388">
        <v>130000</v>
      </c>
      <c r="J273" s="380">
        <v>2</v>
      </c>
      <c r="K273" s="389">
        <f t="shared" si="11"/>
        <v>65000</v>
      </c>
      <c r="L273" s="381">
        <v>45839</v>
      </c>
      <c r="M273" s="381">
        <v>46203</v>
      </c>
      <c r="N273" s="663"/>
      <c r="O273" s="680"/>
      <c r="P273" s="363" t="s">
        <v>19</v>
      </c>
      <c r="Q273" s="380" t="s">
        <v>11</v>
      </c>
      <c r="R273" s="380"/>
      <c r="S273" s="390" t="s">
        <v>483</v>
      </c>
      <c r="T273" s="363" t="s">
        <v>1034</v>
      </c>
      <c r="U273" s="390" t="s">
        <v>607</v>
      </c>
      <c r="V273" s="363" t="s">
        <v>1951</v>
      </c>
      <c r="W273" s="363"/>
      <c r="X273" s="363"/>
      <c r="Y273" s="363"/>
      <c r="Z273" s="363"/>
      <c r="AA273" s="363"/>
      <c r="AB273" s="363"/>
      <c r="AC273" s="363"/>
      <c r="AD273" s="363"/>
      <c r="AE273" s="363" t="s">
        <v>478</v>
      </c>
      <c r="AF273" s="380" t="s">
        <v>63</v>
      </c>
      <c r="AG273" s="380">
        <v>3</v>
      </c>
      <c r="AH273" s="363" t="s">
        <v>667</v>
      </c>
    </row>
    <row r="274" spans="2:34" ht="15" hidden="1" customHeight="1" x14ac:dyDescent="0.3">
      <c r="B274" s="380" t="s">
        <v>14</v>
      </c>
      <c r="C274" s="409" t="s">
        <v>663</v>
      </c>
      <c r="D274" s="423" t="s">
        <v>1016</v>
      </c>
      <c r="E274" s="419">
        <v>4507651363</v>
      </c>
      <c r="F274" s="387">
        <v>45883</v>
      </c>
      <c r="G274" s="380" t="s">
        <v>55</v>
      </c>
      <c r="H274" s="380">
        <v>5</v>
      </c>
      <c r="I274" s="388">
        <f>462000-77000</f>
        <v>385000</v>
      </c>
      <c r="J274" s="380">
        <v>3</v>
      </c>
      <c r="K274" s="389">
        <f t="shared" si="11"/>
        <v>128333.33333333333</v>
      </c>
      <c r="L274" s="381">
        <v>45839</v>
      </c>
      <c r="M274" s="381">
        <v>46203</v>
      </c>
      <c r="N274" s="663"/>
      <c r="O274" s="680"/>
      <c r="P274" s="363" t="s">
        <v>19</v>
      </c>
      <c r="Q274" s="380" t="s">
        <v>9</v>
      </c>
      <c r="R274" s="380"/>
      <c r="S274" s="390" t="s">
        <v>190</v>
      </c>
      <c r="T274" s="363" t="s">
        <v>1026</v>
      </c>
      <c r="U274" s="390" t="s">
        <v>192</v>
      </c>
      <c r="V274" s="363" t="s">
        <v>193</v>
      </c>
      <c r="W274" s="390" t="s">
        <v>1200</v>
      </c>
      <c r="X274" s="363" t="s">
        <v>1843</v>
      </c>
      <c r="Y274" s="363"/>
      <c r="Z274" s="363"/>
      <c r="AA274" s="363"/>
      <c r="AB274" s="363"/>
      <c r="AC274" s="363"/>
      <c r="AD274" s="363"/>
      <c r="AE274" s="363" t="s">
        <v>619</v>
      </c>
      <c r="AF274" s="380" t="s">
        <v>63</v>
      </c>
      <c r="AG274" s="380">
        <v>3</v>
      </c>
      <c r="AH274" s="363" t="s">
        <v>667</v>
      </c>
    </row>
    <row r="275" spans="2:34" ht="15" hidden="1" customHeight="1" x14ac:dyDescent="0.3">
      <c r="B275" s="380" t="s">
        <v>14</v>
      </c>
      <c r="C275" s="409" t="s">
        <v>663</v>
      </c>
      <c r="D275" s="423" t="s">
        <v>1016</v>
      </c>
      <c r="E275" s="419">
        <v>4507651363</v>
      </c>
      <c r="F275" s="387">
        <v>45883</v>
      </c>
      <c r="G275" s="380" t="s">
        <v>55</v>
      </c>
      <c r="H275" s="380">
        <v>1</v>
      </c>
      <c r="I275" s="388">
        <v>77000</v>
      </c>
      <c r="J275" s="380">
        <v>2</v>
      </c>
      <c r="K275" s="389">
        <f t="shared" si="11"/>
        <v>38500</v>
      </c>
      <c r="L275" s="381">
        <v>45839</v>
      </c>
      <c r="M275" s="381">
        <v>46203</v>
      </c>
      <c r="N275" s="663"/>
      <c r="O275" s="680"/>
      <c r="P275" s="363" t="s">
        <v>19</v>
      </c>
      <c r="Q275" s="380" t="s">
        <v>9</v>
      </c>
      <c r="R275" s="380"/>
      <c r="S275" s="390" t="s">
        <v>483</v>
      </c>
      <c r="T275" s="363" t="s">
        <v>1026</v>
      </c>
      <c r="U275" s="390" t="s">
        <v>607</v>
      </c>
      <c r="V275" s="363" t="s">
        <v>193</v>
      </c>
      <c r="W275" s="363"/>
      <c r="X275" s="363"/>
      <c r="Y275" s="363"/>
      <c r="Z275" s="363"/>
      <c r="AA275" s="363"/>
      <c r="AB275" s="363"/>
      <c r="AC275" s="363"/>
      <c r="AD275" s="363"/>
      <c r="AE275" s="363" t="s">
        <v>619</v>
      </c>
      <c r="AF275" s="380" t="s">
        <v>63</v>
      </c>
      <c r="AG275" s="380">
        <v>3</v>
      </c>
      <c r="AH275" s="363" t="s">
        <v>667</v>
      </c>
    </row>
    <row r="276" spans="2:34" ht="15" customHeight="1" x14ac:dyDescent="0.3">
      <c r="B276" s="380" t="s">
        <v>14</v>
      </c>
      <c r="C276" s="409" t="s">
        <v>655</v>
      </c>
      <c r="D276" s="423" t="s">
        <v>151</v>
      </c>
      <c r="E276" s="464">
        <v>2009800</v>
      </c>
      <c r="F276" s="387">
        <v>45874</v>
      </c>
      <c r="G276" s="380" t="s">
        <v>2022</v>
      </c>
      <c r="H276" s="380"/>
      <c r="I276" s="388">
        <v>40000</v>
      </c>
      <c r="J276" s="380">
        <v>2</v>
      </c>
      <c r="K276" s="389"/>
      <c r="L276" s="381">
        <v>45874</v>
      </c>
      <c r="M276" s="381">
        <v>46238</v>
      </c>
      <c r="N276" s="663"/>
      <c r="O276" s="680"/>
      <c r="P276" s="363" t="s">
        <v>19</v>
      </c>
      <c r="Q276" s="380" t="s">
        <v>13</v>
      </c>
      <c r="R276" s="380" t="s">
        <v>1</v>
      </c>
      <c r="S276" s="390" t="s">
        <v>1201</v>
      </c>
      <c r="T276" s="363" t="s">
        <v>556</v>
      </c>
      <c r="U276" s="736" t="s">
        <v>1202</v>
      </c>
      <c r="V276" s="363"/>
      <c r="W276" s="363"/>
      <c r="X276" s="363"/>
      <c r="Y276" s="363"/>
      <c r="Z276" s="363"/>
      <c r="AA276" s="363"/>
      <c r="AB276" s="363"/>
      <c r="AC276" s="363"/>
      <c r="AD276" s="363"/>
      <c r="AE276" s="363" t="s">
        <v>1188</v>
      </c>
      <c r="AF276" s="380" t="s">
        <v>63</v>
      </c>
      <c r="AG276" s="380"/>
      <c r="AH276" s="363"/>
    </row>
    <row r="277" spans="2:34" ht="15" hidden="1" customHeight="1" x14ac:dyDescent="0.3">
      <c r="B277" s="380" t="s">
        <v>14</v>
      </c>
      <c r="C277" s="409" t="s">
        <v>1203</v>
      </c>
      <c r="D277" s="423" t="s">
        <v>997</v>
      </c>
      <c r="E277" s="464" t="s">
        <v>1204</v>
      </c>
      <c r="F277" s="387">
        <v>45882</v>
      </c>
      <c r="G277" s="380" t="s">
        <v>55</v>
      </c>
      <c r="H277" s="380">
        <v>1</v>
      </c>
      <c r="I277" s="388">
        <v>84000</v>
      </c>
      <c r="J277" s="380">
        <v>3</v>
      </c>
      <c r="K277" s="389">
        <f t="shared" si="11"/>
        <v>28000</v>
      </c>
      <c r="L277" s="381">
        <v>45839</v>
      </c>
      <c r="M277" s="381">
        <v>46203</v>
      </c>
      <c r="N277" s="663"/>
      <c r="O277" s="680"/>
      <c r="P277" s="363" t="s">
        <v>19</v>
      </c>
      <c r="Q277" s="380" t="s">
        <v>9</v>
      </c>
      <c r="R277" s="380"/>
      <c r="S277" s="390" t="s">
        <v>190</v>
      </c>
      <c r="T277" s="363" t="s">
        <v>807</v>
      </c>
      <c r="U277" s="390" t="s">
        <v>192</v>
      </c>
      <c r="V277" s="363" t="s">
        <v>1205</v>
      </c>
      <c r="W277" s="390" t="s">
        <v>1200</v>
      </c>
      <c r="X277" s="363" t="s">
        <v>1721</v>
      </c>
      <c r="Y277" s="363"/>
      <c r="Z277" s="363"/>
      <c r="AA277" s="363"/>
      <c r="AB277" s="363"/>
      <c r="AC277" s="363"/>
      <c r="AD277" s="363"/>
      <c r="AE277" s="363" t="s">
        <v>96</v>
      </c>
      <c r="AF277" s="380" t="s">
        <v>97</v>
      </c>
      <c r="AG277" s="380" t="s">
        <v>494</v>
      </c>
      <c r="AH277" s="363" t="s">
        <v>667</v>
      </c>
    </row>
    <row r="278" spans="2:34" ht="15" hidden="1" customHeight="1" x14ac:dyDescent="0.3">
      <c r="B278" s="380" t="s">
        <v>14</v>
      </c>
      <c r="C278" s="409" t="s">
        <v>1206</v>
      </c>
      <c r="D278" s="423" t="s">
        <v>1207</v>
      </c>
      <c r="E278" s="419">
        <v>401230020</v>
      </c>
      <c r="F278" s="387">
        <v>45878</v>
      </c>
      <c r="G278" s="380" t="s">
        <v>55</v>
      </c>
      <c r="H278" s="380">
        <v>1</v>
      </c>
      <c r="I278" s="388">
        <v>76000</v>
      </c>
      <c r="J278" s="380">
        <v>2</v>
      </c>
      <c r="K278" s="389">
        <f t="shared" si="11"/>
        <v>38000</v>
      </c>
      <c r="L278" s="381">
        <v>45839</v>
      </c>
      <c r="M278" s="381">
        <v>46203</v>
      </c>
      <c r="N278" s="663"/>
      <c r="O278" s="680"/>
      <c r="P278" s="363" t="s">
        <v>19</v>
      </c>
      <c r="Q278" s="380" t="s">
        <v>9</v>
      </c>
      <c r="R278" s="380"/>
      <c r="S278" s="390" t="s">
        <v>483</v>
      </c>
      <c r="T278" s="363" t="s">
        <v>1208</v>
      </c>
      <c r="U278" s="390" t="s">
        <v>607</v>
      </c>
      <c r="V278" s="363" t="s">
        <v>1844</v>
      </c>
      <c r="W278" s="363"/>
      <c r="X278" s="363"/>
      <c r="Y278" s="363"/>
      <c r="Z278" s="363"/>
      <c r="AA278" s="363"/>
      <c r="AB278" s="363"/>
      <c r="AC278" s="363"/>
      <c r="AD278" s="363"/>
      <c r="AE278" s="363" t="s">
        <v>96</v>
      </c>
      <c r="AF278" s="380" t="s">
        <v>97</v>
      </c>
      <c r="AG278" s="380"/>
      <c r="AH278" s="363" t="s">
        <v>667</v>
      </c>
    </row>
    <row r="279" spans="2:34" ht="15" hidden="1" customHeight="1" x14ac:dyDescent="0.3">
      <c r="B279" s="380" t="s">
        <v>14</v>
      </c>
      <c r="C279" s="409" t="s">
        <v>1206</v>
      </c>
      <c r="D279" s="423" t="s">
        <v>1207</v>
      </c>
      <c r="E279" s="419">
        <v>401230026</v>
      </c>
      <c r="F279" s="387">
        <v>45878</v>
      </c>
      <c r="G279" s="380" t="s">
        <v>55</v>
      </c>
      <c r="H279" s="380">
        <v>4</v>
      </c>
      <c r="I279" s="388">
        <f>76000*4</f>
        <v>304000</v>
      </c>
      <c r="J279" s="380">
        <v>2</v>
      </c>
      <c r="K279" s="389">
        <f t="shared" si="11"/>
        <v>152000</v>
      </c>
      <c r="L279" s="381">
        <v>45839</v>
      </c>
      <c r="M279" s="381">
        <v>46203</v>
      </c>
      <c r="N279" s="663"/>
      <c r="O279" s="680"/>
      <c r="P279" s="363" t="s">
        <v>19</v>
      </c>
      <c r="Q279" s="380" t="s">
        <v>9</v>
      </c>
      <c r="R279" s="380"/>
      <c r="S279" s="390" t="s">
        <v>483</v>
      </c>
      <c r="T279" s="363" t="s">
        <v>147</v>
      </c>
      <c r="U279" s="390" t="s">
        <v>607</v>
      </c>
      <c r="V279" s="363" t="s">
        <v>1850</v>
      </c>
      <c r="W279" s="363"/>
      <c r="X279" s="363"/>
      <c r="Y279" s="363"/>
      <c r="Z279" s="363"/>
      <c r="AA279" s="363"/>
      <c r="AB279" s="363"/>
      <c r="AC279" s="363"/>
      <c r="AD279" s="363"/>
      <c r="AE279" s="363" t="s">
        <v>96</v>
      </c>
      <c r="AF279" s="380" t="s">
        <v>97</v>
      </c>
      <c r="AG279" s="380"/>
      <c r="AH279" s="363" t="s">
        <v>667</v>
      </c>
    </row>
    <row r="280" spans="2:34" ht="15" hidden="1" customHeight="1" x14ac:dyDescent="0.3">
      <c r="B280" s="380" t="s">
        <v>14</v>
      </c>
      <c r="C280" s="430" t="s">
        <v>1211</v>
      </c>
      <c r="D280" s="445" t="s">
        <v>906</v>
      </c>
      <c r="E280" s="419">
        <v>4800001110</v>
      </c>
      <c r="F280" s="387">
        <v>45887</v>
      </c>
      <c r="G280" s="407" t="s">
        <v>703</v>
      </c>
      <c r="H280" s="380">
        <v>1</v>
      </c>
      <c r="I280" s="388">
        <v>356250</v>
      </c>
      <c r="J280" s="380">
        <v>3</v>
      </c>
      <c r="K280" s="389">
        <f t="shared" si="11"/>
        <v>118750</v>
      </c>
      <c r="L280" s="381">
        <v>45958</v>
      </c>
      <c r="M280" s="381">
        <v>46322</v>
      </c>
      <c r="N280" s="663"/>
      <c r="O280" s="680"/>
      <c r="P280" s="363" t="s">
        <v>520</v>
      </c>
      <c r="Q280" s="380" t="s">
        <v>13</v>
      </c>
      <c r="R280" s="380"/>
      <c r="S280" s="390" t="s">
        <v>1212</v>
      </c>
      <c r="T280" s="363" t="s">
        <v>653</v>
      </c>
      <c r="U280" s="390" t="s">
        <v>1213</v>
      </c>
      <c r="V280" s="363" t="s">
        <v>1722</v>
      </c>
      <c r="W280" s="363" t="s">
        <v>1214</v>
      </c>
      <c r="X280" s="363"/>
      <c r="Y280" s="363"/>
      <c r="Z280" s="363"/>
      <c r="AA280" s="363"/>
      <c r="AB280" s="363"/>
      <c r="AC280" s="363"/>
      <c r="AD280" s="363"/>
      <c r="AE280" s="363" t="s">
        <v>834</v>
      </c>
      <c r="AF280" s="380" t="s">
        <v>207</v>
      </c>
      <c r="AG280" s="380" t="s">
        <v>494</v>
      </c>
      <c r="AH280" s="363" t="s">
        <v>1215</v>
      </c>
    </row>
    <row r="281" spans="2:34" ht="15" hidden="1" customHeight="1" x14ac:dyDescent="0.3">
      <c r="B281" s="380" t="s">
        <v>14</v>
      </c>
      <c r="C281" s="443" t="s">
        <v>1216</v>
      </c>
      <c r="D281" s="444" t="s">
        <v>176</v>
      </c>
      <c r="E281" s="426">
        <v>1500003169</v>
      </c>
      <c r="F281" s="415">
        <v>45860</v>
      </c>
      <c r="G281" s="380" t="s">
        <v>55</v>
      </c>
      <c r="H281" s="380">
        <v>1</v>
      </c>
      <c r="I281" s="388">
        <v>98900</v>
      </c>
      <c r="J281" s="380">
        <v>3</v>
      </c>
      <c r="K281" s="389"/>
      <c r="L281" s="381">
        <v>45853</v>
      </c>
      <c r="M281" s="381">
        <v>46217</v>
      </c>
      <c r="N281" s="663"/>
      <c r="O281" s="680"/>
      <c r="P281" s="363" t="s">
        <v>19</v>
      </c>
      <c r="Q281" s="380" t="s">
        <v>11</v>
      </c>
      <c r="R281" s="380" t="s">
        <v>1</v>
      </c>
      <c r="S281" s="390" t="s">
        <v>1176</v>
      </c>
      <c r="T281" s="363" t="s">
        <v>1217</v>
      </c>
      <c r="U281" s="390" t="s">
        <v>1178</v>
      </c>
      <c r="V281" s="363" t="s">
        <v>1100</v>
      </c>
      <c r="W281" s="390" t="s">
        <v>1180</v>
      </c>
      <c r="X281" s="363" t="s">
        <v>1715</v>
      </c>
      <c r="Y281" s="363"/>
      <c r="Z281" s="363"/>
      <c r="AA281" s="363"/>
      <c r="AB281" s="363"/>
      <c r="AC281" s="363"/>
      <c r="AD281" s="363"/>
      <c r="AE281" s="363" t="s">
        <v>183</v>
      </c>
      <c r="AF281" s="380" t="s">
        <v>97</v>
      </c>
      <c r="AG281" s="380">
        <v>2</v>
      </c>
      <c r="AH281" s="363" t="s">
        <v>1218</v>
      </c>
    </row>
    <row r="282" spans="2:34" ht="15" hidden="1" customHeight="1" x14ac:dyDescent="0.3">
      <c r="B282" s="380" t="s">
        <v>14</v>
      </c>
      <c r="C282" s="443" t="s">
        <v>779</v>
      </c>
      <c r="D282" s="444" t="s">
        <v>558</v>
      </c>
      <c r="E282" s="426">
        <v>2500252147</v>
      </c>
      <c r="F282" s="387">
        <v>45883</v>
      </c>
      <c r="G282" s="380" t="s">
        <v>55</v>
      </c>
      <c r="H282" s="380">
        <v>1</v>
      </c>
      <c r="I282" s="388">
        <v>148435</v>
      </c>
      <c r="J282" s="380">
        <v>3</v>
      </c>
      <c r="K282" s="389">
        <f t="shared" ref="K282:K316" si="12">I282/J282</f>
        <v>49478.333333333336</v>
      </c>
      <c r="L282" s="381">
        <v>45870</v>
      </c>
      <c r="M282" s="381">
        <v>46234</v>
      </c>
      <c r="N282" s="663"/>
      <c r="O282" s="680"/>
      <c r="P282" s="363" t="s">
        <v>19</v>
      </c>
      <c r="Q282" s="380" t="s">
        <v>11</v>
      </c>
      <c r="R282" s="380" t="s">
        <v>1</v>
      </c>
      <c r="S282" s="390" t="s">
        <v>665</v>
      </c>
      <c r="T282" s="363" t="s">
        <v>1219</v>
      </c>
      <c r="U282" s="390" t="s">
        <v>361</v>
      </c>
      <c r="V282" s="363" t="s">
        <v>597</v>
      </c>
      <c r="W282" s="390" t="s">
        <v>1080</v>
      </c>
      <c r="X282" s="363" t="s">
        <v>1947</v>
      </c>
      <c r="Y282" s="363"/>
      <c r="Z282" s="363"/>
      <c r="AA282" s="363"/>
      <c r="AB282" s="363"/>
      <c r="AC282" s="363"/>
      <c r="AD282" s="363"/>
      <c r="AE282" s="363" t="s">
        <v>281</v>
      </c>
      <c r="AF282" s="380" t="s">
        <v>97</v>
      </c>
      <c r="AG282" s="380">
        <v>3</v>
      </c>
      <c r="AH282" s="446">
        <v>1</v>
      </c>
    </row>
    <row r="283" spans="2:34" ht="15" hidden="1" customHeight="1" x14ac:dyDescent="0.3">
      <c r="B283" s="380" t="s">
        <v>14</v>
      </c>
      <c r="C283" s="430" t="s">
        <v>1172</v>
      </c>
      <c r="D283" s="445" t="s">
        <v>1016</v>
      </c>
      <c r="E283" s="419">
        <v>7100081242</v>
      </c>
      <c r="F283" s="387">
        <v>45895</v>
      </c>
      <c r="G283" s="380" t="s">
        <v>55</v>
      </c>
      <c r="H283" s="380">
        <v>1</v>
      </c>
      <c r="I283" s="388">
        <v>81000</v>
      </c>
      <c r="J283" s="380">
        <v>3</v>
      </c>
      <c r="K283" s="391">
        <f t="shared" si="12"/>
        <v>27000</v>
      </c>
      <c r="L283" s="381">
        <v>45809</v>
      </c>
      <c r="M283" s="381">
        <v>46173</v>
      </c>
      <c r="N283" s="663"/>
      <c r="O283" s="680"/>
      <c r="P283" s="363" t="s">
        <v>19</v>
      </c>
      <c r="Q283" s="380" t="s">
        <v>9</v>
      </c>
      <c r="R283" s="380"/>
      <c r="S283" s="390" t="s">
        <v>81</v>
      </c>
      <c r="T283" s="363" t="s">
        <v>82</v>
      </c>
      <c r="U283" s="390" t="s">
        <v>83</v>
      </c>
      <c r="V283" s="363" t="s">
        <v>1056</v>
      </c>
      <c r="W283" s="390" t="s">
        <v>404</v>
      </c>
      <c r="X283" s="363" t="s">
        <v>1847</v>
      </c>
      <c r="Y283" s="363"/>
      <c r="Z283" s="363"/>
      <c r="AA283" s="363"/>
      <c r="AB283" s="363"/>
      <c r="AC283" s="363"/>
      <c r="AD283" s="363"/>
      <c r="AE283" s="363" t="s">
        <v>1220</v>
      </c>
      <c r="AF283" s="380" t="s">
        <v>63</v>
      </c>
      <c r="AG283" s="380">
        <v>3</v>
      </c>
      <c r="AH283" s="363" t="s">
        <v>667</v>
      </c>
    </row>
    <row r="284" spans="2:34" ht="15" hidden="1" customHeight="1" x14ac:dyDescent="0.3">
      <c r="B284" s="380" t="s">
        <v>14</v>
      </c>
      <c r="C284" s="409" t="s">
        <v>1221</v>
      </c>
      <c r="D284" s="423" t="s">
        <v>1159</v>
      </c>
      <c r="E284" s="419">
        <v>3300005366</v>
      </c>
      <c r="F284" s="387">
        <v>45881</v>
      </c>
      <c r="G284" s="380" t="s">
        <v>55</v>
      </c>
      <c r="H284" s="380">
        <v>7</v>
      </c>
      <c r="I284" s="388">
        <v>418222</v>
      </c>
      <c r="J284" s="380">
        <v>2</v>
      </c>
      <c r="K284" s="389">
        <f t="shared" si="12"/>
        <v>209111</v>
      </c>
      <c r="L284" s="381">
        <v>45870</v>
      </c>
      <c r="M284" s="381">
        <v>46234</v>
      </c>
      <c r="N284" s="663">
        <v>154596</v>
      </c>
      <c r="O284" s="680">
        <v>4683</v>
      </c>
      <c r="P284" s="363" t="s">
        <v>19</v>
      </c>
      <c r="Q284" s="380" t="s">
        <v>13</v>
      </c>
      <c r="R284" s="380"/>
      <c r="S284" s="390" t="s">
        <v>424</v>
      </c>
      <c r="T284" s="363" t="s">
        <v>443</v>
      </c>
      <c r="U284" s="390" t="s">
        <v>426</v>
      </c>
      <c r="V284" s="363" t="s">
        <v>2025</v>
      </c>
      <c r="W284" s="363"/>
      <c r="X284" s="363"/>
      <c r="Y284" s="363"/>
      <c r="Z284" s="363"/>
      <c r="AA284" s="363"/>
      <c r="AB284" s="363"/>
      <c r="AC284" s="363"/>
      <c r="AD284" s="363"/>
      <c r="AE284" s="363" t="s">
        <v>507</v>
      </c>
      <c r="AF284" s="380" t="s">
        <v>63</v>
      </c>
      <c r="AG284" s="380">
        <v>2</v>
      </c>
      <c r="AH284" s="363" t="s">
        <v>667</v>
      </c>
    </row>
    <row r="285" spans="2:34" ht="15" hidden="1" customHeight="1" x14ac:dyDescent="0.3">
      <c r="B285" s="380" t="s">
        <v>14</v>
      </c>
      <c r="C285" s="409" t="s">
        <v>1222</v>
      </c>
      <c r="D285" s="423" t="s">
        <v>1223</v>
      </c>
      <c r="E285" s="464" t="s">
        <v>1224</v>
      </c>
      <c r="F285" s="387">
        <v>45897</v>
      </c>
      <c r="G285" s="380" t="s">
        <v>55</v>
      </c>
      <c r="H285" s="380">
        <v>1</v>
      </c>
      <c r="I285" s="388">
        <v>85500</v>
      </c>
      <c r="J285" s="380">
        <v>3</v>
      </c>
      <c r="K285" s="389">
        <f t="shared" si="12"/>
        <v>28500</v>
      </c>
      <c r="L285" s="381">
        <v>45748</v>
      </c>
      <c r="M285" s="381">
        <v>46112</v>
      </c>
      <c r="N285" s="663"/>
      <c r="O285" s="680"/>
      <c r="P285" s="363" t="s">
        <v>19</v>
      </c>
      <c r="Q285" s="380" t="s">
        <v>5</v>
      </c>
      <c r="R285" s="380"/>
      <c r="S285" s="390" t="s">
        <v>357</v>
      </c>
      <c r="T285" s="363" t="s">
        <v>753</v>
      </c>
      <c r="U285" s="390" t="s">
        <v>665</v>
      </c>
      <c r="V285" s="363" t="s">
        <v>944</v>
      </c>
      <c r="W285" s="390" t="s">
        <v>361</v>
      </c>
      <c r="X285" s="363" t="s">
        <v>556</v>
      </c>
      <c r="Y285" s="363"/>
      <c r="Z285" s="363"/>
      <c r="AA285" s="363"/>
      <c r="AB285" s="363"/>
      <c r="AC285" s="363"/>
      <c r="AD285" s="363"/>
      <c r="AE285" s="363" t="s">
        <v>507</v>
      </c>
      <c r="AF285" s="380" t="s">
        <v>63</v>
      </c>
      <c r="AG285" s="380">
        <v>3</v>
      </c>
      <c r="AH285" s="363" t="s">
        <v>667</v>
      </c>
    </row>
    <row r="286" spans="2:34" ht="15" hidden="1" customHeight="1" x14ac:dyDescent="0.3">
      <c r="B286" s="380" t="s">
        <v>14</v>
      </c>
      <c r="C286" s="423" t="s">
        <v>1225</v>
      </c>
      <c r="D286" s="434" t="s">
        <v>1031</v>
      </c>
      <c r="E286" s="419">
        <v>4513032914</v>
      </c>
      <c r="F286" s="387">
        <v>45895</v>
      </c>
      <c r="G286" s="380" t="s">
        <v>55</v>
      </c>
      <c r="H286" s="380">
        <v>11</v>
      </c>
      <c r="I286" s="388">
        <v>506000</v>
      </c>
      <c r="J286" s="380">
        <v>3</v>
      </c>
      <c r="K286" s="389">
        <f t="shared" si="12"/>
        <v>168666.66666666666</v>
      </c>
      <c r="L286" s="381">
        <v>45870</v>
      </c>
      <c r="M286" s="381">
        <v>46234</v>
      </c>
      <c r="N286" s="663">
        <v>154587</v>
      </c>
      <c r="O286" s="680">
        <v>4695</v>
      </c>
      <c r="P286" s="363" t="s">
        <v>19</v>
      </c>
      <c r="Q286" s="380" t="s">
        <v>13</v>
      </c>
      <c r="R286" s="380"/>
      <c r="S286" s="390" t="s">
        <v>665</v>
      </c>
      <c r="T286" s="363" t="s">
        <v>1217</v>
      </c>
      <c r="U286" s="390" t="s">
        <v>361</v>
      </c>
      <c r="V286" s="363" t="s">
        <v>1226</v>
      </c>
      <c r="W286" s="390" t="s">
        <v>1080</v>
      </c>
      <c r="X286" s="363" t="s">
        <v>2026</v>
      </c>
      <c r="Y286" s="363"/>
      <c r="Z286" s="363"/>
      <c r="AA286" s="363"/>
      <c r="AB286" s="363"/>
      <c r="AC286" s="363"/>
      <c r="AD286" s="363"/>
      <c r="AE286" s="363" t="s">
        <v>478</v>
      </c>
      <c r="AF286" s="380" t="s">
        <v>63</v>
      </c>
      <c r="AG286" s="380">
        <v>5</v>
      </c>
      <c r="AH286" s="363" t="s">
        <v>667</v>
      </c>
    </row>
    <row r="287" spans="2:34" ht="15" hidden="1" customHeight="1" x14ac:dyDescent="0.3">
      <c r="B287" s="380" t="s">
        <v>14</v>
      </c>
      <c r="C287" s="423" t="s">
        <v>663</v>
      </c>
      <c r="D287" s="434" t="s">
        <v>1227</v>
      </c>
      <c r="E287" s="419">
        <v>4507666140</v>
      </c>
      <c r="F287" s="387">
        <v>45895</v>
      </c>
      <c r="G287" s="380" t="s">
        <v>55</v>
      </c>
      <c r="H287" s="380">
        <v>6</v>
      </c>
      <c r="I287" s="388">
        <v>540000</v>
      </c>
      <c r="J287" s="380">
        <v>3</v>
      </c>
      <c r="K287" s="389">
        <f t="shared" si="12"/>
        <v>180000</v>
      </c>
      <c r="L287" s="381">
        <v>45839</v>
      </c>
      <c r="M287" s="381">
        <v>46203</v>
      </c>
      <c r="N287" s="663"/>
      <c r="O287" s="680"/>
      <c r="P287" s="363" t="s">
        <v>19</v>
      </c>
      <c r="Q287" s="380" t="s">
        <v>11</v>
      </c>
      <c r="R287" s="380"/>
      <c r="S287" s="390" t="s">
        <v>190</v>
      </c>
      <c r="T287" s="363" t="s">
        <v>707</v>
      </c>
      <c r="U287" s="390" t="s">
        <v>192</v>
      </c>
      <c r="V287" s="363" t="s">
        <v>1228</v>
      </c>
      <c r="W287" s="390" t="s">
        <v>194</v>
      </c>
      <c r="X287" s="363" t="s">
        <v>1952</v>
      </c>
      <c r="Y287" s="363"/>
      <c r="Z287" s="363"/>
      <c r="AA287" s="363"/>
      <c r="AB287" s="363"/>
      <c r="AC287" s="363"/>
      <c r="AD287" s="363"/>
      <c r="AE287" s="363" t="s">
        <v>478</v>
      </c>
      <c r="AF287" s="380" t="s">
        <v>63</v>
      </c>
      <c r="AG287" s="380">
        <v>3</v>
      </c>
      <c r="AH287" s="363" t="s">
        <v>667</v>
      </c>
    </row>
    <row r="288" spans="2:34" ht="15" hidden="1" customHeight="1" x14ac:dyDescent="0.3">
      <c r="B288" s="380" t="s">
        <v>14</v>
      </c>
      <c r="C288" s="423" t="s">
        <v>1229</v>
      </c>
      <c r="D288" s="423" t="s">
        <v>1230</v>
      </c>
      <c r="E288" s="419">
        <v>5500011884</v>
      </c>
      <c r="F288" s="387">
        <v>45898</v>
      </c>
      <c r="G288" s="380" t="s">
        <v>55</v>
      </c>
      <c r="H288" s="380">
        <v>1</v>
      </c>
      <c r="I288" s="388">
        <v>84000</v>
      </c>
      <c r="J288" s="380">
        <v>3</v>
      </c>
      <c r="K288" s="389">
        <f t="shared" si="12"/>
        <v>28000</v>
      </c>
      <c r="L288" s="381">
        <v>45901</v>
      </c>
      <c r="M288" s="381">
        <v>46265</v>
      </c>
      <c r="N288" s="663">
        <v>154757</v>
      </c>
      <c r="O288" s="680">
        <v>4616</v>
      </c>
      <c r="P288" s="363" t="s">
        <v>19</v>
      </c>
      <c r="Q288" s="380" t="s">
        <v>13</v>
      </c>
      <c r="R288" s="380"/>
      <c r="S288" s="390" t="s">
        <v>345</v>
      </c>
      <c r="T288" s="363" t="s">
        <v>673</v>
      </c>
      <c r="U288" s="390" t="s">
        <v>347</v>
      </c>
      <c r="V288" s="363" t="s">
        <v>1232</v>
      </c>
      <c r="W288" s="390" t="s">
        <v>348</v>
      </c>
      <c r="X288" s="363" t="s">
        <v>2145</v>
      </c>
      <c r="Y288" s="363"/>
      <c r="Z288" s="363"/>
      <c r="AA288" s="363"/>
      <c r="AB288" s="363"/>
      <c r="AC288" s="363"/>
      <c r="AD288" s="363"/>
      <c r="AE288" s="363" t="s">
        <v>96</v>
      </c>
      <c r="AF288" s="380" t="s">
        <v>97</v>
      </c>
      <c r="AG288" s="380">
        <v>2</v>
      </c>
      <c r="AH288" s="363" t="s">
        <v>667</v>
      </c>
    </row>
    <row r="289" spans="2:34" ht="15" hidden="1" customHeight="1" x14ac:dyDescent="0.3">
      <c r="B289" s="380" t="s">
        <v>14</v>
      </c>
      <c r="C289" s="429" t="s">
        <v>1233</v>
      </c>
      <c r="D289" s="434" t="s">
        <v>131</v>
      </c>
      <c r="E289" s="419" t="s">
        <v>1234</v>
      </c>
      <c r="F289" s="387">
        <v>45901</v>
      </c>
      <c r="G289" s="380" t="s">
        <v>55</v>
      </c>
      <c r="H289" s="380">
        <v>1</v>
      </c>
      <c r="I289" s="388">
        <v>84000</v>
      </c>
      <c r="J289" s="380">
        <v>2</v>
      </c>
      <c r="K289" s="389">
        <f t="shared" si="12"/>
        <v>42000</v>
      </c>
      <c r="L289" s="381">
        <v>45901</v>
      </c>
      <c r="M289" s="381">
        <v>46265</v>
      </c>
      <c r="N289" s="663"/>
      <c r="O289" s="680"/>
      <c r="P289" s="363" t="s">
        <v>19</v>
      </c>
      <c r="Q289" s="380" t="s">
        <v>13</v>
      </c>
      <c r="R289" s="380"/>
      <c r="S289" s="390" t="s">
        <v>625</v>
      </c>
      <c r="T289" s="363" t="s">
        <v>854</v>
      </c>
      <c r="U289" s="390" t="s">
        <v>1235</v>
      </c>
      <c r="V289" s="363" t="s">
        <v>2145</v>
      </c>
      <c r="W289" s="363"/>
      <c r="X289" s="363"/>
      <c r="Y289" s="363"/>
      <c r="Z289" s="363"/>
      <c r="AA289" s="363"/>
      <c r="AB289" s="363"/>
      <c r="AC289" s="363"/>
      <c r="AD289" s="363"/>
      <c r="AE289" s="363" t="s">
        <v>485</v>
      </c>
      <c r="AF289" s="380" t="s">
        <v>63</v>
      </c>
      <c r="AG289" s="380">
        <v>2</v>
      </c>
      <c r="AH289" s="386" t="s">
        <v>657</v>
      </c>
    </row>
    <row r="290" spans="2:34" ht="15" hidden="1" customHeight="1" x14ac:dyDescent="0.3">
      <c r="B290" s="380" t="s">
        <v>14</v>
      </c>
      <c r="C290" s="430" t="s">
        <v>1236</v>
      </c>
      <c r="D290" s="445" t="s">
        <v>1237</v>
      </c>
      <c r="E290" s="419">
        <v>4503803719</v>
      </c>
      <c r="F290" s="387">
        <v>45890</v>
      </c>
      <c r="G290" s="380" t="s">
        <v>55</v>
      </c>
      <c r="H290" s="380">
        <v>1</v>
      </c>
      <c r="I290" s="388">
        <v>75000</v>
      </c>
      <c r="J290" s="380">
        <v>3</v>
      </c>
      <c r="K290" s="389">
        <f t="shared" si="12"/>
        <v>25000</v>
      </c>
      <c r="L290" s="381">
        <v>45870</v>
      </c>
      <c r="M290" s="381">
        <v>46234</v>
      </c>
      <c r="N290" s="663">
        <v>154726</v>
      </c>
      <c r="O290" s="680">
        <v>4678</v>
      </c>
      <c r="P290" s="363" t="s">
        <v>19</v>
      </c>
      <c r="Q290" s="380" t="s">
        <v>13</v>
      </c>
      <c r="R290" s="380"/>
      <c r="S290" s="390" t="s">
        <v>665</v>
      </c>
      <c r="T290" s="363" t="s">
        <v>1238</v>
      </c>
      <c r="U290" s="390" t="s">
        <v>361</v>
      </c>
      <c r="V290" s="363" t="s">
        <v>1239</v>
      </c>
      <c r="W290" s="390" t="s">
        <v>1080</v>
      </c>
      <c r="X290" s="363" t="s">
        <v>2020</v>
      </c>
      <c r="Y290" s="363"/>
      <c r="Z290" s="363"/>
      <c r="AA290" s="363"/>
      <c r="AB290" s="363"/>
      <c r="AC290" s="363"/>
      <c r="AD290" s="363"/>
      <c r="AE290" s="363" t="s">
        <v>478</v>
      </c>
      <c r="AF290" s="380" t="s">
        <v>63</v>
      </c>
      <c r="AG290" s="380">
        <v>2</v>
      </c>
      <c r="AH290" s="386" t="s">
        <v>657</v>
      </c>
    </row>
    <row r="291" spans="2:34" ht="15" hidden="1" customHeight="1" x14ac:dyDescent="0.3">
      <c r="B291" s="380" t="s">
        <v>14</v>
      </c>
      <c r="C291" s="430" t="s">
        <v>1240</v>
      </c>
      <c r="D291" s="445" t="s">
        <v>1241</v>
      </c>
      <c r="E291" s="419" t="s">
        <v>1242</v>
      </c>
      <c r="F291" s="387">
        <v>45905</v>
      </c>
      <c r="G291" s="380" t="s">
        <v>55</v>
      </c>
      <c r="H291" s="380">
        <v>1</v>
      </c>
      <c r="I291" s="388">
        <v>60400</v>
      </c>
      <c r="J291" s="380">
        <v>2</v>
      </c>
      <c r="K291" s="389">
        <f t="shared" si="12"/>
        <v>30200</v>
      </c>
      <c r="L291" s="381">
        <v>45901</v>
      </c>
      <c r="M291" s="381">
        <v>46265</v>
      </c>
      <c r="N291" s="663"/>
      <c r="O291" s="680"/>
      <c r="P291" s="363" t="s">
        <v>19</v>
      </c>
      <c r="Q291" s="380" t="s">
        <v>13</v>
      </c>
      <c r="R291" s="380"/>
      <c r="S291" s="390" t="s">
        <v>625</v>
      </c>
      <c r="T291" s="363" t="s">
        <v>171</v>
      </c>
      <c r="U291" s="390" t="s">
        <v>1235</v>
      </c>
      <c r="V291" s="363" t="s">
        <v>2029</v>
      </c>
      <c r="W291" s="363"/>
      <c r="X291" s="363"/>
      <c r="Y291" s="363"/>
      <c r="Z291" s="363"/>
      <c r="AA291" s="363"/>
      <c r="AB291" s="363"/>
      <c r="AC291" s="363"/>
      <c r="AD291" s="363"/>
      <c r="AE291" s="363" t="s">
        <v>485</v>
      </c>
      <c r="AF291" s="380" t="s">
        <v>63</v>
      </c>
      <c r="AG291" s="380">
        <v>2</v>
      </c>
      <c r="AH291" s="386" t="s">
        <v>657</v>
      </c>
    </row>
    <row r="292" spans="2:34" ht="15" hidden="1" customHeight="1" x14ac:dyDescent="0.3">
      <c r="B292" s="380" t="s">
        <v>14</v>
      </c>
      <c r="C292" s="430" t="s">
        <v>195</v>
      </c>
      <c r="D292" s="445" t="s">
        <v>558</v>
      </c>
      <c r="E292" s="380" t="s">
        <v>1243</v>
      </c>
      <c r="F292" s="387">
        <v>45901</v>
      </c>
      <c r="G292" s="380" t="s">
        <v>55</v>
      </c>
      <c r="H292" s="380"/>
      <c r="I292" s="388">
        <f>1459883.52/2</f>
        <v>729941.76</v>
      </c>
      <c r="J292" s="380">
        <v>4</v>
      </c>
      <c r="K292" s="389">
        <f t="shared" si="12"/>
        <v>182485.44</v>
      </c>
      <c r="L292" s="381">
        <v>45901</v>
      </c>
      <c r="M292" s="381">
        <v>46265</v>
      </c>
      <c r="N292" s="663"/>
      <c r="O292" s="680"/>
      <c r="P292" s="363" t="s">
        <v>520</v>
      </c>
      <c r="Q292" s="380" t="s">
        <v>1231</v>
      </c>
      <c r="R292" s="380"/>
      <c r="S292" s="390" t="s">
        <v>1131</v>
      </c>
      <c r="T292" s="363" t="s">
        <v>1091</v>
      </c>
      <c r="U292" s="390" t="s">
        <v>1133</v>
      </c>
      <c r="V292" s="363" t="s">
        <v>291</v>
      </c>
      <c r="W292" s="390" t="s">
        <v>1134</v>
      </c>
      <c r="X292" s="363" t="s">
        <v>1711</v>
      </c>
      <c r="Y292" s="390" t="s">
        <v>1244</v>
      </c>
      <c r="Z292" s="363" t="s">
        <v>2030</v>
      </c>
      <c r="AA292" s="363"/>
      <c r="AB292" s="363"/>
      <c r="AC292" s="363"/>
      <c r="AD292" s="363"/>
      <c r="AE292" s="363" t="s">
        <v>281</v>
      </c>
      <c r="AF292" s="380" t="s">
        <v>97</v>
      </c>
      <c r="AG292" s="380" t="s">
        <v>494</v>
      </c>
      <c r="AH292" s="386" t="s">
        <v>657</v>
      </c>
    </row>
    <row r="293" spans="2:34" ht="15" hidden="1" customHeight="1" x14ac:dyDescent="0.3">
      <c r="B293" s="380" t="s">
        <v>14</v>
      </c>
      <c r="C293" s="430" t="s">
        <v>195</v>
      </c>
      <c r="D293" s="445" t="s">
        <v>558</v>
      </c>
      <c r="E293" s="380" t="s">
        <v>1243</v>
      </c>
      <c r="F293" s="387">
        <v>45901</v>
      </c>
      <c r="G293" s="380" t="s">
        <v>55</v>
      </c>
      <c r="H293" s="380">
        <v>9</v>
      </c>
      <c r="I293" s="388">
        <f>1459883.52/2</f>
        <v>729941.76</v>
      </c>
      <c r="J293" s="380">
        <v>4</v>
      </c>
      <c r="K293" s="389">
        <f t="shared" si="12"/>
        <v>182485.44</v>
      </c>
      <c r="L293" s="381">
        <v>46266</v>
      </c>
      <c r="M293" s="381">
        <v>46630</v>
      </c>
      <c r="N293" s="663"/>
      <c r="O293" s="680"/>
      <c r="P293" s="363" t="s">
        <v>520</v>
      </c>
      <c r="Q293" s="380" t="s">
        <v>1231</v>
      </c>
      <c r="R293" s="380"/>
      <c r="S293" s="363" t="s">
        <v>1245</v>
      </c>
      <c r="T293" s="363"/>
      <c r="U293" s="363" t="s">
        <v>1246</v>
      </c>
      <c r="V293" s="363"/>
      <c r="W293" s="363" t="s">
        <v>1247</v>
      </c>
      <c r="X293" s="363"/>
      <c r="Y293" s="363" t="s">
        <v>1248</v>
      </c>
      <c r="Z293" s="363"/>
      <c r="AA293" s="363"/>
      <c r="AB293" s="363"/>
      <c r="AC293" s="363"/>
      <c r="AD293" s="363"/>
      <c r="AE293" s="363" t="s">
        <v>281</v>
      </c>
      <c r="AF293" s="380" t="s">
        <v>97</v>
      </c>
      <c r="AG293" s="380" t="s">
        <v>494</v>
      </c>
      <c r="AH293" s="386" t="s">
        <v>657</v>
      </c>
    </row>
    <row r="294" spans="2:34" ht="15" hidden="1" customHeight="1" x14ac:dyDescent="0.3">
      <c r="B294" s="380" t="s">
        <v>14</v>
      </c>
      <c r="C294" s="430" t="s">
        <v>1249</v>
      </c>
      <c r="D294" s="445" t="s">
        <v>151</v>
      </c>
      <c r="E294" s="419">
        <v>4509091008</v>
      </c>
      <c r="F294" s="387">
        <v>45909</v>
      </c>
      <c r="G294" s="380" t="s">
        <v>55</v>
      </c>
      <c r="H294" s="380"/>
      <c r="I294" s="388">
        <f>172000/2</f>
        <v>86000</v>
      </c>
      <c r="J294" s="380">
        <v>2</v>
      </c>
      <c r="K294" s="389">
        <f t="shared" si="12"/>
        <v>43000</v>
      </c>
      <c r="L294" s="381">
        <v>45870</v>
      </c>
      <c r="M294" s="381">
        <v>46234</v>
      </c>
      <c r="N294" s="663">
        <v>154830</v>
      </c>
      <c r="O294" s="680">
        <v>4479</v>
      </c>
      <c r="P294" s="363" t="s">
        <v>998</v>
      </c>
      <c r="Q294" s="380" t="s">
        <v>1231</v>
      </c>
      <c r="R294" s="380" t="s">
        <v>1</v>
      </c>
      <c r="S294" s="390" t="s">
        <v>424</v>
      </c>
      <c r="T294" s="363" t="s">
        <v>432</v>
      </c>
      <c r="U294" s="390" t="s">
        <v>426</v>
      </c>
      <c r="V294" s="363" t="s">
        <v>1936</v>
      </c>
      <c r="W294" s="363"/>
      <c r="X294" s="363"/>
      <c r="Y294" s="363"/>
      <c r="Z294" s="363"/>
      <c r="AA294" s="363"/>
      <c r="AB294" s="363"/>
      <c r="AC294" s="363"/>
      <c r="AD294" s="363"/>
      <c r="AE294" s="363" t="s">
        <v>478</v>
      </c>
      <c r="AF294" s="380" t="s">
        <v>63</v>
      </c>
      <c r="AG294" s="380">
        <v>3</v>
      </c>
      <c r="AH294" s="363" t="s">
        <v>1250</v>
      </c>
    </row>
    <row r="295" spans="2:34" ht="15" hidden="1" customHeight="1" x14ac:dyDescent="0.3">
      <c r="B295" s="380" t="s">
        <v>14</v>
      </c>
      <c r="C295" s="430" t="s">
        <v>1249</v>
      </c>
      <c r="D295" s="445" t="s">
        <v>151</v>
      </c>
      <c r="E295" s="419">
        <v>4509091008</v>
      </c>
      <c r="F295" s="387">
        <v>45909</v>
      </c>
      <c r="G295" s="380" t="s">
        <v>55</v>
      </c>
      <c r="H295" s="380">
        <v>1</v>
      </c>
      <c r="I295" s="388">
        <f>172000/2</f>
        <v>86000</v>
      </c>
      <c r="J295" s="380">
        <v>2</v>
      </c>
      <c r="K295" s="389">
        <f t="shared" si="12"/>
        <v>43000</v>
      </c>
      <c r="L295" s="381">
        <v>46235</v>
      </c>
      <c r="M295" s="381">
        <v>46599</v>
      </c>
      <c r="N295" s="663"/>
      <c r="O295" s="680"/>
      <c r="P295" s="363" t="s">
        <v>998</v>
      </c>
      <c r="Q295" s="380" t="s">
        <v>1231</v>
      </c>
      <c r="R295" s="380" t="s">
        <v>1</v>
      </c>
      <c r="S295" s="363" t="s">
        <v>427</v>
      </c>
      <c r="T295" s="363"/>
      <c r="U295" s="363" t="s">
        <v>428</v>
      </c>
      <c r="V295" s="363"/>
      <c r="W295" s="363"/>
      <c r="X295" s="363"/>
      <c r="Y295" s="363"/>
      <c r="Z295" s="363"/>
      <c r="AA295" s="363"/>
      <c r="AB295" s="363"/>
      <c r="AC295" s="363"/>
      <c r="AD295" s="363"/>
      <c r="AE295" s="363" t="s">
        <v>478</v>
      </c>
      <c r="AF295" s="380" t="s">
        <v>63</v>
      </c>
      <c r="AG295" s="380">
        <v>3</v>
      </c>
      <c r="AH295" s="363" t="s">
        <v>1250</v>
      </c>
    </row>
    <row r="296" spans="2:34" ht="15" hidden="1" customHeight="1" x14ac:dyDescent="0.3">
      <c r="B296" s="380" t="s">
        <v>14</v>
      </c>
      <c r="C296" s="430" t="s">
        <v>1002</v>
      </c>
      <c r="D296" s="445" t="s">
        <v>151</v>
      </c>
      <c r="E296" s="419">
        <v>4501010798</v>
      </c>
      <c r="F296" s="387">
        <v>45868</v>
      </c>
      <c r="G296" s="380" t="s">
        <v>55</v>
      </c>
      <c r="H296" s="380">
        <v>1</v>
      </c>
      <c r="I296" s="388">
        <v>90000</v>
      </c>
      <c r="J296" s="380">
        <v>3</v>
      </c>
      <c r="K296" s="389">
        <f t="shared" si="12"/>
        <v>30000</v>
      </c>
      <c r="L296" s="381">
        <v>45748</v>
      </c>
      <c r="M296" s="381">
        <v>46112</v>
      </c>
      <c r="N296" s="663"/>
      <c r="O296" s="680"/>
      <c r="P296" s="363" t="s">
        <v>19</v>
      </c>
      <c r="Q296" s="380" t="s">
        <v>3</v>
      </c>
      <c r="R296" s="380"/>
      <c r="S296" s="390" t="s">
        <v>357</v>
      </c>
      <c r="T296" s="363" t="s">
        <v>898</v>
      </c>
      <c r="U296" s="390" t="s">
        <v>665</v>
      </c>
      <c r="V296" s="363" t="s">
        <v>1251</v>
      </c>
      <c r="W296" s="390" t="s">
        <v>361</v>
      </c>
      <c r="X296" s="363" t="s">
        <v>1252</v>
      </c>
      <c r="Y296" s="363"/>
      <c r="Z296" s="363"/>
      <c r="AA296" s="363"/>
      <c r="AB296" s="363"/>
      <c r="AC296" s="363"/>
      <c r="AD296" s="363"/>
      <c r="AE296" s="363" t="s">
        <v>478</v>
      </c>
      <c r="AF296" s="380" t="s">
        <v>63</v>
      </c>
      <c r="AG296" s="380">
        <v>3</v>
      </c>
      <c r="AH296" s="363" t="s">
        <v>1253</v>
      </c>
    </row>
    <row r="297" spans="2:34" ht="15" hidden="1" customHeight="1" x14ac:dyDescent="0.3">
      <c r="B297" s="380" t="s">
        <v>14</v>
      </c>
      <c r="C297" s="409" t="s">
        <v>527</v>
      </c>
      <c r="D297" s="423" t="s">
        <v>151</v>
      </c>
      <c r="E297" s="419" t="s">
        <v>1254</v>
      </c>
      <c r="F297" s="387">
        <v>45916</v>
      </c>
      <c r="G297" s="380" t="s">
        <v>55</v>
      </c>
      <c r="H297" s="380">
        <v>3</v>
      </c>
      <c r="I297" s="388">
        <v>266976</v>
      </c>
      <c r="J297" s="380">
        <v>3</v>
      </c>
      <c r="K297" s="389">
        <f t="shared" si="12"/>
        <v>88992</v>
      </c>
      <c r="L297" s="381">
        <v>45901</v>
      </c>
      <c r="M297" s="381">
        <v>46265</v>
      </c>
      <c r="N297" s="663"/>
      <c r="O297" s="680"/>
      <c r="P297" s="363" t="s">
        <v>19</v>
      </c>
      <c r="Q297" s="380" t="s">
        <v>13</v>
      </c>
      <c r="R297" s="380"/>
      <c r="S297" s="390" t="s">
        <v>345</v>
      </c>
      <c r="T297" s="363" t="s">
        <v>985</v>
      </c>
      <c r="U297" s="390" t="s">
        <v>347</v>
      </c>
      <c r="V297" s="363" t="s">
        <v>1859</v>
      </c>
      <c r="W297" s="390" t="s">
        <v>348</v>
      </c>
      <c r="X297" s="363" t="s">
        <v>2031</v>
      </c>
      <c r="Y297" s="363"/>
      <c r="Z297" s="363"/>
      <c r="AA297" s="363"/>
      <c r="AB297" s="363"/>
      <c r="AC297" s="363"/>
      <c r="AD297" s="363"/>
      <c r="AE297" s="363" t="s">
        <v>507</v>
      </c>
      <c r="AF297" s="380" t="s">
        <v>63</v>
      </c>
      <c r="AG297" s="380">
        <v>3</v>
      </c>
      <c r="AH297" s="430" t="s">
        <v>1255</v>
      </c>
    </row>
    <row r="298" spans="2:34" ht="15" hidden="1" customHeight="1" x14ac:dyDescent="0.3">
      <c r="B298" s="380" t="s">
        <v>14</v>
      </c>
      <c r="C298" s="430" t="s">
        <v>685</v>
      </c>
      <c r="D298" s="445" t="s">
        <v>151</v>
      </c>
      <c r="E298" s="419">
        <v>4513115639</v>
      </c>
      <c r="F298" s="387">
        <v>45915</v>
      </c>
      <c r="G298" s="380" t="s">
        <v>55</v>
      </c>
      <c r="H298" s="380">
        <v>1</v>
      </c>
      <c r="I298" s="388">
        <v>46000</v>
      </c>
      <c r="J298" s="380">
        <v>3</v>
      </c>
      <c r="K298" s="389">
        <f t="shared" si="12"/>
        <v>15333.333333333334</v>
      </c>
      <c r="L298" s="381">
        <v>45870</v>
      </c>
      <c r="M298" s="381">
        <v>46234</v>
      </c>
      <c r="N298" s="663">
        <v>154543</v>
      </c>
      <c r="O298" s="680">
        <v>4687</v>
      </c>
      <c r="P298" s="363" t="s">
        <v>19</v>
      </c>
      <c r="Q298" s="380" t="s">
        <v>11</v>
      </c>
      <c r="R298" s="380"/>
      <c r="S298" s="390" t="s">
        <v>901</v>
      </c>
      <c r="T298" s="363" t="s">
        <v>1256</v>
      </c>
      <c r="U298" s="390" t="s">
        <v>361</v>
      </c>
      <c r="V298" s="363" t="s">
        <v>688</v>
      </c>
      <c r="W298" s="390" t="s">
        <v>1257</v>
      </c>
      <c r="X298" s="363" t="s">
        <v>1953</v>
      </c>
      <c r="Y298" s="363"/>
      <c r="Z298" s="363"/>
      <c r="AA298" s="363"/>
      <c r="AB298" s="363"/>
      <c r="AC298" s="363"/>
      <c r="AD298" s="363"/>
      <c r="AE298" s="363" t="s">
        <v>478</v>
      </c>
      <c r="AF298" s="380" t="s">
        <v>63</v>
      </c>
      <c r="AG298" s="380">
        <v>5</v>
      </c>
      <c r="AH298" s="363" t="s">
        <v>667</v>
      </c>
    </row>
    <row r="299" spans="2:34" ht="15" hidden="1" customHeight="1" x14ac:dyDescent="0.3">
      <c r="B299" s="380" t="s">
        <v>14</v>
      </c>
      <c r="C299" s="409" t="s">
        <v>1095</v>
      </c>
      <c r="D299" s="434" t="s">
        <v>1258</v>
      </c>
      <c r="E299" s="419">
        <v>9709372716</v>
      </c>
      <c r="F299" s="387">
        <v>45916</v>
      </c>
      <c r="G299" s="380" t="s">
        <v>55</v>
      </c>
      <c r="H299" s="380"/>
      <c r="I299" s="388">
        <f>480000/3</f>
        <v>160000</v>
      </c>
      <c r="J299" s="380">
        <v>4</v>
      </c>
      <c r="K299" s="389">
        <f t="shared" si="12"/>
        <v>40000</v>
      </c>
      <c r="L299" s="381">
        <v>45870</v>
      </c>
      <c r="M299" s="381">
        <v>46234</v>
      </c>
      <c r="N299" s="663">
        <v>154689</v>
      </c>
      <c r="O299" s="680">
        <v>4752</v>
      </c>
      <c r="P299" s="363" t="s">
        <v>520</v>
      </c>
      <c r="Q299" s="380" t="s">
        <v>1231</v>
      </c>
      <c r="R299" s="380"/>
      <c r="S299" s="390" t="s">
        <v>267</v>
      </c>
      <c r="T299" s="363" t="s">
        <v>1003</v>
      </c>
      <c r="U299" s="390" t="s">
        <v>269</v>
      </c>
      <c r="V299" s="363" t="s">
        <v>930</v>
      </c>
      <c r="W299" s="390" t="s">
        <v>442</v>
      </c>
      <c r="X299" s="363" t="s">
        <v>1710</v>
      </c>
      <c r="Y299" s="390" t="s">
        <v>444</v>
      </c>
      <c r="Z299" s="363" t="s">
        <v>2032</v>
      </c>
      <c r="AA299" s="363"/>
      <c r="AB299" s="363"/>
      <c r="AC299" s="363"/>
      <c r="AD299" s="363"/>
      <c r="AE299" s="363" t="s">
        <v>619</v>
      </c>
      <c r="AF299" s="380" t="s">
        <v>63</v>
      </c>
      <c r="AG299" s="380">
        <v>4</v>
      </c>
      <c r="AH299" s="363" t="s">
        <v>667</v>
      </c>
    </row>
    <row r="300" spans="2:34" ht="15" hidden="1" customHeight="1" x14ac:dyDescent="0.3">
      <c r="B300" s="380" t="s">
        <v>14</v>
      </c>
      <c r="C300" s="409" t="s">
        <v>1095</v>
      </c>
      <c r="D300" s="434" t="s">
        <v>1258</v>
      </c>
      <c r="E300" s="419">
        <v>9709372716</v>
      </c>
      <c r="F300" s="387">
        <v>45916</v>
      </c>
      <c r="G300" s="380" t="s">
        <v>55</v>
      </c>
      <c r="H300" s="380"/>
      <c r="I300" s="388">
        <f>480000/3</f>
        <v>160000</v>
      </c>
      <c r="J300" s="380">
        <v>4</v>
      </c>
      <c r="K300" s="389">
        <f t="shared" si="12"/>
        <v>40000</v>
      </c>
      <c r="L300" s="381">
        <v>46235</v>
      </c>
      <c r="M300" s="381">
        <v>46599</v>
      </c>
      <c r="N300" s="663"/>
      <c r="O300" s="680"/>
      <c r="P300" s="363" t="s">
        <v>520</v>
      </c>
      <c r="Q300" s="380" t="s">
        <v>1231</v>
      </c>
      <c r="R300" s="380"/>
      <c r="S300" s="363" t="s">
        <v>445</v>
      </c>
      <c r="T300" s="363"/>
      <c r="U300" s="363" t="s">
        <v>456</v>
      </c>
      <c r="V300" s="363"/>
      <c r="W300" s="363" t="s">
        <v>457</v>
      </c>
      <c r="X300" s="363"/>
      <c r="Y300" s="363" t="s">
        <v>458</v>
      </c>
      <c r="Z300" s="363"/>
      <c r="AA300" s="363"/>
      <c r="AB300" s="363"/>
      <c r="AC300" s="363"/>
      <c r="AD300" s="363"/>
      <c r="AE300" s="363" t="s">
        <v>619</v>
      </c>
      <c r="AF300" s="380" t="s">
        <v>63</v>
      </c>
      <c r="AG300" s="380">
        <v>4</v>
      </c>
      <c r="AH300" s="363" t="s">
        <v>667</v>
      </c>
    </row>
    <row r="301" spans="2:34" ht="15" hidden="1" customHeight="1" x14ac:dyDescent="0.3">
      <c r="B301" s="380" t="s">
        <v>14</v>
      </c>
      <c r="C301" s="409" t="s">
        <v>1095</v>
      </c>
      <c r="D301" s="434" t="s">
        <v>1258</v>
      </c>
      <c r="E301" s="419">
        <v>9709372716</v>
      </c>
      <c r="F301" s="387">
        <v>45916</v>
      </c>
      <c r="G301" s="380" t="s">
        <v>55</v>
      </c>
      <c r="H301" s="380">
        <v>2</v>
      </c>
      <c r="I301" s="388">
        <f>480000/3</f>
        <v>160000</v>
      </c>
      <c r="J301" s="380">
        <v>4</v>
      </c>
      <c r="K301" s="389">
        <f t="shared" si="12"/>
        <v>40000</v>
      </c>
      <c r="L301" s="381">
        <v>46600</v>
      </c>
      <c r="M301" s="381">
        <v>46965</v>
      </c>
      <c r="N301" s="663"/>
      <c r="O301" s="680"/>
      <c r="P301" s="363" t="s">
        <v>520</v>
      </c>
      <c r="Q301" s="380" t="s">
        <v>1231</v>
      </c>
      <c r="R301" s="380"/>
      <c r="S301" s="363" t="s">
        <v>459</v>
      </c>
      <c r="T301" s="363"/>
      <c r="U301" s="363" t="s">
        <v>893</v>
      </c>
      <c r="V301" s="363"/>
      <c r="W301" s="363" t="s">
        <v>894</v>
      </c>
      <c r="X301" s="363"/>
      <c r="Y301" s="363" t="s">
        <v>1259</v>
      </c>
      <c r="Z301" s="363"/>
      <c r="AA301" s="363"/>
      <c r="AB301" s="363"/>
      <c r="AC301" s="363"/>
      <c r="AD301" s="363"/>
      <c r="AE301" s="363" t="s">
        <v>619</v>
      </c>
      <c r="AF301" s="380" t="s">
        <v>63</v>
      </c>
      <c r="AG301" s="380">
        <v>4</v>
      </c>
      <c r="AH301" s="363" t="s">
        <v>667</v>
      </c>
    </row>
    <row r="302" spans="2:34" ht="15" hidden="1" customHeight="1" x14ac:dyDescent="0.3">
      <c r="B302" s="380" t="s">
        <v>14</v>
      </c>
      <c r="C302" s="409" t="s">
        <v>775</v>
      </c>
      <c r="D302" s="423" t="s">
        <v>1260</v>
      </c>
      <c r="E302" s="464">
        <v>2710001257</v>
      </c>
      <c r="F302" s="387">
        <v>45926</v>
      </c>
      <c r="G302" s="380" t="s">
        <v>55</v>
      </c>
      <c r="H302" s="380">
        <v>2</v>
      </c>
      <c r="I302" s="388">
        <v>170000</v>
      </c>
      <c r="J302" s="380">
        <v>2</v>
      </c>
      <c r="K302" s="389">
        <f t="shared" si="12"/>
        <v>85000</v>
      </c>
      <c r="L302" s="381">
        <v>45915</v>
      </c>
      <c r="M302" s="381">
        <v>46279</v>
      </c>
      <c r="N302" s="663"/>
      <c r="O302" s="680"/>
      <c r="P302" s="363" t="s">
        <v>520</v>
      </c>
      <c r="Q302" s="380" t="s">
        <v>1231</v>
      </c>
      <c r="R302" s="380"/>
      <c r="S302" s="390" t="s">
        <v>1261</v>
      </c>
      <c r="T302" s="363" t="s">
        <v>1262</v>
      </c>
      <c r="U302" s="363" t="s">
        <v>1263</v>
      </c>
      <c r="V302" s="363"/>
      <c r="W302" s="363"/>
      <c r="X302" s="363"/>
      <c r="Y302" s="363"/>
      <c r="Z302" s="363"/>
      <c r="AA302" s="363"/>
      <c r="AB302" s="363"/>
      <c r="AC302" s="363"/>
      <c r="AD302" s="363"/>
      <c r="AE302" s="363" t="s">
        <v>485</v>
      </c>
      <c r="AF302" s="380" t="s">
        <v>63</v>
      </c>
      <c r="AG302" s="380">
        <v>2</v>
      </c>
      <c r="AH302" s="430" t="s">
        <v>1264</v>
      </c>
    </row>
    <row r="303" spans="2:34" ht="15" hidden="1" customHeight="1" x14ac:dyDescent="0.3">
      <c r="B303" s="380" t="s">
        <v>14</v>
      </c>
      <c r="C303" s="409" t="s">
        <v>1172</v>
      </c>
      <c r="D303" s="423" t="s">
        <v>1016</v>
      </c>
      <c r="E303" s="419">
        <v>7100107808</v>
      </c>
      <c r="F303" s="387">
        <v>45904</v>
      </c>
      <c r="G303" s="380" t="s">
        <v>55</v>
      </c>
      <c r="H303" s="380">
        <v>1</v>
      </c>
      <c r="I303" s="388">
        <v>81000</v>
      </c>
      <c r="J303" s="380">
        <v>3</v>
      </c>
      <c r="K303" s="389">
        <f t="shared" si="12"/>
        <v>27000</v>
      </c>
      <c r="L303" s="381">
        <v>45901</v>
      </c>
      <c r="M303" s="381">
        <v>46265</v>
      </c>
      <c r="N303" s="663"/>
      <c r="O303" s="680"/>
      <c r="P303" s="363" t="s">
        <v>19</v>
      </c>
      <c r="Q303" s="380" t="s">
        <v>13</v>
      </c>
      <c r="R303" s="380"/>
      <c r="S303" s="390" t="s">
        <v>345</v>
      </c>
      <c r="T303" s="363" t="s">
        <v>582</v>
      </c>
      <c r="U303" s="390" t="s">
        <v>347</v>
      </c>
      <c r="V303" s="363" t="s">
        <v>1009</v>
      </c>
      <c r="W303" s="390" t="s">
        <v>348</v>
      </c>
      <c r="X303" s="363" t="s">
        <v>1847</v>
      </c>
      <c r="Y303" s="363"/>
      <c r="Z303" s="363"/>
      <c r="AA303" s="363"/>
      <c r="AB303" s="363"/>
      <c r="AC303" s="363"/>
      <c r="AD303" s="363"/>
      <c r="AE303" s="363" t="s">
        <v>619</v>
      </c>
      <c r="AF303" s="380" t="s">
        <v>63</v>
      </c>
      <c r="AG303" s="380">
        <v>3</v>
      </c>
      <c r="AH303" s="363" t="s">
        <v>667</v>
      </c>
    </row>
    <row r="304" spans="2:34" ht="15" hidden="1" customHeight="1" x14ac:dyDescent="0.3">
      <c r="B304" s="380" t="s">
        <v>14</v>
      </c>
      <c r="C304" s="412" t="s">
        <v>1265</v>
      </c>
      <c r="D304" s="437" t="s">
        <v>388</v>
      </c>
      <c r="E304" s="426">
        <v>3800035834</v>
      </c>
      <c r="F304" s="387">
        <v>45926</v>
      </c>
      <c r="G304" s="380" t="s">
        <v>55</v>
      </c>
      <c r="H304" s="380">
        <v>1</v>
      </c>
      <c r="I304" s="388">
        <v>58000</v>
      </c>
      <c r="J304" s="380">
        <v>2</v>
      </c>
      <c r="K304" s="389"/>
      <c r="L304" s="381">
        <v>45901</v>
      </c>
      <c r="M304" s="381">
        <v>46265</v>
      </c>
      <c r="N304" s="663"/>
      <c r="O304" s="680"/>
      <c r="P304" s="363" t="s">
        <v>520</v>
      </c>
      <c r="Q304" s="380" t="s">
        <v>1231</v>
      </c>
      <c r="R304" s="382"/>
      <c r="S304" s="390" t="s">
        <v>625</v>
      </c>
      <c r="T304" s="363" t="s">
        <v>1085</v>
      </c>
      <c r="U304" s="363" t="s">
        <v>1235</v>
      </c>
      <c r="V304" s="363"/>
      <c r="W304" s="363"/>
      <c r="X304" s="363"/>
      <c r="Y304" s="363"/>
      <c r="Z304" s="363"/>
      <c r="AA304" s="363"/>
      <c r="AB304" s="363"/>
      <c r="AC304" s="363"/>
      <c r="AD304" s="363"/>
      <c r="AE304" s="363" t="s">
        <v>478</v>
      </c>
      <c r="AF304" s="380" t="s">
        <v>63</v>
      </c>
      <c r="AG304" s="380">
        <v>2</v>
      </c>
      <c r="AH304" s="363" t="s">
        <v>1266</v>
      </c>
    </row>
    <row r="305" spans="1:34" ht="15" hidden="1" customHeight="1" x14ac:dyDescent="0.3">
      <c r="B305" s="380" t="s">
        <v>14</v>
      </c>
      <c r="C305" s="409" t="s">
        <v>195</v>
      </c>
      <c r="D305" s="423" t="s">
        <v>858</v>
      </c>
      <c r="E305" s="419" t="s">
        <v>1267</v>
      </c>
      <c r="F305" s="387">
        <v>45925</v>
      </c>
      <c r="G305" s="380" t="s">
        <v>55</v>
      </c>
      <c r="H305" s="380"/>
      <c r="I305" s="388">
        <v>506340</v>
      </c>
      <c r="J305" s="380">
        <v>4</v>
      </c>
      <c r="K305" s="389">
        <f t="shared" si="12"/>
        <v>126585</v>
      </c>
      <c r="L305" s="381">
        <v>45940</v>
      </c>
      <c r="M305" s="381">
        <v>46304</v>
      </c>
      <c r="N305" s="663"/>
      <c r="O305" s="680"/>
      <c r="P305" s="363" t="s">
        <v>520</v>
      </c>
      <c r="Q305" s="380" t="s">
        <v>1231</v>
      </c>
      <c r="R305" s="476"/>
      <c r="S305" s="390" t="s">
        <v>1268</v>
      </c>
      <c r="T305" s="363" t="s">
        <v>917</v>
      </c>
      <c r="U305" s="390" t="s">
        <v>1269</v>
      </c>
      <c r="V305" s="363" t="s">
        <v>930</v>
      </c>
      <c r="W305" s="390" t="s">
        <v>1270</v>
      </c>
      <c r="X305" s="363" t="s">
        <v>1852</v>
      </c>
      <c r="Y305" s="363" t="s">
        <v>1271</v>
      </c>
      <c r="Z305" s="363"/>
      <c r="AA305" s="363"/>
      <c r="AB305" s="363"/>
      <c r="AC305" s="363"/>
      <c r="AD305" s="363"/>
      <c r="AE305" s="363" t="s">
        <v>551</v>
      </c>
      <c r="AF305" s="380" t="s">
        <v>207</v>
      </c>
      <c r="AG305" s="380">
        <v>3</v>
      </c>
      <c r="AH305" s="363" t="s">
        <v>1272</v>
      </c>
    </row>
    <row r="306" spans="1:34" ht="15" hidden="1" customHeight="1" x14ac:dyDescent="0.3">
      <c r="B306" s="380" t="s">
        <v>14</v>
      </c>
      <c r="C306" s="409" t="s">
        <v>195</v>
      </c>
      <c r="D306" s="423" t="s">
        <v>858</v>
      </c>
      <c r="E306" s="419" t="s">
        <v>1267</v>
      </c>
      <c r="F306" s="387">
        <v>45925</v>
      </c>
      <c r="G306" s="380" t="s">
        <v>55</v>
      </c>
      <c r="H306" s="380">
        <v>9</v>
      </c>
      <c r="I306" s="388">
        <v>506340</v>
      </c>
      <c r="J306" s="380">
        <v>4</v>
      </c>
      <c r="K306" s="389">
        <f t="shared" si="12"/>
        <v>126585</v>
      </c>
      <c r="L306" s="381">
        <v>46305</v>
      </c>
      <c r="M306" s="381">
        <v>46669</v>
      </c>
      <c r="N306" s="663"/>
      <c r="O306" s="680"/>
      <c r="P306" s="363" t="s">
        <v>520</v>
      </c>
      <c r="Q306" s="380" t="s">
        <v>1231</v>
      </c>
      <c r="R306" s="536"/>
      <c r="S306" s="363" t="s">
        <v>1273</v>
      </c>
      <c r="T306" s="363"/>
      <c r="U306" s="363" t="s">
        <v>1274</v>
      </c>
      <c r="V306" s="363"/>
      <c r="W306" s="363" t="s">
        <v>1275</v>
      </c>
      <c r="X306" s="363"/>
      <c r="Y306" s="363" t="s">
        <v>1276</v>
      </c>
      <c r="Z306" s="363"/>
      <c r="AA306" s="363"/>
      <c r="AB306" s="363"/>
      <c r="AC306" s="363"/>
      <c r="AD306" s="363"/>
      <c r="AE306" s="363" t="s">
        <v>551</v>
      </c>
      <c r="AF306" s="380" t="s">
        <v>207</v>
      </c>
      <c r="AG306" s="380">
        <v>3</v>
      </c>
      <c r="AH306" s="363" t="s">
        <v>1272</v>
      </c>
    </row>
    <row r="307" spans="1:34" ht="15" hidden="1" customHeight="1" x14ac:dyDescent="0.3">
      <c r="B307" s="380" t="s">
        <v>14</v>
      </c>
      <c r="C307" s="409" t="s">
        <v>1277</v>
      </c>
      <c r="D307" s="423" t="s">
        <v>858</v>
      </c>
      <c r="E307" s="408" t="s">
        <v>1278</v>
      </c>
      <c r="F307" s="387">
        <v>45924</v>
      </c>
      <c r="G307" s="380" t="s">
        <v>55</v>
      </c>
      <c r="H307" s="380"/>
      <c r="I307" s="388">
        <v>310400</v>
      </c>
      <c r="J307" s="380">
        <v>4</v>
      </c>
      <c r="K307" s="389">
        <f t="shared" si="12"/>
        <v>77600</v>
      </c>
      <c r="L307" s="381">
        <v>45931</v>
      </c>
      <c r="M307" s="381">
        <v>46295</v>
      </c>
      <c r="N307" s="663"/>
      <c r="O307" s="680"/>
      <c r="P307" s="363" t="s">
        <v>520</v>
      </c>
      <c r="Q307" s="380" t="s">
        <v>1231</v>
      </c>
      <c r="R307" s="380"/>
      <c r="S307" s="390" t="s">
        <v>228</v>
      </c>
      <c r="T307" s="363" t="s">
        <v>718</v>
      </c>
      <c r="U307" s="390" t="s">
        <v>396</v>
      </c>
      <c r="V307" s="363" t="s">
        <v>1252</v>
      </c>
      <c r="W307" s="390" t="s">
        <v>397</v>
      </c>
      <c r="X307" s="363" t="s">
        <v>1849</v>
      </c>
      <c r="Y307" s="363" t="s">
        <v>496</v>
      </c>
      <c r="Z307" s="363"/>
      <c r="AA307" s="363"/>
      <c r="AB307" s="363"/>
      <c r="AC307" s="363"/>
      <c r="AD307" s="363"/>
      <c r="AE307" s="363" t="s">
        <v>551</v>
      </c>
      <c r="AF307" s="380" t="s">
        <v>207</v>
      </c>
      <c r="AG307" s="380">
        <v>3</v>
      </c>
      <c r="AH307" s="363" t="s">
        <v>1272</v>
      </c>
    </row>
    <row r="308" spans="1:34" ht="15" hidden="1" customHeight="1" x14ac:dyDescent="0.3">
      <c r="B308" s="380" t="s">
        <v>14</v>
      </c>
      <c r="C308" s="409" t="s">
        <v>1277</v>
      </c>
      <c r="D308" s="423" t="s">
        <v>858</v>
      </c>
      <c r="E308" s="408" t="s">
        <v>1278</v>
      </c>
      <c r="F308" s="387">
        <v>45924</v>
      </c>
      <c r="G308" s="380" t="s">
        <v>55</v>
      </c>
      <c r="H308" s="380"/>
      <c r="I308" s="388">
        <v>310400</v>
      </c>
      <c r="J308" s="380">
        <v>4</v>
      </c>
      <c r="K308" s="389">
        <f t="shared" si="12"/>
        <v>77600</v>
      </c>
      <c r="L308" s="381">
        <v>46296</v>
      </c>
      <c r="M308" s="381">
        <v>46660</v>
      </c>
      <c r="N308" s="663"/>
      <c r="O308" s="680"/>
      <c r="P308" s="363" t="s">
        <v>520</v>
      </c>
      <c r="Q308" s="380" t="s">
        <v>1231</v>
      </c>
      <c r="R308" s="380"/>
      <c r="S308" s="363" t="s">
        <v>497</v>
      </c>
      <c r="T308" s="363"/>
      <c r="U308" s="363" t="s">
        <v>498</v>
      </c>
      <c r="V308" s="363"/>
      <c r="W308" s="363" t="s">
        <v>499</v>
      </c>
      <c r="X308" s="363"/>
      <c r="Y308" s="363" t="s">
        <v>500</v>
      </c>
      <c r="Z308" s="363"/>
      <c r="AA308" s="363"/>
      <c r="AB308" s="363"/>
      <c r="AC308" s="363"/>
      <c r="AD308" s="363"/>
      <c r="AE308" s="363" t="s">
        <v>551</v>
      </c>
      <c r="AF308" s="380" t="s">
        <v>207</v>
      </c>
      <c r="AG308" s="380">
        <v>3</v>
      </c>
      <c r="AH308" s="363" t="s">
        <v>1272</v>
      </c>
    </row>
    <row r="309" spans="1:34" ht="15" hidden="1" customHeight="1" x14ac:dyDescent="0.3">
      <c r="B309" s="380" t="s">
        <v>14</v>
      </c>
      <c r="C309" s="409" t="s">
        <v>1277</v>
      </c>
      <c r="D309" s="423" t="s">
        <v>858</v>
      </c>
      <c r="E309" s="408" t="s">
        <v>1278</v>
      </c>
      <c r="F309" s="387">
        <v>45924</v>
      </c>
      <c r="G309" s="380" t="s">
        <v>55</v>
      </c>
      <c r="H309" s="380">
        <v>5</v>
      </c>
      <c r="I309" s="388">
        <v>310400</v>
      </c>
      <c r="J309" s="380">
        <v>4</v>
      </c>
      <c r="K309" s="389">
        <f t="shared" si="12"/>
        <v>77600</v>
      </c>
      <c r="L309" s="381">
        <v>46661</v>
      </c>
      <c r="M309" s="381">
        <v>47026</v>
      </c>
      <c r="N309" s="663"/>
      <c r="O309" s="680"/>
      <c r="P309" s="363" t="s">
        <v>520</v>
      </c>
      <c r="Q309" s="380" t="s">
        <v>1231</v>
      </c>
      <c r="R309" s="380"/>
      <c r="S309" s="381" t="s">
        <v>501</v>
      </c>
      <c r="T309" s="363"/>
      <c r="U309" s="363" t="s">
        <v>674</v>
      </c>
      <c r="V309" s="363"/>
      <c r="W309" s="363" t="s">
        <v>1279</v>
      </c>
      <c r="X309" s="363"/>
      <c r="Y309" s="363" t="s">
        <v>1280</v>
      </c>
      <c r="Z309" s="363"/>
      <c r="AA309" s="363"/>
      <c r="AB309" s="363"/>
      <c r="AC309" s="363"/>
      <c r="AD309" s="363"/>
      <c r="AE309" s="363" t="s">
        <v>551</v>
      </c>
      <c r="AF309" s="380" t="s">
        <v>207</v>
      </c>
      <c r="AG309" s="380">
        <v>3</v>
      </c>
      <c r="AH309" s="363" t="s">
        <v>1272</v>
      </c>
    </row>
    <row r="310" spans="1:34" ht="15" hidden="1" customHeight="1" x14ac:dyDescent="0.3">
      <c r="B310" s="380" t="s">
        <v>14</v>
      </c>
      <c r="C310" s="363" t="s">
        <v>1281</v>
      </c>
      <c r="D310" s="423" t="s">
        <v>1282</v>
      </c>
      <c r="E310" s="380">
        <v>9200015089</v>
      </c>
      <c r="F310" s="387">
        <v>45912</v>
      </c>
      <c r="G310" s="380"/>
      <c r="H310" s="380"/>
      <c r="I310" s="388">
        <v>145000</v>
      </c>
      <c r="J310" s="380"/>
      <c r="K310" s="389" t="e">
        <f t="shared" si="12"/>
        <v>#DIV/0!</v>
      </c>
      <c r="L310" s="381"/>
      <c r="M310" s="381"/>
      <c r="N310" s="663"/>
      <c r="O310" s="680"/>
      <c r="P310" s="363" t="s">
        <v>998</v>
      </c>
      <c r="Q310" s="380" t="s">
        <v>1231</v>
      </c>
      <c r="R310" s="380" t="s">
        <v>1283</v>
      </c>
      <c r="S310" s="363"/>
      <c r="T310" s="363"/>
      <c r="U310" s="363"/>
      <c r="V310" s="363"/>
      <c r="W310" s="363"/>
      <c r="X310" s="363"/>
      <c r="Y310" s="363"/>
      <c r="Z310" s="363"/>
      <c r="AA310" s="363"/>
      <c r="AB310" s="363"/>
      <c r="AC310" s="363"/>
      <c r="AD310" s="363"/>
      <c r="AE310" s="363" t="s">
        <v>1188</v>
      </c>
      <c r="AF310" s="380" t="s">
        <v>97</v>
      </c>
      <c r="AG310" s="380"/>
      <c r="AH310" s="363"/>
    </row>
    <row r="311" spans="1:34" ht="15" hidden="1" customHeight="1" x14ac:dyDescent="0.3">
      <c r="B311" s="380" t="s">
        <v>14</v>
      </c>
      <c r="C311" s="409" t="s">
        <v>1103</v>
      </c>
      <c r="D311" s="423" t="s">
        <v>176</v>
      </c>
      <c r="E311" s="477" t="s">
        <v>1284</v>
      </c>
      <c r="F311" s="387">
        <v>45924</v>
      </c>
      <c r="G311" s="380" t="s">
        <v>55</v>
      </c>
      <c r="H311" s="380">
        <v>1</v>
      </c>
      <c r="I311" s="388">
        <v>90000</v>
      </c>
      <c r="J311" s="380">
        <v>3</v>
      </c>
      <c r="K311" s="389">
        <f t="shared" si="12"/>
        <v>30000</v>
      </c>
      <c r="L311" s="381">
        <v>45901</v>
      </c>
      <c r="M311" s="381">
        <v>46265</v>
      </c>
      <c r="N311" s="663"/>
      <c r="O311" s="680"/>
      <c r="P311" s="363" t="s">
        <v>19</v>
      </c>
      <c r="Q311" s="380" t="s">
        <v>13</v>
      </c>
      <c r="R311" s="380"/>
      <c r="S311" s="390" t="s">
        <v>345</v>
      </c>
      <c r="T311" s="363" t="s">
        <v>1286</v>
      </c>
      <c r="U311" s="390" t="s">
        <v>347</v>
      </c>
      <c r="V311" s="363" t="s">
        <v>1287</v>
      </c>
      <c r="W311" s="390" t="s">
        <v>348</v>
      </c>
      <c r="X311" s="363" t="s">
        <v>1954</v>
      </c>
      <c r="Y311" s="363"/>
      <c r="Z311" s="363"/>
      <c r="AA311" s="363"/>
      <c r="AB311" s="363"/>
      <c r="AC311" s="363"/>
      <c r="AD311" s="363"/>
      <c r="AE311" s="363" t="s">
        <v>183</v>
      </c>
      <c r="AF311" s="380" t="s">
        <v>97</v>
      </c>
      <c r="AG311" s="380">
        <v>2</v>
      </c>
      <c r="AH311" s="363" t="s">
        <v>1272</v>
      </c>
    </row>
    <row r="312" spans="1:34" ht="15" hidden="1" customHeight="1" x14ac:dyDescent="0.3">
      <c r="B312" s="380" t="s">
        <v>14</v>
      </c>
      <c r="C312" s="409" t="s">
        <v>1288</v>
      </c>
      <c r="D312" s="423" t="s">
        <v>1114</v>
      </c>
      <c r="E312" s="380">
        <v>4504881247</v>
      </c>
      <c r="F312" s="387">
        <v>45917</v>
      </c>
      <c r="G312" s="380" t="s">
        <v>55</v>
      </c>
      <c r="H312" s="380">
        <v>10</v>
      </c>
      <c r="I312" s="388">
        <v>850000</v>
      </c>
      <c r="J312" s="380">
        <v>4</v>
      </c>
      <c r="K312" s="389">
        <f t="shared" si="12"/>
        <v>212500</v>
      </c>
      <c r="L312" s="381">
        <v>45901</v>
      </c>
      <c r="M312" s="381">
        <v>46265</v>
      </c>
      <c r="N312" s="663">
        <v>154666</v>
      </c>
      <c r="O312" s="680"/>
      <c r="P312" s="363" t="s">
        <v>19</v>
      </c>
      <c r="Q312" s="380" t="s">
        <v>13</v>
      </c>
      <c r="R312" s="380"/>
      <c r="S312" s="390" t="s">
        <v>1131</v>
      </c>
      <c r="T312" s="363" t="s">
        <v>247</v>
      </c>
      <c r="U312" s="390" t="s">
        <v>1133</v>
      </c>
      <c r="V312" s="363" t="s">
        <v>747</v>
      </c>
      <c r="W312" s="390" t="s">
        <v>1134</v>
      </c>
      <c r="X312" s="363" t="s">
        <v>1289</v>
      </c>
      <c r="Y312" s="390" t="s">
        <v>1244</v>
      </c>
      <c r="Z312" s="363" t="s">
        <v>2036</v>
      </c>
      <c r="AA312" s="363"/>
      <c r="AB312" s="363"/>
      <c r="AC312" s="363"/>
      <c r="AD312" s="363"/>
      <c r="AE312" s="363" t="s">
        <v>183</v>
      </c>
      <c r="AF312" s="380" t="s">
        <v>97</v>
      </c>
      <c r="AG312" s="380">
        <v>4</v>
      </c>
      <c r="AH312" s="363" t="s">
        <v>1290</v>
      </c>
    </row>
    <row r="313" spans="1:34" ht="15" customHeight="1" x14ac:dyDescent="0.3">
      <c r="B313" s="380" t="s">
        <v>14</v>
      </c>
      <c r="C313" s="409" t="s">
        <v>1291</v>
      </c>
      <c r="D313" s="423" t="s">
        <v>176</v>
      </c>
      <c r="E313" s="380">
        <v>5600003069</v>
      </c>
      <c r="F313" s="387">
        <v>45890</v>
      </c>
      <c r="G313" s="380" t="s">
        <v>55</v>
      </c>
      <c r="H313" s="380">
        <v>1</v>
      </c>
      <c r="I313" s="388">
        <v>94500</v>
      </c>
      <c r="J313" s="380">
        <v>2</v>
      </c>
      <c r="K313" s="389">
        <f t="shared" si="12"/>
        <v>47250</v>
      </c>
      <c r="L313" s="381">
        <v>45901</v>
      </c>
      <c r="M313" s="381">
        <v>46265</v>
      </c>
      <c r="N313" s="663"/>
      <c r="O313" s="680"/>
      <c r="P313" s="363" t="s">
        <v>19</v>
      </c>
      <c r="Q313" s="380" t="s">
        <v>13</v>
      </c>
      <c r="R313" s="380" t="s">
        <v>1</v>
      </c>
      <c r="S313" s="390" t="s">
        <v>625</v>
      </c>
      <c r="T313" s="363" t="s">
        <v>1091</v>
      </c>
      <c r="U313" s="390" t="s">
        <v>1235</v>
      </c>
      <c r="V313" s="363" t="s">
        <v>1858</v>
      </c>
      <c r="W313" s="363"/>
      <c r="X313" s="363"/>
      <c r="Y313" s="363"/>
      <c r="Z313" s="363"/>
      <c r="AA313" s="363"/>
      <c r="AB313" s="363"/>
      <c r="AC313" s="363"/>
      <c r="AD313" s="363"/>
      <c r="AE313" s="363" t="s">
        <v>183</v>
      </c>
      <c r="AF313" s="380" t="s">
        <v>97</v>
      </c>
      <c r="AG313" s="380">
        <v>2</v>
      </c>
      <c r="AH313" s="363" t="s">
        <v>1292</v>
      </c>
    </row>
    <row r="314" spans="1:34" ht="15" hidden="1" customHeight="1" x14ac:dyDescent="0.3">
      <c r="B314" s="380" t="s">
        <v>14</v>
      </c>
      <c r="C314" s="478" t="s">
        <v>508</v>
      </c>
      <c r="D314" s="437" t="s">
        <v>866</v>
      </c>
      <c r="E314" s="425" t="s">
        <v>1293</v>
      </c>
      <c r="F314" s="415">
        <v>45926</v>
      </c>
      <c r="G314" s="380" t="s">
        <v>55</v>
      </c>
      <c r="H314" s="380">
        <v>1</v>
      </c>
      <c r="I314" s="388">
        <v>89000</v>
      </c>
      <c r="J314" s="380">
        <v>3</v>
      </c>
      <c r="K314" s="389">
        <f t="shared" si="12"/>
        <v>29666.666666666668</v>
      </c>
      <c r="L314" s="381">
        <v>45931</v>
      </c>
      <c r="M314" s="381">
        <v>46295</v>
      </c>
      <c r="N314" s="663"/>
      <c r="O314" s="680"/>
      <c r="P314" s="363" t="s">
        <v>520</v>
      </c>
      <c r="Q314" s="380" t="s">
        <v>1285</v>
      </c>
      <c r="R314" s="380"/>
      <c r="S314" s="390" t="s">
        <v>83</v>
      </c>
      <c r="T314" s="363" t="s">
        <v>1294</v>
      </c>
      <c r="U314" s="390" t="s">
        <v>404</v>
      </c>
      <c r="V314" s="363" t="s">
        <v>1295</v>
      </c>
      <c r="W314" s="390" t="s">
        <v>406</v>
      </c>
      <c r="X314" s="363" t="s">
        <v>2146</v>
      </c>
      <c r="Y314" s="363"/>
      <c r="Z314" s="363"/>
      <c r="AA314" s="363"/>
      <c r="AB314" s="363"/>
      <c r="AC314" s="363"/>
      <c r="AD314" s="363"/>
      <c r="AE314" s="363" t="s">
        <v>96</v>
      </c>
      <c r="AF314" s="380" t="s">
        <v>97</v>
      </c>
      <c r="AG314" s="380" t="s">
        <v>494</v>
      </c>
      <c r="AH314" s="430" t="s">
        <v>1861</v>
      </c>
    </row>
    <row r="315" spans="1:34" ht="15" hidden="1" customHeight="1" x14ac:dyDescent="0.3">
      <c r="B315" s="380" t="s">
        <v>14</v>
      </c>
      <c r="C315" s="412" t="s">
        <v>1297</v>
      </c>
      <c r="D315" s="437" t="s">
        <v>1298</v>
      </c>
      <c r="E315" s="479" t="s">
        <v>1299</v>
      </c>
      <c r="F315" s="415">
        <v>45934</v>
      </c>
      <c r="G315" s="380" t="s">
        <v>55</v>
      </c>
      <c r="H315" s="380">
        <v>3</v>
      </c>
      <c r="I315" s="388">
        <v>303600</v>
      </c>
      <c r="J315" s="380">
        <v>3</v>
      </c>
      <c r="K315" s="389">
        <f t="shared" si="12"/>
        <v>101200</v>
      </c>
      <c r="L315" s="381">
        <v>45931</v>
      </c>
      <c r="M315" s="381">
        <v>46295</v>
      </c>
      <c r="N315" s="663"/>
      <c r="O315" s="680"/>
      <c r="P315" s="363" t="s">
        <v>520</v>
      </c>
      <c r="Q315" s="380" t="s">
        <v>1285</v>
      </c>
      <c r="R315" s="380"/>
      <c r="S315" s="390" t="s">
        <v>83</v>
      </c>
      <c r="T315" s="363" t="s">
        <v>417</v>
      </c>
      <c r="U315" s="390" t="s">
        <v>404</v>
      </c>
      <c r="V315" s="363" t="s">
        <v>1723</v>
      </c>
      <c r="W315" s="363" t="s">
        <v>406</v>
      </c>
      <c r="X315" s="363"/>
      <c r="Y315" s="363"/>
      <c r="Z315" s="363"/>
      <c r="AA315" s="363"/>
      <c r="AB315" s="363"/>
      <c r="AC315" s="363"/>
      <c r="AD315" s="363"/>
      <c r="AE315" s="363" t="s">
        <v>834</v>
      </c>
      <c r="AF315" s="380" t="s">
        <v>207</v>
      </c>
      <c r="AG315" s="380">
        <v>3</v>
      </c>
      <c r="AH315" s="386" t="s">
        <v>667</v>
      </c>
    </row>
    <row r="316" spans="1:34" ht="15" hidden="1" customHeight="1" x14ac:dyDescent="0.3">
      <c r="B316" s="380" t="s">
        <v>14</v>
      </c>
      <c r="C316" s="478" t="s">
        <v>1300</v>
      </c>
      <c r="D316" s="480" t="s">
        <v>841</v>
      </c>
      <c r="E316" s="481" t="s">
        <v>1301</v>
      </c>
      <c r="F316" s="415">
        <v>45937</v>
      </c>
      <c r="G316" s="380" t="s">
        <v>55</v>
      </c>
      <c r="H316" s="380">
        <v>1</v>
      </c>
      <c r="I316" s="388">
        <v>52800</v>
      </c>
      <c r="J316" s="380">
        <v>1</v>
      </c>
      <c r="K316" s="389">
        <f t="shared" si="12"/>
        <v>52800</v>
      </c>
      <c r="L316" s="381">
        <v>45931</v>
      </c>
      <c r="M316" s="381">
        <v>46295</v>
      </c>
      <c r="N316" s="663"/>
      <c r="O316" s="680"/>
      <c r="P316" s="363" t="s">
        <v>520</v>
      </c>
      <c r="Q316" s="380" t="s">
        <v>1285</v>
      </c>
      <c r="R316" s="380"/>
      <c r="S316" s="363" t="s">
        <v>1302</v>
      </c>
      <c r="T316" s="363"/>
      <c r="U316" s="363"/>
      <c r="V316" s="363"/>
      <c r="W316" s="363"/>
      <c r="X316" s="363"/>
      <c r="Y316" s="363"/>
      <c r="Z316" s="363"/>
      <c r="AA316" s="363"/>
      <c r="AB316" s="363"/>
      <c r="AC316" s="363"/>
      <c r="AD316" s="363"/>
      <c r="AE316" s="363" t="s">
        <v>485</v>
      </c>
      <c r="AF316" s="380" t="s">
        <v>63</v>
      </c>
      <c r="AG316" s="380">
        <v>2</v>
      </c>
      <c r="AH316" s="386" t="s">
        <v>1303</v>
      </c>
    </row>
    <row r="317" spans="1:34" ht="15" hidden="1" customHeight="1" x14ac:dyDescent="0.3">
      <c r="A317" s="469"/>
      <c r="B317" s="380" t="s">
        <v>14</v>
      </c>
      <c r="C317" s="482" t="s">
        <v>1304</v>
      </c>
      <c r="D317" s="483" t="s">
        <v>906</v>
      </c>
      <c r="E317" s="468">
        <v>2400019724</v>
      </c>
      <c r="F317" s="387">
        <v>45938</v>
      </c>
      <c r="G317" s="407" t="s">
        <v>703</v>
      </c>
      <c r="H317" s="380">
        <v>1</v>
      </c>
      <c r="I317" s="388">
        <v>350000</v>
      </c>
      <c r="J317" s="380">
        <v>3</v>
      </c>
      <c r="K317" s="389">
        <f>I317/2</f>
        <v>175000</v>
      </c>
      <c r="L317" s="381">
        <v>45938</v>
      </c>
      <c r="M317" s="381">
        <v>46302</v>
      </c>
      <c r="N317" s="663"/>
      <c r="O317" s="680"/>
      <c r="P317" s="363" t="s">
        <v>19</v>
      </c>
      <c r="Q317" s="380" t="s">
        <v>1285</v>
      </c>
      <c r="R317" s="380"/>
      <c r="S317" s="390" t="s">
        <v>1305</v>
      </c>
      <c r="T317" s="363" t="s">
        <v>1306</v>
      </c>
      <c r="U317" s="390" t="s">
        <v>1307</v>
      </c>
      <c r="V317" s="363" t="s">
        <v>1308</v>
      </c>
      <c r="W317" s="390" t="s">
        <v>1309</v>
      </c>
      <c r="X317" s="363" t="s">
        <v>1940</v>
      </c>
      <c r="Y317" s="363"/>
      <c r="Z317" s="363"/>
      <c r="AA317" s="363"/>
      <c r="AB317" s="363"/>
      <c r="AC317" s="363"/>
      <c r="AD317" s="363"/>
      <c r="AE317" s="363" t="s">
        <v>834</v>
      </c>
      <c r="AF317" s="380" t="s">
        <v>207</v>
      </c>
      <c r="AG317" s="380" t="s">
        <v>1310</v>
      </c>
      <c r="AH317" s="363" t="s">
        <v>1311</v>
      </c>
    </row>
    <row r="318" spans="1:34" ht="15" hidden="1" customHeight="1" x14ac:dyDescent="0.3">
      <c r="B318" s="380" t="s">
        <v>14</v>
      </c>
      <c r="C318" s="409" t="s">
        <v>1312</v>
      </c>
      <c r="D318" s="386" t="s">
        <v>1313</v>
      </c>
      <c r="E318" s="397">
        <v>2800095345</v>
      </c>
      <c r="F318" s="387">
        <v>45947</v>
      </c>
      <c r="G318" s="380" t="s">
        <v>643</v>
      </c>
      <c r="H318" s="380">
        <v>2</v>
      </c>
      <c r="I318" s="388">
        <v>172872</v>
      </c>
      <c r="J318" s="380">
        <v>2</v>
      </c>
      <c r="K318" s="389">
        <f t="shared" ref="K318:K330" si="13">I318/J318</f>
        <v>86436</v>
      </c>
      <c r="L318" s="381">
        <v>45931</v>
      </c>
      <c r="M318" s="381">
        <v>46295</v>
      </c>
      <c r="N318" s="663"/>
      <c r="O318" s="680"/>
      <c r="P318" s="363" t="s">
        <v>520</v>
      </c>
      <c r="Q318" s="380" t="s">
        <v>1285</v>
      </c>
      <c r="R318" s="380"/>
      <c r="S318" s="390" t="s">
        <v>465</v>
      </c>
      <c r="T318" s="363" t="s">
        <v>1314</v>
      </c>
      <c r="U318" s="363" t="s">
        <v>467</v>
      </c>
      <c r="V318" s="363"/>
      <c r="W318" s="363"/>
      <c r="X318" s="363"/>
      <c r="Y318" s="363"/>
      <c r="Z318" s="363"/>
      <c r="AA318" s="363"/>
      <c r="AB318" s="363"/>
      <c r="AC318" s="363"/>
      <c r="AD318" s="363"/>
      <c r="AE318" s="363" t="s">
        <v>96</v>
      </c>
      <c r="AF318" s="380" t="s">
        <v>97</v>
      </c>
      <c r="AG318" s="380">
        <v>6</v>
      </c>
      <c r="AH318" s="363" t="s">
        <v>667</v>
      </c>
    </row>
    <row r="319" spans="1:34" ht="15" hidden="1" customHeight="1" x14ac:dyDescent="0.3">
      <c r="B319" s="380" t="s">
        <v>14</v>
      </c>
      <c r="C319" s="482" t="s">
        <v>905</v>
      </c>
      <c r="D319" s="483" t="s">
        <v>545</v>
      </c>
      <c r="E319" s="468">
        <v>1100035324</v>
      </c>
      <c r="F319" s="387">
        <v>45938</v>
      </c>
      <c r="G319" s="380" t="s">
        <v>643</v>
      </c>
      <c r="H319" s="380">
        <v>2</v>
      </c>
      <c r="I319" s="388">
        <v>142500</v>
      </c>
      <c r="J319" s="380">
        <v>2</v>
      </c>
      <c r="K319" s="389">
        <f t="shared" si="13"/>
        <v>71250</v>
      </c>
      <c r="L319" s="381">
        <v>45962</v>
      </c>
      <c r="M319" s="381">
        <v>46326</v>
      </c>
      <c r="N319" s="663"/>
      <c r="O319" s="680"/>
      <c r="P319" s="363" t="s">
        <v>19</v>
      </c>
      <c r="Q319" s="380" t="s">
        <v>1285</v>
      </c>
      <c r="R319" s="380"/>
      <c r="S319" s="390" t="s">
        <v>330</v>
      </c>
      <c r="T319" s="363" t="s">
        <v>441</v>
      </c>
      <c r="U319" s="390" t="s">
        <v>1315</v>
      </c>
      <c r="V319" s="363" t="s">
        <v>1955</v>
      </c>
      <c r="W319" s="363"/>
      <c r="X319" s="363"/>
      <c r="Y319" s="363"/>
      <c r="Z319" s="363"/>
      <c r="AA319" s="363"/>
      <c r="AB319" s="363"/>
      <c r="AC319" s="363"/>
      <c r="AD319" s="363"/>
      <c r="AE319" s="363" t="s">
        <v>551</v>
      </c>
      <c r="AF319" s="380" t="s">
        <v>207</v>
      </c>
      <c r="AG319" s="380">
        <v>3</v>
      </c>
      <c r="AH319" s="363" t="s">
        <v>667</v>
      </c>
    </row>
    <row r="320" spans="1:34" ht="15" hidden="1" customHeight="1" x14ac:dyDescent="0.3">
      <c r="B320" s="380" t="s">
        <v>14</v>
      </c>
      <c r="C320" s="482" t="s">
        <v>1316</v>
      </c>
      <c r="D320" s="483" t="s">
        <v>1317</v>
      </c>
      <c r="E320" s="468" t="s">
        <v>1318</v>
      </c>
      <c r="F320" s="387">
        <v>45918</v>
      </c>
      <c r="G320" s="380" t="s">
        <v>643</v>
      </c>
      <c r="H320" s="380">
        <v>2</v>
      </c>
      <c r="I320" s="388">
        <v>160000</v>
      </c>
      <c r="J320" s="380">
        <v>2</v>
      </c>
      <c r="K320" s="389">
        <f t="shared" si="13"/>
        <v>80000</v>
      </c>
      <c r="L320" s="381">
        <v>45901</v>
      </c>
      <c r="M320" s="381">
        <v>46265</v>
      </c>
      <c r="N320" s="663"/>
      <c r="O320" s="680"/>
      <c r="P320" s="363" t="s">
        <v>19</v>
      </c>
      <c r="Q320" s="380" t="s">
        <v>13</v>
      </c>
      <c r="R320" s="380"/>
      <c r="S320" s="390" t="s">
        <v>625</v>
      </c>
      <c r="T320" s="363" t="s">
        <v>765</v>
      </c>
      <c r="U320" s="390" t="s">
        <v>1235</v>
      </c>
      <c r="V320" s="363" t="s">
        <v>1862</v>
      </c>
      <c r="W320" s="363"/>
      <c r="X320" s="363"/>
      <c r="Y320" s="363"/>
      <c r="Z320" s="363"/>
      <c r="AA320" s="363"/>
      <c r="AB320" s="363"/>
      <c r="AC320" s="363"/>
      <c r="AD320" s="363"/>
      <c r="AE320" s="363" t="s">
        <v>478</v>
      </c>
      <c r="AF320" s="380" t="s">
        <v>63</v>
      </c>
      <c r="AG320" s="380">
        <v>3</v>
      </c>
      <c r="AH320" s="363" t="s">
        <v>1319</v>
      </c>
    </row>
    <row r="321" spans="2:34" ht="15" hidden="1" customHeight="1" x14ac:dyDescent="0.3">
      <c r="B321" s="380" t="s">
        <v>14</v>
      </c>
      <c r="C321" s="482" t="s">
        <v>658</v>
      </c>
      <c r="D321" s="483" t="s">
        <v>1320</v>
      </c>
      <c r="E321" s="468" t="s">
        <v>1321</v>
      </c>
      <c r="F321" s="387">
        <v>45953</v>
      </c>
      <c r="G321" s="407" t="s">
        <v>703</v>
      </c>
      <c r="H321" s="380">
        <v>1</v>
      </c>
      <c r="I321" s="388">
        <v>460000</v>
      </c>
      <c r="J321" s="380">
        <v>4</v>
      </c>
      <c r="K321" s="389">
        <f t="shared" si="13"/>
        <v>115000</v>
      </c>
      <c r="L321" s="381">
        <v>45962</v>
      </c>
      <c r="M321" s="381">
        <v>46326</v>
      </c>
      <c r="N321" s="663"/>
      <c r="O321" s="680"/>
      <c r="P321" s="363" t="s">
        <v>520</v>
      </c>
      <c r="Q321" s="380" t="s">
        <v>1285</v>
      </c>
      <c r="R321" s="380"/>
      <c r="S321" s="390" t="s">
        <v>269</v>
      </c>
      <c r="T321" s="363" t="s">
        <v>653</v>
      </c>
      <c r="U321" s="390" t="s">
        <v>442</v>
      </c>
      <c r="V321" s="363" t="s">
        <v>1322</v>
      </c>
      <c r="W321" s="390" t="s">
        <v>444</v>
      </c>
      <c r="X321" s="363" t="s">
        <v>1955</v>
      </c>
      <c r="Y321" s="363" t="s">
        <v>445</v>
      </c>
      <c r="Z321" s="363"/>
      <c r="AA321" s="363"/>
      <c r="AB321" s="363"/>
      <c r="AC321" s="363"/>
      <c r="AD321" s="363"/>
      <c r="AE321" s="363" t="s">
        <v>183</v>
      </c>
      <c r="AF321" s="380" t="s">
        <v>97</v>
      </c>
      <c r="AG321" s="380" t="s">
        <v>494</v>
      </c>
      <c r="AH321" s="363" t="s">
        <v>1323</v>
      </c>
    </row>
    <row r="322" spans="2:34" ht="15" hidden="1" customHeight="1" x14ac:dyDescent="0.3">
      <c r="B322" s="380" t="s">
        <v>14</v>
      </c>
      <c r="C322" s="482" t="s">
        <v>905</v>
      </c>
      <c r="D322" s="483" t="s">
        <v>151</v>
      </c>
      <c r="E322" s="468">
        <v>1100035470</v>
      </c>
      <c r="F322" s="387">
        <v>45959</v>
      </c>
      <c r="G322" s="380" t="s">
        <v>643</v>
      </c>
      <c r="H322" s="380">
        <v>2</v>
      </c>
      <c r="I322" s="388">
        <v>134000</v>
      </c>
      <c r="J322" s="380">
        <v>2</v>
      </c>
      <c r="K322" s="389">
        <f t="shared" si="13"/>
        <v>67000</v>
      </c>
      <c r="L322" s="381">
        <v>45870</v>
      </c>
      <c r="M322" s="381">
        <v>46234</v>
      </c>
      <c r="N322" s="663"/>
      <c r="O322" s="680"/>
      <c r="P322" s="363" t="s">
        <v>19</v>
      </c>
      <c r="Q322" s="380" t="s">
        <v>11</v>
      </c>
      <c r="R322" s="380"/>
      <c r="S322" s="390" t="s">
        <v>424</v>
      </c>
      <c r="T322" s="363" t="s">
        <v>1324</v>
      </c>
      <c r="U322" s="390" t="s">
        <v>426</v>
      </c>
      <c r="V322" s="363" t="s">
        <v>1943</v>
      </c>
      <c r="W322" s="363"/>
      <c r="X322" s="363"/>
      <c r="Y322" s="363"/>
      <c r="Z322" s="363"/>
      <c r="AA322" s="363"/>
      <c r="AB322" s="363"/>
      <c r="AC322" s="363"/>
      <c r="AD322" s="363"/>
      <c r="AE322" s="363" t="s">
        <v>1325</v>
      </c>
      <c r="AF322" s="380" t="s">
        <v>63</v>
      </c>
      <c r="AG322" s="380">
        <v>3</v>
      </c>
      <c r="AH322" s="363" t="s">
        <v>667</v>
      </c>
    </row>
    <row r="323" spans="2:34" ht="15" hidden="1" customHeight="1" x14ac:dyDescent="0.3">
      <c r="B323" s="380" t="s">
        <v>14</v>
      </c>
      <c r="C323" s="409" t="s">
        <v>1326</v>
      </c>
      <c r="D323" s="423" t="s">
        <v>151</v>
      </c>
      <c r="E323" s="380">
        <v>700672062</v>
      </c>
      <c r="F323" s="387">
        <v>45957</v>
      </c>
      <c r="G323" s="380" t="s">
        <v>643</v>
      </c>
      <c r="H323" s="380">
        <v>3</v>
      </c>
      <c r="I323" s="388">
        <f>96000*3</f>
        <v>288000</v>
      </c>
      <c r="J323" s="380">
        <v>3</v>
      </c>
      <c r="K323" s="389">
        <f t="shared" si="13"/>
        <v>96000</v>
      </c>
      <c r="L323" s="381">
        <v>45870</v>
      </c>
      <c r="M323" s="381">
        <v>46234</v>
      </c>
      <c r="N323" s="663">
        <v>154674</v>
      </c>
      <c r="O323" s="680">
        <v>4659</v>
      </c>
      <c r="P323" s="363" t="s">
        <v>19</v>
      </c>
      <c r="Q323" s="380" t="s">
        <v>13</v>
      </c>
      <c r="R323" s="380"/>
      <c r="S323" s="390" t="s">
        <v>665</v>
      </c>
      <c r="T323" s="363" t="s">
        <v>73</v>
      </c>
      <c r="U323" s="390" t="s">
        <v>361</v>
      </c>
      <c r="V323" s="363" t="s">
        <v>1239</v>
      </c>
      <c r="W323" s="390" t="s">
        <v>1080</v>
      </c>
      <c r="X323" s="363" t="s">
        <v>2039</v>
      </c>
      <c r="Y323" s="363"/>
      <c r="Z323" s="363"/>
      <c r="AA323" s="363"/>
      <c r="AB323" s="363"/>
      <c r="AC323" s="363"/>
      <c r="AD323" s="363"/>
      <c r="AE323" s="363" t="s">
        <v>507</v>
      </c>
      <c r="AF323" s="380" t="s">
        <v>63</v>
      </c>
      <c r="AG323" s="380">
        <v>3</v>
      </c>
      <c r="AH323" s="363" t="s">
        <v>1327</v>
      </c>
    </row>
    <row r="324" spans="2:34" ht="15" hidden="1" customHeight="1" x14ac:dyDescent="0.3">
      <c r="B324" s="380" t="s">
        <v>14</v>
      </c>
      <c r="C324" s="478" t="s">
        <v>1328</v>
      </c>
      <c r="D324" s="480" t="s">
        <v>841</v>
      </c>
      <c r="E324" s="481">
        <v>470075997</v>
      </c>
      <c r="F324" s="415">
        <v>45936</v>
      </c>
      <c r="G324" s="380" t="s">
        <v>643</v>
      </c>
      <c r="H324" s="380">
        <v>2</v>
      </c>
      <c r="I324" s="388">
        <v>176000</v>
      </c>
      <c r="J324" s="380">
        <v>1</v>
      </c>
      <c r="K324" s="389"/>
      <c r="L324" s="381">
        <v>45955</v>
      </c>
      <c r="M324" s="381">
        <v>46319</v>
      </c>
      <c r="N324" s="663"/>
      <c r="O324" s="680"/>
      <c r="P324" s="363" t="s">
        <v>520</v>
      </c>
      <c r="Q324" s="380" t="s">
        <v>1285</v>
      </c>
      <c r="R324" s="380"/>
      <c r="S324" s="363" t="s">
        <v>1329</v>
      </c>
      <c r="T324" s="363"/>
      <c r="U324" s="363"/>
      <c r="V324" s="363"/>
      <c r="W324" s="363"/>
      <c r="X324" s="363"/>
      <c r="Y324" s="363"/>
      <c r="Z324" s="363"/>
      <c r="AA324" s="363"/>
      <c r="AB324" s="363"/>
      <c r="AC324" s="363"/>
      <c r="AD324" s="363"/>
      <c r="AE324" s="363" t="s">
        <v>485</v>
      </c>
      <c r="AF324" s="380" t="s">
        <v>63</v>
      </c>
      <c r="AG324" s="380">
        <v>2</v>
      </c>
      <c r="AH324" s="363" t="s">
        <v>1127</v>
      </c>
    </row>
    <row r="325" spans="2:34" ht="15" hidden="1" customHeight="1" x14ac:dyDescent="0.3">
      <c r="B325" s="380" t="s">
        <v>14</v>
      </c>
      <c r="C325" s="409" t="s">
        <v>1330</v>
      </c>
      <c r="D325" s="423" t="s">
        <v>1230</v>
      </c>
      <c r="E325" s="408" t="s">
        <v>1331</v>
      </c>
      <c r="F325" s="387">
        <v>45955</v>
      </c>
      <c r="G325" s="380" t="s">
        <v>643</v>
      </c>
      <c r="H325" s="380">
        <v>1</v>
      </c>
      <c r="I325" s="388">
        <v>109200</v>
      </c>
      <c r="J325" s="380">
        <v>3</v>
      </c>
      <c r="K325" s="389">
        <f t="shared" si="13"/>
        <v>36400</v>
      </c>
      <c r="L325" s="381">
        <v>45950</v>
      </c>
      <c r="M325" s="381">
        <v>46314</v>
      </c>
      <c r="N325" s="663"/>
      <c r="O325" s="680"/>
      <c r="P325" s="363" t="s">
        <v>520</v>
      </c>
      <c r="Q325" s="380" t="s">
        <v>1285</v>
      </c>
      <c r="R325" s="380"/>
      <c r="S325" s="390" t="s">
        <v>1332</v>
      </c>
      <c r="T325" s="363" t="s">
        <v>1009</v>
      </c>
      <c r="U325" s="390" t="s">
        <v>1333</v>
      </c>
      <c r="V325" s="363" t="s">
        <v>1849</v>
      </c>
      <c r="W325" s="363" t="s">
        <v>1334</v>
      </c>
      <c r="X325" s="363"/>
      <c r="Y325" s="363"/>
      <c r="Z325" s="363"/>
      <c r="AA325" s="363"/>
      <c r="AB325" s="363"/>
      <c r="AC325" s="363"/>
      <c r="AD325" s="363"/>
      <c r="AE325" s="363" t="s">
        <v>96</v>
      </c>
      <c r="AF325" s="380" t="s">
        <v>97</v>
      </c>
      <c r="AG325" s="380">
        <v>3</v>
      </c>
      <c r="AH325" s="363" t="s">
        <v>1335</v>
      </c>
    </row>
    <row r="326" spans="2:34" ht="15" hidden="1" customHeight="1" x14ac:dyDescent="0.3">
      <c r="B326" s="380" t="s">
        <v>14</v>
      </c>
      <c r="C326" s="412" t="s">
        <v>1336</v>
      </c>
      <c r="D326" s="437" t="s">
        <v>388</v>
      </c>
      <c r="E326" s="425">
        <v>3800044370</v>
      </c>
      <c r="F326" s="415">
        <v>45964</v>
      </c>
      <c r="G326" s="380" t="s">
        <v>643</v>
      </c>
      <c r="H326" s="380">
        <v>2</v>
      </c>
      <c r="I326" s="388">
        <v>148500</v>
      </c>
      <c r="J326" s="380">
        <v>2</v>
      </c>
      <c r="K326" s="389"/>
      <c r="L326" s="381">
        <v>45870</v>
      </c>
      <c r="M326" s="381">
        <v>46234</v>
      </c>
      <c r="N326" s="663"/>
      <c r="O326" s="680"/>
      <c r="P326" s="363" t="s">
        <v>19</v>
      </c>
      <c r="Q326" s="380" t="s">
        <v>11</v>
      </c>
      <c r="R326" s="380"/>
      <c r="S326" s="390" t="s">
        <v>424</v>
      </c>
      <c r="T326" s="363" t="s">
        <v>626</v>
      </c>
      <c r="U326" s="390" t="s">
        <v>426</v>
      </c>
      <c r="V326" s="363" t="s">
        <v>1855</v>
      </c>
      <c r="W326" s="363"/>
      <c r="X326" s="363"/>
      <c r="Y326" s="363"/>
      <c r="Z326" s="363"/>
      <c r="AA326" s="363"/>
      <c r="AB326" s="363"/>
      <c r="AC326" s="363"/>
      <c r="AD326" s="363"/>
      <c r="AE326" s="363" t="s">
        <v>478</v>
      </c>
      <c r="AF326" s="380" t="s">
        <v>63</v>
      </c>
      <c r="AG326" s="380">
        <v>2</v>
      </c>
      <c r="AH326" s="363" t="s">
        <v>799</v>
      </c>
    </row>
    <row r="327" spans="2:34" ht="15" hidden="1" customHeight="1" x14ac:dyDescent="0.3">
      <c r="B327" s="380" t="s">
        <v>14</v>
      </c>
      <c r="C327" s="430" t="s">
        <v>527</v>
      </c>
      <c r="D327" s="445" t="s">
        <v>131</v>
      </c>
      <c r="E327" s="419">
        <v>7001113889</v>
      </c>
      <c r="F327" s="387">
        <v>45964</v>
      </c>
      <c r="G327" s="380" t="s">
        <v>643</v>
      </c>
      <c r="H327" s="380">
        <v>1</v>
      </c>
      <c r="I327" s="388">
        <v>78750</v>
      </c>
      <c r="J327" s="380">
        <v>2</v>
      </c>
      <c r="K327" s="389">
        <f t="shared" si="13"/>
        <v>39375</v>
      </c>
      <c r="L327" s="381">
        <v>45962</v>
      </c>
      <c r="M327" s="381">
        <v>46326</v>
      </c>
      <c r="N327" s="663"/>
      <c r="O327" s="680"/>
      <c r="P327" s="363" t="s">
        <v>520</v>
      </c>
      <c r="Q327" s="380" t="s">
        <v>1337</v>
      </c>
      <c r="R327" s="380"/>
      <c r="S327" s="390" t="s">
        <v>330</v>
      </c>
      <c r="T327" s="363" t="s">
        <v>1338</v>
      </c>
      <c r="U327" s="363" t="s">
        <v>1339</v>
      </c>
      <c r="V327" s="363"/>
      <c r="W327" s="363"/>
      <c r="X327" s="363"/>
      <c r="Y327" s="363"/>
      <c r="Z327" s="363"/>
      <c r="AA327" s="363"/>
      <c r="AB327" s="363"/>
      <c r="AC327" s="363"/>
      <c r="AD327" s="363"/>
      <c r="AE327" s="363" t="s">
        <v>485</v>
      </c>
      <c r="AF327" s="380" t="s">
        <v>63</v>
      </c>
      <c r="AG327" s="380">
        <v>2</v>
      </c>
      <c r="AH327" s="363" t="s">
        <v>799</v>
      </c>
    </row>
    <row r="328" spans="2:34" ht="15" hidden="1" customHeight="1" x14ac:dyDescent="0.3">
      <c r="B328" s="380" t="s">
        <v>14</v>
      </c>
      <c r="C328" s="409" t="s">
        <v>1340</v>
      </c>
      <c r="D328" s="434" t="s">
        <v>1341</v>
      </c>
      <c r="E328" s="380">
        <v>1443021479</v>
      </c>
      <c r="F328" s="387">
        <v>45961</v>
      </c>
      <c r="G328" s="380" t="s">
        <v>643</v>
      </c>
      <c r="H328" s="380">
        <v>1</v>
      </c>
      <c r="I328" s="388">
        <v>70000</v>
      </c>
      <c r="J328" s="380">
        <v>2</v>
      </c>
      <c r="K328" s="389">
        <f t="shared" si="13"/>
        <v>35000</v>
      </c>
      <c r="L328" s="381">
        <v>45962</v>
      </c>
      <c r="M328" s="381">
        <v>46326</v>
      </c>
      <c r="N328" s="663"/>
      <c r="O328" s="680"/>
      <c r="P328" s="363" t="s">
        <v>520</v>
      </c>
      <c r="Q328" s="380" t="s">
        <v>1337</v>
      </c>
      <c r="R328" s="380"/>
      <c r="S328" s="390" t="s">
        <v>330</v>
      </c>
      <c r="T328" s="363" t="s">
        <v>1858</v>
      </c>
      <c r="U328" s="363" t="s">
        <v>1339</v>
      </c>
      <c r="V328" s="363"/>
      <c r="W328" s="363"/>
      <c r="X328" s="363"/>
      <c r="Y328" s="363"/>
      <c r="Z328" s="363"/>
      <c r="AA328" s="363"/>
      <c r="AB328" s="363"/>
      <c r="AC328" s="363"/>
      <c r="AD328" s="363"/>
      <c r="AE328" s="363" t="s">
        <v>478</v>
      </c>
      <c r="AF328" s="380" t="s">
        <v>63</v>
      </c>
      <c r="AG328" s="380">
        <v>2</v>
      </c>
      <c r="AH328" s="363" t="s">
        <v>667</v>
      </c>
    </row>
    <row r="329" spans="2:34" ht="15" hidden="1" customHeight="1" x14ac:dyDescent="0.3">
      <c r="B329" s="380" t="s">
        <v>14</v>
      </c>
      <c r="C329" s="409" t="s">
        <v>1340</v>
      </c>
      <c r="D329" s="434" t="s">
        <v>1341</v>
      </c>
      <c r="E329" s="380">
        <v>1443021480</v>
      </c>
      <c r="F329" s="387">
        <v>45961</v>
      </c>
      <c r="G329" s="380" t="s">
        <v>643</v>
      </c>
      <c r="H329" s="380">
        <v>1</v>
      </c>
      <c r="I329" s="388">
        <v>70000</v>
      </c>
      <c r="J329" s="380">
        <v>2</v>
      </c>
      <c r="K329" s="389">
        <f t="shared" si="13"/>
        <v>35000</v>
      </c>
      <c r="L329" s="381">
        <v>45962</v>
      </c>
      <c r="M329" s="381">
        <v>46326</v>
      </c>
      <c r="N329" s="663"/>
      <c r="O329" s="680"/>
      <c r="P329" s="363" t="s">
        <v>520</v>
      </c>
      <c r="Q329" s="380" t="s">
        <v>1337</v>
      </c>
      <c r="R329" s="380"/>
      <c r="S329" s="390" t="s">
        <v>330</v>
      </c>
      <c r="T329" s="363" t="s">
        <v>1858</v>
      </c>
      <c r="U329" s="363" t="s">
        <v>1339</v>
      </c>
      <c r="V329" s="363"/>
      <c r="W329" s="363"/>
      <c r="X329" s="363"/>
      <c r="Y329" s="363"/>
      <c r="Z329" s="363"/>
      <c r="AA329" s="363"/>
      <c r="AB329" s="363"/>
      <c r="AC329" s="363"/>
      <c r="AD329" s="363"/>
      <c r="AE329" s="363" t="s">
        <v>478</v>
      </c>
      <c r="AF329" s="380" t="s">
        <v>63</v>
      </c>
      <c r="AG329" s="380">
        <v>2</v>
      </c>
      <c r="AH329" s="363" t="s">
        <v>667</v>
      </c>
    </row>
    <row r="330" spans="2:34" ht="15" hidden="1" customHeight="1" x14ac:dyDescent="0.3">
      <c r="B330" s="380" t="s">
        <v>14</v>
      </c>
      <c r="C330" s="482" t="s">
        <v>1342</v>
      </c>
      <c r="D330" s="483" t="s">
        <v>447</v>
      </c>
      <c r="E330" s="468">
        <v>1000105113</v>
      </c>
      <c r="F330" s="387">
        <v>45961</v>
      </c>
      <c r="G330" s="380" t="s">
        <v>643</v>
      </c>
      <c r="H330" s="380">
        <v>2</v>
      </c>
      <c r="I330" s="388">
        <v>171712</v>
      </c>
      <c r="J330" s="380">
        <v>3</v>
      </c>
      <c r="K330" s="389">
        <f t="shared" si="13"/>
        <v>57237.333333333336</v>
      </c>
      <c r="L330" s="381">
        <v>45962</v>
      </c>
      <c r="M330" s="381">
        <v>46326</v>
      </c>
      <c r="N330" s="663"/>
      <c r="O330" s="680"/>
      <c r="P330" s="363" t="s">
        <v>520</v>
      </c>
      <c r="Q330" s="380" t="s">
        <v>1337</v>
      </c>
      <c r="R330" s="380"/>
      <c r="S330" s="390" t="s">
        <v>192</v>
      </c>
      <c r="T330" s="363" t="s">
        <v>1343</v>
      </c>
      <c r="U330" s="390" t="s">
        <v>194</v>
      </c>
      <c r="V330" s="363" t="s">
        <v>1725</v>
      </c>
      <c r="W330" s="363" t="s">
        <v>1344</v>
      </c>
      <c r="X330" s="363"/>
      <c r="Y330" s="363"/>
      <c r="Z330" s="363"/>
      <c r="AA330" s="363"/>
      <c r="AB330" s="363"/>
      <c r="AC330" s="363"/>
      <c r="AD330" s="363"/>
      <c r="AE330" s="363" t="s">
        <v>281</v>
      </c>
      <c r="AF330" s="380" t="s">
        <v>97</v>
      </c>
      <c r="AG330" s="380">
        <v>3</v>
      </c>
      <c r="AH330" s="363" t="s">
        <v>1345</v>
      </c>
    </row>
    <row r="331" spans="2:34" ht="15" hidden="1" customHeight="1" x14ac:dyDescent="0.3">
      <c r="B331" s="380" t="s">
        <v>14</v>
      </c>
      <c r="C331" s="409" t="s">
        <v>1346</v>
      </c>
      <c r="D331" s="483" t="s">
        <v>447</v>
      </c>
      <c r="E331" s="397" t="s">
        <v>1347</v>
      </c>
      <c r="F331" s="387">
        <v>45960</v>
      </c>
      <c r="G331" s="380" t="s">
        <v>643</v>
      </c>
      <c r="H331" s="380">
        <v>13</v>
      </c>
      <c r="I331" s="388">
        <v>1150488</v>
      </c>
      <c r="J331" s="380">
        <v>6</v>
      </c>
      <c r="K331" s="389">
        <f>I331/3</f>
        <v>383496</v>
      </c>
      <c r="L331" s="381">
        <v>45901</v>
      </c>
      <c r="M331" s="381">
        <v>46446</v>
      </c>
      <c r="N331" s="663"/>
      <c r="O331" s="680"/>
      <c r="P331" s="363" t="s">
        <v>520</v>
      </c>
      <c r="Q331" s="380" t="s">
        <v>1337</v>
      </c>
      <c r="R331" s="380"/>
      <c r="S331" s="390" t="s">
        <v>1348</v>
      </c>
      <c r="T331" s="363" t="s">
        <v>1349</v>
      </c>
      <c r="U331" s="390" t="s">
        <v>1133</v>
      </c>
      <c r="V331" s="363" t="s">
        <v>386</v>
      </c>
      <c r="W331" s="390" t="s">
        <v>1134</v>
      </c>
      <c r="X331" s="363" t="s">
        <v>1726</v>
      </c>
      <c r="Y331" s="363" t="s">
        <v>1244</v>
      </c>
      <c r="Z331" s="363" t="s">
        <v>1350</v>
      </c>
      <c r="AA331" s="363" t="s">
        <v>1245</v>
      </c>
      <c r="AB331" s="363" t="s">
        <v>1351</v>
      </c>
      <c r="AC331" s="363" t="s">
        <v>1246</v>
      </c>
      <c r="AD331" s="363"/>
      <c r="AE331" s="363" t="s">
        <v>281</v>
      </c>
      <c r="AF331" s="380" t="s">
        <v>97</v>
      </c>
      <c r="AG331" s="380">
        <v>3</v>
      </c>
      <c r="AH331" s="363" t="s">
        <v>1352</v>
      </c>
    </row>
    <row r="332" spans="2:34" ht="15" hidden="1" customHeight="1" x14ac:dyDescent="0.3">
      <c r="B332" s="380" t="s">
        <v>14</v>
      </c>
      <c r="C332" s="409" t="s">
        <v>1353</v>
      </c>
      <c r="D332" s="434" t="s">
        <v>1354</v>
      </c>
      <c r="E332" s="472">
        <v>4900003846</v>
      </c>
      <c r="F332" s="387">
        <v>45966</v>
      </c>
      <c r="G332" s="380" t="s">
        <v>643</v>
      </c>
      <c r="H332" s="380">
        <v>1</v>
      </c>
      <c r="I332" s="388">
        <v>85560</v>
      </c>
      <c r="J332" s="380">
        <v>3</v>
      </c>
      <c r="K332" s="389">
        <f t="shared" ref="K332:K395" si="14">I332/J332</f>
        <v>28520</v>
      </c>
      <c r="L332" s="381">
        <v>45932</v>
      </c>
      <c r="M332" s="381">
        <v>46296</v>
      </c>
      <c r="N332" s="663"/>
      <c r="O332" s="680"/>
      <c r="P332" s="363" t="s">
        <v>520</v>
      </c>
      <c r="Q332" s="380" t="s">
        <v>1337</v>
      </c>
      <c r="R332" s="380"/>
      <c r="S332" s="390" t="s">
        <v>1355</v>
      </c>
      <c r="T332" s="363" t="s">
        <v>1105</v>
      </c>
      <c r="U332" s="390" t="s">
        <v>1356</v>
      </c>
      <c r="V332" s="363" t="s">
        <v>1863</v>
      </c>
      <c r="W332" s="363" t="s">
        <v>1357</v>
      </c>
      <c r="X332" s="363"/>
      <c r="Y332" s="363"/>
      <c r="Z332" s="363"/>
      <c r="AA332" s="363"/>
      <c r="AB332" s="363"/>
      <c r="AC332" s="363"/>
      <c r="AD332" s="363"/>
      <c r="AE332" s="363" t="s">
        <v>485</v>
      </c>
      <c r="AF332" s="380" t="s">
        <v>63</v>
      </c>
      <c r="AG332" s="380">
        <v>4</v>
      </c>
      <c r="AH332" s="363" t="s">
        <v>1358</v>
      </c>
    </row>
    <row r="333" spans="2:34" ht="15" hidden="1" customHeight="1" x14ac:dyDescent="0.3">
      <c r="B333" s="380" t="s">
        <v>14</v>
      </c>
      <c r="C333" s="482" t="s">
        <v>1359</v>
      </c>
      <c r="D333" s="483" t="s">
        <v>1360</v>
      </c>
      <c r="E333" s="468">
        <v>4500035457</v>
      </c>
      <c r="F333" s="387">
        <v>45942</v>
      </c>
      <c r="G333" s="380" t="s">
        <v>643</v>
      </c>
      <c r="H333" s="380">
        <v>1</v>
      </c>
      <c r="I333" s="388">
        <v>175000</v>
      </c>
      <c r="J333" s="380">
        <v>2</v>
      </c>
      <c r="K333" s="389">
        <f t="shared" si="14"/>
        <v>87500</v>
      </c>
      <c r="L333" s="381">
        <v>45942</v>
      </c>
      <c r="M333" s="381">
        <v>46306</v>
      </c>
      <c r="N333" s="663"/>
      <c r="O333" s="680"/>
      <c r="P333" s="363" t="s">
        <v>19</v>
      </c>
      <c r="Q333" s="380" t="s">
        <v>1285</v>
      </c>
      <c r="R333" s="380"/>
      <c r="S333" s="390" t="s">
        <v>1361</v>
      </c>
      <c r="T333" s="381" t="s">
        <v>84</v>
      </c>
      <c r="U333" s="390" t="s">
        <v>1362</v>
      </c>
      <c r="V333" s="363" t="s">
        <v>1953</v>
      </c>
      <c r="W333" s="363"/>
      <c r="X333" s="363"/>
      <c r="Y333" s="363"/>
      <c r="Z333" s="363"/>
      <c r="AA333" s="363"/>
      <c r="AB333" s="363"/>
      <c r="AC333" s="363"/>
      <c r="AD333" s="363"/>
      <c r="AE333" s="363" t="s">
        <v>128</v>
      </c>
      <c r="AF333" s="380" t="s">
        <v>129</v>
      </c>
      <c r="AG333" s="380">
        <v>2</v>
      </c>
      <c r="AH333" s="363" t="s">
        <v>1363</v>
      </c>
    </row>
    <row r="334" spans="2:34" ht="15" hidden="1" customHeight="1" x14ac:dyDescent="0.3">
      <c r="B334" s="380" t="s">
        <v>14</v>
      </c>
      <c r="C334" s="409" t="s">
        <v>1364</v>
      </c>
      <c r="D334" s="423" t="s">
        <v>997</v>
      </c>
      <c r="E334" s="484">
        <v>4400000465</v>
      </c>
      <c r="F334" s="387">
        <v>45974</v>
      </c>
      <c r="G334" s="380" t="s">
        <v>643</v>
      </c>
      <c r="H334" s="380">
        <v>3</v>
      </c>
      <c r="I334" s="388">
        <v>300000</v>
      </c>
      <c r="J334" s="380">
        <v>2</v>
      </c>
      <c r="K334" s="389">
        <f t="shared" si="14"/>
        <v>150000</v>
      </c>
      <c r="L334" s="381">
        <v>45962</v>
      </c>
      <c r="M334" s="381">
        <v>46326</v>
      </c>
      <c r="N334" s="663"/>
      <c r="O334" s="680"/>
      <c r="P334" s="363" t="s">
        <v>520</v>
      </c>
      <c r="Q334" s="380" t="s">
        <v>1337</v>
      </c>
      <c r="R334" s="380"/>
      <c r="S334" s="390" t="s">
        <v>330</v>
      </c>
      <c r="T334" s="363" t="s">
        <v>1044</v>
      </c>
      <c r="U334" s="363" t="s">
        <v>1339</v>
      </c>
      <c r="V334" s="363"/>
      <c r="W334" s="363"/>
      <c r="X334" s="363"/>
      <c r="Y334" s="363"/>
      <c r="Z334" s="363"/>
      <c r="AA334" s="363"/>
      <c r="AB334" s="363"/>
      <c r="AC334" s="363"/>
      <c r="AD334" s="363"/>
      <c r="AE334" s="363" t="s">
        <v>96</v>
      </c>
      <c r="AF334" s="380" t="s">
        <v>97</v>
      </c>
      <c r="AG334" s="380">
        <v>3</v>
      </c>
      <c r="AH334" s="363" t="s">
        <v>1365</v>
      </c>
    </row>
    <row r="335" spans="2:34" ht="15" hidden="1" customHeight="1" x14ac:dyDescent="0.3">
      <c r="B335" s="380" t="s">
        <v>14</v>
      </c>
      <c r="C335" s="409" t="s">
        <v>1011</v>
      </c>
      <c r="D335" s="418" t="s">
        <v>1012</v>
      </c>
      <c r="E335" s="419" t="s">
        <v>1366</v>
      </c>
      <c r="F335" s="387">
        <v>45974</v>
      </c>
      <c r="G335" s="380" t="s">
        <v>643</v>
      </c>
      <c r="H335" s="380">
        <v>1</v>
      </c>
      <c r="I335" s="388">
        <v>55200</v>
      </c>
      <c r="J335" s="380">
        <v>2</v>
      </c>
      <c r="K335" s="389">
        <f t="shared" si="14"/>
        <v>27600</v>
      </c>
      <c r="L335" s="381">
        <v>46023</v>
      </c>
      <c r="M335" s="381">
        <v>46387</v>
      </c>
      <c r="N335" s="663"/>
      <c r="O335" s="680"/>
      <c r="P335" s="363" t="s">
        <v>520</v>
      </c>
      <c r="Q335" s="380" t="s">
        <v>1337</v>
      </c>
      <c r="R335" s="380"/>
      <c r="S335" s="390" t="s">
        <v>607</v>
      </c>
      <c r="T335" s="363" t="s">
        <v>1859</v>
      </c>
      <c r="U335" s="363" t="s">
        <v>608</v>
      </c>
      <c r="V335" s="363"/>
      <c r="W335" s="363"/>
      <c r="X335" s="363"/>
      <c r="Y335" s="363"/>
      <c r="Z335" s="363"/>
      <c r="AA335" s="363"/>
      <c r="AB335" s="363"/>
      <c r="AC335" s="363"/>
      <c r="AD335" s="363"/>
      <c r="AE335" s="363" t="s">
        <v>619</v>
      </c>
      <c r="AF335" s="380" t="s">
        <v>63</v>
      </c>
      <c r="AG335" s="380" t="s">
        <v>1367</v>
      </c>
      <c r="AH335" s="363" t="s">
        <v>835</v>
      </c>
    </row>
    <row r="336" spans="2:34" ht="15" hidden="1" customHeight="1" x14ac:dyDescent="0.3">
      <c r="B336" s="380" t="s">
        <v>14</v>
      </c>
      <c r="C336" s="409" t="s">
        <v>195</v>
      </c>
      <c r="D336" s="483" t="s">
        <v>447</v>
      </c>
      <c r="E336" s="468" t="s">
        <v>1368</v>
      </c>
      <c r="F336" s="387">
        <v>45978</v>
      </c>
      <c r="G336" s="380" t="s">
        <v>643</v>
      </c>
      <c r="H336" s="380">
        <v>23</v>
      </c>
      <c r="I336" s="388">
        <v>1413120</v>
      </c>
      <c r="J336" s="380">
        <v>4</v>
      </c>
      <c r="K336" s="391">
        <f t="shared" si="14"/>
        <v>353280</v>
      </c>
      <c r="L336" s="381">
        <v>45979</v>
      </c>
      <c r="M336" s="381">
        <v>46343</v>
      </c>
      <c r="N336" s="663">
        <v>154732</v>
      </c>
      <c r="O336" s="680">
        <v>4764</v>
      </c>
      <c r="P336" s="363" t="s">
        <v>520</v>
      </c>
      <c r="Q336" s="380" t="s">
        <v>1337</v>
      </c>
      <c r="R336" s="380"/>
      <c r="S336" s="390" t="s">
        <v>1369</v>
      </c>
      <c r="T336" s="363" t="s">
        <v>441</v>
      </c>
      <c r="U336" s="390" t="s">
        <v>1370</v>
      </c>
      <c r="V336" s="363" t="s">
        <v>1723</v>
      </c>
      <c r="W336" s="390" t="s">
        <v>1371</v>
      </c>
      <c r="X336" s="363" t="s">
        <v>2014</v>
      </c>
      <c r="Y336" s="363" t="s">
        <v>1372</v>
      </c>
      <c r="Z336" s="363"/>
      <c r="AA336" s="363"/>
      <c r="AB336" s="363"/>
      <c r="AC336" s="363"/>
      <c r="AD336" s="363"/>
      <c r="AE336" s="363" t="s">
        <v>96</v>
      </c>
      <c r="AF336" s="380" t="s">
        <v>97</v>
      </c>
      <c r="AG336" s="380" t="s">
        <v>494</v>
      </c>
      <c r="AH336" s="363" t="s">
        <v>667</v>
      </c>
    </row>
    <row r="337" spans="2:34" ht="15" hidden="1" customHeight="1" x14ac:dyDescent="0.3">
      <c r="B337" s="380" t="s">
        <v>14</v>
      </c>
      <c r="C337" s="482" t="s">
        <v>1359</v>
      </c>
      <c r="D337" s="483" t="s">
        <v>1360</v>
      </c>
      <c r="E337" s="468">
        <v>4500035464</v>
      </c>
      <c r="F337" s="387">
        <v>45943</v>
      </c>
      <c r="G337" s="380" t="s">
        <v>643</v>
      </c>
      <c r="H337" s="380">
        <v>2</v>
      </c>
      <c r="I337" s="388">
        <v>175000</v>
      </c>
      <c r="J337" s="380">
        <v>1</v>
      </c>
      <c r="K337" s="389">
        <f t="shared" si="14"/>
        <v>175000</v>
      </c>
      <c r="L337" s="381">
        <v>45943</v>
      </c>
      <c r="M337" s="381">
        <v>46124</v>
      </c>
      <c r="N337" s="663"/>
      <c r="O337" s="680"/>
      <c r="P337" s="363" t="s">
        <v>520</v>
      </c>
      <c r="Q337" s="380" t="s">
        <v>1337</v>
      </c>
      <c r="R337" s="380"/>
      <c r="S337" s="390" t="s">
        <v>1373</v>
      </c>
      <c r="T337" s="363" t="s">
        <v>1374</v>
      </c>
      <c r="U337" s="363"/>
      <c r="V337" s="363"/>
      <c r="W337" s="363"/>
      <c r="X337" s="363"/>
      <c r="Y337" s="363"/>
      <c r="Z337" s="363"/>
      <c r="AA337" s="363"/>
      <c r="AB337" s="363"/>
      <c r="AC337" s="363"/>
      <c r="AD337" s="363"/>
      <c r="AE337" s="363" t="s">
        <v>128</v>
      </c>
      <c r="AF337" s="380" t="s">
        <v>129</v>
      </c>
      <c r="AG337" s="380">
        <v>2</v>
      </c>
      <c r="AH337" s="363" t="s">
        <v>1272</v>
      </c>
    </row>
    <row r="338" spans="2:34" ht="15" hidden="1" customHeight="1" x14ac:dyDescent="0.3">
      <c r="B338" s="380" t="s">
        <v>14</v>
      </c>
      <c r="C338" s="482" t="s">
        <v>1359</v>
      </c>
      <c r="D338" s="483" t="s">
        <v>1360</v>
      </c>
      <c r="E338" s="468">
        <v>4500035465</v>
      </c>
      <c r="F338" s="387">
        <v>45943</v>
      </c>
      <c r="G338" s="380" t="s">
        <v>643</v>
      </c>
      <c r="H338" s="380">
        <v>2</v>
      </c>
      <c r="I338" s="388">
        <v>175000</v>
      </c>
      <c r="J338" s="380">
        <v>1</v>
      </c>
      <c r="K338" s="389">
        <f t="shared" si="14"/>
        <v>175000</v>
      </c>
      <c r="L338" s="381">
        <v>46125</v>
      </c>
      <c r="M338" s="381">
        <v>46307</v>
      </c>
      <c r="N338" s="663"/>
      <c r="O338" s="680"/>
      <c r="P338" s="363" t="s">
        <v>19</v>
      </c>
      <c r="Q338" s="380" t="s">
        <v>1285</v>
      </c>
      <c r="R338" s="380"/>
      <c r="S338" s="390" t="s">
        <v>1956</v>
      </c>
      <c r="T338" s="363" t="s">
        <v>1943</v>
      </c>
      <c r="U338" s="363"/>
      <c r="V338" s="363"/>
      <c r="W338" s="363"/>
      <c r="X338" s="363"/>
      <c r="Y338" s="363"/>
      <c r="Z338" s="363"/>
      <c r="AA338" s="363"/>
      <c r="AB338" s="363"/>
      <c r="AC338" s="363"/>
      <c r="AD338" s="363"/>
      <c r="AE338" s="363" t="s">
        <v>128</v>
      </c>
      <c r="AF338" s="380" t="s">
        <v>129</v>
      </c>
      <c r="AG338" s="380">
        <v>2</v>
      </c>
      <c r="AH338" s="363" t="s">
        <v>1272</v>
      </c>
    </row>
    <row r="339" spans="2:34" ht="15" hidden="1" customHeight="1" x14ac:dyDescent="0.3">
      <c r="B339" s="380" t="s">
        <v>14</v>
      </c>
      <c r="C339" s="409" t="s">
        <v>1377</v>
      </c>
      <c r="D339" s="423" t="s">
        <v>151</v>
      </c>
      <c r="E339" s="419">
        <v>4500089503</v>
      </c>
      <c r="F339" s="387">
        <v>45980</v>
      </c>
      <c r="G339" s="380" t="s">
        <v>643</v>
      </c>
      <c r="H339" s="380">
        <v>1</v>
      </c>
      <c r="I339" s="388">
        <v>100008</v>
      </c>
      <c r="J339" s="380">
        <v>3</v>
      </c>
      <c r="K339" s="389">
        <f t="shared" si="14"/>
        <v>33336</v>
      </c>
      <c r="L339" s="381">
        <v>45981</v>
      </c>
      <c r="M339" s="381">
        <v>46345</v>
      </c>
      <c r="N339" s="663">
        <v>154935</v>
      </c>
      <c r="O339" s="680"/>
      <c r="P339" s="363" t="s">
        <v>520</v>
      </c>
      <c r="Q339" s="380" t="s">
        <v>1337</v>
      </c>
      <c r="R339" s="380"/>
      <c r="S339" s="390" t="s">
        <v>1378</v>
      </c>
      <c r="T339" s="363" t="s">
        <v>1162</v>
      </c>
      <c r="U339" s="390" t="s">
        <v>1379</v>
      </c>
      <c r="V339" s="363" t="s">
        <v>2013</v>
      </c>
      <c r="W339" s="363" t="s">
        <v>1380</v>
      </c>
      <c r="X339" s="363"/>
      <c r="Y339" s="363"/>
      <c r="Z339" s="363"/>
      <c r="AA339" s="363"/>
      <c r="AB339" s="363"/>
      <c r="AC339" s="363"/>
      <c r="AD339" s="363"/>
      <c r="AE339" s="363" t="s">
        <v>507</v>
      </c>
      <c r="AF339" s="380" t="s">
        <v>63</v>
      </c>
      <c r="AG339" s="380">
        <v>3</v>
      </c>
      <c r="AH339" s="363" t="s">
        <v>1272</v>
      </c>
    </row>
    <row r="340" spans="2:34" ht="15" hidden="1" customHeight="1" x14ac:dyDescent="0.3">
      <c r="B340" s="380" t="s">
        <v>14</v>
      </c>
      <c r="C340" s="482" t="s">
        <v>658</v>
      </c>
      <c r="D340" s="483" t="s">
        <v>388</v>
      </c>
      <c r="E340" s="468" t="s">
        <v>1381</v>
      </c>
      <c r="F340" s="387">
        <v>45981</v>
      </c>
      <c r="G340" s="380" t="s">
        <v>643</v>
      </c>
      <c r="H340" s="380">
        <v>3</v>
      </c>
      <c r="I340" s="388">
        <v>204000</v>
      </c>
      <c r="J340" s="380">
        <v>2</v>
      </c>
      <c r="K340" s="391">
        <f t="shared" si="14"/>
        <v>102000</v>
      </c>
      <c r="L340" s="381">
        <v>45809</v>
      </c>
      <c r="M340" s="381">
        <v>46173</v>
      </c>
      <c r="N340" s="663"/>
      <c r="O340" s="680"/>
      <c r="P340" s="363" t="s">
        <v>19</v>
      </c>
      <c r="Q340" s="380" t="s">
        <v>9</v>
      </c>
      <c r="R340" s="380"/>
      <c r="S340" s="390" t="s">
        <v>125</v>
      </c>
      <c r="T340" s="363" t="s">
        <v>346</v>
      </c>
      <c r="U340" s="390" t="s">
        <v>127</v>
      </c>
      <c r="V340" s="363" t="s">
        <v>1852</v>
      </c>
      <c r="W340" s="363"/>
      <c r="X340" s="363"/>
      <c r="Y340" s="363"/>
      <c r="Z340" s="363"/>
      <c r="AA340" s="363"/>
      <c r="AB340" s="363"/>
      <c r="AC340" s="363"/>
      <c r="AD340" s="363"/>
      <c r="AE340" s="363" t="s">
        <v>478</v>
      </c>
      <c r="AF340" s="380" t="s">
        <v>63</v>
      </c>
      <c r="AG340" s="380">
        <v>3</v>
      </c>
      <c r="AH340" s="363" t="s">
        <v>1272</v>
      </c>
    </row>
    <row r="341" spans="2:34" ht="15" hidden="1" customHeight="1" x14ac:dyDescent="0.3">
      <c r="B341" s="380" t="s">
        <v>14</v>
      </c>
      <c r="C341" s="443" t="s">
        <v>1382</v>
      </c>
      <c r="D341" s="444" t="s">
        <v>1383</v>
      </c>
      <c r="E341" s="426">
        <v>3100343411</v>
      </c>
      <c r="F341" s="387">
        <v>45981</v>
      </c>
      <c r="G341" s="380" t="s">
        <v>643</v>
      </c>
      <c r="H341" s="380">
        <v>1</v>
      </c>
      <c r="I341" s="388">
        <v>55000</v>
      </c>
      <c r="J341" s="380">
        <v>1</v>
      </c>
      <c r="K341" s="389">
        <f t="shared" si="14"/>
        <v>55000</v>
      </c>
      <c r="L341" s="381">
        <v>45870</v>
      </c>
      <c r="M341" s="487">
        <v>46234</v>
      </c>
      <c r="N341" s="666"/>
      <c r="O341" s="683"/>
      <c r="P341" s="363" t="s">
        <v>520</v>
      </c>
      <c r="Q341" s="387"/>
      <c r="R341" s="380"/>
      <c r="S341" s="363" t="s">
        <v>1384</v>
      </c>
      <c r="T341" s="363"/>
      <c r="U341" s="363"/>
      <c r="V341" s="363"/>
      <c r="W341" s="363"/>
      <c r="X341" s="363"/>
      <c r="Y341" s="363"/>
      <c r="Z341" s="363"/>
      <c r="AA341" s="363"/>
      <c r="AB341" s="363"/>
      <c r="AC341" s="363"/>
      <c r="AD341" s="363"/>
      <c r="AE341" s="363" t="s">
        <v>507</v>
      </c>
      <c r="AF341" s="380" t="s">
        <v>63</v>
      </c>
      <c r="AG341" s="380" t="s">
        <v>1367</v>
      </c>
      <c r="AH341" s="363" t="s">
        <v>667</v>
      </c>
    </row>
    <row r="342" spans="2:34" ht="15" hidden="1" customHeight="1" x14ac:dyDescent="0.3">
      <c r="B342" s="380" t="s">
        <v>14</v>
      </c>
      <c r="C342" s="482" t="s">
        <v>1385</v>
      </c>
      <c r="D342" s="483" t="s">
        <v>151</v>
      </c>
      <c r="E342" s="468">
        <v>4500088897</v>
      </c>
      <c r="F342" s="488">
        <v>45958</v>
      </c>
      <c r="G342" s="380" t="s">
        <v>643</v>
      </c>
      <c r="H342" s="380">
        <v>2</v>
      </c>
      <c r="I342" s="388">
        <v>90000</v>
      </c>
      <c r="J342" s="380">
        <v>1</v>
      </c>
      <c r="K342" s="389">
        <f t="shared" si="14"/>
        <v>90000</v>
      </c>
      <c r="L342" s="381">
        <v>45962</v>
      </c>
      <c r="M342" s="381">
        <v>46326</v>
      </c>
      <c r="N342" s="663"/>
      <c r="O342" s="680"/>
      <c r="P342" s="363" t="s">
        <v>520</v>
      </c>
      <c r="Q342" s="380" t="s">
        <v>1337</v>
      </c>
      <c r="R342" s="380"/>
      <c r="S342" s="363" t="s">
        <v>1386</v>
      </c>
      <c r="T342" s="363"/>
      <c r="U342" s="363"/>
      <c r="V342" s="363"/>
      <c r="W342" s="363"/>
      <c r="X342" s="363"/>
      <c r="Y342" s="363"/>
      <c r="Z342" s="363"/>
      <c r="AA342" s="363"/>
      <c r="AB342" s="363"/>
      <c r="AC342" s="363"/>
      <c r="AD342" s="363"/>
      <c r="AE342" s="363" t="s">
        <v>478</v>
      </c>
      <c r="AF342" s="380" t="s">
        <v>63</v>
      </c>
      <c r="AG342" s="380">
        <v>1</v>
      </c>
      <c r="AH342" s="363" t="s">
        <v>667</v>
      </c>
    </row>
    <row r="343" spans="2:34" ht="15" hidden="1" customHeight="1" x14ac:dyDescent="0.3">
      <c r="B343" s="380" t="s">
        <v>14</v>
      </c>
      <c r="C343" s="478" t="s">
        <v>948</v>
      </c>
      <c r="D343" s="480" t="s">
        <v>987</v>
      </c>
      <c r="E343" s="425">
        <v>946532</v>
      </c>
      <c r="F343" s="415">
        <v>45955</v>
      </c>
      <c r="G343" s="380" t="s">
        <v>643</v>
      </c>
      <c r="H343" s="380">
        <v>2</v>
      </c>
      <c r="I343" s="388">
        <v>148960</v>
      </c>
      <c r="J343" s="380">
        <v>4</v>
      </c>
      <c r="K343" s="389"/>
      <c r="L343" s="381">
        <v>45962</v>
      </c>
      <c r="M343" s="381">
        <v>46326</v>
      </c>
      <c r="N343" s="663"/>
      <c r="O343" s="680"/>
      <c r="P343" s="363" t="s">
        <v>520</v>
      </c>
      <c r="Q343" s="380"/>
      <c r="R343" s="380"/>
      <c r="S343" s="390" t="s">
        <v>269</v>
      </c>
      <c r="T343" s="363" t="s">
        <v>1387</v>
      </c>
      <c r="U343" s="390" t="s">
        <v>442</v>
      </c>
      <c r="V343" s="363" t="s">
        <v>443</v>
      </c>
      <c r="W343" s="390" t="s">
        <v>444</v>
      </c>
      <c r="X343" s="363" t="s">
        <v>1943</v>
      </c>
      <c r="Y343" s="363" t="s">
        <v>445</v>
      </c>
      <c r="Z343" s="363"/>
      <c r="AA343" s="363"/>
      <c r="AB343" s="363"/>
      <c r="AC343" s="363"/>
      <c r="AD343" s="363"/>
      <c r="AE343" s="363" t="s">
        <v>551</v>
      </c>
      <c r="AF343" s="380" t="s">
        <v>207</v>
      </c>
      <c r="AG343" s="380">
        <v>4</v>
      </c>
      <c r="AH343" s="446">
        <v>1</v>
      </c>
    </row>
    <row r="344" spans="2:34" ht="15" hidden="1" customHeight="1" x14ac:dyDescent="0.3">
      <c r="B344" s="380" t="s">
        <v>14</v>
      </c>
      <c r="C344" s="409" t="s">
        <v>1095</v>
      </c>
      <c r="D344" s="489" t="s">
        <v>1258</v>
      </c>
      <c r="E344" s="380">
        <v>4513730038</v>
      </c>
      <c r="F344" s="488">
        <v>45973</v>
      </c>
      <c r="G344" s="380" t="s">
        <v>643</v>
      </c>
      <c r="H344" s="380"/>
      <c r="I344" s="388">
        <v>82000</v>
      </c>
      <c r="J344" s="380">
        <v>4</v>
      </c>
      <c r="K344" s="389">
        <f t="shared" si="14"/>
        <v>20500</v>
      </c>
      <c r="L344" s="381">
        <v>45870</v>
      </c>
      <c r="M344" s="381">
        <v>46234</v>
      </c>
      <c r="N344" s="663">
        <v>154788</v>
      </c>
      <c r="O344" s="680">
        <v>4774</v>
      </c>
      <c r="P344" s="363" t="s">
        <v>520</v>
      </c>
      <c r="Q344" s="380"/>
      <c r="R344" s="380"/>
      <c r="S344" s="390" t="s">
        <v>267</v>
      </c>
      <c r="T344" s="363" t="s">
        <v>1388</v>
      </c>
      <c r="U344" s="390" t="s">
        <v>269</v>
      </c>
      <c r="V344" s="363" t="s">
        <v>270</v>
      </c>
      <c r="W344" s="390" t="s">
        <v>442</v>
      </c>
      <c r="X344" s="363" t="s">
        <v>1727</v>
      </c>
      <c r="Y344" s="390" t="s">
        <v>444</v>
      </c>
      <c r="Z344" s="363" t="s">
        <v>2040</v>
      </c>
      <c r="AA344" s="363"/>
      <c r="AB344" s="363"/>
      <c r="AC344" s="363"/>
      <c r="AD344" s="363"/>
      <c r="AE344" s="363" t="s">
        <v>619</v>
      </c>
      <c r="AF344" s="380" t="s">
        <v>63</v>
      </c>
      <c r="AG344" s="380">
        <v>4</v>
      </c>
      <c r="AH344" s="363" t="s">
        <v>667</v>
      </c>
    </row>
    <row r="345" spans="2:34" ht="15" hidden="1" customHeight="1" x14ac:dyDescent="0.3">
      <c r="B345" s="380" t="s">
        <v>14</v>
      </c>
      <c r="C345" s="409" t="s">
        <v>1095</v>
      </c>
      <c r="D345" s="489" t="s">
        <v>1258</v>
      </c>
      <c r="E345" s="380">
        <v>4513730038</v>
      </c>
      <c r="F345" s="488">
        <v>45973</v>
      </c>
      <c r="G345" s="380" t="s">
        <v>643</v>
      </c>
      <c r="H345" s="380"/>
      <c r="I345" s="388">
        <v>82000</v>
      </c>
      <c r="J345" s="380">
        <v>4</v>
      </c>
      <c r="K345" s="389">
        <f t="shared" si="14"/>
        <v>20500</v>
      </c>
      <c r="L345" s="381">
        <v>46235</v>
      </c>
      <c r="M345" s="381">
        <v>46599</v>
      </c>
      <c r="N345" s="663"/>
      <c r="O345" s="680"/>
      <c r="P345" s="363" t="s">
        <v>520</v>
      </c>
      <c r="Q345" s="380"/>
      <c r="R345" s="380"/>
      <c r="S345" s="363" t="s">
        <v>445</v>
      </c>
      <c r="T345" s="363"/>
      <c r="U345" s="363" t="s">
        <v>456</v>
      </c>
      <c r="V345" s="363"/>
      <c r="W345" s="363" t="s">
        <v>457</v>
      </c>
      <c r="X345" s="363"/>
      <c r="Y345" s="363" t="s">
        <v>458</v>
      </c>
      <c r="Z345" s="363"/>
      <c r="AA345" s="363"/>
      <c r="AB345" s="363"/>
      <c r="AC345" s="363"/>
      <c r="AD345" s="363"/>
      <c r="AE345" s="363" t="s">
        <v>619</v>
      </c>
      <c r="AF345" s="380" t="s">
        <v>63</v>
      </c>
      <c r="AG345" s="380">
        <v>4</v>
      </c>
      <c r="AH345" s="363" t="s">
        <v>667</v>
      </c>
    </row>
    <row r="346" spans="2:34" ht="15" hidden="1" customHeight="1" x14ac:dyDescent="0.3">
      <c r="B346" s="380" t="s">
        <v>14</v>
      </c>
      <c r="C346" s="409" t="s">
        <v>1095</v>
      </c>
      <c r="D346" s="489" t="s">
        <v>1258</v>
      </c>
      <c r="E346" s="380">
        <v>4513730038</v>
      </c>
      <c r="F346" s="488">
        <v>45973</v>
      </c>
      <c r="G346" s="380" t="s">
        <v>643</v>
      </c>
      <c r="H346" s="380">
        <v>1</v>
      </c>
      <c r="I346" s="388">
        <v>90200</v>
      </c>
      <c r="J346" s="380">
        <v>4</v>
      </c>
      <c r="K346" s="389">
        <f t="shared" si="14"/>
        <v>22550</v>
      </c>
      <c r="L346" s="381">
        <v>46600</v>
      </c>
      <c r="M346" s="381">
        <v>46965</v>
      </c>
      <c r="N346" s="663"/>
      <c r="O346" s="680"/>
      <c r="P346" s="363" t="s">
        <v>520</v>
      </c>
      <c r="Q346" s="380"/>
      <c r="R346" s="380"/>
      <c r="S346" s="363" t="s">
        <v>459</v>
      </c>
      <c r="T346" s="363"/>
      <c r="U346" s="363" t="s">
        <v>893</v>
      </c>
      <c r="V346" s="363"/>
      <c r="W346" s="363" t="s">
        <v>894</v>
      </c>
      <c r="X346" s="363"/>
      <c r="Y346" s="363" t="s">
        <v>1259</v>
      </c>
      <c r="Z346" s="363"/>
      <c r="AA346" s="363"/>
      <c r="AB346" s="363"/>
      <c r="AC346" s="363"/>
      <c r="AD346" s="363"/>
      <c r="AE346" s="363" t="s">
        <v>619</v>
      </c>
      <c r="AF346" s="380" t="s">
        <v>63</v>
      </c>
      <c r="AG346" s="380">
        <v>4</v>
      </c>
      <c r="AH346" s="363" t="s">
        <v>667</v>
      </c>
    </row>
    <row r="347" spans="2:34" ht="15" hidden="1" customHeight="1" x14ac:dyDescent="0.3">
      <c r="B347" s="380" t="s">
        <v>14</v>
      </c>
      <c r="C347" s="482" t="s">
        <v>1389</v>
      </c>
      <c r="D347" s="483" t="s">
        <v>1088</v>
      </c>
      <c r="E347" s="490">
        <v>132964</v>
      </c>
      <c r="F347" s="488">
        <v>45981</v>
      </c>
      <c r="G347" s="380" t="s">
        <v>643</v>
      </c>
      <c r="H347" s="380">
        <v>4</v>
      </c>
      <c r="I347" s="388">
        <v>300000</v>
      </c>
      <c r="J347" s="380">
        <v>4</v>
      </c>
      <c r="K347" s="389">
        <f t="shared" si="14"/>
        <v>75000</v>
      </c>
      <c r="L347" s="381">
        <v>45931</v>
      </c>
      <c r="M347" s="381">
        <v>46295</v>
      </c>
      <c r="N347" s="663"/>
      <c r="O347" s="680"/>
      <c r="P347" s="363" t="s">
        <v>520</v>
      </c>
      <c r="Q347" s="380"/>
      <c r="R347" s="380"/>
      <c r="S347" s="390" t="s">
        <v>228</v>
      </c>
      <c r="T347" s="363" t="s">
        <v>873</v>
      </c>
      <c r="U347" s="390" t="s">
        <v>396</v>
      </c>
      <c r="V347" s="363" t="s">
        <v>1093</v>
      </c>
      <c r="W347" s="390" t="s">
        <v>397</v>
      </c>
      <c r="X347" s="363" t="s">
        <v>1843</v>
      </c>
      <c r="Y347" s="363" t="s">
        <v>496</v>
      </c>
      <c r="Z347" s="363"/>
      <c r="AA347" s="363"/>
      <c r="AB347" s="363"/>
      <c r="AC347" s="363"/>
      <c r="AD347" s="363"/>
      <c r="AE347" s="363" t="s">
        <v>96</v>
      </c>
      <c r="AF347" s="380" t="s">
        <v>97</v>
      </c>
      <c r="AG347" s="380">
        <v>4</v>
      </c>
      <c r="AH347" s="363" t="s">
        <v>667</v>
      </c>
    </row>
    <row r="348" spans="2:34" ht="15" hidden="1" customHeight="1" x14ac:dyDescent="0.3">
      <c r="B348" s="380" t="s">
        <v>14</v>
      </c>
      <c r="C348" s="482" t="s">
        <v>1158</v>
      </c>
      <c r="D348" s="483" t="s">
        <v>801</v>
      </c>
      <c r="E348" s="468">
        <v>1600036220</v>
      </c>
      <c r="F348" s="488">
        <v>46000</v>
      </c>
      <c r="G348" s="380" t="s">
        <v>643</v>
      </c>
      <c r="H348" s="380">
        <v>1</v>
      </c>
      <c r="I348" s="388">
        <v>71250</v>
      </c>
      <c r="J348" s="380">
        <v>3</v>
      </c>
      <c r="K348" s="389">
        <f t="shared" si="14"/>
        <v>23750</v>
      </c>
      <c r="L348" s="381">
        <v>45658</v>
      </c>
      <c r="M348" s="381">
        <v>46387</v>
      </c>
      <c r="N348" s="663"/>
      <c r="O348" s="680"/>
      <c r="P348" s="363" t="s">
        <v>520</v>
      </c>
      <c r="Q348" s="380"/>
      <c r="R348" s="380"/>
      <c r="S348" s="390" t="s">
        <v>347</v>
      </c>
      <c r="T348" s="363" t="s">
        <v>626</v>
      </c>
      <c r="U348" s="363" t="s">
        <v>348</v>
      </c>
      <c r="V348" s="363"/>
      <c r="W348" s="363" t="s">
        <v>349</v>
      </c>
      <c r="X348" s="363"/>
      <c r="Y348" s="363"/>
      <c r="Z348" s="363"/>
      <c r="AA348" s="363"/>
      <c r="AB348" s="363"/>
      <c r="AC348" s="363"/>
      <c r="AD348" s="363"/>
      <c r="AE348" s="363" t="s">
        <v>485</v>
      </c>
      <c r="AF348" s="380" t="s">
        <v>63</v>
      </c>
      <c r="AG348" s="380">
        <v>3</v>
      </c>
      <c r="AH348" s="363" t="s">
        <v>804</v>
      </c>
    </row>
    <row r="349" spans="2:34" ht="15" hidden="1" customHeight="1" x14ac:dyDescent="0.3">
      <c r="B349" s="380" t="s">
        <v>14</v>
      </c>
      <c r="C349" s="482" t="s">
        <v>1390</v>
      </c>
      <c r="D349" s="483" t="s">
        <v>1391</v>
      </c>
      <c r="E349" s="468" t="s">
        <v>1392</v>
      </c>
      <c r="F349" s="488">
        <v>46003</v>
      </c>
      <c r="G349" s="380" t="s">
        <v>643</v>
      </c>
      <c r="H349" s="380">
        <v>1</v>
      </c>
      <c r="I349" s="388">
        <v>86000</v>
      </c>
      <c r="J349" s="380">
        <v>2</v>
      </c>
      <c r="K349" s="389">
        <f t="shared" si="14"/>
        <v>43000</v>
      </c>
      <c r="L349" s="381">
        <v>46003</v>
      </c>
      <c r="M349" s="381">
        <v>46367</v>
      </c>
      <c r="N349" s="663"/>
      <c r="O349" s="680"/>
      <c r="P349" s="363" t="s">
        <v>520</v>
      </c>
      <c r="Q349" s="380"/>
      <c r="R349" s="380"/>
      <c r="S349" s="390" t="s">
        <v>1393</v>
      </c>
      <c r="T349" s="363" t="s">
        <v>930</v>
      </c>
      <c r="U349" s="363" t="s">
        <v>1394</v>
      </c>
      <c r="V349" s="363"/>
      <c r="W349" s="363"/>
      <c r="X349" s="363"/>
      <c r="Y349" s="363"/>
      <c r="Z349" s="363"/>
      <c r="AA349" s="363"/>
      <c r="AB349" s="363"/>
      <c r="AC349" s="363"/>
      <c r="AD349" s="363"/>
      <c r="AE349" s="363" t="s">
        <v>485</v>
      </c>
      <c r="AF349" s="380" t="s">
        <v>63</v>
      </c>
      <c r="AG349" s="380">
        <v>2</v>
      </c>
      <c r="AH349" s="363" t="s">
        <v>804</v>
      </c>
    </row>
    <row r="350" spans="2:34" ht="15" hidden="1" customHeight="1" x14ac:dyDescent="0.3">
      <c r="B350" s="380" t="s">
        <v>14</v>
      </c>
      <c r="C350" s="363" t="s">
        <v>1395</v>
      </c>
      <c r="D350" s="386" t="s">
        <v>86</v>
      </c>
      <c r="E350" s="380" t="s">
        <v>1396</v>
      </c>
      <c r="F350" s="387">
        <v>46000</v>
      </c>
      <c r="G350" s="407" t="s">
        <v>703</v>
      </c>
      <c r="H350" s="380"/>
      <c r="I350" s="388">
        <v>220000</v>
      </c>
      <c r="J350" s="380">
        <v>4</v>
      </c>
      <c r="K350" s="389">
        <f t="shared" si="14"/>
        <v>55000</v>
      </c>
      <c r="L350" s="381">
        <v>46023</v>
      </c>
      <c r="M350" s="381">
        <v>46387</v>
      </c>
      <c r="N350" s="663"/>
      <c r="O350" s="680"/>
      <c r="P350" s="363" t="s">
        <v>520</v>
      </c>
      <c r="Q350" s="380"/>
      <c r="R350" s="380"/>
      <c r="S350" s="390" t="s">
        <v>396</v>
      </c>
      <c r="T350" s="363" t="s">
        <v>1397</v>
      </c>
      <c r="U350" s="390" t="s">
        <v>397</v>
      </c>
      <c r="V350" s="363" t="s">
        <v>1845</v>
      </c>
      <c r="W350" s="363" t="s">
        <v>496</v>
      </c>
      <c r="X350" s="363"/>
      <c r="Y350" s="363" t="s">
        <v>497</v>
      </c>
      <c r="Z350" s="363"/>
      <c r="AA350" s="363"/>
      <c r="AB350" s="363"/>
      <c r="AC350" s="363"/>
      <c r="AD350" s="363"/>
      <c r="AE350" s="363" t="s">
        <v>96</v>
      </c>
      <c r="AF350" s="380" t="s">
        <v>97</v>
      </c>
      <c r="AG350" s="380" t="s">
        <v>494</v>
      </c>
      <c r="AH350" s="363" t="s">
        <v>667</v>
      </c>
    </row>
    <row r="351" spans="2:34" ht="15" hidden="1" customHeight="1" x14ac:dyDescent="0.3">
      <c r="B351" s="380" t="s">
        <v>14</v>
      </c>
      <c r="C351" s="363" t="s">
        <v>1395</v>
      </c>
      <c r="D351" s="386" t="s">
        <v>86</v>
      </c>
      <c r="E351" s="380" t="s">
        <v>1396</v>
      </c>
      <c r="F351" s="387">
        <v>46000</v>
      </c>
      <c r="G351" s="407" t="s">
        <v>703</v>
      </c>
      <c r="H351" s="380"/>
      <c r="I351" s="388">
        <v>220000</v>
      </c>
      <c r="J351" s="380">
        <v>4</v>
      </c>
      <c r="K351" s="389">
        <f t="shared" si="14"/>
        <v>55000</v>
      </c>
      <c r="L351" s="381">
        <v>46388</v>
      </c>
      <c r="M351" s="381">
        <v>46752</v>
      </c>
      <c r="N351" s="663"/>
      <c r="O351" s="680"/>
      <c r="P351" s="363" t="s">
        <v>520</v>
      </c>
      <c r="Q351" s="380"/>
      <c r="R351" s="380"/>
      <c r="S351" s="363" t="s">
        <v>498</v>
      </c>
      <c r="T351" s="363"/>
      <c r="U351" s="363" t="s">
        <v>499</v>
      </c>
      <c r="V351" s="363"/>
      <c r="W351" s="363" t="s">
        <v>500</v>
      </c>
      <c r="X351" s="363"/>
      <c r="Y351" s="363" t="s">
        <v>501</v>
      </c>
      <c r="Z351" s="363"/>
      <c r="AA351" s="363"/>
      <c r="AB351" s="363"/>
      <c r="AC351" s="363"/>
      <c r="AD351" s="363"/>
      <c r="AE351" s="363" t="s">
        <v>96</v>
      </c>
      <c r="AF351" s="380" t="s">
        <v>97</v>
      </c>
      <c r="AG351" s="380" t="s">
        <v>494</v>
      </c>
      <c r="AH351" s="363" t="s">
        <v>667</v>
      </c>
    </row>
    <row r="352" spans="2:34" ht="15" hidden="1" customHeight="1" x14ac:dyDescent="0.3">
      <c r="B352" s="380" t="s">
        <v>14</v>
      </c>
      <c r="C352" s="363" t="s">
        <v>1395</v>
      </c>
      <c r="D352" s="386" t="s">
        <v>86</v>
      </c>
      <c r="E352" s="380" t="s">
        <v>1396</v>
      </c>
      <c r="F352" s="387">
        <v>46000</v>
      </c>
      <c r="G352" s="407" t="s">
        <v>703</v>
      </c>
      <c r="H352" s="380">
        <v>1</v>
      </c>
      <c r="I352" s="388">
        <v>220000</v>
      </c>
      <c r="J352" s="380">
        <v>4</v>
      </c>
      <c r="K352" s="389">
        <f t="shared" si="14"/>
        <v>55000</v>
      </c>
      <c r="L352" s="381">
        <v>46753</v>
      </c>
      <c r="M352" s="381">
        <v>47118</v>
      </c>
      <c r="N352" s="663"/>
      <c r="O352" s="680"/>
      <c r="P352" s="363" t="s">
        <v>520</v>
      </c>
      <c r="Q352" s="380"/>
      <c r="R352" s="380"/>
      <c r="S352" s="363" t="s">
        <v>674</v>
      </c>
      <c r="T352" s="363"/>
      <c r="U352" s="363" t="s">
        <v>1279</v>
      </c>
      <c r="V352" s="363"/>
      <c r="W352" s="363" t="s">
        <v>1280</v>
      </c>
      <c r="X352" s="363"/>
      <c r="Y352" s="363" t="s">
        <v>1398</v>
      </c>
      <c r="Z352" s="363"/>
      <c r="AA352" s="363"/>
      <c r="AB352" s="363"/>
      <c r="AC352" s="363"/>
      <c r="AD352" s="363"/>
      <c r="AE352" s="363" t="s">
        <v>96</v>
      </c>
      <c r="AF352" s="380" t="s">
        <v>97</v>
      </c>
      <c r="AG352" s="380" t="s">
        <v>494</v>
      </c>
      <c r="AH352" s="363" t="s">
        <v>667</v>
      </c>
    </row>
    <row r="353" spans="2:34" ht="15" hidden="1" customHeight="1" x14ac:dyDescent="0.3">
      <c r="B353" s="380" t="s">
        <v>14</v>
      </c>
      <c r="C353" s="478" t="s">
        <v>508</v>
      </c>
      <c r="D353" s="480" t="s">
        <v>866</v>
      </c>
      <c r="E353" s="481" t="s">
        <v>1399</v>
      </c>
      <c r="F353" s="488">
        <v>46002</v>
      </c>
      <c r="G353" s="380" t="s">
        <v>643</v>
      </c>
      <c r="H353" s="380">
        <v>2</v>
      </c>
      <c r="I353" s="388">
        <v>178000</v>
      </c>
      <c r="J353" s="380">
        <v>3</v>
      </c>
      <c r="K353" s="389">
        <f>I353/2</f>
        <v>89000</v>
      </c>
      <c r="L353" s="381">
        <v>46011</v>
      </c>
      <c r="M353" s="381">
        <v>46375</v>
      </c>
      <c r="N353" s="663">
        <v>154784</v>
      </c>
      <c r="O353" s="680">
        <v>4418</v>
      </c>
      <c r="P353" s="363" t="s">
        <v>520</v>
      </c>
      <c r="Q353" s="380"/>
      <c r="R353" s="380"/>
      <c r="S353" s="390" t="s">
        <v>1400</v>
      </c>
      <c r="T353" s="363" t="s">
        <v>1401</v>
      </c>
      <c r="U353" s="390" t="s">
        <v>1402</v>
      </c>
      <c r="V353" s="363" t="s">
        <v>2041</v>
      </c>
      <c r="W353" s="363" t="s">
        <v>1404</v>
      </c>
      <c r="X353" s="363" t="s">
        <v>1900</v>
      </c>
      <c r="Y353" s="363"/>
      <c r="Z353" s="363"/>
      <c r="AA353" s="363"/>
      <c r="AB353" s="363"/>
      <c r="AC353" s="363"/>
      <c r="AD353" s="363"/>
      <c r="AE353" s="363" t="s">
        <v>96</v>
      </c>
      <c r="AF353" s="380" t="s">
        <v>97</v>
      </c>
      <c r="AG353" s="380" t="s">
        <v>494</v>
      </c>
      <c r="AH353" s="363" t="s">
        <v>1405</v>
      </c>
    </row>
    <row r="354" spans="2:34" ht="15" hidden="1" customHeight="1" x14ac:dyDescent="0.3">
      <c r="B354" s="380" t="s">
        <v>14</v>
      </c>
      <c r="C354" s="430" t="s">
        <v>527</v>
      </c>
      <c r="D354" s="445" t="s">
        <v>131</v>
      </c>
      <c r="E354" s="419">
        <v>7001094920</v>
      </c>
      <c r="F354" s="488">
        <v>45947</v>
      </c>
      <c r="G354" s="380" t="s">
        <v>643</v>
      </c>
      <c r="H354" s="380">
        <v>1</v>
      </c>
      <c r="I354" s="388">
        <v>78750</v>
      </c>
      <c r="J354" s="380">
        <v>2</v>
      </c>
      <c r="K354" s="389">
        <f t="shared" si="14"/>
        <v>39375</v>
      </c>
      <c r="L354" s="381">
        <v>45931</v>
      </c>
      <c r="M354" s="381">
        <v>46295</v>
      </c>
      <c r="N354" s="663"/>
      <c r="O354" s="680"/>
      <c r="P354" s="363" t="s">
        <v>520</v>
      </c>
      <c r="Q354" s="363"/>
      <c r="R354" s="363"/>
      <c r="S354" s="390" t="s">
        <v>465</v>
      </c>
      <c r="T354" s="363" t="s">
        <v>1314</v>
      </c>
      <c r="U354" s="363" t="s">
        <v>467</v>
      </c>
      <c r="V354" s="363"/>
      <c r="W354" s="363"/>
      <c r="X354" s="363"/>
      <c r="Y354" s="363"/>
      <c r="Z354" s="363"/>
      <c r="AA354" s="363"/>
      <c r="AB354" s="363"/>
      <c r="AC354" s="363"/>
      <c r="AD354" s="363"/>
      <c r="AE354" s="363" t="s">
        <v>485</v>
      </c>
      <c r="AF354" s="380" t="s">
        <v>63</v>
      </c>
      <c r="AG354" s="380">
        <v>2</v>
      </c>
      <c r="AH354" s="363" t="s">
        <v>799</v>
      </c>
    </row>
    <row r="355" spans="2:34" ht="15" hidden="1" customHeight="1" x14ac:dyDescent="0.3">
      <c r="B355" s="380" t="s">
        <v>14</v>
      </c>
      <c r="C355" s="430" t="s">
        <v>527</v>
      </c>
      <c r="D355" s="445" t="s">
        <v>131</v>
      </c>
      <c r="E355" s="419">
        <v>7001175723</v>
      </c>
      <c r="F355" s="488">
        <v>46019</v>
      </c>
      <c r="G355" s="380" t="s">
        <v>643</v>
      </c>
      <c r="H355" s="380">
        <v>1</v>
      </c>
      <c r="I355" s="388">
        <v>78750</v>
      </c>
      <c r="J355" s="380">
        <v>2</v>
      </c>
      <c r="K355" s="389">
        <f t="shared" si="14"/>
        <v>39375</v>
      </c>
      <c r="L355" s="381">
        <v>45658</v>
      </c>
      <c r="M355" s="381">
        <v>46387</v>
      </c>
      <c r="N355" s="663"/>
      <c r="O355" s="680"/>
      <c r="P355" s="363" t="s">
        <v>520</v>
      </c>
      <c r="Q355" s="363"/>
      <c r="R355" s="363"/>
      <c r="S355" s="390" t="s">
        <v>607</v>
      </c>
      <c r="T355" s="363" t="s">
        <v>1338</v>
      </c>
      <c r="U355" s="363" t="s">
        <v>608</v>
      </c>
      <c r="V355" s="363"/>
      <c r="W355" s="363"/>
      <c r="X355" s="363"/>
      <c r="Y355" s="363"/>
      <c r="Z355" s="363"/>
      <c r="AA355" s="363"/>
      <c r="AB355" s="363"/>
      <c r="AC355" s="363"/>
      <c r="AD355" s="363"/>
      <c r="AE355" s="363" t="s">
        <v>485</v>
      </c>
      <c r="AF355" s="380" t="s">
        <v>63</v>
      </c>
      <c r="AG355" s="380">
        <v>2</v>
      </c>
      <c r="AH355" s="363" t="s">
        <v>799</v>
      </c>
    </row>
    <row r="356" spans="2:34" ht="15" hidden="1" customHeight="1" x14ac:dyDescent="0.3">
      <c r="B356" s="380" t="s">
        <v>14</v>
      </c>
      <c r="C356" s="482" t="s">
        <v>609</v>
      </c>
      <c r="D356" s="483" t="s">
        <v>131</v>
      </c>
      <c r="E356" s="491">
        <v>2100055536</v>
      </c>
      <c r="F356" s="488">
        <v>46017</v>
      </c>
      <c r="G356" s="380" t="s">
        <v>643</v>
      </c>
      <c r="H356" s="380">
        <v>2</v>
      </c>
      <c r="I356" s="388">
        <v>180000</v>
      </c>
      <c r="J356" s="380">
        <v>2</v>
      </c>
      <c r="K356" s="389">
        <f t="shared" si="14"/>
        <v>90000</v>
      </c>
      <c r="L356" s="381">
        <v>46014</v>
      </c>
      <c r="M356" s="381">
        <v>46378</v>
      </c>
      <c r="N356" s="663"/>
      <c r="O356" s="680"/>
      <c r="P356" s="363" t="s">
        <v>520</v>
      </c>
      <c r="Q356" s="363"/>
      <c r="R356" s="363"/>
      <c r="S356" s="390" t="s">
        <v>1406</v>
      </c>
      <c r="T356" s="363" t="s">
        <v>1169</v>
      </c>
      <c r="U356" s="363" t="s">
        <v>1407</v>
      </c>
      <c r="V356" s="363"/>
      <c r="W356" s="363"/>
      <c r="X356" s="363"/>
      <c r="Y356" s="363"/>
      <c r="Z356" s="363"/>
      <c r="AA356" s="363"/>
      <c r="AB356" s="363"/>
      <c r="AC356" s="363"/>
      <c r="AD356" s="363"/>
      <c r="AE356" s="363" t="s">
        <v>485</v>
      </c>
      <c r="AF356" s="380" t="s">
        <v>63</v>
      </c>
      <c r="AG356" s="380">
        <v>2</v>
      </c>
      <c r="AH356" s="363" t="s">
        <v>667</v>
      </c>
    </row>
    <row r="357" spans="2:34" ht="15" hidden="1" customHeight="1" x14ac:dyDescent="0.3">
      <c r="B357" s="380" t="s">
        <v>14</v>
      </c>
      <c r="C357" s="482" t="s">
        <v>130</v>
      </c>
      <c r="D357" s="483" t="s">
        <v>131</v>
      </c>
      <c r="E357" s="468">
        <v>6800050248</v>
      </c>
      <c r="F357" s="488">
        <v>46015</v>
      </c>
      <c r="G357" s="380" t="s">
        <v>643</v>
      </c>
      <c r="H357" s="380">
        <v>1</v>
      </c>
      <c r="I357" s="388">
        <v>90000</v>
      </c>
      <c r="J357" s="380">
        <v>3</v>
      </c>
      <c r="K357" s="389">
        <f t="shared" si="14"/>
        <v>30000</v>
      </c>
      <c r="L357" s="381">
        <v>46023</v>
      </c>
      <c r="M357" s="381">
        <v>46387</v>
      </c>
      <c r="N357" s="663">
        <v>154963</v>
      </c>
      <c r="O357" s="680">
        <v>4580</v>
      </c>
      <c r="P357" s="363" t="s">
        <v>520</v>
      </c>
      <c r="Q357" s="363"/>
      <c r="R357" s="363"/>
      <c r="S357" s="390" t="s">
        <v>347</v>
      </c>
      <c r="T357" s="363" t="s">
        <v>828</v>
      </c>
      <c r="U357" s="390" t="s">
        <v>348</v>
      </c>
      <c r="V357" s="363" t="s">
        <v>2032</v>
      </c>
      <c r="W357" s="363" t="s">
        <v>349</v>
      </c>
      <c r="X357" s="363"/>
      <c r="Y357" s="363"/>
      <c r="Z357" s="363"/>
      <c r="AA357" s="363"/>
      <c r="AB357" s="363"/>
      <c r="AC357" s="363"/>
      <c r="AD357" s="363"/>
      <c r="AE357" s="363" t="s">
        <v>485</v>
      </c>
      <c r="AF357" s="380" t="s">
        <v>63</v>
      </c>
      <c r="AG357" s="380">
        <v>2</v>
      </c>
      <c r="AH357" s="363" t="s">
        <v>1408</v>
      </c>
    </row>
    <row r="358" spans="2:34" ht="15" hidden="1" customHeight="1" x14ac:dyDescent="0.3">
      <c r="B358" s="380" t="s">
        <v>14</v>
      </c>
      <c r="C358" s="482" t="s">
        <v>1385</v>
      </c>
      <c r="D358" s="483" t="s">
        <v>151</v>
      </c>
      <c r="E358" s="468">
        <v>4500089764</v>
      </c>
      <c r="F358" s="488">
        <v>46006</v>
      </c>
      <c r="G358" s="380" t="s">
        <v>643</v>
      </c>
      <c r="H358" s="380">
        <v>1</v>
      </c>
      <c r="I358" s="388">
        <v>45000</v>
      </c>
      <c r="J358" s="380">
        <v>1</v>
      </c>
      <c r="K358" s="389">
        <f t="shared" si="14"/>
        <v>45000</v>
      </c>
      <c r="L358" s="381">
        <v>45992</v>
      </c>
      <c r="M358" s="381">
        <v>46356</v>
      </c>
      <c r="N358" s="663"/>
      <c r="O358" s="680"/>
      <c r="P358" s="363" t="s">
        <v>520</v>
      </c>
      <c r="Q358" s="363"/>
      <c r="R358" s="363"/>
      <c r="S358" s="390" t="s">
        <v>1409</v>
      </c>
      <c r="T358" s="363" t="s">
        <v>1093</v>
      </c>
      <c r="U358" s="363"/>
      <c r="V358" s="363"/>
      <c r="W358" s="363"/>
      <c r="X358" s="363"/>
      <c r="Y358" s="363"/>
      <c r="Z358" s="363"/>
      <c r="AA358" s="363"/>
      <c r="AB358" s="363"/>
      <c r="AC358" s="363"/>
      <c r="AD358" s="363"/>
      <c r="AE358" s="363" t="s">
        <v>478</v>
      </c>
      <c r="AF358" s="380" t="s">
        <v>63</v>
      </c>
      <c r="AG358" s="380">
        <v>1</v>
      </c>
      <c r="AH358" s="363" t="s">
        <v>667</v>
      </c>
    </row>
    <row r="359" spans="2:34" ht="15" hidden="1" customHeight="1" x14ac:dyDescent="0.3">
      <c r="B359" s="380" t="s">
        <v>14</v>
      </c>
      <c r="C359" s="409" t="s">
        <v>1410</v>
      </c>
      <c r="D359" s="489" t="s">
        <v>447</v>
      </c>
      <c r="E359" s="492" t="s">
        <v>1411</v>
      </c>
      <c r="F359" s="488">
        <v>46020</v>
      </c>
      <c r="G359" s="380" t="s">
        <v>643</v>
      </c>
      <c r="H359" s="380">
        <v>3</v>
      </c>
      <c r="I359" s="388">
        <v>333000</v>
      </c>
      <c r="J359" s="380">
        <v>4</v>
      </c>
      <c r="K359" s="389">
        <f t="shared" si="14"/>
        <v>83250</v>
      </c>
      <c r="L359" s="381">
        <v>46023</v>
      </c>
      <c r="M359" s="381">
        <v>46387</v>
      </c>
      <c r="N359" s="663"/>
      <c r="O359" s="680"/>
      <c r="P359" s="363" t="s">
        <v>520</v>
      </c>
      <c r="Q359" s="363"/>
      <c r="R359" s="363"/>
      <c r="S359" s="390" t="s">
        <v>396</v>
      </c>
      <c r="T359" s="363" t="s">
        <v>1412</v>
      </c>
      <c r="U359" s="390" t="s">
        <v>397</v>
      </c>
      <c r="V359" s="363" t="s">
        <v>1855</v>
      </c>
      <c r="W359" s="363" t="s">
        <v>496</v>
      </c>
      <c r="X359" s="363"/>
      <c r="Y359" s="363" t="s">
        <v>497</v>
      </c>
      <c r="Z359" s="363"/>
      <c r="AA359" s="363"/>
      <c r="AB359" s="363"/>
      <c r="AC359" s="363"/>
      <c r="AD359" s="363"/>
      <c r="AE359" s="363" t="s">
        <v>96</v>
      </c>
      <c r="AF359" s="380" t="s">
        <v>97</v>
      </c>
      <c r="AG359" s="380" t="s">
        <v>494</v>
      </c>
      <c r="AH359" s="363" t="s">
        <v>799</v>
      </c>
    </row>
    <row r="360" spans="2:34" ht="15" hidden="1" customHeight="1" x14ac:dyDescent="0.3">
      <c r="B360" s="380" t="s">
        <v>0</v>
      </c>
      <c r="C360" s="482" t="s">
        <v>565</v>
      </c>
      <c r="D360" s="483" t="s">
        <v>566</v>
      </c>
      <c r="E360" s="468">
        <v>1011707106</v>
      </c>
      <c r="F360" s="488">
        <v>46025</v>
      </c>
      <c r="G360" s="380" t="s">
        <v>643</v>
      </c>
      <c r="H360" s="380">
        <v>1</v>
      </c>
      <c r="I360" s="388">
        <v>82450</v>
      </c>
      <c r="J360" s="380">
        <v>2</v>
      </c>
      <c r="K360" s="391">
        <f t="shared" si="14"/>
        <v>41225</v>
      </c>
      <c r="L360" s="381">
        <v>45992</v>
      </c>
      <c r="M360" s="381">
        <v>46356</v>
      </c>
      <c r="N360" s="663"/>
      <c r="O360" s="680"/>
      <c r="P360" s="363" t="s">
        <v>520</v>
      </c>
      <c r="Q360" s="380"/>
      <c r="R360" s="380"/>
      <c r="S360" s="390" t="s">
        <v>127</v>
      </c>
      <c r="T360" s="363" t="s">
        <v>1413</v>
      </c>
      <c r="U360" s="363" t="s">
        <v>1414</v>
      </c>
      <c r="V360" s="363"/>
      <c r="W360" s="363"/>
      <c r="X360" s="363"/>
      <c r="Y360" s="363"/>
      <c r="Z360" s="363"/>
      <c r="AA360" s="363"/>
      <c r="AB360" s="363"/>
      <c r="AC360" s="363"/>
      <c r="AD360" s="363"/>
      <c r="AE360" s="363" t="s">
        <v>551</v>
      </c>
      <c r="AF360" s="380" t="s">
        <v>207</v>
      </c>
      <c r="AG360" s="380">
        <v>1</v>
      </c>
      <c r="AH360" s="363"/>
    </row>
    <row r="361" spans="2:34" ht="15" hidden="1" customHeight="1" x14ac:dyDescent="0.3">
      <c r="B361" s="380" t="s">
        <v>0</v>
      </c>
      <c r="C361" s="409" t="s">
        <v>1415</v>
      </c>
      <c r="D361" s="423" t="s">
        <v>1416</v>
      </c>
      <c r="E361" s="493">
        <v>2125011222</v>
      </c>
      <c r="F361" s="488">
        <v>46000</v>
      </c>
      <c r="G361" s="380" t="s">
        <v>643</v>
      </c>
      <c r="H361" s="380">
        <v>2</v>
      </c>
      <c r="I361" s="388">
        <v>311948</v>
      </c>
      <c r="J361" s="380">
        <v>2</v>
      </c>
      <c r="K361" s="389">
        <f t="shared" si="14"/>
        <v>155974</v>
      </c>
      <c r="L361" s="381">
        <v>46023</v>
      </c>
      <c r="M361" s="381">
        <v>46387</v>
      </c>
      <c r="N361" s="663"/>
      <c r="O361" s="680"/>
      <c r="P361" s="363" t="s">
        <v>520</v>
      </c>
      <c r="Q361" s="380"/>
      <c r="R361" s="380"/>
      <c r="S361" s="390" t="s">
        <v>607</v>
      </c>
      <c r="T361" s="363" t="s">
        <v>1728</v>
      </c>
      <c r="U361" s="363" t="s">
        <v>608</v>
      </c>
      <c r="V361" s="363"/>
      <c r="W361" s="363"/>
      <c r="X361" s="363"/>
      <c r="Y361" s="363"/>
      <c r="Z361" s="363"/>
      <c r="AA361" s="363"/>
      <c r="AB361" s="363"/>
      <c r="AC361" s="363"/>
      <c r="AD361" s="363"/>
      <c r="AE361" s="363" t="s">
        <v>281</v>
      </c>
      <c r="AF361" s="380" t="s">
        <v>97</v>
      </c>
      <c r="AG361" s="380">
        <v>2</v>
      </c>
      <c r="AH361" s="363" t="s">
        <v>667</v>
      </c>
    </row>
    <row r="362" spans="2:34" ht="15" hidden="1" customHeight="1" x14ac:dyDescent="0.3">
      <c r="B362" s="380" t="s">
        <v>0</v>
      </c>
      <c r="C362" s="409" t="s">
        <v>1417</v>
      </c>
      <c r="D362" s="423" t="s">
        <v>86</v>
      </c>
      <c r="E362" s="491">
        <v>4200321224</v>
      </c>
      <c r="F362" s="488">
        <v>46014</v>
      </c>
      <c r="G362" s="380" t="s">
        <v>643</v>
      </c>
      <c r="H362" s="380">
        <v>5</v>
      </c>
      <c r="I362" s="388">
        <v>544860</v>
      </c>
      <c r="J362" s="380">
        <v>4</v>
      </c>
      <c r="K362" s="389">
        <f t="shared" si="14"/>
        <v>136215</v>
      </c>
      <c r="L362" s="381">
        <v>46023</v>
      </c>
      <c r="M362" s="381">
        <v>46387</v>
      </c>
      <c r="N362" s="663"/>
      <c r="O362" s="680"/>
      <c r="P362" s="363" t="s">
        <v>520</v>
      </c>
      <c r="Q362" s="380"/>
      <c r="R362" s="380"/>
      <c r="S362" s="390" t="s">
        <v>396</v>
      </c>
      <c r="T362" s="363" t="s">
        <v>1418</v>
      </c>
      <c r="U362" s="390" t="s">
        <v>397</v>
      </c>
      <c r="V362" s="363" t="s">
        <v>1849</v>
      </c>
      <c r="W362" s="363" t="s">
        <v>496</v>
      </c>
      <c r="X362" s="363"/>
      <c r="Y362" s="363" t="s">
        <v>497</v>
      </c>
      <c r="Z362" s="363"/>
      <c r="AA362" s="363"/>
      <c r="AB362" s="363"/>
      <c r="AC362" s="363"/>
      <c r="AD362" s="363"/>
      <c r="AE362" s="363" t="s">
        <v>281</v>
      </c>
      <c r="AF362" s="380" t="s">
        <v>97</v>
      </c>
      <c r="AG362" s="380">
        <v>4</v>
      </c>
      <c r="AH362" s="363" t="s">
        <v>1345</v>
      </c>
    </row>
    <row r="363" spans="2:34" ht="15" hidden="1" customHeight="1" x14ac:dyDescent="0.3">
      <c r="B363" s="380" t="s">
        <v>0</v>
      </c>
      <c r="C363" s="409" t="s">
        <v>604</v>
      </c>
      <c r="D363" s="423" t="s">
        <v>1419</v>
      </c>
      <c r="E363" s="408">
        <v>5700203580</v>
      </c>
      <c r="F363" s="488">
        <v>45996</v>
      </c>
      <c r="G363" s="380" t="s">
        <v>643</v>
      </c>
      <c r="H363" s="380">
        <v>1</v>
      </c>
      <c r="I363" s="388">
        <v>118335</v>
      </c>
      <c r="J363" s="380">
        <v>2</v>
      </c>
      <c r="K363" s="389">
        <f t="shared" si="14"/>
        <v>59167.5</v>
      </c>
      <c r="L363" s="381">
        <v>46023</v>
      </c>
      <c r="M363" s="381">
        <v>46387</v>
      </c>
      <c r="N363" s="663"/>
      <c r="O363" s="680"/>
      <c r="P363" s="363" t="s">
        <v>520</v>
      </c>
      <c r="Q363" s="380"/>
      <c r="R363" s="380"/>
      <c r="S363" s="390" t="s">
        <v>607</v>
      </c>
      <c r="T363" s="363" t="s">
        <v>1710</v>
      </c>
      <c r="U363" s="363" t="s">
        <v>608</v>
      </c>
      <c r="V363" s="363"/>
      <c r="W363" s="363"/>
      <c r="X363" s="363"/>
      <c r="Y363" s="363"/>
      <c r="Z363" s="363"/>
      <c r="AA363" s="363"/>
      <c r="AB363" s="363"/>
      <c r="AC363" s="363"/>
      <c r="AD363" s="363"/>
      <c r="AE363" s="363" t="s">
        <v>281</v>
      </c>
      <c r="AF363" s="380" t="s">
        <v>97</v>
      </c>
      <c r="AG363" s="380">
        <v>2</v>
      </c>
      <c r="AH363" s="363" t="s">
        <v>1345</v>
      </c>
    </row>
    <row r="364" spans="2:34" ht="15" hidden="1" customHeight="1" x14ac:dyDescent="0.3">
      <c r="B364" s="380" t="s">
        <v>0</v>
      </c>
      <c r="C364" s="482" t="s">
        <v>614</v>
      </c>
      <c r="D364" s="483" t="s">
        <v>447</v>
      </c>
      <c r="E364" s="495" t="s">
        <v>1420</v>
      </c>
      <c r="F364" s="488">
        <v>46009</v>
      </c>
      <c r="G364" s="380" t="s">
        <v>643</v>
      </c>
      <c r="H364" s="380">
        <v>1</v>
      </c>
      <c r="I364" s="388">
        <v>76440</v>
      </c>
      <c r="J364" s="380">
        <v>3</v>
      </c>
      <c r="K364" s="389"/>
      <c r="L364" s="381">
        <v>46023</v>
      </c>
      <c r="M364" s="381">
        <v>46387</v>
      </c>
      <c r="N364" s="663"/>
      <c r="O364" s="680"/>
      <c r="P364" s="363" t="s">
        <v>520</v>
      </c>
      <c r="Q364" s="380"/>
      <c r="R364" s="380"/>
      <c r="S364" s="390" t="s">
        <v>347</v>
      </c>
      <c r="T364" s="363" t="s">
        <v>331</v>
      </c>
      <c r="U364" s="390" t="s">
        <v>348</v>
      </c>
      <c r="V364" s="363" t="s">
        <v>2043</v>
      </c>
      <c r="W364" s="363" t="s">
        <v>349</v>
      </c>
      <c r="X364" s="363"/>
      <c r="Y364" s="363"/>
      <c r="Z364" s="363"/>
      <c r="AA364" s="363"/>
      <c r="AB364" s="363"/>
      <c r="AC364" s="363"/>
      <c r="AD364" s="363"/>
      <c r="AE364" s="363" t="s">
        <v>281</v>
      </c>
      <c r="AF364" s="380" t="s">
        <v>97</v>
      </c>
      <c r="AG364" s="380">
        <v>3</v>
      </c>
      <c r="AH364" s="363" t="s">
        <v>1060</v>
      </c>
    </row>
    <row r="365" spans="2:34" ht="15" hidden="1" customHeight="1" x14ac:dyDescent="0.3">
      <c r="B365" s="380" t="s">
        <v>0</v>
      </c>
      <c r="C365" s="409" t="s">
        <v>640</v>
      </c>
      <c r="D365" s="489" t="s">
        <v>1421</v>
      </c>
      <c r="E365" s="411" t="s">
        <v>1422</v>
      </c>
      <c r="F365" s="488">
        <v>45996</v>
      </c>
      <c r="G365" s="380" t="s">
        <v>643</v>
      </c>
      <c r="H365" s="380"/>
      <c r="I365" s="388">
        <v>2068693.74</v>
      </c>
      <c r="J365" s="380">
        <v>3</v>
      </c>
      <c r="K365" s="389">
        <f t="shared" si="14"/>
        <v>689564.58</v>
      </c>
      <c r="L365" s="381">
        <v>46003</v>
      </c>
      <c r="M365" s="381">
        <v>46367</v>
      </c>
      <c r="N365" s="663"/>
      <c r="O365" s="680"/>
      <c r="P365" s="363" t="s">
        <v>520</v>
      </c>
      <c r="Q365" s="380"/>
      <c r="R365" s="380"/>
      <c r="S365" s="390" t="s">
        <v>1423</v>
      </c>
      <c r="T365" s="363" t="s">
        <v>1252</v>
      </c>
      <c r="U365" s="390" t="s">
        <v>1424</v>
      </c>
      <c r="V365" s="363" t="s">
        <v>2044</v>
      </c>
      <c r="W365" s="363" t="s">
        <v>1425</v>
      </c>
      <c r="X365" s="363"/>
      <c r="Y365" s="363"/>
      <c r="Z365" s="363"/>
      <c r="AA365" s="363"/>
      <c r="AB365" s="363"/>
      <c r="AC365" s="363"/>
      <c r="AD365" s="363"/>
      <c r="AE365" s="363" t="s">
        <v>281</v>
      </c>
      <c r="AF365" s="380" t="s">
        <v>97</v>
      </c>
      <c r="AG365" s="380">
        <v>3</v>
      </c>
      <c r="AH365" s="363" t="s">
        <v>1345</v>
      </c>
    </row>
    <row r="366" spans="2:34" ht="15" hidden="1" customHeight="1" x14ac:dyDescent="0.3">
      <c r="B366" s="380" t="s">
        <v>0</v>
      </c>
      <c r="C366" s="409" t="s">
        <v>640</v>
      </c>
      <c r="D366" s="489" t="s">
        <v>1421</v>
      </c>
      <c r="E366" s="411" t="s">
        <v>1422</v>
      </c>
      <c r="F366" s="488">
        <v>45996</v>
      </c>
      <c r="G366" s="380" t="s">
        <v>643</v>
      </c>
      <c r="H366" s="380">
        <v>34</v>
      </c>
      <c r="I366" s="388">
        <v>2068693.74</v>
      </c>
      <c r="J366" s="380">
        <v>3</v>
      </c>
      <c r="K366" s="389">
        <f t="shared" si="14"/>
        <v>689564.58</v>
      </c>
      <c r="L366" s="381">
        <v>46368</v>
      </c>
      <c r="M366" s="381">
        <v>46732</v>
      </c>
      <c r="N366" s="663">
        <v>154869</v>
      </c>
      <c r="O366" s="680">
        <v>4759</v>
      </c>
      <c r="P366" s="363" t="s">
        <v>520</v>
      </c>
      <c r="Q366" s="380"/>
      <c r="R366" s="380"/>
      <c r="S366" s="363" t="s">
        <v>1426</v>
      </c>
      <c r="T366" s="363"/>
      <c r="U366" s="363" t="s">
        <v>1427</v>
      </c>
      <c r="V366" s="363"/>
      <c r="W366" s="363" t="s">
        <v>1428</v>
      </c>
      <c r="X366" s="363"/>
      <c r="Y366" s="363"/>
      <c r="Z366" s="363"/>
      <c r="AA366" s="363"/>
      <c r="AB366" s="363"/>
      <c r="AC366" s="363"/>
      <c r="AD366" s="363"/>
      <c r="AE366" s="363" t="s">
        <v>281</v>
      </c>
      <c r="AF366" s="380" t="s">
        <v>97</v>
      </c>
      <c r="AG366" s="380">
        <v>3</v>
      </c>
      <c r="AH366" s="363" t="s">
        <v>1345</v>
      </c>
    </row>
    <row r="367" spans="2:34" ht="15" hidden="1" customHeight="1" x14ac:dyDescent="0.3">
      <c r="B367" s="380" t="s">
        <v>0</v>
      </c>
      <c r="C367" s="482" t="s">
        <v>1429</v>
      </c>
      <c r="D367" s="483" t="s">
        <v>388</v>
      </c>
      <c r="E367" s="491" t="s">
        <v>1430</v>
      </c>
      <c r="F367" s="488">
        <v>46010</v>
      </c>
      <c r="G367" s="380" t="s">
        <v>643</v>
      </c>
      <c r="H367" s="380">
        <v>6</v>
      </c>
      <c r="I367" s="388">
        <v>493800</v>
      </c>
      <c r="J367" s="380">
        <v>2</v>
      </c>
      <c r="K367" s="389">
        <f t="shared" si="14"/>
        <v>246900</v>
      </c>
      <c r="L367" s="381">
        <v>46023</v>
      </c>
      <c r="M367" s="381">
        <v>46387</v>
      </c>
      <c r="N367" s="663"/>
      <c r="O367" s="680"/>
      <c r="P367" s="363" t="s">
        <v>520</v>
      </c>
      <c r="Q367" s="380"/>
      <c r="R367" s="380"/>
      <c r="S367" s="390" t="s">
        <v>607</v>
      </c>
      <c r="T367" s="363" t="s">
        <v>1845</v>
      </c>
      <c r="U367" s="363" t="s">
        <v>608</v>
      </c>
      <c r="V367" s="363"/>
      <c r="W367" s="363"/>
      <c r="X367" s="363"/>
      <c r="Y367" s="363"/>
      <c r="Z367" s="363"/>
      <c r="AA367" s="363"/>
      <c r="AB367" s="363"/>
      <c r="AC367" s="363"/>
      <c r="AD367" s="363"/>
      <c r="AE367" s="363" t="s">
        <v>619</v>
      </c>
      <c r="AF367" s="380" t="s">
        <v>63</v>
      </c>
      <c r="AG367" s="380">
        <v>3</v>
      </c>
      <c r="AH367" s="363" t="s">
        <v>667</v>
      </c>
    </row>
    <row r="368" spans="2:34" ht="15" hidden="1" customHeight="1" x14ac:dyDescent="0.3">
      <c r="B368" s="380" t="s">
        <v>0</v>
      </c>
      <c r="C368" s="482" t="s">
        <v>518</v>
      </c>
      <c r="D368" s="483" t="s">
        <v>176</v>
      </c>
      <c r="E368" s="468">
        <v>4518267425</v>
      </c>
      <c r="F368" s="488">
        <v>46027</v>
      </c>
      <c r="G368" s="380" t="s">
        <v>643</v>
      </c>
      <c r="H368" s="380">
        <v>1</v>
      </c>
      <c r="I368" s="388">
        <v>77200</v>
      </c>
      <c r="J368" s="380">
        <v>4</v>
      </c>
      <c r="K368" s="389">
        <f t="shared" si="14"/>
        <v>19300</v>
      </c>
      <c r="L368" s="381">
        <v>46023</v>
      </c>
      <c r="M368" s="381">
        <v>46387</v>
      </c>
      <c r="N368" s="663">
        <v>154978</v>
      </c>
      <c r="O368" s="680">
        <v>4761</v>
      </c>
      <c r="P368" s="363" t="s">
        <v>520</v>
      </c>
      <c r="Q368" s="380"/>
      <c r="R368" s="380"/>
      <c r="S368" s="390" t="s">
        <v>396</v>
      </c>
      <c r="T368" s="363" t="s">
        <v>909</v>
      </c>
      <c r="U368" s="390" t="s">
        <v>397</v>
      </c>
      <c r="V368" s="363" t="s">
        <v>1729</v>
      </c>
      <c r="W368" s="390" t="s">
        <v>496</v>
      </c>
      <c r="X368" s="363" t="s">
        <v>2045</v>
      </c>
      <c r="Y368" s="363" t="s">
        <v>497</v>
      </c>
      <c r="Z368" s="363"/>
      <c r="AA368" s="363"/>
      <c r="AB368" s="363"/>
      <c r="AC368" s="363"/>
      <c r="AD368" s="363"/>
      <c r="AE368" s="363" t="s">
        <v>183</v>
      </c>
      <c r="AF368" s="380" t="s">
        <v>97</v>
      </c>
      <c r="AG368" s="380">
        <v>3</v>
      </c>
      <c r="AH368" s="363" t="s">
        <v>1431</v>
      </c>
    </row>
    <row r="369" spans="2:34" ht="15" hidden="1" customHeight="1" x14ac:dyDescent="0.3">
      <c r="B369" s="380" t="s">
        <v>0</v>
      </c>
      <c r="C369" s="482" t="s">
        <v>518</v>
      </c>
      <c r="D369" s="483" t="s">
        <v>176</v>
      </c>
      <c r="E369" s="468">
        <v>4518267076</v>
      </c>
      <c r="F369" s="488">
        <v>46027</v>
      </c>
      <c r="G369" s="380" t="s">
        <v>643</v>
      </c>
      <c r="H369" s="380">
        <v>2</v>
      </c>
      <c r="I369" s="388">
        <v>179600</v>
      </c>
      <c r="J369" s="380">
        <v>4</v>
      </c>
      <c r="K369" s="389">
        <f t="shared" si="14"/>
        <v>44900</v>
      </c>
      <c r="L369" s="381">
        <v>46023</v>
      </c>
      <c r="M369" s="381">
        <v>46387</v>
      </c>
      <c r="N369" s="663">
        <v>154979</v>
      </c>
      <c r="O369" s="680">
        <v>4762</v>
      </c>
      <c r="P369" s="363" t="s">
        <v>520</v>
      </c>
      <c r="Q369" s="380"/>
      <c r="R369" s="380"/>
      <c r="S369" s="390" t="s">
        <v>396</v>
      </c>
      <c r="T369" s="363" t="s">
        <v>909</v>
      </c>
      <c r="U369" s="390" t="s">
        <v>397</v>
      </c>
      <c r="V369" s="363" t="s">
        <v>1729</v>
      </c>
      <c r="W369" s="390" t="s">
        <v>496</v>
      </c>
      <c r="X369" s="363" t="s">
        <v>2045</v>
      </c>
      <c r="Y369" s="363" t="s">
        <v>497</v>
      </c>
      <c r="Z369" s="363"/>
      <c r="AA369" s="363"/>
      <c r="AB369" s="363"/>
      <c r="AC369" s="363"/>
      <c r="AD369" s="363"/>
      <c r="AE369" s="363" t="s">
        <v>183</v>
      </c>
      <c r="AF369" s="380" t="s">
        <v>97</v>
      </c>
      <c r="AG369" s="380">
        <v>3</v>
      </c>
      <c r="AH369" s="363" t="s">
        <v>1431</v>
      </c>
    </row>
    <row r="370" spans="2:34" ht="15" hidden="1" customHeight="1" x14ac:dyDescent="0.3">
      <c r="B370" s="380" t="s">
        <v>0</v>
      </c>
      <c r="C370" s="482" t="s">
        <v>604</v>
      </c>
      <c r="D370" s="483" t="s">
        <v>1012</v>
      </c>
      <c r="E370" s="491">
        <v>5700206412</v>
      </c>
      <c r="F370" s="488">
        <v>46027</v>
      </c>
      <c r="G370" s="380" t="s">
        <v>643</v>
      </c>
      <c r="H370" s="380">
        <v>12</v>
      </c>
      <c r="I370" s="388">
        <v>1373715</v>
      </c>
      <c r="J370" s="380">
        <v>2</v>
      </c>
      <c r="K370" s="389">
        <f t="shared" si="14"/>
        <v>686857.5</v>
      </c>
      <c r="L370" s="381">
        <v>46023</v>
      </c>
      <c r="M370" s="381">
        <v>46387</v>
      </c>
      <c r="N370" s="663"/>
      <c r="O370" s="680"/>
      <c r="P370" s="363" t="s">
        <v>520</v>
      </c>
      <c r="Q370" s="380"/>
      <c r="R370" s="380"/>
      <c r="S370" s="390" t="s">
        <v>607</v>
      </c>
      <c r="T370" s="363" t="s">
        <v>1865</v>
      </c>
      <c r="U370" s="363" t="s">
        <v>608</v>
      </c>
      <c r="V370" s="363"/>
      <c r="W370" s="363"/>
      <c r="X370" s="363"/>
      <c r="Y370" s="363"/>
      <c r="Z370" s="363"/>
      <c r="AA370" s="363"/>
      <c r="AB370" s="363"/>
      <c r="AC370" s="363"/>
      <c r="AD370" s="363"/>
      <c r="AE370" s="363" t="s">
        <v>619</v>
      </c>
      <c r="AF370" s="380" t="s">
        <v>63</v>
      </c>
      <c r="AG370" s="380">
        <v>3</v>
      </c>
      <c r="AH370" s="363" t="s">
        <v>799</v>
      </c>
    </row>
    <row r="371" spans="2:34" ht="15" hidden="1" customHeight="1" x14ac:dyDescent="0.3">
      <c r="B371" s="380" t="s">
        <v>0</v>
      </c>
      <c r="C371" s="478" t="s">
        <v>598</v>
      </c>
      <c r="D371" s="480" t="s">
        <v>1354</v>
      </c>
      <c r="E371" s="481">
        <v>3800059115</v>
      </c>
      <c r="F371" s="488">
        <v>46028</v>
      </c>
      <c r="G371" s="380" t="s">
        <v>643</v>
      </c>
      <c r="H371" s="380">
        <v>3</v>
      </c>
      <c r="I371" s="388">
        <v>174000</v>
      </c>
      <c r="J371" s="380">
        <v>2</v>
      </c>
      <c r="K371" s="389">
        <f t="shared" si="14"/>
        <v>87000</v>
      </c>
      <c r="L371" s="381">
        <v>46023</v>
      </c>
      <c r="M371" s="381">
        <v>46387</v>
      </c>
      <c r="N371" s="663"/>
      <c r="O371" s="680"/>
      <c r="P371" s="363" t="s">
        <v>520</v>
      </c>
      <c r="Q371" s="380"/>
      <c r="R371" s="380"/>
      <c r="S371" s="390" t="s">
        <v>607</v>
      </c>
      <c r="T371" s="363" t="s">
        <v>1432</v>
      </c>
      <c r="U371" s="363" t="s">
        <v>608</v>
      </c>
      <c r="V371" s="363"/>
      <c r="W371" s="363"/>
      <c r="X371" s="363"/>
      <c r="Y371" s="363"/>
      <c r="Z371" s="363"/>
      <c r="AA371" s="363"/>
      <c r="AB371" s="363"/>
      <c r="AC371" s="363"/>
      <c r="AD371" s="363"/>
      <c r="AE371" s="363" t="s">
        <v>485</v>
      </c>
      <c r="AF371" s="380" t="s">
        <v>63</v>
      </c>
      <c r="AG371" s="380">
        <v>2</v>
      </c>
      <c r="AH371" s="363" t="s">
        <v>799</v>
      </c>
    </row>
    <row r="372" spans="2:34" ht="15" hidden="1" customHeight="1" x14ac:dyDescent="0.3">
      <c r="B372" s="380" t="s">
        <v>0</v>
      </c>
      <c r="C372" s="482" t="s">
        <v>1433</v>
      </c>
      <c r="D372" s="483" t="s">
        <v>434</v>
      </c>
      <c r="E372" s="491" t="s">
        <v>1434</v>
      </c>
      <c r="F372" s="488">
        <v>45666</v>
      </c>
      <c r="G372" s="407" t="s">
        <v>703</v>
      </c>
      <c r="H372" s="380">
        <v>19</v>
      </c>
      <c r="I372" s="388">
        <v>3915197</v>
      </c>
      <c r="J372" s="380">
        <v>4</v>
      </c>
      <c r="K372" s="389">
        <f t="shared" si="14"/>
        <v>978799.25</v>
      </c>
      <c r="L372" s="381">
        <v>46034</v>
      </c>
      <c r="M372" s="381">
        <v>46398</v>
      </c>
      <c r="N372" s="663">
        <v>155067</v>
      </c>
      <c r="O372" s="680">
        <v>4708</v>
      </c>
      <c r="P372" s="363" t="s">
        <v>520</v>
      </c>
      <c r="Q372" s="380"/>
      <c r="R372" s="380"/>
      <c r="S372" s="390" t="s">
        <v>1435</v>
      </c>
      <c r="T372" s="363" t="s">
        <v>1436</v>
      </c>
      <c r="U372" s="390" t="s">
        <v>1437</v>
      </c>
      <c r="V372" s="363" t="s">
        <v>1953</v>
      </c>
      <c r="W372" s="363" t="s">
        <v>1438</v>
      </c>
      <c r="X372" s="363"/>
      <c r="Y372" s="363" t="s">
        <v>1439</v>
      </c>
      <c r="Z372" s="363"/>
      <c r="AA372" s="363"/>
      <c r="AB372" s="363"/>
      <c r="AC372" s="363"/>
      <c r="AD372" s="363"/>
      <c r="AE372" s="363" t="s">
        <v>281</v>
      </c>
      <c r="AF372" s="380" t="s">
        <v>97</v>
      </c>
      <c r="AG372" s="380" t="s">
        <v>494</v>
      </c>
      <c r="AH372" s="386" t="s">
        <v>1345</v>
      </c>
    </row>
    <row r="373" spans="2:34" ht="15" hidden="1" customHeight="1" x14ac:dyDescent="0.3">
      <c r="B373" s="380" t="s">
        <v>0</v>
      </c>
      <c r="C373" s="478" t="s">
        <v>614</v>
      </c>
      <c r="D373" s="480" t="s">
        <v>447</v>
      </c>
      <c r="E373" s="495" t="s">
        <v>1440</v>
      </c>
      <c r="F373" s="496">
        <v>46000</v>
      </c>
      <c r="G373" s="380" t="s">
        <v>643</v>
      </c>
      <c r="H373" s="380">
        <v>1</v>
      </c>
      <c r="I373" s="388">
        <v>76440</v>
      </c>
      <c r="J373" s="380">
        <v>3</v>
      </c>
      <c r="K373" s="389">
        <f t="shared" si="14"/>
        <v>25480</v>
      </c>
      <c r="L373" s="381">
        <v>45992</v>
      </c>
      <c r="M373" s="381">
        <v>46356</v>
      </c>
      <c r="N373" s="663"/>
      <c r="O373" s="680"/>
      <c r="P373" s="363" t="s">
        <v>520</v>
      </c>
      <c r="Q373" s="380"/>
      <c r="R373" s="380"/>
      <c r="S373" s="390" t="s">
        <v>361</v>
      </c>
      <c r="T373" s="363" t="s">
        <v>1412</v>
      </c>
      <c r="U373" s="390" t="s">
        <v>1080</v>
      </c>
      <c r="V373" s="363" t="s">
        <v>1944</v>
      </c>
      <c r="W373" s="363" t="s">
        <v>1108</v>
      </c>
      <c r="X373" s="363"/>
      <c r="Y373" s="363"/>
      <c r="Z373" s="363"/>
      <c r="AA373" s="363"/>
      <c r="AB373" s="363"/>
      <c r="AC373" s="363"/>
      <c r="AD373" s="363"/>
      <c r="AE373" s="363" t="s">
        <v>281</v>
      </c>
      <c r="AF373" s="380" t="s">
        <v>97</v>
      </c>
      <c r="AG373" s="380">
        <v>3</v>
      </c>
      <c r="AH373" s="363" t="s">
        <v>1441</v>
      </c>
    </row>
    <row r="374" spans="2:34" ht="15" hidden="1" customHeight="1" x14ac:dyDescent="0.3">
      <c r="B374" s="380" t="s">
        <v>0</v>
      </c>
      <c r="C374" s="482" t="s">
        <v>195</v>
      </c>
      <c r="D374" s="483" t="s">
        <v>447</v>
      </c>
      <c r="E374" s="468" t="s">
        <v>255</v>
      </c>
      <c r="F374" s="488" t="s">
        <v>1442</v>
      </c>
      <c r="G374" s="380" t="s">
        <v>643</v>
      </c>
      <c r="H374" s="380">
        <v>3</v>
      </c>
      <c r="I374" s="388">
        <v>177000</v>
      </c>
      <c r="J374" s="380">
        <v>4</v>
      </c>
      <c r="K374" s="389">
        <f t="shared" si="14"/>
        <v>44250</v>
      </c>
      <c r="L374" s="381">
        <v>46054</v>
      </c>
      <c r="M374" s="381">
        <v>46418</v>
      </c>
      <c r="N374" s="663"/>
      <c r="O374" s="680"/>
      <c r="P374" s="363" t="s">
        <v>520</v>
      </c>
      <c r="Q374" s="380"/>
      <c r="R374" s="380"/>
      <c r="S374" s="390" t="s">
        <v>442</v>
      </c>
      <c r="T374" s="363" t="s">
        <v>1226</v>
      </c>
      <c r="U374" s="390" t="s">
        <v>444</v>
      </c>
      <c r="V374" s="363" t="s">
        <v>1954</v>
      </c>
      <c r="W374" s="363" t="s">
        <v>1443</v>
      </c>
      <c r="X374" s="363"/>
      <c r="Y374" s="363" t="s">
        <v>456</v>
      </c>
      <c r="Z374" s="363"/>
      <c r="AA374" s="363"/>
      <c r="AB374" s="363"/>
      <c r="AC374" s="363"/>
      <c r="AD374" s="363"/>
      <c r="AE374" s="363" t="s">
        <v>96</v>
      </c>
      <c r="AF374" s="380" t="s">
        <v>97</v>
      </c>
      <c r="AG374" s="380" t="s">
        <v>494</v>
      </c>
      <c r="AH374" s="363"/>
    </row>
    <row r="375" spans="2:34" ht="15" hidden="1" customHeight="1" x14ac:dyDescent="0.3">
      <c r="B375" s="380" t="s">
        <v>0</v>
      </c>
      <c r="C375" s="409" t="s">
        <v>1444</v>
      </c>
      <c r="D375" s="418" t="s">
        <v>841</v>
      </c>
      <c r="E375" s="493" t="s">
        <v>1445</v>
      </c>
      <c r="F375" s="488">
        <v>46021</v>
      </c>
      <c r="G375" s="380" t="s">
        <v>643</v>
      </c>
      <c r="H375" s="380">
        <v>7</v>
      </c>
      <c r="I375" s="388">
        <v>371000</v>
      </c>
      <c r="J375" s="380">
        <v>2</v>
      </c>
      <c r="K375" s="389">
        <f t="shared" si="14"/>
        <v>185500</v>
      </c>
      <c r="L375" s="381">
        <v>46023</v>
      </c>
      <c r="M375" s="381">
        <v>46387</v>
      </c>
      <c r="N375" s="663"/>
      <c r="O375" s="680"/>
      <c r="P375" s="363" t="s">
        <v>520</v>
      </c>
      <c r="Q375" s="380"/>
      <c r="R375" s="380"/>
      <c r="S375" s="390" t="s">
        <v>486</v>
      </c>
      <c r="T375" s="363" t="s">
        <v>1730</v>
      </c>
      <c r="U375" s="363" t="s">
        <v>608</v>
      </c>
      <c r="V375" s="363"/>
      <c r="W375" s="363"/>
      <c r="X375" s="363"/>
      <c r="Y375" s="363"/>
      <c r="Z375" s="363"/>
      <c r="AA375" s="363"/>
      <c r="AB375" s="363"/>
      <c r="AC375" s="363"/>
      <c r="AD375" s="363"/>
      <c r="AE375" s="363" t="s">
        <v>485</v>
      </c>
      <c r="AF375" s="380" t="s">
        <v>63</v>
      </c>
      <c r="AG375" s="380">
        <v>2</v>
      </c>
      <c r="AH375" s="363" t="s">
        <v>1446</v>
      </c>
    </row>
    <row r="376" spans="2:34" ht="15" hidden="1" customHeight="1" x14ac:dyDescent="0.3">
      <c r="B376" s="380" t="s">
        <v>0</v>
      </c>
      <c r="C376" s="409" t="s">
        <v>1447</v>
      </c>
      <c r="D376" s="423" t="s">
        <v>388</v>
      </c>
      <c r="E376" s="419">
        <v>3800061135</v>
      </c>
      <c r="F376" s="488">
        <v>46035</v>
      </c>
      <c r="G376" s="380" t="s">
        <v>643</v>
      </c>
      <c r="H376" s="380">
        <v>3</v>
      </c>
      <c r="I376" s="388">
        <v>174000</v>
      </c>
      <c r="J376" s="380">
        <v>2</v>
      </c>
      <c r="K376" s="389">
        <f t="shared" si="14"/>
        <v>87000</v>
      </c>
      <c r="L376" s="381">
        <v>46023</v>
      </c>
      <c r="M376" s="381">
        <v>46387</v>
      </c>
      <c r="N376" s="663"/>
      <c r="O376" s="680"/>
      <c r="P376" s="363" t="s">
        <v>520</v>
      </c>
      <c r="Q376" s="380"/>
      <c r="R376" s="380"/>
      <c r="S376" s="390" t="s">
        <v>607</v>
      </c>
      <c r="T376" s="363" t="s">
        <v>1862</v>
      </c>
      <c r="U376" s="363" t="s">
        <v>608</v>
      </c>
      <c r="V376" s="363"/>
      <c r="W376" s="363"/>
      <c r="X376" s="363"/>
      <c r="Y376" s="363"/>
      <c r="Z376" s="363"/>
      <c r="AA376" s="363"/>
      <c r="AB376" s="363"/>
      <c r="AC376" s="363"/>
      <c r="AD376" s="363"/>
      <c r="AE376" s="363" t="s">
        <v>478</v>
      </c>
      <c r="AF376" s="380" t="s">
        <v>63</v>
      </c>
      <c r="AG376" s="380">
        <v>2</v>
      </c>
      <c r="AH376" s="363" t="s">
        <v>667</v>
      </c>
    </row>
    <row r="377" spans="2:34" ht="15" hidden="1" customHeight="1" x14ac:dyDescent="0.3">
      <c r="B377" s="380" t="s">
        <v>0</v>
      </c>
      <c r="C377" s="409" t="s">
        <v>1448</v>
      </c>
      <c r="D377" s="418" t="s">
        <v>151</v>
      </c>
      <c r="E377" s="497" t="s">
        <v>1449</v>
      </c>
      <c r="F377" s="488">
        <v>46031</v>
      </c>
      <c r="G377" s="380" t="s">
        <v>643</v>
      </c>
      <c r="H377" s="380">
        <v>1</v>
      </c>
      <c r="I377" s="388">
        <v>160000</v>
      </c>
      <c r="J377" s="380">
        <v>3</v>
      </c>
      <c r="K377" s="389">
        <f t="shared" si="14"/>
        <v>53333.333333333336</v>
      </c>
      <c r="L377" s="381">
        <v>46023</v>
      </c>
      <c r="M377" s="381">
        <v>46387</v>
      </c>
      <c r="N377" s="663"/>
      <c r="O377" s="680"/>
      <c r="P377" s="363" t="s">
        <v>520</v>
      </c>
      <c r="Q377" s="380"/>
      <c r="R377" s="380"/>
      <c r="S377" s="390" t="s">
        <v>347</v>
      </c>
      <c r="T377" s="363" t="s">
        <v>1450</v>
      </c>
      <c r="U377" s="390" t="s">
        <v>348</v>
      </c>
      <c r="V377" s="363" t="s">
        <v>2026</v>
      </c>
      <c r="W377" s="363" t="s">
        <v>349</v>
      </c>
      <c r="X377" s="363"/>
      <c r="Y377" s="363"/>
      <c r="Z377" s="363"/>
      <c r="AA377" s="363"/>
      <c r="AB377" s="363"/>
      <c r="AC377" s="363"/>
      <c r="AD377" s="363"/>
      <c r="AE377" s="363" t="s">
        <v>507</v>
      </c>
      <c r="AF377" s="380" t="s">
        <v>63</v>
      </c>
      <c r="AG377" s="380">
        <v>3</v>
      </c>
      <c r="AH377" s="363" t="s">
        <v>667</v>
      </c>
    </row>
    <row r="378" spans="2:34" ht="15" hidden="1" customHeight="1" x14ac:dyDescent="0.3">
      <c r="B378" s="380" t="s">
        <v>0</v>
      </c>
      <c r="C378" s="482" t="s">
        <v>1451</v>
      </c>
      <c r="D378" s="483" t="s">
        <v>151</v>
      </c>
      <c r="E378" s="419">
        <v>8182414</v>
      </c>
      <c r="F378" s="488">
        <v>46034</v>
      </c>
      <c r="G378" s="380" t="s">
        <v>643</v>
      </c>
      <c r="H378" s="380">
        <v>3</v>
      </c>
      <c r="I378" s="388">
        <v>232497</v>
      </c>
      <c r="J378" s="380">
        <v>3</v>
      </c>
      <c r="K378" s="389">
        <f t="shared" si="14"/>
        <v>77499</v>
      </c>
      <c r="L378" s="381">
        <v>46023</v>
      </c>
      <c r="M378" s="381">
        <v>46387</v>
      </c>
      <c r="N378" s="663"/>
      <c r="O378" s="680"/>
      <c r="P378" s="363" t="s">
        <v>520</v>
      </c>
      <c r="Q378" s="380"/>
      <c r="R378" s="380"/>
      <c r="S378" s="390" t="s">
        <v>347</v>
      </c>
      <c r="T378" s="363" t="s">
        <v>331</v>
      </c>
      <c r="U378" s="363" t="s">
        <v>348</v>
      </c>
      <c r="V378" s="363"/>
      <c r="W378" s="363" t="s">
        <v>349</v>
      </c>
      <c r="X378" s="363"/>
      <c r="Y378" s="363"/>
      <c r="Z378" s="363"/>
      <c r="AA378" s="363"/>
      <c r="AB378" s="363"/>
      <c r="AC378" s="363"/>
      <c r="AD378" s="363"/>
      <c r="AE378" s="363" t="s">
        <v>478</v>
      </c>
      <c r="AF378" s="380" t="s">
        <v>63</v>
      </c>
      <c r="AG378" s="380">
        <v>3</v>
      </c>
      <c r="AH378" s="363" t="s">
        <v>667</v>
      </c>
    </row>
    <row r="379" spans="2:34" ht="15" hidden="1" customHeight="1" x14ac:dyDescent="0.3">
      <c r="B379" s="380" t="s">
        <v>0</v>
      </c>
      <c r="C379" s="478" t="s">
        <v>1452</v>
      </c>
      <c r="D379" s="480" t="s">
        <v>1453</v>
      </c>
      <c r="E379" s="481" t="s">
        <v>1454</v>
      </c>
      <c r="F379" s="488">
        <v>45960</v>
      </c>
      <c r="G379" s="380" t="s">
        <v>643</v>
      </c>
      <c r="H379" s="380">
        <v>1</v>
      </c>
      <c r="I379" s="388">
        <v>93800</v>
      </c>
      <c r="J379" s="380">
        <v>3</v>
      </c>
      <c r="K379" s="389">
        <f t="shared" si="14"/>
        <v>31266.666666666668</v>
      </c>
      <c r="L379" s="381">
        <v>45931</v>
      </c>
      <c r="M379" s="381">
        <v>46295</v>
      </c>
      <c r="N379" s="663"/>
      <c r="O379" s="680"/>
      <c r="P379" s="363" t="s">
        <v>520</v>
      </c>
      <c r="Q379" s="380"/>
      <c r="R379" s="380"/>
      <c r="S379" s="390" t="s">
        <v>83</v>
      </c>
      <c r="T379" s="363" t="s">
        <v>454</v>
      </c>
      <c r="U379" s="390" t="s">
        <v>1455</v>
      </c>
      <c r="V379" s="363" t="s">
        <v>695</v>
      </c>
      <c r="W379" s="363" t="s">
        <v>406</v>
      </c>
      <c r="X379" s="363"/>
      <c r="Y379" s="363"/>
      <c r="Z379" s="363"/>
      <c r="AA379" s="363"/>
      <c r="AB379" s="363"/>
      <c r="AC379" s="363"/>
      <c r="AD379" s="363"/>
      <c r="AE379" s="363" t="s">
        <v>183</v>
      </c>
      <c r="AF379" s="380" t="s">
        <v>97</v>
      </c>
      <c r="AG379" s="380">
        <v>1</v>
      </c>
      <c r="AH379" s="363" t="s">
        <v>799</v>
      </c>
    </row>
    <row r="380" spans="2:34" ht="15" hidden="1" customHeight="1" x14ac:dyDescent="0.3">
      <c r="B380" s="380" t="s">
        <v>0</v>
      </c>
      <c r="C380" s="482" t="s">
        <v>544</v>
      </c>
      <c r="D380" s="483" t="s">
        <v>545</v>
      </c>
      <c r="E380" s="468">
        <v>1250053807</v>
      </c>
      <c r="F380" s="488">
        <v>46027</v>
      </c>
      <c r="G380" s="380" t="s">
        <v>643</v>
      </c>
      <c r="H380" s="380">
        <v>2</v>
      </c>
      <c r="I380" s="388">
        <v>156000</v>
      </c>
      <c r="J380" s="380">
        <v>3</v>
      </c>
      <c r="K380" s="389">
        <f t="shared" si="14"/>
        <v>52000</v>
      </c>
      <c r="L380" s="381">
        <v>46035</v>
      </c>
      <c r="M380" s="381">
        <v>46399</v>
      </c>
      <c r="N380" s="663"/>
      <c r="O380" s="680"/>
      <c r="P380" s="363" t="s">
        <v>520</v>
      </c>
      <c r="Q380" s="380"/>
      <c r="R380" s="380"/>
      <c r="S380" s="390" t="s">
        <v>1456</v>
      </c>
      <c r="T380" s="363" t="s">
        <v>1162</v>
      </c>
      <c r="U380" s="390" t="s">
        <v>1457</v>
      </c>
      <c r="V380" s="363" t="s">
        <v>1859</v>
      </c>
      <c r="W380" s="363" t="s">
        <v>1458</v>
      </c>
      <c r="X380" s="363"/>
      <c r="Y380" s="363"/>
      <c r="Z380" s="363"/>
      <c r="AA380" s="363"/>
      <c r="AB380" s="363"/>
      <c r="AC380" s="363"/>
      <c r="AD380" s="363"/>
      <c r="AE380" s="363" t="s">
        <v>551</v>
      </c>
      <c r="AF380" s="380" t="s">
        <v>207</v>
      </c>
      <c r="AG380" s="380">
        <v>3</v>
      </c>
      <c r="AH380" s="363" t="s">
        <v>799</v>
      </c>
    </row>
    <row r="381" spans="2:34" ht="15" hidden="1" customHeight="1" x14ac:dyDescent="0.3">
      <c r="B381" s="380" t="s">
        <v>0</v>
      </c>
      <c r="C381" s="409" t="s">
        <v>595</v>
      </c>
      <c r="D381" s="418" t="s">
        <v>596</v>
      </c>
      <c r="E381" s="498">
        <v>7710030270</v>
      </c>
      <c r="F381" s="488">
        <v>46034</v>
      </c>
      <c r="G381" s="380" t="s">
        <v>643</v>
      </c>
      <c r="H381" s="380">
        <v>10</v>
      </c>
      <c r="I381" s="388">
        <v>500000</v>
      </c>
      <c r="J381" s="380">
        <v>2</v>
      </c>
      <c r="K381" s="389">
        <f t="shared" si="14"/>
        <v>250000</v>
      </c>
      <c r="L381" s="381">
        <v>46023</v>
      </c>
      <c r="M381" s="381">
        <v>46387</v>
      </c>
      <c r="N381" s="663">
        <v>154950</v>
      </c>
      <c r="O381" s="680">
        <v>4405</v>
      </c>
      <c r="P381" s="363" t="s">
        <v>520</v>
      </c>
      <c r="Q381" s="389"/>
      <c r="R381" s="380"/>
      <c r="S381" s="390" t="s">
        <v>607</v>
      </c>
      <c r="T381" s="363" t="s">
        <v>2047</v>
      </c>
      <c r="U381" s="363" t="s">
        <v>608</v>
      </c>
      <c r="V381" s="363"/>
      <c r="W381" s="363"/>
      <c r="X381" s="363"/>
      <c r="Y381" s="363"/>
      <c r="Z381" s="363"/>
      <c r="AA381" s="363"/>
      <c r="AB381" s="363"/>
      <c r="AC381" s="363"/>
      <c r="AD381" s="363"/>
      <c r="AE381" s="363" t="s">
        <v>478</v>
      </c>
      <c r="AF381" s="380" t="s">
        <v>63</v>
      </c>
      <c r="AG381" s="380">
        <v>2</v>
      </c>
      <c r="AH381" s="363" t="s">
        <v>667</v>
      </c>
    </row>
    <row r="382" spans="2:34" ht="15" hidden="1" customHeight="1" x14ac:dyDescent="0.3">
      <c r="B382" s="380" t="s">
        <v>0</v>
      </c>
      <c r="C382" s="409" t="s">
        <v>1330</v>
      </c>
      <c r="D382" s="423" t="s">
        <v>323</v>
      </c>
      <c r="E382" s="419" t="s">
        <v>1459</v>
      </c>
      <c r="F382" s="488">
        <v>46032</v>
      </c>
      <c r="G382" s="380" t="s">
        <v>643</v>
      </c>
      <c r="H382" s="380">
        <v>1</v>
      </c>
      <c r="I382" s="388">
        <v>109200</v>
      </c>
      <c r="J382" s="380">
        <v>3</v>
      </c>
      <c r="K382" s="389">
        <f t="shared" si="14"/>
        <v>36400</v>
      </c>
      <c r="L382" s="381">
        <v>46023</v>
      </c>
      <c r="M382" s="381">
        <v>46387</v>
      </c>
      <c r="N382" s="663">
        <v>154967</v>
      </c>
      <c r="O382" s="680"/>
      <c r="P382" s="363" t="s">
        <v>520</v>
      </c>
      <c r="Q382" s="380"/>
      <c r="R382" s="380"/>
      <c r="S382" s="390" t="s">
        <v>347</v>
      </c>
      <c r="T382" s="363" t="s">
        <v>1314</v>
      </c>
      <c r="U382" s="390" t="s">
        <v>348</v>
      </c>
      <c r="V382" s="363" t="s">
        <v>2048</v>
      </c>
      <c r="W382" s="363" t="s">
        <v>349</v>
      </c>
      <c r="X382" s="363"/>
      <c r="Y382" s="363"/>
      <c r="Z382" s="363"/>
      <c r="AA382" s="363"/>
      <c r="AB382" s="363"/>
      <c r="AC382" s="363"/>
      <c r="AD382" s="363"/>
      <c r="AE382" s="363" t="s">
        <v>96</v>
      </c>
      <c r="AF382" s="380" t="s">
        <v>97</v>
      </c>
      <c r="AG382" s="380" t="s">
        <v>494</v>
      </c>
      <c r="AH382" s="363" t="s">
        <v>667</v>
      </c>
    </row>
    <row r="383" spans="2:34" ht="15" hidden="1" customHeight="1" x14ac:dyDescent="0.3">
      <c r="B383" s="380" t="s">
        <v>0</v>
      </c>
      <c r="C383" s="409" t="s">
        <v>195</v>
      </c>
      <c r="D383" s="483" t="s">
        <v>447</v>
      </c>
      <c r="E383" s="491" t="s">
        <v>1460</v>
      </c>
      <c r="F383" s="488">
        <v>46043</v>
      </c>
      <c r="G383" s="380" t="s">
        <v>643</v>
      </c>
      <c r="H383" s="380"/>
      <c r="I383" s="388">
        <v>706090</v>
      </c>
      <c r="J383" s="380">
        <v>4</v>
      </c>
      <c r="K383" s="389">
        <f t="shared" si="14"/>
        <v>176522.5</v>
      </c>
      <c r="L383" s="381">
        <v>46043</v>
      </c>
      <c r="M383" s="381">
        <v>46407</v>
      </c>
      <c r="N383" s="663">
        <v>154949</v>
      </c>
      <c r="O383" s="680">
        <v>4699</v>
      </c>
      <c r="P383" s="363" t="s">
        <v>520</v>
      </c>
      <c r="Q383" s="389"/>
      <c r="R383" s="389"/>
      <c r="S383" s="390" t="s">
        <v>1461</v>
      </c>
      <c r="T383" s="363" t="s">
        <v>1957</v>
      </c>
      <c r="U383" s="390" t="s">
        <v>1462</v>
      </c>
      <c r="V383" s="363" t="s">
        <v>1958</v>
      </c>
      <c r="W383" s="363" t="s">
        <v>1463</v>
      </c>
      <c r="X383" s="363"/>
      <c r="Y383" s="363" t="s">
        <v>1464</v>
      </c>
      <c r="Z383" s="363"/>
      <c r="AA383" s="363"/>
      <c r="AB383" s="363"/>
      <c r="AC383" s="363"/>
      <c r="AD383" s="363"/>
      <c r="AE383" s="363" t="s">
        <v>96</v>
      </c>
      <c r="AF383" s="380" t="s">
        <v>97</v>
      </c>
      <c r="AG383" s="380" t="s">
        <v>494</v>
      </c>
      <c r="AH383" s="363" t="s">
        <v>667</v>
      </c>
    </row>
    <row r="384" spans="2:34" ht="15" hidden="1" customHeight="1" x14ac:dyDescent="0.3">
      <c r="B384" s="380" t="s">
        <v>0</v>
      </c>
      <c r="C384" s="409" t="s">
        <v>195</v>
      </c>
      <c r="D384" s="483" t="s">
        <v>447</v>
      </c>
      <c r="E384" s="468" t="s">
        <v>1460</v>
      </c>
      <c r="F384" s="488">
        <v>46043</v>
      </c>
      <c r="G384" s="380" t="s">
        <v>643</v>
      </c>
      <c r="H384" s="380"/>
      <c r="I384" s="388">
        <v>706090</v>
      </c>
      <c r="J384" s="380">
        <v>4</v>
      </c>
      <c r="K384" s="389">
        <f t="shared" si="14"/>
        <v>176522.5</v>
      </c>
      <c r="L384" s="381">
        <v>46408</v>
      </c>
      <c r="M384" s="381">
        <v>46772</v>
      </c>
      <c r="N384" s="663"/>
      <c r="O384" s="680"/>
      <c r="P384" s="363" t="s">
        <v>520</v>
      </c>
      <c r="Q384" s="380"/>
      <c r="R384" s="380"/>
      <c r="S384" s="363" t="s">
        <v>1465</v>
      </c>
      <c r="T384" s="363"/>
      <c r="U384" s="363" t="s">
        <v>1466</v>
      </c>
      <c r="V384" s="363"/>
      <c r="W384" s="363" t="s">
        <v>1467</v>
      </c>
      <c r="X384" s="363"/>
      <c r="Y384" s="363" t="s">
        <v>1468</v>
      </c>
      <c r="Z384" s="363"/>
      <c r="AA384" s="363"/>
      <c r="AB384" s="363"/>
      <c r="AC384" s="363"/>
      <c r="AD384" s="363"/>
      <c r="AE384" s="363" t="s">
        <v>96</v>
      </c>
      <c r="AF384" s="380" t="s">
        <v>97</v>
      </c>
      <c r="AG384" s="380" t="s">
        <v>494</v>
      </c>
      <c r="AH384" s="363" t="s">
        <v>667</v>
      </c>
    </row>
    <row r="385" spans="2:34" ht="15" hidden="1" customHeight="1" x14ac:dyDescent="0.3">
      <c r="B385" s="380" t="s">
        <v>0</v>
      </c>
      <c r="C385" s="409" t="s">
        <v>195</v>
      </c>
      <c r="D385" s="483" t="s">
        <v>447</v>
      </c>
      <c r="E385" s="468" t="s">
        <v>1460</v>
      </c>
      <c r="F385" s="488">
        <v>46043</v>
      </c>
      <c r="G385" s="380" t="s">
        <v>643</v>
      </c>
      <c r="H385" s="380">
        <v>11</v>
      </c>
      <c r="I385" s="388">
        <v>706090</v>
      </c>
      <c r="J385" s="380">
        <v>4</v>
      </c>
      <c r="K385" s="389">
        <f t="shared" si="14"/>
        <v>176522.5</v>
      </c>
      <c r="L385" s="381">
        <v>46773</v>
      </c>
      <c r="M385" s="381">
        <v>47138</v>
      </c>
      <c r="N385" s="663"/>
      <c r="O385" s="680"/>
      <c r="P385" s="363" t="s">
        <v>520</v>
      </c>
      <c r="Q385" s="380"/>
      <c r="R385" s="380"/>
      <c r="S385" s="363" t="s">
        <v>1469</v>
      </c>
      <c r="T385" s="363"/>
      <c r="U385" s="363" t="s">
        <v>1470</v>
      </c>
      <c r="V385" s="363"/>
      <c r="W385" s="363" t="s">
        <v>1471</v>
      </c>
      <c r="X385" s="363"/>
      <c r="Y385" s="363" t="s">
        <v>1472</v>
      </c>
      <c r="Z385" s="363"/>
      <c r="AA385" s="363"/>
      <c r="AB385" s="363"/>
      <c r="AC385" s="363"/>
      <c r="AD385" s="363"/>
      <c r="AE385" s="363" t="s">
        <v>96</v>
      </c>
      <c r="AF385" s="380" t="s">
        <v>97</v>
      </c>
      <c r="AG385" s="380" t="s">
        <v>494</v>
      </c>
      <c r="AH385" s="363" t="s">
        <v>667</v>
      </c>
    </row>
    <row r="386" spans="2:34" ht="15" hidden="1" customHeight="1" x14ac:dyDescent="0.3">
      <c r="B386" s="380" t="s">
        <v>0</v>
      </c>
      <c r="C386" s="482" t="s">
        <v>1473</v>
      </c>
      <c r="D386" s="483" t="s">
        <v>1474</v>
      </c>
      <c r="E386" s="491">
        <v>4340105757</v>
      </c>
      <c r="F386" s="488">
        <v>46020</v>
      </c>
      <c r="G386" s="380" t="s">
        <v>643</v>
      </c>
      <c r="H386" s="380">
        <v>8</v>
      </c>
      <c r="I386" s="388">
        <v>736117.2</v>
      </c>
      <c r="J386" s="380">
        <v>3</v>
      </c>
      <c r="K386" s="389">
        <f t="shared" si="14"/>
        <v>245372.4</v>
      </c>
      <c r="L386" s="381">
        <v>46023</v>
      </c>
      <c r="M386" s="381">
        <v>46387</v>
      </c>
      <c r="N386" s="663">
        <v>154871</v>
      </c>
      <c r="O386" s="680"/>
      <c r="P386" s="363" t="s">
        <v>520</v>
      </c>
      <c r="Q386" s="380"/>
      <c r="R386" s="380"/>
      <c r="S386" s="390" t="s">
        <v>347</v>
      </c>
      <c r="T386" s="363" t="s">
        <v>1475</v>
      </c>
      <c r="U386" s="390" t="s">
        <v>348</v>
      </c>
      <c r="V386" s="363" t="s">
        <v>2001</v>
      </c>
      <c r="W386" s="363" t="s">
        <v>349</v>
      </c>
      <c r="X386" s="363"/>
      <c r="Y386" s="363"/>
      <c r="Z386" s="363"/>
      <c r="AA386" s="363"/>
      <c r="AB386" s="363"/>
      <c r="AC386" s="363"/>
      <c r="AD386" s="363"/>
      <c r="AE386" s="363" t="s">
        <v>551</v>
      </c>
      <c r="AF386" s="380" t="s">
        <v>207</v>
      </c>
      <c r="AG386" s="380">
        <v>3</v>
      </c>
      <c r="AH386" s="363" t="s">
        <v>667</v>
      </c>
    </row>
    <row r="387" spans="2:34" ht="15" hidden="1" customHeight="1" x14ac:dyDescent="0.3">
      <c r="B387" s="380" t="s">
        <v>0</v>
      </c>
      <c r="C387" s="412" t="s">
        <v>614</v>
      </c>
      <c r="D387" s="437" t="s">
        <v>984</v>
      </c>
      <c r="E387" s="414" t="s">
        <v>1476</v>
      </c>
      <c r="F387" s="499">
        <v>46028</v>
      </c>
      <c r="G387" s="380" t="s">
        <v>643</v>
      </c>
      <c r="H387" s="380">
        <v>1</v>
      </c>
      <c r="I387" s="388">
        <v>76440</v>
      </c>
      <c r="J387" s="380">
        <v>3</v>
      </c>
      <c r="K387" s="389">
        <f t="shared" si="14"/>
        <v>25480</v>
      </c>
      <c r="L387" s="381">
        <v>46023</v>
      </c>
      <c r="M387" s="381">
        <v>46387</v>
      </c>
      <c r="N387" s="663"/>
      <c r="O387" s="680"/>
      <c r="P387" s="363" t="s">
        <v>520</v>
      </c>
      <c r="Q387" s="380"/>
      <c r="R387" s="380"/>
      <c r="S387" s="390" t="s">
        <v>347</v>
      </c>
      <c r="T387" s="363" t="s">
        <v>1169</v>
      </c>
      <c r="U387" s="390" t="s">
        <v>348</v>
      </c>
      <c r="V387" s="363" t="s">
        <v>2045</v>
      </c>
      <c r="W387" s="363" t="s">
        <v>349</v>
      </c>
      <c r="X387" s="363"/>
      <c r="Y387" s="363"/>
      <c r="Z387" s="363"/>
      <c r="AA387" s="363"/>
      <c r="AB387" s="363"/>
      <c r="AC387" s="363"/>
      <c r="AD387" s="363"/>
      <c r="AE387" s="363" t="s">
        <v>281</v>
      </c>
      <c r="AF387" s="380" t="s">
        <v>97</v>
      </c>
      <c r="AG387" s="380">
        <v>3</v>
      </c>
      <c r="AH387" s="363" t="s">
        <v>1060</v>
      </c>
    </row>
    <row r="388" spans="2:34" ht="15" hidden="1" customHeight="1" x14ac:dyDescent="0.3">
      <c r="B388" s="380" t="s">
        <v>0</v>
      </c>
      <c r="C388" s="412" t="s">
        <v>614</v>
      </c>
      <c r="D388" s="463" t="s">
        <v>1016</v>
      </c>
      <c r="E388" s="465" t="s">
        <v>1477</v>
      </c>
      <c r="F388" s="500">
        <v>46041</v>
      </c>
      <c r="G388" s="380" t="s">
        <v>643</v>
      </c>
      <c r="H388" s="380">
        <v>2</v>
      </c>
      <c r="I388" s="388">
        <v>152880</v>
      </c>
      <c r="J388" s="380">
        <v>3</v>
      </c>
      <c r="K388" s="389"/>
      <c r="L388" s="381">
        <v>46023</v>
      </c>
      <c r="M388" s="381">
        <v>46387</v>
      </c>
      <c r="N388" s="663"/>
      <c r="O388" s="680"/>
      <c r="P388" s="363" t="s">
        <v>520</v>
      </c>
      <c r="Q388" s="380"/>
      <c r="R388" s="380"/>
      <c r="S388" s="390" t="s">
        <v>347</v>
      </c>
      <c r="T388" s="363" t="s">
        <v>1450</v>
      </c>
      <c r="U388" s="390" t="s">
        <v>348</v>
      </c>
      <c r="V388" s="363" t="s">
        <v>2030</v>
      </c>
      <c r="W388" s="363" t="s">
        <v>349</v>
      </c>
      <c r="X388" s="363"/>
      <c r="Y388" s="363"/>
      <c r="Z388" s="363"/>
      <c r="AA388" s="363"/>
      <c r="AB388" s="363"/>
      <c r="AC388" s="363"/>
      <c r="AD388" s="363"/>
      <c r="AE388" s="363" t="s">
        <v>619</v>
      </c>
      <c r="AF388" s="380" t="s">
        <v>63</v>
      </c>
      <c r="AG388" s="380">
        <v>3</v>
      </c>
      <c r="AH388" s="363" t="s">
        <v>1060</v>
      </c>
    </row>
    <row r="389" spans="2:34" ht="15" hidden="1" customHeight="1" x14ac:dyDescent="0.3">
      <c r="B389" s="380" t="s">
        <v>0</v>
      </c>
      <c r="C389" s="409" t="s">
        <v>614</v>
      </c>
      <c r="D389" s="418" t="s">
        <v>1016</v>
      </c>
      <c r="E389" s="414" t="s">
        <v>1478</v>
      </c>
      <c r="F389" s="488">
        <v>46029</v>
      </c>
      <c r="G389" s="380" t="s">
        <v>643</v>
      </c>
      <c r="H389" s="380">
        <v>2</v>
      </c>
      <c r="I389" s="388">
        <v>152880</v>
      </c>
      <c r="J389" s="380">
        <v>3</v>
      </c>
      <c r="K389" s="389"/>
      <c r="L389" s="381">
        <v>46023</v>
      </c>
      <c r="M389" s="381">
        <v>46387</v>
      </c>
      <c r="N389" s="663"/>
      <c r="O389" s="680"/>
      <c r="P389" s="363" t="s">
        <v>520</v>
      </c>
      <c r="Q389" s="380"/>
      <c r="R389" s="380"/>
      <c r="S389" s="390" t="s">
        <v>347</v>
      </c>
      <c r="T389" s="363" t="s">
        <v>909</v>
      </c>
      <c r="U389" s="390" t="s">
        <v>348</v>
      </c>
      <c r="V389" s="363" t="s">
        <v>2049</v>
      </c>
      <c r="W389" s="363" t="s">
        <v>349</v>
      </c>
      <c r="X389" s="363"/>
      <c r="Y389" s="363"/>
      <c r="Z389" s="363"/>
      <c r="AA389" s="363"/>
      <c r="AB389" s="363"/>
      <c r="AC389" s="363"/>
      <c r="AD389" s="363"/>
      <c r="AE389" s="363" t="s">
        <v>619</v>
      </c>
      <c r="AF389" s="380" t="s">
        <v>63</v>
      </c>
      <c r="AG389" s="380">
        <v>3</v>
      </c>
      <c r="AH389" s="363" t="s">
        <v>1060</v>
      </c>
    </row>
    <row r="390" spans="2:34" ht="15" hidden="1" customHeight="1" x14ac:dyDescent="0.3">
      <c r="B390" s="380" t="s">
        <v>0</v>
      </c>
      <c r="C390" s="482" t="s">
        <v>1429</v>
      </c>
      <c r="D390" s="483" t="s">
        <v>388</v>
      </c>
      <c r="E390" s="491" t="s">
        <v>1479</v>
      </c>
      <c r="F390" s="501">
        <v>46035</v>
      </c>
      <c r="G390" s="380" t="s">
        <v>643</v>
      </c>
      <c r="H390" s="380">
        <v>4</v>
      </c>
      <c r="I390" s="388">
        <v>329200</v>
      </c>
      <c r="J390" s="380">
        <v>2</v>
      </c>
      <c r="K390" s="389">
        <f t="shared" si="14"/>
        <v>164600</v>
      </c>
      <c r="L390" s="381">
        <v>46023</v>
      </c>
      <c r="M390" s="381">
        <v>46387</v>
      </c>
      <c r="N390" s="663"/>
      <c r="O390" s="680"/>
      <c r="P390" s="363" t="s">
        <v>520</v>
      </c>
      <c r="Q390" s="380"/>
      <c r="R390" s="380"/>
      <c r="S390" s="390" t="s">
        <v>607</v>
      </c>
      <c r="T390" s="363" t="s">
        <v>1959</v>
      </c>
      <c r="U390" s="363" t="s">
        <v>608</v>
      </c>
      <c r="V390" s="363"/>
      <c r="W390" s="363"/>
      <c r="X390" s="363"/>
      <c r="Y390" s="363"/>
      <c r="Z390" s="363"/>
      <c r="AA390" s="363"/>
      <c r="AB390" s="363"/>
      <c r="AC390" s="363"/>
      <c r="AD390" s="363"/>
      <c r="AE390" s="363" t="s">
        <v>619</v>
      </c>
      <c r="AF390" s="380" t="s">
        <v>63</v>
      </c>
      <c r="AG390" s="380">
        <v>3</v>
      </c>
      <c r="AH390" s="363" t="s">
        <v>667</v>
      </c>
    </row>
    <row r="391" spans="2:34" ht="15" hidden="1" customHeight="1" x14ac:dyDescent="0.3">
      <c r="B391" s="380" t="s">
        <v>0</v>
      </c>
      <c r="C391" s="482" t="s">
        <v>1480</v>
      </c>
      <c r="D391" s="483" t="s">
        <v>1481</v>
      </c>
      <c r="E391" s="468">
        <v>6025000320</v>
      </c>
      <c r="F391" s="488">
        <v>45986</v>
      </c>
      <c r="G391" s="380" t="s">
        <v>643</v>
      </c>
      <c r="H391" s="380">
        <v>1</v>
      </c>
      <c r="I391" s="388">
        <v>115500</v>
      </c>
      <c r="J391" s="380">
        <v>3</v>
      </c>
      <c r="K391" s="391">
        <f t="shared" si="14"/>
        <v>38500</v>
      </c>
      <c r="L391" s="381">
        <v>45931</v>
      </c>
      <c r="M391" s="381">
        <v>46295</v>
      </c>
      <c r="N391" s="663"/>
      <c r="O391" s="680"/>
      <c r="P391" s="363" t="s">
        <v>520</v>
      </c>
      <c r="Q391" s="380"/>
      <c r="R391" s="380"/>
      <c r="S391" s="390" t="s">
        <v>83</v>
      </c>
      <c r="T391" s="363" t="s">
        <v>573</v>
      </c>
      <c r="U391" s="390" t="s">
        <v>404</v>
      </c>
      <c r="V391" s="363" t="s">
        <v>1713</v>
      </c>
      <c r="W391" s="363" t="s">
        <v>406</v>
      </c>
      <c r="X391" s="363"/>
      <c r="Y391" s="363"/>
      <c r="Z391" s="363"/>
      <c r="AA391" s="363"/>
      <c r="AB391" s="363"/>
      <c r="AC391" s="363"/>
      <c r="AD391" s="363"/>
      <c r="AE391" s="363" t="s">
        <v>183</v>
      </c>
      <c r="AF391" s="380" t="s">
        <v>97</v>
      </c>
      <c r="AG391" s="380">
        <v>3</v>
      </c>
      <c r="AH391" s="363" t="s">
        <v>667</v>
      </c>
    </row>
    <row r="392" spans="2:34" ht="15" hidden="1" customHeight="1" x14ac:dyDescent="0.3">
      <c r="B392" s="380" t="s">
        <v>0</v>
      </c>
      <c r="C392" s="482" t="s">
        <v>604</v>
      </c>
      <c r="D392" s="483" t="s">
        <v>620</v>
      </c>
      <c r="E392" s="468">
        <v>5700204128</v>
      </c>
      <c r="F392" s="488">
        <v>46030</v>
      </c>
      <c r="G392" s="380" t="s">
        <v>643</v>
      </c>
      <c r="H392" s="380"/>
      <c r="I392" s="388">
        <f>1893360/2</f>
        <v>946680</v>
      </c>
      <c r="J392" s="380">
        <v>2</v>
      </c>
      <c r="K392" s="389">
        <f t="shared" si="14"/>
        <v>473340</v>
      </c>
      <c r="L392" s="381">
        <v>46023</v>
      </c>
      <c r="M392" s="381">
        <v>46387</v>
      </c>
      <c r="N392" s="663"/>
      <c r="O392" s="680"/>
      <c r="P392" s="363" t="s">
        <v>520</v>
      </c>
      <c r="Q392" s="380"/>
      <c r="R392" s="380"/>
      <c r="S392" s="390" t="s">
        <v>486</v>
      </c>
      <c r="T392" s="363" t="s">
        <v>798</v>
      </c>
      <c r="U392" s="363" t="s">
        <v>608</v>
      </c>
      <c r="V392" s="363"/>
      <c r="W392" s="363"/>
      <c r="X392" s="363"/>
      <c r="Y392" s="363"/>
      <c r="Z392" s="363"/>
      <c r="AA392" s="363"/>
      <c r="AB392" s="363"/>
      <c r="AC392" s="363"/>
      <c r="AD392" s="363"/>
      <c r="AE392" s="363" t="s">
        <v>619</v>
      </c>
      <c r="AF392" s="380" t="s">
        <v>63</v>
      </c>
      <c r="AG392" s="380">
        <v>3</v>
      </c>
      <c r="AH392" s="363" t="s">
        <v>799</v>
      </c>
    </row>
    <row r="393" spans="2:34" ht="15" hidden="1" customHeight="1" x14ac:dyDescent="0.3">
      <c r="B393" s="380" t="s">
        <v>0</v>
      </c>
      <c r="C393" s="482" t="s">
        <v>604</v>
      </c>
      <c r="D393" s="483" t="s">
        <v>620</v>
      </c>
      <c r="E393" s="468">
        <v>5700204128</v>
      </c>
      <c r="F393" s="488">
        <v>46030</v>
      </c>
      <c r="G393" s="380" t="s">
        <v>643</v>
      </c>
      <c r="H393" s="380">
        <v>8</v>
      </c>
      <c r="I393" s="388">
        <f>1893360/2</f>
        <v>946680</v>
      </c>
      <c r="J393" s="380">
        <v>2</v>
      </c>
      <c r="K393" s="389">
        <f t="shared" si="14"/>
        <v>473340</v>
      </c>
      <c r="L393" s="381">
        <v>46388</v>
      </c>
      <c r="M393" s="381">
        <v>46752</v>
      </c>
      <c r="N393" s="663"/>
      <c r="O393" s="680"/>
      <c r="P393" s="363" t="s">
        <v>520</v>
      </c>
      <c r="Q393" s="380"/>
      <c r="R393" s="380"/>
      <c r="S393" s="363" t="s">
        <v>1119</v>
      </c>
      <c r="T393" s="363"/>
      <c r="U393" s="363" t="s">
        <v>1482</v>
      </c>
      <c r="V393" s="363"/>
      <c r="W393" s="363"/>
      <c r="X393" s="363"/>
      <c r="Y393" s="363"/>
      <c r="Z393" s="363"/>
      <c r="AA393" s="363"/>
      <c r="AB393" s="363"/>
      <c r="AC393" s="363"/>
      <c r="AD393" s="363"/>
      <c r="AE393" s="363" t="s">
        <v>619</v>
      </c>
      <c r="AF393" s="380" t="s">
        <v>63</v>
      </c>
      <c r="AG393" s="380">
        <v>3</v>
      </c>
      <c r="AH393" s="363" t="s">
        <v>799</v>
      </c>
    </row>
    <row r="394" spans="2:34" ht="15" hidden="1" customHeight="1" x14ac:dyDescent="0.3">
      <c r="B394" s="380" t="s">
        <v>0</v>
      </c>
      <c r="C394" s="409" t="s">
        <v>614</v>
      </c>
      <c r="D394" s="423" t="s">
        <v>1483</v>
      </c>
      <c r="E394" s="502" t="s">
        <v>1484</v>
      </c>
      <c r="F394" s="488">
        <v>45677</v>
      </c>
      <c r="G394" s="380" t="s">
        <v>643</v>
      </c>
      <c r="H394" s="380">
        <v>2</v>
      </c>
      <c r="I394" s="388">
        <v>158000</v>
      </c>
      <c r="J394" s="380">
        <v>3</v>
      </c>
      <c r="K394" s="389">
        <f t="shared" si="14"/>
        <v>52666.666666666664</v>
      </c>
      <c r="L394" s="381">
        <v>46054</v>
      </c>
      <c r="M394" s="381">
        <v>46418</v>
      </c>
      <c r="N394" s="663"/>
      <c r="O394" s="680"/>
      <c r="P394" s="363" t="s">
        <v>520</v>
      </c>
      <c r="Q394" s="380"/>
      <c r="R394" s="380"/>
      <c r="S394" s="390" t="s">
        <v>1455</v>
      </c>
      <c r="T394" s="363" t="s">
        <v>1485</v>
      </c>
      <c r="U394" s="363" t="s">
        <v>406</v>
      </c>
      <c r="V394" s="363"/>
      <c r="W394" s="363" t="s">
        <v>407</v>
      </c>
      <c r="X394" s="363"/>
      <c r="Y394" s="363"/>
      <c r="Z394" s="363"/>
      <c r="AA394" s="363"/>
      <c r="AB394" s="363"/>
      <c r="AC394" s="363"/>
      <c r="AD394" s="363"/>
      <c r="AE394" s="363" t="s">
        <v>834</v>
      </c>
      <c r="AF394" s="380" t="s">
        <v>207</v>
      </c>
      <c r="AG394" s="380">
        <v>3</v>
      </c>
      <c r="AH394" s="363" t="s">
        <v>829</v>
      </c>
    </row>
    <row r="395" spans="2:34" ht="15" hidden="1" customHeight="1" x14ac:dyDescent="0.3">
      <c r="B395" s="380" t="s">
        <v>0</v>
      </c>
      <c r="C395" s="409" t="s">
        <v>614</v>
      </c>
      <c r="D395" s="423" t="s">
        <v>1483</v>
      </c>
      <c r="E395" s="393" t="s">
        <v>1486</v>
      </c>
      <c r="F395" s="488">
        <v>46006</v>
      </c>
      <c r="G395" s="380" t="s">
        <v>643</v>
      </c>
      <c r="H395" s="380">
        <v>3</v>
      </c>
      <c r="I395" s="388">
        <v>237000</v>
      </c>
      <c r="J395" s="380">
        <v>3</v>
      </c>
      <c r="K395" s="389">
        <f t="shared" si="14"/>
        <v>79000</v>
      </c>
      <c r="L395" s="381">
        <v>46023</v>
      </c>
      <c r="M395" s="381">
        <v>46387</v>
      </c>
      <c r="N395" s="663"/>
      <c r="O395" s="680"/>
      <c r="P395" s="363" t="s">
        <v>520</v>
      </c>
      <c r="Q395" s="380"/>
      <c r="R395" s="380"/>
      <c r="S395" s="390" t="s">
        <v>347</v>
      </c>
      <c r="T395" s="363" t="s">
        <v>1262</v>
      </c>
      <c r="U395" s="390" t="s">
        <v>348</v>
      </c>
      <c r="V395" s="363" t="s">
        <v>1727</v>
      </c>
      <c r="W395" s="363" t="s">
        <v>349</v>
      </c>
      <c r="X395" s="363"/>
      <c r="Y395" s="363"/>
      <c r="Z395" s="363"/>
      <c r="AA395" s="363"/>
      <c r="AB395" s="363"/>
      <c r="AC395" s="363"/>
      <c r="AD395" s="363"/>
      <c r="AE395" s="363" t="s">
        <v>834</v>
      </c>
      <c r="AF395" s="380" t="s">
        <v>207</v>
      </c>
      <c r="AG395" s="380">
        <v>3</v>
      </c>
      <c r="AH395" s="363" t="s">
        <v>799</v>
      </c>
    </row>
    <row r="396" spans="2:34" ht="15" hidden="1" customHeight="1" x14ac:dyDescent="0.3">
      <c r="B396" s="380" t="s">
        <v>0</v>
      </c>
      <c r="C396" s="412" t="s">
        <v>1487</v>
      </c>
      <c r="D396" s="726" t="s">
        <v>841</v>
      </c>
      <c r="E396" s="725">
        <v>91049299</v>
      </c>
      <c r="F396" s="488">
        <v>46035</v>
      </c>
      <c r="G396" s="380" t="s">
        <v>643</v>
      </c>
      <c r="H396" s="380"/>
      <c r="I396" s="388">
        <v>275625</v>
      </c>
      <c r="J396" s="380">
        <v>2</v>
      </c>
      <c r="K396" s="389"/>
      <c r="L396" s="381">
        <v>46023</v>
      </c>
      <c r="M396" s="381">
        <v>46387</v>
      </c>
      <c r="N396" s="663">
        <v>155007</v>
      </c>
      <c r="O396" s="680">
        <v>3591</v>
      </c>
      <c r="P396" s="363" t="s">
        <v>520</v>
      </c>
      <c r="Q396" s="380"/>
      <c r="R396" s="380"/>
      <c r="S396" s="390" t="s">
        <v>607</v>
      </c>
      <c r="T396" s="363" t="s">
        <v>2050</v>
      </c>
      <c r="U396" s="363" t="s">
        <v>608</v>
      </c>
      <c r="V396" s="363"/>
      <c r="W396" s="363"/>
      <c r="X396" s="363"/>
      <c r="Y396" s="363"/>
      <c r="Z396" s="363"/>
      <c r="AA396" s="363"/>
      <c r="AB396" s="363"/>
      <c r="AC396" s="363"/>
      <c r="AD396" s="363"/>
      <c r="AE396" s="363" t="s">
        <v>485</v>
      </c>
      <c r="AF396" s="380" t="s">
        <v>63</v>
      </c>
      <c r="AG396" s="380">
        <v>3</v>
      </c>
      <c r="AH396" s="363" t="s">
        <v>1488</v>
      </c>
    </row>
    <row r="397" spans="2:34" ht="15" hidden="1" customHeight="1" x14ac:dyDescent="0.3">
      <c r="B397" s="380" t="s">
        <v>0</v>
      </c>
      <c r="C397" s="409" t="s">
        <v>1487</v>
      </c>
      <c r="D397" s="434" t="s">
        <v>841</v>
      </c>
      <c r="E397" s="472">
        <v>91049299</v>
      </c>
      <c r="F397" s="488">
        <v>46035</v>
      </c>
      <c r="G397" s="380" t="s">
        <v>643</v>
      </c>
      <c r="H397" s="380"/>
      <c r="I397" s="388">
        <v>275625</v>
      </c>
      <c r="J397" s="380">
        <v>2</v>
      </c>
      <c r="K397" s="389"/>
      <c r="L397" s="381">
        <v>46388</v>
      </c>
      <c r="M397" s="381">
        <v>46752</v>
      </c>
      <c r="N397" s="663"/>
      <c r="O397" s="680"/>
      <c r="P397" s="363" t="s">
        <v>520</v>
      </c>
      <c r="Q397" s="380"/>
      <c r="R397" s="380"/>
      <c r="S397" s="363" t="s">
        <v>1119</v>
      </c>
      <c r="T397" s="363"/>
      <c r="U397" s="363" t="s">
        <v>1482</v>
      </c>
      <c r="V397" s="363"/>
      <c r="W397" s="363"/>
      <c r="X397" s="363"/>
      <c r="Y397" s="363"/>
      <c r="Z397" s="363"/>
      <c r="AA397" s="363"/>
      <c r="AB397" s="363"/>
      <c r="AC397" s="363"/>
      <c r="AD397" s="363"/>
      <c r="AE397" s="363" t="s">
        <v>485</v>
      </c>
      <c r="AF397" s="380" t="s">
        <v>63</v>
      </c>
      <c r="AG397" s="380">
        <v>3</v>
      </c>
      <c r="AH397" s="363" t="s">
        <v>1488</v>
      </c>
    </row>
    <row r="398" spans="2:34" ht="15" hidden="1" customHeight="1" x14ac:dyDescent="0.3">
      <c r="B398" s="380" t="s">
        <v>0</v>
      </c>
      <c r="C398" s="409" t="s">
        <v>1487</v>
      </c>
      <c r="D398" s="434" t="s">
        <v>841</v>
      </c>
      <c r="E398" s="472">
        <v>91049299</v>
      </c>
      <c r="F398" s="488">
        <v>46035</v>
      </c>
      <c r="G398" s="380" t="s">
        <v>643</v>
      </c>
      <c r="H398" s="380">
        <v>5</v>
      </c>
      <c r="I398" s="388">
        <v>275625</v>
      </c>
      <c r="J398" s="380">
        <v>2</v>
      </c>
      <c r="K398" s="389"/>
      <c r="L398" s="381">
        <v>46753</v>
      </c>
      <c r="M398" s="381">
        <v>47118</v>
      </c>
      <c r="N398" s="663"/>
      <c r="O398" s="680"/>
      <c r="P398" s="363" t="s">
        <v>520</v>
      </c>
      <c r="Q398" s="380"/>
      <c r="R398" s="380"/>
      <c r="S398" s="363" t="s">
        <v>1489</v>
      </c>
      <c r="T398" s="363"/>
      <c r="U398" s="363" t="s">
        <v>1490</v>
      </c>
      <c r="V398" s="363"/>
      <c r="W398" s="363"/>
      <c r="X398" s="363"/>
      <c r="Y398" s="363"/>
      <c r="Z398" s="363"/>
      <c r="AA398" s="363"/>
      <c r="AB398" s="363"/>
      <c r="AC398" s="363"/>
      <c r="AD398" s="363"/>
      <c r="AE398" s="363" t="s">
        <v>485</v>
      </c>
      <c r="AF398" s="380" t="s">
        <v>63</v>
      </c>
      <c r="AG398" s="380">
        <v>3</v>
      </c>
      <c r="AH398" s="363" t="s">
        <v>1488</v>
      </c>
    </row>
    <row r="399" spans="2:34" ht="15" hidden="1" customHeight="1" x14ac:dyDescent="0.3">
      <c r="B399" s="410" t="s">
        <v>2</v>
      </c>
      <c r="C399" s="482" t="s">
        <v>195</v>
      </c>
      <c r="D399" s="483" t="s">
        <v>1491</v>
      </c>
      <c r="E399" s="468" t="s">
        <v>1492</v>
      </c>
      <c r="F399" s="488">
        <v>45982</v>
      </c>
      <c r="G399" s="380" t="s">
        <v>643</v>
      </c>
      <c r="H399" s="380">
        <v>5</v>
      </c>
      <c r="I399" s="388">
        <v>287100</v>
      </c>
      <c r="J399" s="380">
        <v>4</v>
      </c>
      <c r="K399" s="391">
        <f t="shared" ref="K399:K425" si="15">I399/J399</f>
        <v>71775</v>
      </c>
      <c r="L399" s="381">
        <v>45992</v>
      </c>
      <c r="M399" s="381">
        <v>46356</v>
      </c>
      <c r="N399" s="663"/>
      <c r="O399" s="680"/>
      <c r="P399" s="363" t="s">
        <v>520</v>
      </c>
      <c r="Q399" s="380"/>
      <c r="R399" s="380"/>
      <c r="S399" s="390" t="s">
        <v>1133</v>
      </c>
      <c r="T399" s="363" t="s">
        <v>1173</v>
      </c>
      <c r="U399" s="390" t="s">
        <v>1134</v>
      </c>
      <c r="V399" s="363" t="s">
        <v>1723</v>
      </c>
      <c r="W399" s="390" t="s">
        <v>1244</v>
      </c>
      <c r="X399" s="363" t="s">
        <v>2051</v>
      </c>
      <c r="Y399" s="363" t="s">
        <v>1245</v>
      </c>
      <c r="Z399" s="363"/>
      <c r="AA399" s="363"/>
      <c r="AB399" s="363"/>
      <c r="AC399" s="363"/>
      <c r="AD399" s="363"/>
      <c r="AE399" s="363" t="s">
        <v>551</v>
      </c>
      <c r="AF399" s="380" t="s">
        <v>207</v>
      </c>
      <c r="AG399" s="380">
        <v>4</v>
      </c>
      <c r="AH399" s="363"/>
    </row>
    <row r="400" spans="2:34" ht="15" hidden="1" customHeight="1" x14ac:dyDescent="0.3">
      <c r="B400" s="380" t="s">
        <v>2</v>
      </c>
      <c r="C400" s="409" t="s">
        <v>1493</v>
      </c>
      <c r="D400" s="423" t="s">
        <v>1114</v>
      </c>
      <c r="E400" s="408" t="s">
        <v>1494</v>
      </c>
      <c r="F400" s="488">
        <v>45995</v>
      </c>
      <c r="G400" s="380" t="s">
        <v>643</v>
      </c>
      <c r="H400" s="380">
        <v>1</v>
      </c>
      <c r="I400" s="388">
        <v>90000</v>
      </c>
      <c r="J400" s="380">
        <v>3</v>
      </c>
      <c r="K400" s="389">
        <f t="shared" si="15"/>
        <v>30000</v>
      </c>
      <c r="L400" s="381">
        <v>45992</v>
      </c>
      <c r="M400" s="381">
        <v>46356</v>
      </c>
      <c r="N400" s="663"/>
      <c r="O400" s="680"/>
      <c r="P400" s="363" t="s">
        <v>520</v>
      </c>
      <c r="Q400" s="380"/>
      <c r="R400" s="380"/>
      <c r="S400" s="390" t="s">
        <v>361</v>
      </c>
      <c r="T400" s="363" t="s">
        <v>386</v>
      </c>
      <c r="U400" s="390" t="s">
        <v>1080</v>
      </c>
      <c r="V400" s="363" t="s">
        <v>1732</v>
      </c>
      <c r="W400" s="363" t="s">
        <v>1108</v>
      </c>
      <c r="X400" s="363"/>
      <c r="Y400" s="363"/>
      <c r="Z400" s="363"/>
      <c r="AA400" s="363"/>
      <c r="AB400" s="363"/>
      <c r="AC400" s="363"/>
      <c r="AD400" s="363"/>
      <c r="AE400" s="363" t="s">
        <v>183</v>
      </c>
      <c r="AF400" s="380" t="s">
        <v>97</v>
      </c>
      <c r="AG400" s="380">
        <v>3</v>
      </c>
      <c r="AH400" s="363" t="s">
        <v>667</v>
      </c>
    </row>
    <row r="401" spans="2:34" ht="15" hidden="1" customHeight="1" x14ac:dyDescent="0.3">
      <c r="B401" s="380" t="s">
        <v>2</v>
      </c>
      <c r="C401" s="482" t="s">
        <v>587</v>
      </c>
      <c r="D401" s="483" t="s">
        <v>176</v>
      </c>
      <c r="E401" s="468">
        <v>4800014029</v>
      </c>
      <c r="F401" s="501">
        <v>46043</v>
      </c>
      <c r="G401" s="380" t="s">
        <v>643</v>
      </c>
      <c r="H401" s="380">
        <v>1</v>
      </c>
      <c r="I401" s="388">
        <v>90667</v>
      </c>
      <c r="J401" s="380">
        <v>2</v>
      </c>
      <c r="K401" s="389">
        <f t="shared" si="15"/>
        <v>45333.5</v>
      </c>
      <c r="L401" s="381">
        <v>46054</v>
      </c>
      <c r="M401" s="381">
        <v>46418</v>
      </c>
      <c r="N401" s="663"/>
      <c r="O401" s="680"/>
      <c r="P401" s="363" t="s">
        <v>520</v>
      </c>
      <c r="Q401" s="380"/>
      <c r="R401" s="380"/>
      <c r="S401" s="390" t="s">
        <v>426</v>
      </c>
      <c r="T401" s="363" t="s">
        <v>1733</v>
      </c>
      <c r="U401" s="363" t="s">
        <v>427</v>
      </c>
      <c r="V401" s="363"/>
      <c r="W401" s="363"/>
      <c r="X401" s="363"/>
      <c r="Y401" s="363"/>
      <c r="Z401" s="363"/>
      <c r="AA401" s="363"/>
      <c r="AB401" s="363"/>
      <c r="AC401" s="363"/>
      <c r="AD401" s="363"/>
      <c r="AE401" s="363" t="s">
        <v>183</v>
      </c>
      <c r="AF401" s="380" t="s">
        <v>97</v>
      </c>
      <c r="AG401" s="380">
        <v>3</v>
      </c>
      <c r="AH401" s="363" t="s">
        <v>1495</v>
      </c>
    </row>
    <row r="402" spans="2:34" ht="15" hidden="1" customHeight="1" x14ac:dyDescent="0.3">
      <c r="B402" s="380" t="s">
        <v>2</v>
      </c>
      <c r="C402" s="482" t="s">
        <v>1497</v>
      </c>
      <c r="D402" s="483" t="s">
        <v>447</v>
      </c>
      <c r="E402" s="380" t="s">
        <v>1498</v>
      </c>
      <c r="F402" s="488">
        <v>46046</v>
      </c>
      <c r="G402" s="380" t="s">
        <v>643</v>
      </c>
      <c r="H402" s="380">
        <v>2</v>
      </c>
      <c r="I402" s="388">
        <v>156090</v>
      </c>
      <c r="J402" s="380">
        <v>3</v>
      </c>
      <c r="K402" s="389">
        <f t="shared" si="15"/>
        <v>52030</v>
      </c>
      <c r="L402" s="381">
        <v>46023</v>
      </c>
      <c r="M402" s="381">
        <v>46387</v>
      </c>
      <c r="N402" s="663">
        <v>155105</v>
      </c>
      <c r="O402" s="680">
        <v>4723</v>
      </c>
      <c r="P402" s="363" t="s">
        <v>520</v>
      </c>
      <c r="Q402" s="380"/>
      <c r="R402" s="380"/>
      <c r="S402" s="390" t="s">
        <v>347</v>
      </c>
      <c r="T402" s="363" t="s">
        <v>495</v>
      </c>
      <c r="U402" s="736" t="s">
        <v>348</v>
      </c>
      <c r="V402" s="363" t="s">
        <v>2052</v>
      </c>
      <c r="W402" s="363" t="s">
        <v>349</v>
      </c>
      <c r="X402" s="363" t="s">
        <v>2053</v>
      </c>
      <c r="Y402" s="363"/>
      <c r="Z402" s="363"/>
      <c r="AA402" s="363"/>
      <c r="AB402" s="363"/>
      <c r="AC402" s="363"/>
      <c r="AD402" s="363"/>
      <c r="AE402" s="363" t="s">
        <v>281</v>
      </c>
      <c r="AF402" s="380" t="s">
        <v>97</v>
      </c>
      <c r="AG402" s="380">
        <v>3</v>
      </c>
      <c r="AH402" s="363"/>
    </row>
    <row r="403" spans="2:34" ht="15" hidden="1" customHeight="1" x14ac:dyDescent="0.3">
      <c r="B403" s="380" t="s">
        <v>2</v>
      </c>
      <c r="C403" s="482" t="s">
        <v>1501</v>
      </c>
      <c r="D403" s="483" t="s">
        <v>151</v>
      </c>
      <c r="E403" s="468">
        <v>10105567</v>
      </c>
      <c r="F403" s="488">
        <v>46055</v>
      </c>
      <c r="G403" s="380" t="s">
        <v>643</v>
      </c>
      <c r="H403" s="380">
        <v>1</v>
      </c>
      <c r="I403" s="388">
        <v>60000</v>
      </c>
      <c r="J403" s="380">
        <v>3</v>
      </c>
      <c r="K403" s="389">
        <f t="shared" si="15"/>
        <v>20000</v>
      </c>
      <c r="L403" s="381">
        <v>46023</v>
      </c>
      <c r="M403" s="381">
        <v>46387</v>
      </c>
      <c r="N403" s="663"/>
      <c r="O403" s="680"/>
      <c r="P403" s="363" t="s">
        <v>520</v>
      </c>
      <c r="Q403" s="380"/>
      <c r="R403" s="380"/>
      <c r="S403" s="390" t="s">
        <v>347</v>
      </c>
      <c r="T403" s="363" t="s">
        <v>1044</v>
      </c>
      <c r="U403" s="363" t="s">
        <v>348</v>
      </c>
      <c r="V403" s="363"/>
      <c r="W403" s="363" t="s">
        <v>349</v>
      </c>
      <c r="X403" s="363"/>
      <c r="Y403" s="363"/>
      <c r="Z403" s="363"/>
      <c r="AA403" s="363"/>
      <c r="AB403" s="363"/>
      <c r="AC403" s="363"/>
      <c r="AD403" s="363"/>
      <c r="AE403" s="363" t="s">
        <v>478</v>
      </c>
      <c r="AF403" s="380" t="s">
        <v>63</v>
      </c>
      <c r="AG403" s="380">
        <v>5</v>
      </c>
      <c r="AH403" s="363" t="s">
        <v>667</v>
      </c>
    </row>
    <row r="404" spans="2:34" ht="15" hidden="1" customHeight="1" x14ac:dyDescent="0.3">
      <c r="B404" s="380" t="s">
        <v>2</v>
      </c>
      <c r="C404" s="482" t="s">
        <v>1502</v>
      </c>
      <c r="D404" s="483" t="s">
        <v>151</v>
      </c>
      <c r="E404" s="380">
        <v>10105566</v>
      </c>
      <c r="F404" s="488">
        <v>46055</v>
      </c>
      <c r="G404" s="380" t="s">
        <v>643</v>
      </c>
      <c r="H404" s="380">
        <v>1</v>
      </c>
      <c r="I404" s="388">
        <v>60000</v>
      </c>
      <c r="J404" s="380">
        <v>3</v>
      </c>
      <c r="K404" s="389">
        <f t="shared" si="15"/>
        <v>20000</v>
      </c>
      <c r="L404" s="381">
        <v>46023</v>
      </c>
      <c r="M404" s="381">
        <v>46387</v>
      </c>
      <c r="N404" s="663"/>
      <c r="O404" s="680"/>
      <c r="P404" s="363" t="s">
        <v>520</v>
      </c>
      <c r="Q404" s="380"/>
      <c r="R404" s="380"/>
      <c r="S404" s="390" t="s">
        <v>347</v>
      </c>
      <c r="T404" s="363" t="s">
        <v>1710</v>
      </c>
      <c r="U404" s="363" t="s">
        <v>348</v>
      </c>
      <c r="V404" s="363"/>
      <c r="W404" s="363" t="s">
        <v>349</v>
      </c>
      <c r="X404" s="363"/>
      <c r="Y404" s="363"/>
      <c r="Z404" s="363"/>
      <c r="AA404" s="363"/>
      <c r="AB404" s="363"/>
      <c r="AC404" s="363"/>
      <c r="AD404" s="363"/>
      <c r="AE404" s="363" t="s">
        <v>478</v>
      </c>
      <c r="AF404" s="380" t="s">
        <v>63</v>
      </c>
      <c r="AG404" s="380">
        <v>5</v>
      </c>
      <c r="AH404" s="363" t="s">
        <v>667</v>
      </c>
    </row>
    <row r="405" spans="2:34" ht="15" hidden="1" customHeight="1" x14ac:dyDescent="0.3">
      <c r="B405" s="380" t="s">
        <v>2</v>
      </c>
      <c r="C405" s="482" t="s">
        <v>1503</v>
      </c>
      <c r="D405" s="483" t="s">
        <v>151</v>
      </c>
      <c r="E405" s="468">
        <v>10105569</v>
      </c>
      <c r="F405" s="488">
        <v>46055</v>
      </c>
      <c r="G405" s="380" t="s">
        <v>643</v>
      </c>
      <c r="H405" s="380">
        <v>1</v>
      </c>
      <c r="I405" s="388">
        <v>60000</v>
      </c>
      <c r="J405" s="380">
        <v>3</v>
      </c>
      <c r="K405" s="389">
        <f t="shared" si="15"/>
        <v>20000</v>
      </c>
      <c r="L405" s="381">
        <v>46023</v>
      </c>
      <c r="M405" s="381">
        <v>46387</v>
      </c>
      <c r="N405" s="663"/>
      <c r="O405" s="680"/>
      <c r="P405" s="363" t="s">
        <v>520</v>
      </c>
      <c r="Q405" s="380"/>
      <c r="R405" s="380"/>
      <c r="S405" s="390" t="s">
        <v>347</v>
      </c>
      <c r="T405" s="363" t="s">
        <v>1044</v>
      </c>
      <c r="U405" s="363" t="s">
        <v>348</v>
      </c>
      <c r="V405" s="363"/>
      <c r="W405" s="363" t="s">
        <v>349</v>
      </c>
      <c r="X405" s="363"/>
      <c r="Y405" s="363"/>
      <c r="Z405" s="363"/>
      <c r="AA405" s="363"/>
      <c r="AB405" s="363"/>
      <c r="AC405" s="363"/>
      <c r="AD405" s="363"/>
      <c r="AE405" s="363" t="s">
        <v>478</v>
      </c>
      <c r="AF405" s="380" t="s">
        <v>63</v>
      </c>
      <c r="AG405" s="380">
        <v>5</v>
      </c>
      <c r="AH405" s="363" t="s">
        <v>667</v>
      </c>
    </row>
    <row r="406" spans="2:34" ht="15" hidden="1" customHeight="1" x14ac:dyDescent="0.3">
      <c r="B406" s="380" t="s">
        <v>2</v>
      </c>
      <c r="C406" s="482" t="s">
        <v>1504</v>
      </c>
      <c r="D406" s="483" t="s">
        <v>151</v>
      </c>
      <c r="E406" s="468">
        <v>10105568</v>
      </c>
      <c r="F406" s="488">
        <v>46055</v>
      </c>
      <c r="G406" s="380" t="s">
        <v>643</v>
      </c>
      <c r="H406" s="380">
        <v>1</v>
      </c>
      <c r="I406" s="388">
        <v>60000</v>
      </c>
      <c r="J406" s="380">
        <v>3</v>
      </c>
      <c r="K406" s="389">
        <f t="shared" si="15"/>
        <v>20000</v>
      </c>
      <c r="L406" s="381">
        <v>46023</v>
      </c>
      <c r="M406" s="381">
        <v>46387</v>
      </c>
      <c r="N406" s="663"/>
      <c r="O406" s="680"/>
      <c r="P406" s="363" t="s">
        <v>520</v>
      </c>
      <c r="Q406" s="380"/>
      <c r="R406" s="380"/>
      <c r="S406" s="390" t="s">
        <v>347</v>
      </c>
      <c r="T406" s="363" t="s">
        <v>1044</v>
      </c>
      <c r="U406" s="363" t="s">
        <v>348</v>
      </c>
      <c r="V406" s="363"/>
      <c r="W406" s="363" t="s">
        <v>349</v>
      </c>
      <c r="X406" s="363"/>
      <c r="Y406" s="363"/>
      <c r="Z406" s="363"/>
      <c r="AA406" s="363"/>
      <c r="AB406" s="363"/>
      <c r="AC406" s="363"/>
      <c r="AD406" s="363"/>
      <c r="AE406" s="363" t="s">
        <v>478</v>
      </c>
      <c r="AF406" s="380" t="s">
        <v>63</v>
      </c>
      <c r="AG406" s="380">
        <v>5</v>
      </c>
      <c r="AH406" s="363" t="s">
        <v>667</v>
      </c>
    </row>
    <row r="407" spans="2:34" ht="15" hidden="1" customHeight="1" x14ac:dyDescent="0.3">
      <c r="B407" s="380" t="s">
        <v>2</v>
      </c>
      <c r="C407" s="482" t="s">
        <v>1505</v>
      </c>
      <c r="D407" s="483" t="s">
        <v>151</v>
      </c>
      <c r="E407" s="380">
        <v>10105571</v>
      </c>
      <c r="F407" s="488">
        <v>46055</v>
      </c>
      <c r="G407" s="380" t="s">
        <v>643</v>
      </c>
      <c r="H407" s="380">
        <v>1</v>
      </c>
      <c r="I407" s="388">
        <v>60000</v>
      </c>
      <c r="J407" s="380">
        <v>3</v>
      </c>
      <c r="K407" s="389">
        <f t="shared" si="15"/>
        <v>20000</v>
      </c>
      <c r="L407" s="381">
        <v>46023</v>
      </c>
      <c r="M407" s="381">
        <v>46387</v>
      </c>
      <c r="N407" s="663"/>
      <c r="O407" s="680"/>
      <c r="P407" s="363" t="s">
        <v>520</v>
      </c>
      <c r="Q407" s="380"/>
      <c r="R407" s="380"/>
      <c r="S407" s="390" t="s">
        <v>347</v>
      </c>
      <c r="T407" s="363" t="s">
        <v>1169</v>
      </c>
      <c r="U407" s="363" t="s">
        <v>348</v>
      </c>
      <c r="V407" s="363"/>
      <c r="W407" s="363" t="s">
        <v>349</v>
      </c>
      <c r="X407" s="363"/>
      <c r="Y407" s="363"/>
      <c r="Z407" s="363"/>
      <c r="AA407" s="363"/>
      <c r="AB407" s="363"/>
      <c r="AC407" s="363"/>
      <c r="AD407" s="363"/>
      <c r="AE407" s="363" t="s">
        <v>478</v>
      </c>
      <c r="AF407" s="380" t="s">
        <v>63</v>
      </c>
      <c r="AG407" s="380">
        <v>5</v>
      </c>
      <c r="AH407" s="363" t="s">
        <v>667</v>
      </c>
    </row>
    <row r="408" spans="2:34" ht="15" hidden="1" customHeight="1" x14ac:dyDescent="0.3">
      <c r="B408" s="380" t="s">
        <v>2</v>
      </c>
      <c r="C408" s="482" t="s">
        <v>1506</v>
      </c>
      <c r="D408" s="483" t="s">
        <v>151</v>
      </c>
      <c r="E408" s="380">
        <v>10105572</v>
      </c>
      <c r="F408" s="488">
        <v>46055</v>
      </c>
      <c r="G408" s="380" t="s">
        <v>643</v>
      </c>
      <c r="H408" s="380">
        <v>2</v>
      </c>
      <c r="I408" s="388">
        <v>120000</v>
      </c>
      <c r="J408" s="380">
        <v>3</v>
      </c>
      <c r="K408" s="389">
        <f t="shared" si="15"/>
        <v>40000</v>
      </c>
      <c r="L408" s="381">
        <v>46023</v>
      </c>
      <c r="M408" s="381">
        <v>46387</v>
      </c>
      <c r="N408" s="663"/>
      <c r="O408" s="680"/>
      <c r="P408" s="363" t="s">
        <v>520</v>
      </c>
      <c r="Q408" s="380"/>
      <c r="R408" s="380"/>
      <c r="S408" s="390" t="s">
        <v>347</v>
      </c>
      <c r="T408" s="363" t="s">
        <v>149</v>
      </c>
      <c r="U408" s="363" t="s">
        <v>348</v>
      </c>
      <c r="V408" s="363"/>
      <c r="W408" s="363" t="s">
        <v>349</v>
      </c>
      <c r="X408" s="363"/>
      <c r="Y408" s="363"/>
      <c r="Z408" s="363"/>
      <c r="AA408" s="363"/>
      <c r="AB408" s="363"/>
      <c r="AC408" s="363"/>
      <c r="AD408" s="363"/>
      <c r="AE408" s="363" t="s">
        <v>478</v>
      </c>
      <c r="AF408" s="380" t="s">
        <v>63</v>
      </c>
      <c r="AG408" s="380">
        <v>5</v>
      </c>
      <c r="AH408" s="363" t="s">
        <v>667</v>
      </c>
    </row>
    <row r="409" spans="2:34" ht="15" hidden="1" customHeight="1" x14ac:dyDescent="0.3">
      <c r="B409" s="380" t="s">
        <v>2</v>
      </c>
      <c r="C409" s="482" t="s">
        <v>1507</v>
      </c>
      <c r="D409" s="483" t="s">
        <v>151</v>
      </c>
      <c r="E409" s="380">
        <v>10105574</v>
      </c>
      <c r="F409" s="488">
        <v>46055</v>
      </c>
      <c r="G409" s="380" t="s">
        <v>643</v>
      </c>
      <c r="H409" s="380">
        <v>1</v>
      </c>
      <c r="I409" s="388">
        <v>60000</v>
      </c>
      <c r="J409" s="380">
        <v>3</v>
      </c>
      <c r="K409" s="389">
        <f t="shared" si="15"/>
        <v>20000</v>
      </c>
      <c r="L409" s="381">
        <v>46023</v>
      </c>
      <c r="M409" s="381">
        <v>46387</v>
      </c>
      <c r="N409" s="663"/>
      <c r="O409" s="680"/>
      <c r="P409" s="363" t="s">
        <v>520</v>
      </c>
      <c r="Q409" s="380"/>
      <c r="R409" s="380"/>
      <c r="S409" s="390" t="s">
        <v>347</v>
      </c>
      <c r="T409" s="363" t="s">
        <v>1169</v>
      </c>
      <c r="U409" s="363" t="s">
        <v>348</v>
      </c>
      <c r="V409" s="363"/>
      <c r="W409" s="363" t="s">
        <v>349</v>
      </c>
      <c r="X409" s="363"/>
      <c r="Y409" s="363"/>
      <c r="Z409" s="363"/>
      <c r="AA409" s="363"/>
      <c r="AB409" s="363"/>
      <c r="AC409" s="363"/>
      <c r="AD409" s="363"/>
      <c r="AE409" s="363" t="s">
        <v>478</v>
      </c>
      <c r="AF409" s="380" t="s">
        <v>63</v>
      </c>
      <c r="AG409" s="380">
        <v>5</v>
      </c>
      <c r="AH409" s="363" t="s">
        <v>667</v>
      </c>
    </row>
    <row r="410" spans="2:34" ht="15" hidden="1" customHeight="1" x14ac:dyDescent="0.3">
      <c r="B410" s="380" t="s">
        <v>2</v>
      </c>
      <c r="C410" s="482" t="s">
        <v>1508</v>
      </c>
      <c r="D410" s="483" t="s">
        <v>151</v>
      </c>
      <c r="E410" s="380">
        <v>10105573</v>
      </c>
      <c r="F410" s="488">
        <v>46055</v>
      </c>
      <c r="G410" s="380" t="s">
        <v>643</v>
      </c>
      <c r="H410" s="380">
        <v>2</v>
      </c>
      <c r="I410" s="388">
        <v>120000</v>
      </c>
      <c r="J410" s="380">
        <v>3</v>
      </c>
      <c r="K410" s="389">
        <f t="shared" si="15"/>
        <v>40000</v>
      </c>
      <c r="L410" s="381">
        <v>46023</v>
      </c>
      <c r="M410" s="381">
        <v>46387</v>
      </c>
      <c r="N410" s="663"/>
      <c r="O410" s="680"/>
      <c r="P410" s="363" t="s">
        <v>520</v>
      </c>
      <c r="Q410" s="380"/>
      <c r="R410" s="380"/>
      <c r="S410" s="390" t="s">
        <v>347</v>
      </c>
      <c r="T410" s="363" t="s">
        <v>149</v>
      </c>
      <c r="U410" s="363" t="s">
        <v>348</v>
      </c>
      <c r="V410" s="363"/>
      <c r="W410" s="363" t="s">
        <v>349</v>
      </c>
      <c r="X410" s="363"/>
      <c r="Y410" s="363"/>
      <c r="Z410" s="363"/>
      <c r="AA410" s="363"/>
      <c r="AB410" s="363"/>
      <c r="AC410" s="363"/>
      <c r="AD410" s="363"/>
      <c r="AE410" s="363" t="s">
        <v>478</v>
      </c>
      <c r="AF410" s="380" t="s">
        <v>63</v>
      </c>
      <c r="AG410" s="380">
        <v>3</v>
      </c>
      <c r="AH410" s="363" t="s">
        <v>667</v>
      </c>
    </row>
    <row r="411" spans="2:34" ht="15" hidden="1" customHeight="1" x14ac:dyDescent="0.3">
      <c r="B411" s="380" t="s">
        <v>2</v>
      </c>
      <c r="C411" s="482" t="s">
        <v>1509</v>
      </c>
      <c r="D411" s="483" t="s">
        <v>151</v>
      </c>
      <c r="E411" s="380">
        <v>10105565</v>
      </c>
      <c r="F411" s="488">
        <v>46055</v>
      </c>
      <c r="G411" s="380" t="s">
        <v>643</v>
      </c>
      <c r="H411" s="380">
        <v>1</v>
      </c>
      <c r="I411" s="388">
        <v>60000</v>
      </c>
      <c r="J411" s="380">
        <v>3</v>
      </c>
      <c r="K411" s="389">
        <f t="shared" si="15"/>
        <v>20000</v>
      </c>
      <c r="L411" s="381">
        <v>46023</v>
      </c>
      <c r="M411" s="381">
        <v>46387</v>
      </c>
      <c r="N411" s="663"/>
      <c r="O411" s="680"/>
      <c r="P411" s="363" t="s">
        <v>520</v>
      </c>
      <c r="Q411" s="380"/>
      <c r="R411" s="380"/>
      <c r="S411" s="390" t="s">
        <v>347</v>
      </c>
      <c r="T411" s="363" t="s">
        <v>1044</v>
      </c>
      <c r="U411" s="363" t="s">
        <v>348</v>
      </c>
      <c r="V411" s="363"/>
      <c r="W411" s="363" t="s">
        <v>349</v>
      </c>
      <c r="X411" s="363"/>
      <c r="Y411" s="363"/>
      <c r="Z411" s="363"/>
      <c r="AA411" s="363"/>
      <c r="AB411" s="363"/>
      <c r="AC411" s="363"/>
      <c r="AD411" s="363"/>
      <c r="AE411" s="363" t="s">
        <v>478</v>
      </c>
      <c r="AF411" s="380" t="s">
        <v>63</v>
      </c>
      <c r="AG411" s="380">
        <v>3</v>
      </c>
      <c r="AH411" s="363" t="s">
        <v>667</v>
      </c>
    </row>
    <row r="412" spans="2:34" ht="15" hidden="1" customHeight="1" x14ac:dyDescent="0.3">
      <c r="B412" s="380" t="s">
        <v>2</v>
      </c>
      <c r="C412" s="482" t="s">
        <v>557</v>
      </c>
      <c r="D412" s="483" t="s">
        <v>558</v>
      </c>
      <c r="E412" s="468" t="s">
        <v>1510</v>
      </c>
      <c r="F412" s="488">
        <v>46050</v>
      </c>
      <c r="G412" s="380" t="s">
        <v>643</v>
      </c>
      <c r="H412" s="380">
        <v>1</v>
      </c>
      <c r="I412" s="388">
        <v>134698</v>
      </c>
      <c r="J412" s="380">
        <v>4</v>
      </c>
      <c r="K412" s="389">
        <f t="shared" si="15"/>
        <v>33674.5</v>
      </c>
      <c r="L412" s="381">
        <v>46053</v>
      </c>
      <c r="M412" s="381">
        <v>46417</v>
      </c>
      <c r="N412" s="663">
        <v>155060</v>
      </c>
      <c r="O412" s="680">
        <v>4680</v>
      </c>
      <c r="P412" s="363" t="s">
        <v>520</v>
      </c>
      <c r="Q412" s="380"/>
      <c r="R412" s="380"/>
      <c r="S412" s="390" t="s">
        <v>1511</v>
      </c>
      <c r="T412" s="363" t="s">
        <v>712</v>
      </c>
      <c r="U412" s="390" t="s">
        <v>444</v>
      </c>
      <c r="V412" s="363" t="s">
        <v>1941</v>
      </c>
      <c r="W412" s="363" t="s">
        <v>445</v>
      </c>
      <c r="X412" s="363"/>
      <c r="Y412" s="363" t="s">
        <v>1512</v>
      </c>
      <c r="Z412" s="363"/>
      <c r="AA412" s="363"/>
      <c r="AB412" s="363"/>
      <c r="AC412" s="363"/>
      <c r="AD412" s="363"/>
      <c r="AE412" s="363" t="s">
        <v>281</v>
      </c>
      <c r="AF412" s="380" t="s">
        <v>97</v>
      </c>
      <c r="AG412" s="380" t="s">
        <v>494</v>
      </c>
      <c r="AH412" s="363" t="s">
        <v>1345</v>
      </c>
    </row>
    <row r="413" spans="2:34" ht="15" hidden="1" customHeight="1" x14ac:dyDescent="0.3">
      <c r="B413" s="380" t="s">
        <v>2</v>
      </c>
      <c r="C413" s="482" t="s">
        <v>1513</v>
      </c>
      <c r="D413" s="483" t="s">
        <v>1129</v>
      </c>
      <c r="E413" s="491">
        <v>4200020634</v>
      </c>
      <c r="F413" s="488">
        <v>46045</v>
      </c>
      <c r="G413" s="380" t="s">
        <v>643</v>
      </c>
      <c r="H413" s="380">
        <v>2</v>
      </c>
      <c r="I413" s="388">
        <v>344709.4</v>
      </c>
      <c r="J413" s="380">
        <v>3</v>
      </c>
      <c r="K413" s="389">
        <f t="shared" si="15"/>
        <v>114903.13333333335</v>
      </c>
      <c r="L413" s="381">
        <v>46045</v>
      </c>
      <c r="M413" s="381">
        <v>46409</v>
      </c>
      <c r="N413" s="663">
        <v>154948</v>
      </c>
      <c r="O413" s="680">
        <v>4676</v>
      </c>
      <c r="P413" s="363" t="s">
        <v>520</v>
      </c>
      <c r="Q413" s="380"/>
      <c r="R413" s="380"/>
      <c r="S413" s="390" t="s">
        <v>1514</v>
      </c>
      <c r="T413" s="363" t="s">
        <v>1515</v>
      </c>
      <c r="U413" s="390" t="s">
        <v>1516</v>
      </c>
      <c r="V413" s="363" t="s">
        <v>2056</v>
      </c>
      <c r="W413" s="363" t="s">
        <v>1517</v>
      </c>
      <c r="X413" s="363"/>
      <c r="Y413" s="363"/>
      <c r="Z413" s="363"/>
      <c r="AA413" s="363"/>
      <c r="AB413" s="363"/>
      <c r="AC413" s="363"/>
      <c r="AD413" s="363"/>
      <c r="AE413" s="363" t="s">
        <v>281</v>
      </c>
      <c r="AF413" s="380" t="s">
        <v>97</v>
      </c>
      <c r="AG413" s="380">
        <v>3</v>
      </c>
      <c r="AH413" s="363" t="s">
        <v>667</v>
      </c>
    </row>
    <row r="414" spans="2:34" ht="15" hidden="1" customHeight="1" x14ac:dyDescent="0.3">
      <c r="B414" s="380" t="s">
        <v>2</v>
      </c>
      <c r="C414" s="443" t="s">
        <v>1518</v>
      </c>
      <c r="D414" s="444" t="s">
        <v>131</v>
      </c>
      <c r="E414" s="426">
        <v>1300004372</v>
      </c>
      <c r="F414" s="496">
        <v>46042</v>
      </c>
      <c r="G414" s="380" t="s">
        <v>643</v>
      </c>
      <c r="H414" s="380">
        <v>1</v>
      </c>
      <c r="I414" s="388">
        <v>78000</v>
      </c>
      <c r="J414" s="380">
        <v>3</v>
      </c>
      <c r="K414" s="389">
        <f t="shared" si="15"/>
        <v>26000</v>
      </c>
      <c r="L414" s="381">
        <v>46054</v>
      </c>
      <c r="M414" s="381">
        <v>46418</v>
      </c>
      <c r="N414" s="663"/>
      <c r="O414" s="680"/>
      <c r="P414" s="363" t="s">
        <v>520</v>
      </c>
      <c r="Q414" s="380"/>
      <c r="R414" s="380"/>
      <c r="S414" s="390" t="s">
        <v>404</v>
      </c>
      <c r="T414" s="363" t="s">
        <v>1239</v>
      </c>
      <c r="U414" s="363" t="s">
        <v>406</v>
      </c>
      <c r="V414" s="363"/>
      <c r="W414" s="363" t="s">
        <v>407</v>
      </c>
      <c r="X414" s="363"/>
      <c r="Y414" s="363"/>
      <c r="Z414" s="363"/>
      <c r="AA414" s="363"/>
      <c r="AB414" s="363"/>
      <c r="AC414" s="363"/>
      <c r="AD414" s="363"/>
      <c r="AE414" s="363" t="s">
        <v>485</v>
      </c>
      <c r="AF414" s="380" t="s">
        <v>63</v>
      </c>
      <c r="AG414" s="380">
        <v>4</v>
      </c>
      <c r="AH414" s="363" t="s">
        <v>1519</v>
      </c>
    </row>
    <row r="415" spans="2:34" ht="15" hidden="1" customHeight="1" x14ac:dyDescent="0.3">
      <c r="B415" s="380" t="s">
        <v>2</v>
      </c>
      <c r="C415" s="430" t="s">
        <v>1520</v>
      </c>
      <c r="D415" s="445" t="s">
        <v>151</v>
      </c>
      <c r="E415" s="419">
        <v>7100008763</v>
      </c>
      <c r="F415" s="488">
        <v>46006</v>
      </c>
      <c r="G415" s="380" t="s">
        <v>643</v>
      </c>
      <c r="H415" s="380">
        <v>1</v>
      </c>
      <c r="I415" s="388">
        <v>75000</v>
      </c>
      <c r="J415" s="380">
        <v>3</v>
      </c>
      <c r="K415" s="389">
        <f t="shared" si="15"/>
        <v>25000</v>
      </c>
      <c r="L415" s="381">
        <v>46023</v>
      </c>
      <c r="M415" s="381">
        <v>46387</v>
      </c>
      <c r="N415" s="663"/>
      <c r="O415" s="680"/>
      <c r="P415" s="363" t="s">
        <v>520</v>
      </c>
      <c r="Q415" s="380"/>
      <c r="R415" s="380"/>
      <c r="S415" s="390" t="s">
        <v>347</v>
      </c>
      <c r="T415" s="381" t="s">
        <v>726</v>
      </c>
      <c r="U415" s="363" t="s">
        <v>348</v>
      </c>
      <c r="V415" s="363"/>
      <c r="W415" s="363" t="s">
        <v>349</v>
      </c>
      <c r="X415" s="363"/>
      <c r="Y415" s="363"/>
      <c r="Z415" s="363"/>
      <c r="AA415" s="363"/>
      <c r="AB415" s="363"/>
      <c r="AC415" s="363"/>
      <c r="AD415" s="363"/>
      <c r="AE415" s="363" t="s">
        <v>478</v>
      </c>
      <c r="AF415" s="380" t="s">
        <v>63</v>
      </c>
      <c r="AG415" s="380">
        <v>3</v>
      </c>
      <c r="AH415" s="363" t="s">
        <v>1319</v>
      </c>
    </row>
    <row r="416" spans="2:34" ht="15" hidden="1" customHeight="1" x14ac:dyDescent="0.3">
      <c r="B416" s="380" t="s">
        <v>2</v>
      </c>
      <c r="C416" s="482" t="s">
        <v>1521</v>
      </c>
      <c r="D416" s="483" t="s">
        <v>151</v>
      </c>
      <c r="E416" s="468">
        <v>7100007753</v>
      </c>
      <c r="F416" s="501">
        <v>45975</v>
      </c>
      <c r="G416" s="380" t="s">
        <v>643</v>
      </c>
      <c r="H416" s="380">
        <v>1</v>
      </c>
      <c r="I416" s="388">
        <v>75000</v>
      </c>
      <c r="J416" s="380">
        <v>3</v>
      </c>
      <c r="K416" s="389">
        <f t="shared" si="15"/>
        <v>25000</v>
      </c>
      <c r="L416" s="381">
        <v>45962</v>
      </c>
      <c r="M416" s="381">
        <v>46326</v>
      </c>
      <c r="N416" s="663"/>
      <c r="O416" s="680"/>
      <c r="P416" s="363" t="s">
        <v>520</v>
      </c>
      <c r="Q416" s="380"/>
      <c r="R416" s="380"/>
      <c r="S416" s="390" t="s">
        <v>192</v>
      </c>
      <c r="T416" s="363" t="s">
        <v>291</v>
      </c>
      <c r="U416" s="390" t="s">
        <v>1522</v>
      </c>
      <c r="V416" s="363" t="s">
        <v>1866</v>
      </c>
      <c r="W416" s="363" t="s">
        <v>1344</v>
      </c>
      <c r="X416" s="363"/>
      <c r="Y416" s="363"/>
      <c r="Z416" s="363"/>
      <c r="AA416" s="363"/>
      <c r="AB416" s="363"/>
      <c r="AC416" s="363"/>
      <c r="AD416" s="363"/>
      <c r="AE416" s="363" t="s">
        <v>478</v>
      </c>
      <c r="AF416" s="380" t="s">
        <v>63</v>
      </c>
      <c r="AG416" s="380">
        <v>2</v>
      </c>
      <c r="AH416" s="363" t="s">
        <v>667</v>
      </c>
    </row>
    <row r="417" spans="1:34" ht="15" hidden="1" customHeight="1" x14ac:dyDescent="0.3">
      <c r="B417" s="380" t="s">
        <v>2</v>
      </c>
      <c r="C417" s="482" t="s">
        <v>595</v>
      </c>
      <c r="D417" s="483" t="s">
        <v>1012</v>
      </c>
      <c r="E417" s="488" t="s">
        <v>1523</v>
      </c>
      <c r="F417" s="488">
        <v>46029</v>
      </c>
      <c r="G417" s="380" t="s">
        <v>643</v>
      </c>
      <c r="H417" s="380">
        <v>1</v>
      </c>
      <c r="I417" s="388">
        <v>93312</v>
      </c>
      <c r="J417" s="380">
        <v>3</v>
      </c>
      <c r="K417" s="389">
        <f t="shared" si="15"/>
        <v>31104</v>
      </c>
      <c r="L417" s="381">
        <v>46023</v>
      </c>
      <c r="M417" s="381">
        <v>46387</v>
      </c>
      <c r="N417" s="663">
        <v>155090</v>
      </c>
      <c r="O417" s="680"/>
      <c r="P417" s="363" t="s">
        <v>520</v>
      </c>
      <c r="Q417" s="380"/>
      <c r="R417" s="380"/>
      <c r="S417" s="390" t="s">
        <v>347</v>
      </c>
      <c r="T417" s="363" t="s">
        <v>1524</v>
      </c>
      <c r="U417" s="390" t="s">
        <v>1525</v>
      </c>
      <c r="V417" s="363" t="s">
        <v>2057</v>
      </c>
      <c r="W417" s="363" t="s">
        <v>349</v>
      </c>
      <c r="X417" s="363"/>
      <c r="Y417" s="363"/>
      <c r="Z417" s="363"/>
      <c r="AA417" s="363"/>
      <c r="AB417" s="363"/>
      <c r="AC417" s="363"/>
      <c r="AD417" s="363"/>
      <c r="AE417" s="363" t="s">
        <v>619</v>
      </c>
      <c r="AF417" s="380" t="s">
        <v>63</v>
      </c>
      <c r="AG417" s="380">
        <v>3</v>
      </c>
      <c r="AH417" s="363" t="s">
        <v>799</v>
      </c>
    </row>
    <row r="418" spans="1:34" ht="15" hidden="1" customHeight="1" x14ac:dyDescent="0.3">
      <c r="B418" s="380" t="s">
        <v>2</v>
      </c>
      <c r="C418" s="482" t="s">
        <v>771</v>
      </c>
      <c r="D418" s="483" t="s">
        <v>388</v>
      </c>
      <c r="E418" s="493">
        <v>6000063663</v>
      </c>
      <c r="F418" s="488">
        <v>46045</v>
      </c>
      <c r="G418" s="380" t="s">
        <v>643</v>
      </c>
      <c r="H418" s="380">
        <v>4</v>
      </c>
      <c r="I418" s="388">
        <v>282800</v>
      </c>
      <c r="J418" s="380">
        <v>2</v>
      </c>
      <c r="K418" s="389">
        <f t="shared" si="15"/>
        <v>141400</v>
      </c>
      <c r="L418" s="381">
        <v>46023</v>
      </c>
      <c r="M418" s="381">
        <v>46387</v>
      </c>
      <c r="N418" s="663"/>
      <c r="O418" s="680"/>
      <c r="P418" s="363" t="s">
        <v>520</v>
      </c>
      <c r="Q418" s="380"/>
      <c r="R418" s="380"/>
      <c r="S418" s="390" t="s">
        <v>607</v>
      </c>
      <c r="T418" s="363" t="s">
        <v>1867</v>
      </c>
      <c r="U418" s="363" t="s">
        <v>608</v>
      </c>
      <c r="V418" s="363"/>
      <c r="W418" s="363"/>
      <c r="X418" s="363"/>
      <c r="Y418" s="363"/>
      <c r="Z418" s="363"/>
      <c r="AA418" s="363"/>
      <c r="AB418" s="363"/>
      <c r="AC418" s="363"/>
      <c r="AD418" s="363"/>
      <c r="AE418" s="363" t="s">
        <v>619</v>
      </c>
      <c r="AF418" s="380" t="s">
        <v>63</v>
      </c>
      <c r="AG418" s="380">
        <v>2</v>
      </c>
      <c r="AH418" s="363" t="s">
        <v>667</v>
      </c>
    </row>
    <row r="419" spans="1:34" ht="15" hidden="1" customHeight="1" x14ac:dyDescent="0.3">
      <c r="A419" s="537" t="s">
        <v>1526</v>
      </c>
      <c r="B419" s="380" t="s">
        <v>2</v>
      </c>
      <c r="C419" s="420" t="s">
        <v>530</v>
      </c>
      <c r="D419" s="421" t="s">
        <v>176</v>
      </c>
      <c r="E419" s="380">
        <v>16882528</v>
      </c>
      <c r="F419" s="387">
        <v>45670</v>
      </c>
      <c r="G419" s="380" t="s">
        <v>55</v>
      </c>
      <c r="H419" s="380">
        <v>1</v>
      </c>
      <c r="I419" s="388">
        <f>568000/4</f>
        <v>142000</v>
      </c>
      <c r="J419" s="380">
        <v>4</v>
      </c>
      <c r="K419" s="389">
        <f t="shared" si="15"/>
        <v>35500</v>
      </c>
      <c r="L419" s="381">
        <v>45670</v>
      </c>
      <c r="M419" s="381">
        <v>46764</v>
      </c>
      <c r="N419" s="663"/>
      <c r="O419" s="680">
        <v>4725</v>
      </c>
      <c r="P419" s="363" t="s">
        <v>520</v>
      </c>
      <c r="Q419" s="380"/>
      <c r="R419" s="380"/>
      <c r="S419" s="422" t="s">
        <v>1527</v>
      </c>
      <c r="T419" s="363" t="s">
        <v>1734</v>
      </c>
      <c r="U419" s="390" t="s">
        <v>1528</v>
      </c>
      <c r="V419" s="363" t="s">
        <v>1736</v>
      </c>
      <c r="W419" s="363" t="s">
        <v>1529</v>
      </c>
      <c r="X419" s="363"/>
      <c r="Y419" s="363" t="s">
        <v>1530</v>
      </c>
      <c r="Z419" s="363"/>
      <c r="AA419" s="363"/>
      <c r="AB419" s="363"/>
      <c r="AC419" s="363"/>
      <c r="AD419" s="363"/>
      <c r="AE419" s="363" t="s">
        <v>183</v>
      </c>
      <c r="AF419" s="380" t="s">
        <v>97</v>
      </c>
      <c r="AG419" s="380">
        <v>4</v>
      </c>
      <c r="AH419" s="363"/>
    </row>
    <row r="420" spans="1:34" ht="15" hidden="1" customHeight="1" x14ac:dyDescent="0.3">
      <c r="B420" s="380" t="s">
        <v>2</v>
      </c>
      <c r="C420" s="420" t="s">
        <v>530</v>
      </c>
      <c r="D420" s="421" t="s">
        <v>535</v>
      </c>
      <c r="E420" s="380">
        <v>16882528</v>
      </c>
      <c r="F420" s="387">
        <v>45670</v>
      </c>
      <c r="G420" s="380" t="s">
        <v>55</v>
      </c>
      <c r="H420" s="380">
        <v>1</v>
      </c>
      <c r="I420" s="388">
        <f>568000/4</f>
        <v>142000</v>
      </c>
      <c r="J420" s="380">
        <v>4</v>
      </c>
      <c r="K420" s="389">
        <f t="shared" si="15"/>
        <v>35500</v>
      </c>
      <c r="L420" s="381">
        <v>45670</v>
      </c>
      <c r="M420" s="381">
        <v>46764</v>
      </c>
      <c r="N420" s="663"/>
      <c r="O420" s="680">
        <v>4725</v>
      </c>
      <c r="P420" s="363" t="s">
        <v>520</v>
      </c>
      <c r="Q420" s="380"/>
      <c r="R420" s="380"/>
      <c r="S420" s="390" t="s">
        <v>1527</v>
      </c>
      <c r="T420" s="363" t="s">
        <v>798</v>
      </c>
      <c r="U420" s="390" t="s">
        <v>1528</v>
      </c>
      <c r="V420" s="363" t="s">
        <v>1853</v>
      </c>
      <c r="W420" s="363" t="s">
        <v>1529</v>
      </c>
      <c r="X420" s="363"/>
      <c r="Y420" s="363" t="s">
        <v>1530</v>
      </c>
      <c r="Z420" s="363"/>
      <c r="AA420" s="363"/>
      <c r="AB420" s="363"/>
      <c r="AC420" s="363"/>
      <c r="AD420" s="363"/>
      <c r="AE420" s="363" t="s">
        <v>183</v>
      </c>
      <c r="AF420" s="380" t="s">
        <v>97</v>
      </c>
      <c r="AG420" s="380">
        <v>4</v>
      </c>
      <c r="AH420" s="363"/>
    </row>
    <row r="421" spans="1:34" ht="15" hidden="1" customHeight="1" x14ac:dyDescent="0.3">
      <c r="B421" s="380" t="s">
        <v>2</v>
      </c>
      <c r="C421" s="420" t="s">
        <v>530</v>
      </c>
      <c r="D421" s="421" t="s">
        <v>538</v>
      </c>
      <c r="E421" s="380">
        <v>16882528</v>
      </c>
      <c r="F421" s="387">
        <v>45670</v>
      </c>
      <c r="G421" s="380" t="s">
        <v>55</v>
      </c>
      <c r="H421" s="380">
        <v>1</v>
      </c>
      <c r="I421" s="388">
        <f>568000/4</f>
        <v>142000</v>
      </c>
      <c r="J421" s="380">
        <v>4</v>
      </c>
      <c r="K421" s="389">
        <f t="shared" si="15"/>
        <v>35500</v>
      </c>
      <c r="L421" s="381">
        <v>45670</v>
      </c>
      <c r="M421" s="381">
        <v>46764</v>
      </c>
      <c r="N421" s="663"/>
      <c r="O421" s="680">
        <v>4725</v>
      </c>
      <c r="P421" s="363" t="s">
        <v>520</v>
      </c>
      <c r="Q421" s="380"/>
      <c r="R421" s="380"/>
      <c r="S421" s="390" t="s">
        <v>1527</v>
      </c>
      <c r="T421" s="363" t="s">
        <v>455</v>
      </c>
      <c r="U421" s="390" t="s">
        <v>1528</v>
      </c>
      <c r="V421" s="363" t="s">
        <v>2020</v>
      </c>
      <c r="W421" s="363" t="s">
        <v>1529</v>
      </c>
      <c r="X421" s="363"/>
      <c r="Y421" s="363" t="s">
        <v>1530</v>
      </c>
      <c r="Z421" s="363"/>
      <c r="AA421" s="363"/>
      <c r="AB421" s="363"/>
      <c r="AC421" s="363"/>
      <c r="AD421" s="363"/>
      <c r="AE421" s="363" t="s">
        <v>485</v>
      </c>
      <c r="AF421" s="380" t="s">
        <v>63</v>
      </c>
      <c r="AG421" s="380">
        <v>4</v>
      </c>
      <c r="AH421" s="363"/>
    </row>
    <row r="422" spans="1:34" ht="15" hidden="1" customHeight="1" x14ac:dyDescent="0.3">
      <c r="B422" s="380" t="s">
        <v>2</v>
      </c>
      <c r="C422" s="420" t="s">
        <v>530</v>
      </c>
      <c r="D422" s="421" t="s">
        <v>540</v>
      </c>
      <c r="E422" s="380">
        <v>16882528</v>
      </c>
      <c r="F422" s="387">
        <v>45670</v>
      </c>
      <c r="G422" s="380" t="s">
        <v>55</v>
      </c>
      <c r="H422" s="380">
        <v>1</v>
      </c>
      <c r="I422" s="388">
        <f>568000/4</f>
        <v>142000</v>
      </c>
      <c r="J422" s="380">
        <v>4</v>
      </c>
      <c r="K422" s="389">
        <f t="shared" si="15"/>
        <v>35500</v>
      </c>
      <c r="L422" s="381">
        <v>45670</v>
      </c>
      <c r="M422" s="381">
        <v>46764</v>
      </c>
      <c r="N422" s="663"/>
      <c r="O422" s="680">
        <v>4725</v>
      </c>
      <c r="P422" s="363" t="s">
        <v>520</v>
      </c>
      <c r="Q422" s="380"/>
      <c r="R422" s="380"/>
      <c r="S422" s="390" t="s">
        <v>1527</v>
      </c>
      <c r="T422" s="363" t="s">
        <v>149</v>
      </c>
      <c r="U422" s="390" t="s">
        <v>1528</v>
      </c>
      <c r="V422" s="363" t="s">
        <v>1944</v>
      </c>
      <c r="W422" s="363" t="s">
        <v>1529</v>
      </c>
      <c r="X422" s="363"/>
      <c r="Y422" s="363" t="s">
        <v>1530</v>
      </c>
      <c r="Z422" s="363"/>
      <c r="AA422" s="363"/>
      <c r="AB422" s="363"/>
      <c r="AC422" s="363"/>
      <c r="AD422" s="363"/>
      <c r="AE422" s="363" t="s">
        <v>128</v>
      </c>
      <c r="AF422" s="380" t="s">
        <v>129</v>
      </c>
      <c r="AG422" s="380">
        <v>4</v>
      </c>
      <c r="AH422" s="363"/>
    </row>
    <row r="423" spans="1:34" ht="15" hidden="1" customHeight="1" x14ac:dyDescent="0.3">
      <c r="B423" s="380" t="s">
        <v>2</v>
      </c>
      <c r="C423" s="409" t="s">
        <v>1069</v>
      </c>
      <c r="D423" s="423" t="s">
        <v>1531</v>
      </c>
      <c r="E423" s="491">
        <v>4400018763</v>
      </c>
      <c r="F423" s="488">
        <v>46041</v>
      </c>
      <c r="G423" s="380" t="s">
        <v>55</v>
      </c>
      <c r="H423" s="380">
        <v>5</v>
      </c>
      <c r="I423" s="388">
        <v>698145</v>
      </c>
      <c r="J423" s="380">
        <v>3</v>
      </c>
      <c r="K423" s="389">
        <f t="shared" si="15"/>
        <v>232715</v>
      </c>
      <c r="L423" s="381">
        <v>46023</v>
      </c>
      <c r="M423" s="381">
        <v>46387</v>
      </c>
      <c r="N423" s="663">
        <v>155020</v>
      </c>
      <c r="O423" s="680">
        <v>4694</v>
      </c>
      <c r="P423" s="363" t="s">
        <v>520</v>
      </c>
      <c r="Q423" s="380"/>
      <c r="R423" s="380"/>
      <c r="S423" s="390" t="s">
        <v>347</v>
      </c>
      <c r="T423" s="363" t="s">
        <v>1532</v>
      </c>
      <c r="U423" s="390" t="s">
        <v>348</v>
      </c>
      <c r="V423" s="363" t="s">
        <v>2058</v>
      </c>
      <c r="W423" s="363" t="s">
        <v>349</v>
      </c>
      <c r="X423" s="363"/>
      <c r="Y423" s="363"/>
      <c r="Z423" s="363"/>
      <c r="AA423" s="363"/>
      <c r="AB423" s="363"/>
      <c r="AC423" s="363"/>
      <c r="AD423" s="363"/>
      <c r="AE423" s="363" t="s">
        <v>281</v>
      </c>
      <c r="AF423" s="380" t="s">
        <v>97</v>
      </c>
      <c r="AG423" s="380">
        <v>3</v>
      </c>
      <c r="AH423" s="363" t="s">
        <v>667</v>
      </c>
    </row>
    <row r="424" spans="1:34" ht="15" hidden="1" customHeight="1" x14ac:dyDescent="0.3">
      <c r="B424" s="380" t="s">
        <v>2</v>
      </c>
      <c r="C424" s="409" t="s">
        <v>647</v>
      </c>
      <c r="D424" s="489" t="s">
        <v>648</v>
      </c>
      <c r="E424" s="503">
        <v>450093582</v>
      </c>
      <c r="F424" s="501">
        <v>46053</v>
      </c>
      <c r="G424" s="380" t="s">
        <v>55</v>
      </c>
      <c r="H424" s="380">
        <v>2</v>
      </c>
      <c r="I424" s="388">
        <v>224000</v>
      </c>
      <c r="J424" s="380">
        <v>2</v>
      </c>
      <c r="K424" s="389">
        <f t="shared" si="15"/>
        <v>112000</v>
      </c>
      <c r="L424" s="381">
        <v>46082</v>
      </c>
      <c r="M424" s="381">
        <v>46446</v>
      </c>
      <c r="N424" s="663">
        <v>155053</v>
      </c>
      <c r="O424" s="680">
        <v>4180</v>
      </c>
      <c r="P424" s="363" t="s">
        <v>520</v>
      </c>
      <c r="Q424" s="380"/>
      <c r="R424" s="380"/>
      <c r="S424" s="390" t="s">
        <v>1533</v>
      </c>
      <c r="T424" s="363" t="s">
        <v>1953</v>
      </c>
      <c r="U424" s="363" t="s">
        <v>1534</v>
      </c>
      <c r="V424" s="363"/>
      <c r="W424" s="363"/>
      <c r="X424" s="363"/>
      <c r="Y424" s="363"/>
      <c r="Z424" s="363"/>
      <c r="AA424" s="363"/>
      <c r="AB424" s="363"/>
      <c r="AC424" s="363"/>
      <c r="AD424" s="363"/>
      <c r="AE424" s="363" t="s">
        <v>1535</v>
      </c>
      <c r="AF424" s="380" t="s">
        <v>97</v>
      </c>
      <c r="AG424" s="380">
        <v>2</v>
      </c>
      <c r="AH424" s="363" t="s">
        <v>1536</v>
      </c>
    </row>
    <row r="425" spans="1:34" ht="15" hidden="1" customHeight="1" x14ac:dyDescent="0.3">
      <c r="B425" s="380" t="s">
        <v>2</v>
      </c>
      <c r="C425" s="482" t="s">
        <v>1537</v>
      </c>
      <c r="D425" s="483" t="s">
        <v>1022</v>
      </c>
      <c r="E425" s="468">
        <v>6460008580</v>
      </c>
      <c r="F425" s="488">
        <v>46052</v>
      </c>
      <c r="G425" s="380" t="s">
        <v>55</v>
      </c>
      <c r="H425" s="380">
        <v>1</v>
      </c>
      <c r="I425" s="388">
        <v>60000</v>
      </c>
      <c r="J425" s="380">
        <v>1</v>
      </c>
      <c r="K425" s="389">
        <f t="shared" si="15"/>
        <v>60000</v>
      </c>
      <c r="L425" s="504">
        <v>46054</v>
      </c>
      <c r="M425" s="504">
        <v>46418</v>
      </c>
      <c r="N425" s="667"/>
      <c r="O425" s="684"/>
      <c r="P425" s="363" t="s">
        <v>520</v>
      </c>
      <c r="Q425" s="380"/>
      <c r="R425" s="380"/>
      <c r="S425" s="363" t="s">
        <v>1538</v>
      </c>
      <c r="T425" s="363"/>
      <c r="U425" s="363"/>
      <c r="V425" s="363"/>
      <c r="W425" s="363"/>
      <c r="X425" s="363"/>
      <c r="Y425" s="363"/>
      <c r="Z425" s="363"/>
      <c r="AA425" s="363"/>
      <c r="AB425" s="363"/>
      <c r="AC425" s="363"/>
      <c r="AD425" s="363"/>
      <c r="AE425" s="363" t="s">
        <v>485</v>
      </c>
      <c r="AF425" s="380" t="s">
        <v>63</v>
      </c>
      <c r="AG425" s="380">
        <v>2</v>
      </c>
      <c r="AH425" s="363" t="s">
        <v>1539</v>
      </c>
    </row>
    <row r="426" spans="1:34" ht="15" hidden="1" customHeight="1" x14ac:dyDescent="0.3">
      <c r="B426" s="380" t="s">
        <v>2</v>
      </c>
      <c r="C426" s="551" t="s">
        <v>1540</v>
      </c>
      <c r="D426" s="480" t="s">
        <v>176</v>
      </c>
      <c r="E426" s="481" t="s">
        <v>1541</v>
      </c>
      <c r="F426" s="488">
        <v>45985</v>
      </c>
      <c r="G426" s="380" t="s">
        <v>55</v>
      </c>
      <c r="H426" s="380">
        <v>3</v>
      </c>
      <c r="I426" s="388">
        <v>268500</v>
      </c>
      <c r="J426" s="380">
        <v>3</v>
      </c>
      <c r="K426" s="389">
        <f>I426/2</f>
        <v>134250</v>
      </c>
      <c r="L426" s="504">
        <v>45668</v>
      </c>
      <c r="M426" s="504">
        <v>46326</v>
      </c>
      <c r="N426" s="667"/>
      <c r="O426" s="684"/>
      <c r="P426" s="363" t="s">
        <v>520</v>
      </c>
      <c r="Q426" s="380"/>
      <c r="R426" s="380"/>
      <c r="S426" s="390" t="s">
        <v>192</v>
      </c>
      <c r="T426" s="363" t="s">
        <v>639</v>
      </c>
      <c r="U426" s="390" t="s">
        <v>194</v>
      </c>
      <c r="V426" s="363" t="s">
        <v>1868</v>
      </c>
      <c r="W426" s="363" t="s">
        <v>1344</v>
      </c>
      <c r="X426" s="363"/>
      <c r="Y426" s="363"/>
      <c r="Z426" s="363"/>
      <c r="AA426" s="363"/>
      <c r="AB426" s="363"/>
      <c r="AC426" s="363"/>
      <c r="AD426" s="363"/>
      <c r="AE426" s="363" t="s">
        <v>183</v>
      </c>
      <c r="AF426" s="380" t="s">
        <v>97</v>
      </c>
      <c r="AG426" s="380">
        <v>6</v>
      </c>
      <c r="AH426" s="363" t="s">
        <v>1544</v>
      </c>
    </row>
    <row r="427" spans="1:34" ht="15" hidden="1" customHeight="1" x14ac:dyDescent="0.3">
      <c r="B427" s="380" t="s">
        <v>2</v>
      </c>
      <c r="C427" s="482" t="s">
        <v>195</v>
      </c>
      <c r="D427" s="483" t="s">
        <v>447</v>
      </c>
      <c r="E427" s="468" t="s">
        <v>1545</v>
      </c>
      <c r="F427" s="488">
        <v>46058</v>
      </c>
      <c r="G427" s="380" t="s">
        <v>55</v>
      </c>
      <c r="H427" s="380"/>
      <c r="I427" s="388">
        <v>325000</v>
      </c>
      <c r="J427" s="380">
        <v>4</v>
      </c>
      <c r="K427" s="389">
        <f t="shared" ref="K427:K438" si="16">I427/J427</f>
        <v>81250</v>
      </c>
      <c r="L427" s="504">
        <v>46059</v>
      </c>
      <c r="M427" s="504">
        <v>46423</v>
      </c>
      <c r="N427" s="667">
        <v>155048</v>
      </c>
      <c r="O427" s="684">
        <v>4712</v>
      </c>
      <c r="P427" s="363" t="s">
        <v>520</v>
      </c>
      <c r="Q427" s="380"/>
      <c r="R427" s="380"/>
      <c r="S427" s="390" t="s">
        <v>1546</v>
      </c>
      <c r="T427" s="363" t="s">
        <v>712</v>
      </c>
      <c r="U427" s="390" t="s">
        <v>1547</v>
      </c>
      <c r="V427" s="363" t="s">
        <v>2059</v>
      </c>
      <c r="W427" s="363" t="s">
        <v>1548</v>
      </c>
      <c r="X427" s="363"/>
      <c r="Y427" s="363" t="s">
        <v>1549</v>
      </c>
      <c r="Z427" s="363"/>
      <c r="AA427" s="363"/>
      <c r="AB427" s="363"/>
      <c r="AC427" s="363"/>
      <c r="AD427" s="363"/>
      <c r="AE427" s="363" t="s">
        <v>96</v>
      </c>
      <c r="AF427" s="380" t="s">
        <v>97</v>
      </c>
      <c r="AG427" s="380" t="s">
        <v>494</v>
      </c>
      <c r="AH427" s="363" t="s">
        <v>667</v>
      </c>
    </row>
    <row r="428" spans="1:34" ht="15" hidden="1" customHeight="1" x14ac:dyDescent="0.3">
      <c r="B428" s="380" t="s">
        <v>2</v>
      </c>
      <c r="C428" s="482" t="s">
        <v>195</v>
      </c>
      <c r="D428" s="483" t="s">
        <v>447</v>
      </c>
      <c r="E428" s="468" t="s">
        <v>1545</v>
      </c>
      <c r="F428" s="488">
        <v>46058</v>
      </c>
      <c r="G428" s="380" t="s">
        <v>55</v>
      </c>
      <c r="H428" s="380"/>
      <c r="I428" s="388">
        <v>325000</v>
      </c>
      <c r="J428" s="380">
        <v>4</v>
      </c>
      <c r="K428" s="389">
        <f t="shared" si="16"/>
        <v>81250</v>
      </c>
      <c r="L428" s="381">
        <v>46424</v>
      </c>
      <c r="M428" s="381">
        <v>46788</v>
      </c>
      <c r="N428" s="663"/>
      <c r="O428" s="680"/>
      <c r="P428" s="363" t="s">
        <v>520</v>
      </c>
      <c r="Q428" s="380"/>
      <c r="R428" s="380"/>
      <c r="S428" s="363" t="s">
        <v>1550</v>
      </c>
      <c r="T428" s="363"/>
      <c r="U428" s="363" t="s">
        <v>1551</v>
      </c>
      <c r="V428" s="363"/>
      <c r="W428" s="363" t="s">
        <v>1552</v>
      </c>
      <c r="X428" s="363"/>
      <c r="Y428" s="363" t="s">
        <v>1553</v>
      </c>
      <c r="Z428" s="363"/>
      <c r="AA428" s="363"/>
      <c r="AB428" s="363"/>
      <c r="AC428" s="363"/>
      <c r="AD428" s="363"/>
      <c r="AE428" s="363" t="s">
        <v>96</v>
      </c>
      <c r="AF428" s="380" t="s">
        <v>97</v>
      </c>
      <c r="AG428" s="380" t="s">
        <v>494</v>
      </c>
      <c r="AH428" s="363" t="s">
        <v>667</v>
      </c>
    </row>
    <row r="429" spans="1:34" ht="15" hidden="1" customHeight="1" x14ac:dyDescent="0.3">
      <c r="B429" s="380" t="s">
        <v>2</v>
      </c>
      <c r="C429" s="482" t="s">
        <v>195</v>
      </c>
      <c r="D429" s="483" t="s">
        <v>447</v>
      </c>
      <c r="E429" s="468" t="s">
        <v>1545</v>
      </c>
      <c r="F429" s="488">
        <v>46058</v>
      </c>
      <c r="G429" s="380" t="s">
        <v>55</v>
      </c>
      <c r="H429" s="380">
        <v>5</v>
      </c>
      <c r="I429" s="388">
        <v>325000</v>
      </c>
      <c r="J429" s="380">
        <v>4</v>
      </c>
      <c r="K429" s="389">
        <f t="shared" si="16"/>
        <v>81250</v>
      </c>
      <c r="L429" s="381">
        <v>46789</v>
      </c>
      <c r="M429" s="381">
        <v>47154</v>
      </c>
      <c r="N429" s="663"/>
      <c r="O429" s="680"/>
      <c r="P429" s="363" t="s">
        <v>520</v>
      </c>
      <c r="Q429" s="380"/>
      <c r="R429" s="380"/>
      <c r="S429" s="363" t="s">
        <v>1554</v>
      </c>
      <c r="T429" s="363"/>
      <c r="U429" s="363" t="s">
        <v>1555</v>
      </c>
      <c r="V429" s="363"/>
      <c r="W429" s="363" t="s">
        <v>1556</v>
      </c>
      <c r="X429" s="363"/>
      <c r="Y429" s="363" t="s">
        <v>1557</v>
      </c>
      <c r="Z429" s="363"/>
      <c r="AA429" s="363"/>
      <c r="AB429" s="363"/>
      <c r="AC429" s="363"/>
      <c r="AD429" s="363"/>
      <c r="AE429" s="363" t="s">
        <v>96</v>
      </c>
      <c r="AF429" s="380" t="s">
        <v>97</v>
      </c>
      <c r="AG429" s="380" t="s">
        <v>494</v>
      </c>
      <c r="AH429" s="363" t="s">
        <v>667</v>
      </c>
    </row>
    <row r="430" spans="1:34" ht="15" hidden="1" customHeight="1" x14ac:dyDescent="0.3">
      <c r="B430" s="380" t="s">
        <v>2</v>
      </c>
      <c r="C430" s="482" t="s">
        <v>1558</v>
      </c>
      <c r="D430" s="483" t="s">
        <v>151</v>
      </c>
      <c r="E430" s="468">
        <v>10106079</v>
      </c>
      <c r="F430" s="488">
        <v>46062</v>
      </c>
      <c r="G430" s="380" t="s">
        <v>55</v>
      </c>
      <c r="H430" s="380">
        <v>1</v>
      </c>
      <c r="I430" s="388">
        <v>130000</v>
      </c>
      <c r="J430" s="380">
        <v>3</v>
      </c>
      <c r="K430" s="389">
        <f t="shared" si="16"/>
        <v>43333.333333333336</v>
      </c>
      <c r="L430" s="381">
        <v>46023</v>
      </c>
      <c r="M430" s="381">
        <v>46387</v>
      </c>
      <c r="N430" s="663"/>
      <c r="O430" s="680"/>
      <c r="P430" s="363" t="s">
        <v>520</v>
      </c>
      <c r="Q430" s="380"/>
      <c r="R430" s="380"/>
      <c r="S430" s="390" t="s">
        <v>1559</v>
      </c>
      <c r="T430" s="363" t="s">
        <v>1710</v>
      </c>
      <c r="U430" s="363" t="s">
        <v>348</v>
      </c>
      <c r="V430" s="363"/>
      <c r="W430" s="363" t="s">
        <v>349</v>
      </c>
      <c r="X430" s="363"/>
      <c r="Y430" s="363"/>
      <c r="Z430" s="363"/>
      <c r="AA430" s="363"/>
      <c r="AB430" s="363"/>
      <c r="AC430" s="363"/>
      <c r="AD430" s="363"/>
      <c r="AE430" s="363" t="s">
        <v>478</v>
      </c>
      <c r="AF430" s="380" t="s">
        <v>63</v>
      </c>
      <c r="AG430" s="380">
        <v>3</v>
      </c>
      <c r="AH430" s="363" t="s">
        <v>667</v>
      </c>
    </row>
    <row r="431" spans="1:34" ht="15" hidden="1" customHeight="1" x14ac:dyDescent="0.3">
      <c r="B431" s="380" t="s">
        <v>2</v>
      </c>
      <c r="C431" s="409" t="s">
        <v>1560</v>
      </c>
      <c r="D431" s="418" t="s">
        <v>388</v>
      </c>
      <c r="E431" s="493">
        <v>4511430093</v>
      </c>
      <c r="F431" s="488">
        <v>46059</v>
      </c>
      <c r="G431" s="380" t="s">
        <v>55</v>
      </c>
      <c r="H431" s="380">
        <v>3</v>
      </c>
      <c r="I431" s="388">
        <v>755305</v>
      </c>
      <c r="J431" s="380">
        <v>4</v>
      </c>
      <c r="K431" s="389">
        <f t="shared" si="16"/>
        <v>188826.25</v>
      </c>
      <c r="L431" s="381">
        <v>46007</v>
      </c>
      <c r="M431" s="381">
        <v>46371</v>
      </c>
      <c r="N431" s="663"/>
      <c r="O431" s="680"/>
      <c r="P431" s="363" t="s">
        <v>520</v>
      </c>
      <c r="Q431" s="380"/>
      <c r="R431" s="380"/>
      <c r="S431" s="390" t="s">
        <v>1561</v>
      </c>
      <c r="T431" s="363" t="s">
        <v>1019</v>
      </c>
      <c r="U431" s="390" t="s">
        <v>1562</v>
      </c>
      <c r="V431" s="363" t="s">
        <v>1866</v>
      </c>
      <c r="W431" s="363" t="s">
        <v>1563</v>
      </c>
      <c r="X431" s="363"/>
      <c r="Y431" s="363" t="s">
        <v>1564</v>
      </c>
      <c r="Z431" s="363"/>
      <c r="AA431" s="363"/>
      <c r="AB431" s="363"/>
      <c r="AC431" s="363"/>
      <c r="AD431" s="363"/>
      <c r="AE431" s="363" t="s">
        <v>478</v>
      </c>
      <c r="AF431" s="380" t="s">
        <v>63</v>
      </c>
      <c r="AG431" s="380">
        <v>3</v>
      </c>
      <c r="AH431" s="363" t="s">
        <v>667</v>
      </c>
    </row>
    <row r="432" spans="1:34" ht="15" hidden="1" customHeight="1" x14ac:dyDescent="0.3">
      <c r="B432" s="380" t="s">
        <v>2</v>
      </c>
      <c r="C432" s="482" t="s">
        <v>1385</v>
      </c>
      <c r="D432" s="483" t="s">
        <v>1565</v>
      </c>
      <c r="E432" s="468">
        <v>4500090444</v>
      </c>
      <c r="F432" s="488">
        <v>46060</v>
      </c>
      <c r="G432" s="380" t="s">
        <v>55</v>
      </c>
      <c r="H432" s="380">
        <v>1</v>
      </c>
      <c r="I432" s="388">
        <v>80000</v>
      </c>
      <c r="J432" s="380">
        <v>2</v>
      </c>
      <c r="K432" s="389">
        <f t="shared" si="16"/>
        <v>40000</v>
      </c>
      <c r="L432" s="381">
        <v>46064</v>
      </c>
      <c r="M432" s="381">
        <v>46428</v>
      </c>
      <c r="N432" s="663">
        <v>155413</v>
      </c>
      <c r="O432" s="680">
        <v>4197</v>
      </c>
      <c r="P432" s="363" t="s">
        <v>520</v>
      </c>
      <c r="Q432" s="380"/>
      <c r="R432" s="380"/>
      <c r="S432" s="390" t="s">
        <v>1566</v>
      </c>
      <c r="T432" s="363" t="s">
        <v>2047</v>
      </c>
      <c r="U432" s="363" t="s">
        <v>1567</v>
      </c>
      <c r="V432" s="363"/>
      <c r="W432" s="363"/>
      <c r="X432" s="363"/>
      <c r="Y432" s="363"/>
      <c r="Z432" s="363"/>
      <c r="AA432" s="363"/>
      <c r="AB432" s="363"/>
      <c r="AC432" s="363"/>
      <c r="AD432" s="363"/>
      <c r="AE432" s="363" t="s">
        <v>619</v>
      </c>
      <c r="AF432" s="380" t="s">
        <v>63</v>
      </c>
      <c r="AG432" s="380">
        <v>3</v>
      </c>
      <c r="AH432" s="363" t="s">
        <v>667</v>
      </c>
    </row>
    <row r="433" spans="2:34" ht="15" hidden="1" customHeight="1" x14ac:dyDescent="0.3">
      <c r="B433" s="380" t="s">
        <v>2</v>
      </c>
      <c r="C433" s="409" t="s">
        <v>598</v>
      </c>
      <c r="D433" s="423" t="s">
        <v>599</v>
      </c>
      <c r="E433" s="481">
        <v>3800068846</v>
      </c>
      <c r="F433" s="488">
        <v>46062</v>
      </c>
      <c r="G433" s="380" t="s">
        <v>55</v>
      </c>
      <c r="H433" s="380">
        <v>5</v>
      </c>
      <c r="I433" s="388">
        <v>290000</v>
      </c>
      <c r="J433" s="380">
        <v>2</v>
      </c>
      <c r="K433" s="389">
        <f t="shared" si="16"/>
        <v>145000</v>
      </c>
      <c r="L433" s="504">
        <v>46067</v>
      </c>
      <c r="M433" s="504">
        <v>46431</v>
      </c>
      <c r="N433" s="84">
        <v>155054</v>
      </c>
      <c r="O433" s="684"/>
      <c r="P433" s="363" t="s">
        <v>520</v>
      </c>
      <c r="Q433" s="380"/>
      <c r="R433" s="380"/>
      <c r="S433" s="363" t="s">
        <v>1568</v>
      </c>
      <c r="T433" s="363" t="s">
        <v>1569</v>
      </c>
      <c r="U433" s="363" t="s">
        <v>1570</v>
      </c>
      <c r="V433" s="363"/>
      <c r="W433" s="363"/>
      <c r="X433" s="363"/>
      <c r="Y433" s="363"/>
      <c r="Z433" s="363"/>
      <c r="AA433" s="363"/>
      <c r="AB433" s="363"/>
      <c r="AC433" s="363"/>
      <c r="AD433" s="363"/>
      <c r="AE433" s="363" t="s">
        <v>485</v>
      </c>
      <c r="AF433" s="380" t="s">
        <v>63</v>
      </c>
      <c r="AG433" s="380">
        <v>2</v>
      </c>
      <c r="AH433" s="363" t="s">
        <v>1571</v>
      </c>
    </row>
    <row r="434" spans="2:34" ht="15" hidden="1" customHeight="1" x14ac:dyDescent="0.3">
      <c r="B434" s="380" t="s">
        <v>2</v>
      </c>
      <c r="C434" s="409" t="s">
        <v>130</v>
      </c>
      <c r="D434" s="489" t="s">
        <v>1572</v>
      </c>
      <c r="E434" s="397">
        <v>6800048397</v>
      </c>
      <c r="F434" s="488">
        <v>45882</v>
      </c>
      <c r="G434" s="380" t="s">
        <v>55</v>
      </c>
      <c r="H434" s="380">
        <v>1</v>
      </c>
      <c r="I434" s="388">
        <v>88000</v>
      </c>
      <c r="J434" s="380">
        <v>2</v>
      </c>
      <c r="K434" s="389">
        <f t="shared" si="16"/>
        <v>44000</v>
      </c>
      <c r="L434" s="505">
        <v>45901</v>
      </c>
      <c r="M434" s="505">
        <v>46265</v>
      </c>
      <c r="N434" s="668"/>
      <c r="O434" s="685"/>
      <c r="P434" s="363" t="s">
        <v>19</v>
      </c>
      <c r="Q434" s="380" t="s">
        <v>13</v>
      </c>
      <c r="R434" s="380"/>
      <c r="S434" s="390" t="s">
        <v>625</v>
      </c>
      <c r="T434" s="363" t="s">
        <v>1009</v>
      </c>
      <c r="U434" s="390" t="s">
        <v>1235</v>
      </c>
      <c r="V434" s="363" t="s">
        <v>1857</v>
      </c>
      <c r="W434" s="363"/>
      <c r="X434" s="363"/>
      <c r="Y434" s="363"/>
      <c r="Z434" s="363"/>
      <c r="AA434" s="363"/>
      <c r="AB434" s="363"/>
      <c r="AC434" s="363"/>
      <c r="AD434" s="363"/>
      <c r="AE434" s="363" t="s">
        <v>183</v>
      </c>
      <c r="AF434" s="380" t="s">
        <v>97</v>
      </c>
      <c r="AG434" s="380">
        <v>2</v>
      </c>
      <c r="AH434" s="363" t="s">
        <v>1573</v>
      </c>
    </row>
    <row r="435" spans="2:34" ht="15" hidden="1" customHeight="1" x14ac:dyDescent="0.3">
      <c r="B435" s="380" t="s">
        <v>2</v>
      </c>
      <c r="C435" s="482" t="s">
        <v>1032</v>
      </c>
      <c r="D435" s="483" t="s">
        <v>1227</v>
      </c>
      <c r="E435" s="491">
        <v>2560049212</v>
      </c>
      <c r="F435" s="488">
        <v>46064</v>
      </c>
      <c r="G435" s="380" t="s">
        <v>55</v>
      </c>
      <c r="H435" s="380">
        <v>2</v>
      </c>
      <c r="I435" s="388">
        <v>180000</v>
      </c>
      <c r="J435" s="380">
        <v>2</v>
      </c>
      <c r="K435" s="389">
        <f t="shared" si="16"/>
        <v>90000</v>
      </c>
      <c r="L435" s="504">
        <v>46054</v>
      </c>
      <c r="M435" s="504">
        <v>46418</v>
      </c>
      <c r="N435" s="667"/>
      <c r="O435" s="684"/>
      <c r="P435" s="363" t="s">
        <v>520</v>
      </c>
      <c r="Q435" s="380"/>
      <c r="R435" s="380" t="s">
        <v>1</v>
      </c>
      <c r="S435" s="363" t="s">
        <v>426</v>
      </c>
      <c r="T435" s="363"/>
      <c r="U435" s="363" t="s">
        <v>427</v>
      </c>
      <c r="V435" s="363"/>
      <c r="W435" s="363"/>
      <c r="X435" s="363"/>
      <c r="Y435" s="363"/>
      <c r="Z435" s="363"/>
      <c r="AA435" s="363"/>
      <c r="AB435" s="363"/>
      <c r="AC435" s="363"/>
      <c r="AD435" s="363"/>
      <c r="AE435" s="363" t="s">
        <v>507</v>
      </c>
      <c r="AF435" s="380" t="s">
        <v>63</v>
      </c>
      <c r="AG435" s="380">
        <v>3</v>
      </c>
      <c r="AH435" s="363" t="s">
        <v>799</v>
      </c>
    </row>
    <row r="436" spans="2:34" ht="15" hidden="1" customHeight="1" x14ac:dyDescent="0.3">
      <c r="B436" s="380" t="s">
        <v>2</v>
      </c>
      <c r="C436" s="482" t="s">
        <v>1326</v>
      </c>
      <c r="D436" s="483" t="s">
        <v>151</v>
      </c>
      <c r="E436" s="468">
        <v>928978356</v>
      </c>
      <c r="F436" s="488">
        <v>46064</v>
      </c>
      <c r="G436" s="380" t="s">
        <v>55</v>
      </c>
      <c r="H436" s="380">
        <v>1</v>
      </c>
      <c r="I436" s="388">
        <v>96000</v>
      </c>
      <c r="J436" s="380">
        <v>3</v>
      </c>
      <c r="K436" s="389">
        <f t="shared" si="16"/>
        <v>32000</v>
      </c>
      <c r="L436" s="504">
        <v>46064</v>
      </c>
      <c r="M436" s="504">
        <v>46428</v>
      </c>
      <c r="N436" s="667"/>
      <c r="O436" s="684"/>
      <c r="P436" s="363" t="s">
        <v>520</v>
      </c>
      <c r="Q436" s="380"/>
      <c r="R436" s="380"/>
      <c r="S436" s="390" t="s">
        <v>1574</v>
      </c>
      <c r="T436" s="363" t="s">
        <v>1162</v>
      </c>
      <c r="U436" s="363" t="s">
        <v>1575</v>
      </c>
      <c r="V436" s="363"/>
      <c r="W436" s="363" t="s">
        <v>1576</v>
      </c>
      <c r="X436" s="363"/>
      <c r="Y436" s="363"/>
      <c r="Z436" s="363"/>
      <c r="AA436" s="363"/>
      <c r="AB436" s="363"/>
      <c r="AC436" s="363"/>
      <c r="AD436" s="363"/>
      <c r="AE436" s="363" t="s">
        <v>507</v>
      </c>
      <c r="AF436" s="380" t="s">
        <v>63</v>
      </c>
      <c r="AG436" s="380">
        <v>3</v>
      </c>
      <c r="AH436" s="363" t="s">
        <v>1577</v>
      </c>
    </row>
    <row r="437" spans="2:34" ht="15" hidden="1" customHeight="1" x14ac:dyDescent="0.3">
      <c r="B437" s="380" t="s">
        <v>2</v>
      </c>
      <c r="C437" s="409" t="s">
        <v>1095</v>
      </c>
      <c r="D437" s="434" t="s">
        <v>1578</v>
      </c>
      <c r="E437" s="506">
        <v>9709627472</v>
      </c>
      <c r="F437" s="488">
        <v>46069</v>
      </c>
      <c r="G437" s="380" t="s">
        <v>55</v>
      </c>
      <c r="H437" s="380">
        <v>13</v>
      </c>
      <c r="I437" s="388">
        <v>1040000</v>
      </c>
      <c r="J437" s="380">
        <v>4</v>
      </c>
      <c r="K437" s="389">
        <f t="shared" si="16"/>
        <v>260000</v>
      </c>
      <c r="L437" s="505">
        <v>45668</v>
      </c>
      <c r="M437" s="505">
        <v>46326</v>
      </c>
      <c r="N437" s="668">
        <v>154984</v>
      </c>
      <c r="O437" s="685">
        <v>4811</v>
      </c>
      <c r="P437" s="363" t="s">
        <v>520</v>
      </c>
      <c r="Q437" s="380"/>
      <c r="R437" s="380"/>
      <c r="S437" s="390" t="s">
        <v>269</v>
      </c>
      <c r="T437" s="363" t="s">
        <v>999</v>
      </c>
      <c r="U437" s="390" t="s">
        <v>442</v>
      </c>
      <c r="V437" s="363" t="s">
        <v>1857</v>
      </c>
      <c r="W437" s="390" t="s">
        <v>444</v>
      </c>
      <c r="X437" s="363" t="s">
        <v>2039</v>
      </c>
      <c r="Y437" s="363" t="s">
        <v>445</v>
      </c>
      <c r="Z437" s="363"/>
      <c r="AA437" s="363"/>
      <c r="AB437" s="363"/>
      <c r="AC437" s="363"/>
      <c r="AD437" s="363"/>
      <c r="AE437" s="363" t="s">
        <v>619</v>
      </c>
      <c r="AF437" s="380" t="s">
        <v>63</v>
      </c>
      <c r="AG437" s="380">
        <v>4</v>
      </c>
      <c r="AH437" s="363" t="s">
        <v>667</v>
      </c>
    </row>
    <row r="438" spans="2:34" ht="15" hidden="1" customHeight="1" x14ac:dyDescent="0.3">
      <c r="B438" s="380" t="s">
        <v>2</v>
      </c>
      <c r="C438" s="409" t="s">
        <v>975</v>
      </c>
      <c r="D438" s="423" t="s">
        <v>1136</v>
      </c>
      <c r="E438" s="408">
        <v>6100013233</v>
      </c>
      <c r="F438" s="488">
        <v>46055</v>
      </c>
      <c r="G438" s="380" t="s">
        <v>55</v>
      </c>
      <c r="H438" s="380">
        <v>1</v>
      </c>
      <c r="I438" s="388">
        <v>112000</v>
      </c>
      <c r="J438" s="380">
        <v>3</v>
      </c>
      <c r="K438" s="389">
        <f t="shared" si="16"/>
        <v>37333.333333333336</v>
      </c>
      <c r="L438" s="505">
        <v>45992</v>
      </c>
      <c r="M438" s="505">
        <v>46356</v>
      </c>
      <c r="N438" s="668"/>
      <c r="O438" s="685"/>
      <c r="P438" s="363" t="s">
        <v>520</v>
      </c>
      <c r="Q438" s="380"/>
      <c r="R438" s="380"/>
      <c r="S438" s="390" t="s">
        <v>361</v>
      </c>
      <c r="T438" s="363" t="s">
        <v>1262</v>
      </c>
      <c r="U438" s="390" t="s">
        <v>1579</v>
      </c>
      <c r="V438" s="363" t="s">
        <v>1960</v>
      </c>
      <c r="W438" s="363" t="s">
        <v>1108</v>
      </c>
      <c r="X438" s="363" t="s">
        <v>1580</v>
      </c>
      <c r="Y438" s="363"/>
      <c r="Z438" s="363"/>
      <c r="AA438" s="363"/>
      <c r="AB438" s="363"/>
      <c r="AC438" s="363"/>
      <c r="AD438" s="363"/>
      <c r="AE438" s="363" t="s">
        <v>551</v>
      </c>
      <c r="AF438" s="380" t="s">
        <v>207</v>
      </c>
      <c r="AG438" s="380">
        <v>3</v>
      </c>
      <c r="AH438" s="363" t="s">
        <v>1581</v>
      </c>
    </row>
    <row r="439" spans="2:34" ht="15" hidden="1" customHeight="1" x14ac:dyDescent="0.3">
      <c r="B439" s="380" t="s">
        <v>2</v>
      </c>
      <c r="C439" s="412" t="s">
        <v>502</v>
      </c>
      <c r="D439" s="437" t="s">
        <v>151</v>
      </c>
      <c r="E439" s="447" t="s">
        <v>1582</v>
      </c>
      <c r="F439" s="488">
        <v>46049</v>
      </c>
      <c r="G439" s="380" t="s">
        <v>55</v>
      </c>
      <c r="H439" s="380">
        <v>1</v>
      </c>
      <c r="I439" s="388">
        <v>76440</v>
      </c>
      <c r="J439" s="380">
        <v>3</v>
      </c>
      <c r="K439" s="389"/>
      <c r="L439" s="505">
        <v>46023</v>
      </c>
      <c r="M439" s="505">
        <v>46387</v>
      </c>
      <c r="N439" s="668"/>
      <c r="O439" s="685"/>
      <c r="P439" s="363" t="s">
        <v>520</v>
      </c>
      <c r="Q439" s="380"/>
      <c r="R439" s="380"/>
      <c r="S439" s="390" t="s">
        <v>347</v>
      </c>
      <c r="T439" s="363" t="s">
        <v>1727</v>
      </c>
      <c r="U439" s="363" t="s">
        <v>348</v>
      </c>
      <c r="V439" s="363"/>
      <c r="W439" s="363" t="s">
        <v>349</v>
      </c>
      <c r="X439" s="363"/>
      <c r="Y439" s="363"/>
      <c r="Z439" s="363"/>
      <c r="AA439" s="363"/>
      <c r="AB439" s="363"/>
      <c r="AC439" s="363"/>
      <c r="AD439" s="363"/>
      <c r="AE439" s="363" t="s">
        <v>507</v>
      </c>
      <c r="AF439" s="380" t="s">
        <v>63</v>
      </c>
      <c r="AG439" s="380">
        <v>3</v>
      </c>
      <c r="AH439" s="363" t="s">
        <v>1583</v>
      </c>
    </row>
    <row r="440" spans="2:34" ht="15" hidden="1" customHeight="1" x14ac:dyDescent="0.3">
      <c r="B440" s="380" t="s">
        <v>2</v>
      </c>
      <c r="C440" s="482" t="s">
        <v>1584</v>
      </c>
      <c r="D440" s="483" t="s">
        <v>151</v>
      </c>
      <c r="E440" s="468">
        <v>7408</v>
      </c>
      <c r="F440" s="488">
        <v>46029</v>
      </c>
      <c r="G440" s="380" t="s">
        <v>55</v>
      </c>
      <c r="H440" s="380">
        <v>1</v>
      </c>
      <c r="I440" s="388">
        <v>67500</v>
      </c>
      <c r="J440" s="380">
        <v>3</v>
      </c>
      <c r="K440" s="389">
        <f t="shared" ref="K440:K458" si="17">I440/J440</f>
        <v>22500</v>
      </c>
      <c r="L440" s="504">
        <v>46023</v>
      </c>
      <c r="M440" s="504">
        <v>46387</v>
      </c>
      <c r="N440" s="667"/>
      <c r="O440" s="684"/>
      <c r="P440" s="363" t="s">
        <v>520</v>
      </c>
      <c r="Q440" s="380"/>
      <c r="R440" s="380"/>
      <c r="S440" s="390" t="s">
        <v>347</v>
      </c>
      <c r="T440" s="363" t="s">
        <v>1735</v>
      </c>
      <c r="U440" s="363" t="s">
        <v>348</v>
      </c>
      <c r="V440" s="363"/>
      <c r="W440" s="363" t="s">
        <v>349</v>
      </c>
      <c r="X440" s="363"/>
      <c r="Y440" s="363"/>
      <c r="Z440" s="363"/>
      <c r="AA440" s="363"/>
      <c r="AB440" s="363"/>
      <c r="AC440" s="363"/>
      <c r="AD440" s="363"/>
      <c r="AE440" s="363" t="s">
        <v>507</v>
      </c>
      <c r="AF440" s="380" t="s">
        <v>63</v>
      </c>
      <c r="AG440" s="380">
        <v>3</v>
      </c>
      <c r="AH440" s="363" t="s">
        <v>1585</v>
      </c>
    </row>
    <row r="441" spans="2:34" ht="15" hidden="1" customHeight="1" x14ac:dyDescent="0.3">
      <c r="B441" s="380" t="s">
        <v>2</v>
      </c>
      <c r="C441" s="485" t="s">
        <v>948</v>
      </c>
      <c r="D441" s="486" t="s">
        <v>987</v>
      </c>
      <c r="E441" s="451">
        <v>9000005172</v>
      </c>
      <c r="F441" s="387">
        <v>46069</v>
      </c>
      <c r="G441" s="380" t="s">
        <v>55</v>
      </c>
      <c r="H441" s="380">
        <v>1</v>
      </c>
      <c r="I441" s="388">
        <v>18620</v>
      </c>
      <c r="J441" s="380">
        <v>1</v>
      </c>
      <c r="K441" s="389">
        <f t="shared" si="17"/>
        <v>18620</v>
      </c>
      <c r="L441" s="507">
        <v>46023</v>
      </c>
      <c r="M441" s="507">
        <v>46112</v>
      </c>
      <c r="N441" s="663"/>
      <c r="O441" s="680"/>
      <c r="P441" s="363" t="s">
        <v>19</v>
      </c>
      <c r="Q441" s="380" t="s">
        <v>3</v>
      </c>
      <c r="R441" s="380"/>
      <c r="S441" s="390" t="s">
        <v>396</v>
      </c>
      <c r="T441" s="363" t="s">
        <v>1162</v>
      </c>
      <c r="U441" s="363"/>
      <c r="V441" s="363"/>
      <c r="W441" s="363"/>
      <c r="X441" s="363"/>
      <c r="Y441" s="363"/>
      <c r="Z441" s="363"/>
      <c r="AA441" s="363"/>
      <c r="AB441" s="363"/>
      <c r="AC441" s="363"/>
      <c r="AD441" s="363"/>
      <c r="AE441" s="363" t="s">
        <v>551</v>
      </c>
      <c r="AF441" s="380" t="s">
        <v>207</v>
      </c>
      <c r="AG441" s="380"/>
      <c r="AH441" s="363"/>
    </row>
    <row r="442" spans="2:34" ht="15" hidden="1" customHeight="1" x14ac:dyDescent="0.3">
      <c r="B442" s="380" t="s">
        <v>2</v>
      </c>
      <c r="C442" s="409" t="s">
        <v>1586</v>
      </c>
      <c r="D442" s="423" t="s">
        <v>151</v>
      </c>
      <c r="E442" s="408" t="s">
        <v>1587</v>
      </c>
      <c r="F442" s="501">
        <v>46045</v>
      </c>
      <c r="G442" s="380" t="s">
        <v>55</v>
      </c>
      <c r="H442" s="380"/>
      <c r="I442" s="388">
        <v>240000</v>
      </c>
      <c r="J442" s="380">
        <v>2</v>
      </c>
      <c r="K442" s="389">
        <f t="shared" si="17"/>
        <v>120000</v>
      </c>
      <c r="L442" s="505">
        <v>46023</v>
      </c>
      <c r="M442" s="505">
        <v>46387</v>
      </c>
      <c r="N442" s="668"/>
      <c r="O442" s="685"/>
      <c r="P442" s="363" t="s">
        <v>520</v>
      </c>
      <c r="Q442" s="380"/>
      <c r="R442" s="380"/>
      <c r="S442" s="390" t="s">
        <v>607</v>
      </c>
      <c r="T442" s="363" t="s">
        <v>1854</v>
      </c>
      <c r="U442" s="363" t="s">
        <v>608</v>
      </c>
      <c r="V442" s="363"/>
      <c r="W442" s="363"/>
      <c r="X442" s="363"/>
      <c r="Y442" s="363"/>
      <c r="Z442" s="363"/>
      <c r="AA442" s="363"/>
      <c r="AB442" s="363"/>
      <c r="AC442" s="363"/>
      <c r="AD442" s="363"/>
      <c r="AE442" s="363" t="s">
        <v>478</v>
      </c>
      <c r="AF442" s="380" t="s">
        <v>63</v>
      </c>
      <c r="AG442" s="380">
        <v>3</v>
      </c>
      <c r="AH442" s="363" t="s">
        <v>667</v>
      </c>
    </row>
    <row r="443" spans="2:34" ht="15" hidden="1" customHeight="1" x14ac:dyDescent="0.3">
      <c r="B443" s="380" t="s">
        <v>2</v>
      </c>
      <c r="C443" s="409" t="s">
        <v>1586</v>
      </c>
      <c r="D443" s="423" t="s">
        <v>151</v>
      </c>
      <c r="E443" s="408" t="s">
        <v>1587</v>
      </c>
      <c r="F443" s="501">
        <v>46045</v>
      </c>
      <c r="G443" s="380" t="s">
        <v>55</v>
      </c>
      <c r="H443" s="380">
        <v>2</v>
      </c>
      <c r="I443" s="388">
        <v>240000</v>
      </c>
      <c r="J443" s="380">
        <v>2</v>
      </c>
      <c r="K443" s="389">
        <f t="shared" si="17"/>
        <v>120000</v>
      </c>
      <c r="L443" s="507">
        <v>46388</v>
      </c>
      <c r="M443" s="507">
        <v>46752</v>
      </c>
      <c r="N443" s="663"/>
      <c r="O443" s="680"/>
      <c r="P443" s="363" t="s">
        <v>520</v>
      </c>
      <c r="Q443" s="380"/>
      <c r="R443" s="380"/>
      <c r="S443" s="363" t="s">
        <v>1588</v>
      </c>
      <c r="T443" s="363"/>
      <c r="U443" s="363" t="s">
        <v>1482</v>
      </c>
      <c r="V443" s="363"/>
      <c r="W443" s="363"/>
      <c r="X443" s="363"/>
      <c r="Y443" s="363"/>
      <c r="Z443" s="363"/>
      <c r="AA443" s="363"/>
      <c r="AB443" s="363"/>
      <c r="AC443" s="363"/>
      <c r="AD443" s="363"/>
      <c r="AE443" s="363" t="s">
        <v>478</v>
      </c>
      <c r="AF443" s="380" t="s">
        <v>63</v>
      </c>
      <c r="AG443" s="380">
        <v>3</v>
      </c>
      <c r="AH443" s="363" t="s">
        <v>667</v>
      </c>
    </row>
    <row r="444" spans="2:34" ht="15" hidden="1" customHeight="1" x14ac:dyDescent="0.3">
      <c r="B444" s="380" t="s">
        <v>2</v>
      </c>
      <c r="C444" s="409" t="s">
        <v>1589</v>
      </c>
      <c r="D444" s="423" t="s">
        <v>1317</v>
      </c>
      <c r="E444" s="408" t="s">
        <v>1590</v>
      </c>
      <c r="F444" s="488">
        <v>46064</v>
      </c>
      <c r="G444" s="380" t="s">
        <v>55</v>
      </c>
      <c r="H444" s="380">
        <v>1</v>
      </c>
      <c r="I444" s="388">
        <v>80000</v>
      </c>
      <c r="J444" s="380">
        <v>2</v>
      </c>
      <c r="K444" s="389">
        <f t="shared" si="17"/>
        <v>40000</v>
      </c>
      <c r="L444" s="505">
        <v>46023</v>
      </c>
      <c r="M444" s="508">
        <v>46387</v>
      </c>
      <c r="N444" s="668"/>
      <c r="O444" s="685"/>
      <c r="P444" s="363" t="s">
        <v>520</v>
      </c>
      <c r="Q444" s="380"/>
      <c r="R444" s="380"/>
      <c r="S444" s="394" t="s">
        <v>607</v>
      </c>
      <c r="T444" s="363" t="s">
        <v>1937</v>
      </c>
      <c r="U444" s="363" t="s">
        <v>608</v>
      </c>
      <c r="V444" s="363"/>
      <c r="W444" s="363"/>
      <c r="X444" s="363"/>
      <c r="Y444" s="363"/>
      <c r="Z444" s="363"/>
      <c r="AA444" s="363"/>
      <c r="AB444" s="363"/>
      <c r="AC444" s="363"/>
      <c r="AD444" s="363"/>
      <c r="AE444" s="363" t="s">
        <v>478</v>
      </c>
      <c r="AF444" s="380" t="s">
        <v>63</v>
      </c>
      <c r="AG444" s="380">
        <v>3</v>
      </c>
      <c r="AH444" s="363" t="s">
        <v>1319</v>
      </c>
    </row>
    <row r="445" spans="2:34" ht="15" hidden="1" customHeight="1" x14ac:dyDescent="0.3">
      <c r="B445" s="380" t="s">
        <v>2</v>
      </c>
      <c r="C445" s="409" t="s">
        <v>598</v>
      </c>
      <c r="D445" s="423" t="s">
        <v>388</v>
      </c>
      <c r="E445" s="419">
        <v>3800068822</v>
      </c>
      <c r="F445" s="488">
        <v>46069</v>
      </c>
      <c r="G445" s="380" t="s">
        <v>55</v>
      </c>
      <c r="H445" s="380">
        <v>2</v>
      </c>
      <c r="I445" s="388">
        <v>116000</v>
      </c>
      <c r="J445" s="380">
        <v>2</v>
      </c>
      <c r="K445" s="389">
        <f t="shared" si="17"/>
        <v>58000</v>
      </c>
      <c r="L445" s="505">
        <v>46082</v>
      </c>
      <c r="M445" s="505">
        <v>46446</v>
      </c>
      <c r="N445" s="668"/>
      <c r="O445" s="685"/>
      <c r="P445" s="363" t="s">
        <v>520</v>
      </c>
      <c r="Q445" s="380"/>
      <c r="R445" s="380"/>
      <c r="S445" s="363" t="s">
        <v>1235</v>
      </c>
      <c r="T445" s="363"/>
      <c r="U445" s="363" t="s">
        <v>1534</v>
      </c>
      <c r="V445" s="363"/>
      <c r="W445" s="363"/>
      <c r="X445" s="363"/>
      <c r="Y445" s="363"/>
      <c r="Z445" s="363"/>
      <c r="AA445" s="363"/>
      <c r="AB445" s="363"/>
      <c r="AC445" s="363"/>
      <c r="AD445" s="363"/>
      <c r="AE445" s="363" t="s">
        <v>478</v>
      </c>
      <c r="AF445" s="380" t="s">
        <v>63</v>
      </c>
      <c r="AG445" s="380">
        <v>2</v>
      </c>
      <c r="AH445" s="363" t="s">
        <v>799</v>
      </c>
    </row>
    <row r="446" spans="2:34" ht="15" hidden="1" customHeight="1" x14ac:dyDescent="0.3">
      <c r="B446" s="380" t="s">
        <v>2</v>
      </c>
      <c r="C446" s="482" t="s">
        <v>1591</v>
      </c>
      <c r="D446" s="483" t="s">
        <v>1592</v>
      </c>
      <c r="E446" s="468">
        <v>4601527055</v>
      </c>
      <c r="F446" s="488">
        <v>46073</v>
      </c>
      <c r="G446" s="380" t="s">
        <v>55</v>
      </c>
      <c r="H446" s="380">
        <v>1</v>
      </c>
      <c r="I446" s="388">
        <v>75000</v>
      </c>
      <c r="J446" s="380">
        <v>3</v>
      </c>
      <c r="K446" s="389">
        <f t="shared" si="17"/>
        <v>25000</v>
      </c>
      <c r="L446" s="504">
        <v>46073</v>
      </c>
      <c r="M446" s="504">
        <v>46437</v>
      </c>
      <c r="N446" s="667"/>
      <c r="O446" s="684"/>
      <c r="P446" s="363" t="s">
        <v>520</v>
      </c>
      <c r="Q446" s="380"/>
      <c r="R446" s="380"/>
      <c r="S446" s="390" t="s">
        <v>1333</v>
      </c>
      <c r="T446" s="363" t="s">
        <v>1869</v>
      </c>
      <c r="U446" s="363" t="s">
        <v>1334</v>
      </c>
      <c r="V446" s="363"/>
      <c r="W446" s="363" t="s">
        <v>1593</v>
      </c>
      <c r="X446" s="363"/>
      <c r="Y446" s="363"/>
      <c r="Z446" s="363"/>
      <c r="AA446" s="363"/>
      <c r="AB446" s="363"/>
      <c r="AC446" s="363"/>
      <c r="AD446" s="363"/>
      <c r="AE446" s="363" t="s">
        <v>478</v>
      </c>
      <c r="AF446" s="380" t="s">
        <v>63</v>
      </c>
      <c r="AG446" s="380">
        <v>3</v>
      </c>
      <c r="AH446" s="363"/>
    </row>
    <row r="447" spans="2:34" ht="15" hidden="1" customHeight="1" x14ac:dyDescent="0.3">
      <c r="B447" s="380" t="s">
        <v>2</v>
      </c>
      <c r="C447" s="478" t="s">
        <v>1328</v>
      </c>
      <c r="D447" s="480" t="s">
        <v>841</v>
      </c>
      <c r="E447" s="481">
        <v>470079278</v>
      </c>
      <c r="F447" s="496">
        <v>46055</v>
      </c>
      <c r="G447" s="380" t="s">
        <v>55</v>
      </c>
      <c r="H447" s="380">
        <v>10</v>
      </c>
      <c r="I447" s="388">
        <v>633600</v>
      </c>
      <c r="J447" s="380">
        <v>1</v>
      </c>
      <c r="K447" s="389">
        <f t="shared" si="17"/>
        <v>633600</v>
      </c>
      <c r="L447" s="381">
        <v>46023</v>
      </c>
      <c r="M447" s="381">
        <v>46387</v>
      </c>
      <c r="N447" s="663"/>
      <c r="O447" s="680"/>
      <c r="P447" s="363" t="s">
        <v>520</v>
      </c>
      <c r="Q447" s="380"/>
      <c r="R447" s="380"/>
      <c r="S447" s="363" t="s">
        <v>1594</v>
      </c>
      <c r="T447" s="363"/>
      <c r="U447" s="363"/>
      <c r="V447" s="363"/>
      <c r="W447" s="363"/>
      <c r="X447" s="363"/>
      <c r="Y447" s="363"/>
      <c r="Z447" s="363"/>
      <c r="AA447" s="363"/>
      <c r="AB447" s="363"/>
      <c r="AC447" s="363"/>
      <c r="AD447" s="363"/>
      <c r="AE447" s="363" t="s">
        <v>485</v>
      </c>
      <c r="AF447" s="380" t="s">
        <v>63</v>
      </c>
      <c r="AG447" s="380">
        <v>2</v>
      </c>
      <c r="AH447" s="363" t="s">
        <v>1488</v>
      </c>
    </row>
    <row r="448" spans="2:34" ht="15" hidden="1" customHeight="1" x14ac:dyDescent="0.3">
      <c r="B448" s="380" t="s">
        <v>2</v>
      </c>
      <c r="C448" s="482" t="s">
        <v>1595</v>
      </c>
      <c r="D448" s="483" t="s">
        <v>818</v>
      </c>
      <c r="E448" s="468" t="s">
        <v>1596</v>
      </c>
      <c r="F448" s="488">
        <v>46056</v>
      </c>
      <c r="G448" s="380" t="s">
        <v>55</v>
      </c>
      <c r="H448" s="380"/>
      <c r="I448" s="388">
        <v>949104</v>
      </c>
      <c r="J448" s="380">
        <v>3</v>
      </c>
      <c r="K448" s="389">
        <f t="shared" si="17"/>
        <v>316368</v>
      </c>
      <c r="L448" s="504">
        <v>46082</v>
      </c>
      <c r="M448" s="504">
        <v>46446</v>
      </c>
      <c r="N448" s="667"/>
      <c r="O448" s="684"/>
      <c r="P448" s="363" t="s">
        <v>520</v>
      </c>
      <c r="Q448" s="380"/>
      <c r="R448" s="380"/>
      <c r="S448" s="390" t="s">
        <v>194</v>
      </c>
      <c r="T448" s="363" t="s">
        <v>1736</v>
      </c>
      <c r="U448" s="363" t="s">
        <v>1344</v>
      </c>
      <c r="V448" s="363"/>
      <c r="W448" s="363" t="s">
        <v>1597</v>
      </c>
      <c r="X448" s="363"/>
      <c r="Y448" s="363"/>
      <c r="Z448" s="363"/>
      <c r="AA448" s="363"/>
      <c r="AB448" s="363"/>
      <c r="AC448" s="363"/>
      <c r="AD448" s="363"/>
      <c r="AE448" s="363" t="s">
        <v>281</v>
      </c>
      <c r="AF448" s="380" t="s">
        <v>97</v>
      </c>
      <c r="AG448" s="380">
        <v>3</v>
      </c>
      <c r="AH448" s="363" t="s">
        <v>1345</v>
      </c>
    </row>
    <row r="449" spans="2:34" ht="15" hidden="1" customHeight="1" x14ac:dyDescent="0.3">
      <c r="B449" s="380" t="s">
        <v>2</v>
      </c>
      <c r="C449" s="482" t="s">
        <v>1595</v>
      </c>
      <c r="D449" s="483" t="s">
        <v>818</v>
      </c>
      <c r="E449" s="468" t="s">
        <v>1596</v>
      </c>
      <c r="F449" s="488">
        <v>46056</v>
      </c>
      <c r="G449" s="380" t="s">
        <v>55</v>
      </c>
      <c r="H449" s="380">
        <v>9</v>
      </c>
      <c r="I449" s="388">
        <v>949104</v>
      </c>
      <c r="J449" s="380">
        <v>3</v>
      </c>
      <c r="K449" s="389">
        <f t="shared" si="17"/>
        <v>316368</v>
      </c>
      <c r="L449" s="507">
        <v>46447</v>
      </c>
      <c r="M449" s="507">
        <v>46812</v>
      </c>
      <c r="N449" s="663"/>
      <c r="O449" s="680"/>
      <c r="P449" s="363" t="s">
        <v>520</v>
      </c>
      <c r="Q449" s="380"/>
      <c r="R449" s="380"/>
      <c r="S449" s="363" t="s">
        <v>1598</v>
      </c>
      <c r="T449" s="363"/>
      <c r="U449" s="363" t="s">
        <v>1599</v>
      </c>
      <c r="V449" s="363"/>
      <c r="W449" s="363" t="s">
        <v>1600</v>
      </c>
      <c r="X449" s="363"/>
      <c r="Y449" s="363"/>
      <c r="Z449" s="363"/>
      <c r="AA449" s="363"/>
      <c r="AB449" s="363"/>
      <c r="AC449" s="363"/>
      <c r="AD449" s="363"/>
      <c r="AE449" s="363" t="s">
        <v>281</v>
      </c>
      <c r="AF449" s="380" t="s">
        <v>97</v>
      </c>
      <c r="AG449" s="380">
        <v>3</v>
      </c>
      <c r="AH449" s="363" t="s">
        <v>1345</v>
      </c>
    </row>
    <row r="450" spans="2:34" ht="15" hidden="1" customHeight="1" x14ac:dyDescent="0.3">
      <c r="B450" s="380" t="s">
        <v>2</v>
      </c>
      <c r="C450" s="409" t="s">
        <v>889</v>
      </c>
      <c r="D450" s="489" t="s">
        <v>890</v>
      </c>
      <c r="E450" s="419">
        <v>4500037089</v>
      </c>
      <c r="F450" s="488">
        <v>46077</v>
      </c>
      <c r="G450" s="380" t="s">
        <v>55</v>
      </c>
      <c r="H450" s="380">
        <v>2</v>
      </c>
      <c r="I450" s="388">
        <v>217800</v>
      </c>
      <c r="J450" s="380">
        <v>2</v>
      </c>
      <c r="K450" s="389">
        <f t="shared" si="17"/>
        <v>108900</v>
      </c>
      <c r="L450" s="505">
        <v>46054</v>
      </c>
      <c r="M450" s="508">
        <v>46418</v>
      </c>
      <c r="N450" s="668"/>
      <c r="O450" s="685"/>
      <c r="P450" s="363" t="s">
        <v>520</v>
      </c>
      <c r="Q450" s="380"/>
      <c r="R450" s="380"/>
      <c r="S450" s="390" t="s">
        <v>426</v>
      </c>
      <c r="T450" s="363" t="s">
        <v>1338</v>
      </c>
      <c r="U450" s="363" t="s">
        <v>427</v>
      </c>
      <c r="V450" s="363"/>
      <c r="W450" s="363"/>
      <c r="X450" s="363"/>
      <c r="Y450" s="363"/>
      <c r="Z450" s="363"/>
      <c r="AA450" s="363"/>
      <c r="AB450" s="363"/>
      <c r="AC450" s="363"/>
      <c r="AD450" s="363"/>
      <c r="AE450" s="363" t="s">
        <v>1535</v>
      </c>
      <c r="AF450" s="380" t="s">
        <v>97</v>
      </c>
      <c r="AG450" s="380">
        <v>2</v>
      </c>
      <c r="AH450" s="363" t="s">
        <v>799</v>
      </c>
    </row>
    <row r="451" spans="2:34" ht="15" hidden="1" customHeight="1" x14ac:dyDescent="0.3">
      <c r="B451" s="380" t="s">
        <v>3</v>
      </c>
      <c r="C451" s="409" t="s">
        <v>739</v>
      </c>
      <c r="D451" s="489" t="s">
        <v>1601</v>
      </c>
      <c r="E451" s="509">
        <v>3400016097</v>
      </c>
      <c r="F451" s="488">
        <v>46070</v>
      </c>
      <c r="G451" s="380" t="s">
        <v>55</v>
      </c>
      <c r="H451" s="380">
        <v>10</v>
      </c>
      <c r="I451" s="388">
        <v>700448</v>
      </c>
      <c r="J451" s="380">
        <v>4</v>
      </c>
      <c r="K451" s="389">
        <f t="shared" si="17"/>
        <v>175112</v>
      </c>
      <c r="L451" s="505">
        <v>46054</v>
      </c>
      <c r="M451" s="505">
        <v>46418</v>
      </c>
      <c r="N451" s="668"/>
      <c r="O451" s="685"/>
      <c r="P451" s="363" t="s">
        <v>520</v>
      </c>
      <c r="Q451" s="380"/>
      <c r="R451" s="380"/>
      <c r="S451" s="390" t="s">
        <v>442</v>
      </c>
      <c r="T451" s="363" t="s">
        <v>1602</v>
      </c>
      <c r="U451" s="390" t="s">
        <v>444</v>
      </c>
      <c r="V451" s="363" t="s">
        <v>1962</v>
      </c>
      <c r="W451" s="363" t="s">
        <v>445</v>
      </c>
      <c r="X451" s="363"/>
      <c r="Y451" s="363" t="s">
        <v>456</v>
      </c>
      <c r="Z451" s="363"/>
      <c r="AA451" s="363"/>
      <c r="AB451" s="363"/>
      <c r="AC451" s="363"/>
      <c r="AD451" s="363"/>
      <c r="AE451" s="363" t="s">
        <v>96</v>
      </c>
      <c r="AF451" s="380" t="s">
        <v>97</v>
      </c>
      <c r="AG451" s="380" t="s">
        <v>494</v>
      </c>
      <c r="AH451" s="363" t="s">
        <v>835</v>
      </c>
    </row>
    <row r="452" spans="2:34" ht="15" hidden="1" customHeight="1" x14ac:dyDescent="0.3">
      <c r="B452" s="380" t="s">
        <v>3</v>
      </c>
      <c r="C452" s="482" t="s">
        <v>1603</v>
      </c>
      <c r="D452" s="483" t="s">
        <v>590</v>
      </c>
      <c r="E452" s="468">
        <v>2500000150</v>
      </c>
      <c r="F452" s="488">
        <v>46077</v>
      </c>
      <c r="G452" s="380" t="s">
        <v>55</v>
      </c>
      <c r="H452" s="380">
        <v>1</v>
      </c>
      <c r="I452" s="388">
        <v>137749.98000000001</v>
      </c>
      <c r="J452" s="380">
        <v>3</v>
      </c>
      <c r="K452" s="389">
        <f t="shared" si="17"/>
        <v>45916.66</v>
      </c>
      <c r="L452" s="504">
        <v>46082</v>
      </c>
      <c r="M452" s="504">
        <v>46446</v>
      </c>
      <c r="N452" s="667"/>
      <c r="O452" s="684"/>
      <c r="P452" s="363" t="s">
        <v>520</v>
      </c>
      <c r="Q452" s="380"/>
      <c r="R452" s="380"/>
      <c r="S452" s="390" t="s">
        <v>194</v>
      </c>
      <c r="T452" s="363" t="s">
        <v>1737</v>
      </c>
      <c r="U452" s="363" t="s">
        <v>496</v>
      </c>
      <c r="V452" s="363"/>
      <c r="W452" s="363" t="s">
        <v>1597</v>
      </c>
      <c r="X452" s="363"/>
      <c r="Y452" s="363"/>
      <c r="Z452" s="363"/>
      <c r="AA452" s="363"/>
      <c r="AB452" s="363"/>
      <c r="AC452" s="363"/>
      <c r="AD452" s="363"/>
      <c r="AE452" s="363" t="s">
        <v>551</v>
      </c>
      <c r="AF452" s="380" t="s">
        <v>207</v>
      </c>
      <c r="AG452" s="380">
        <v>3</v>
      </c>
      <c r="AH452" s="363" t="s">
        <v>667</v>
      </c>
    </row>
    <row r="453" spans="2:34" ht="15" hidden="1" customHeight="1" x14ac:dyDescent="0.3">
      <c r="B453" s="380" t="s">
        <v>3</v>
      </c>
      <c r="C453" s="409" t="s">
        <v>1326</v>
      </c>
      <c r="D453" s="434" t="s">
        <v>151</v>
      </c>
      <c r="E453" s="380">
        <v>929036351</v>
      </c>
      <c r="F453" s="488">
        <v>46078</v>
      </c>
      <c r="G453" s="380" t="s">
        <v>55</v>
      </c>
      <c r="H453" s="380">
        <v>1</v>
      </c>
      <c r="I453" s="388">
        <v>96000</v>
      </c>
      <c r="J453" s="380">
        <v>3</v>
      </c>
      <c r="K453" s="389">
        <f t="shared" si="17"/>
        <v>32000</v>
      </c>
      <c r="L453" s="505">
        <v>46023</v>
      </c>
      <c r="M453" s="505">
        <v>46387</v>
      </c>
      <c r="N453" s="380">
        <v>155108</v>
      </c>
      <c r="O453" s="380">
        <v>4731</v>
      </c>
      <c r="P453" s="363" t="s">
        <v>520</v>
      </c>
      <c r="S453" s="390" t="s">
        <v>1559</v>
      </c>
      <c r="T453" s="363" t="s">
        <v>1718</v>
      </c>
      <c r="U453" s="390" t="s">
        <v>348</v>
      </c>
      <c r="V453" s="363" t="s">
        <v>1946</v>
      </c>
      <c r="W453" s="363" t="s">
        <v>349</v>
      </c>
      <c r="X453" s="363"/>
      <c r="Y453" s="363"/>
      <c r="Z453" s="363"/>
      <c r="AA453" s="363"/>
      <c r="AB453" s="363"/>
      <c r="AC453" s="363"/>
      <c r="AD453" s="363"/>
      <c r="AE453" s="363" t="s">
        <v>507</v>
      </c>
      <c r="AF453" s="380" t="s">
        <v>63</v>
      </c>
      <c r="AG453" s="380">
        <v>3</v>
      </c>
      <c r="AH453" s="363" t="s">
        <v>1604</v>
      </c>
    </row>
    <row r="454" spans="2:34" ht="15" hidden="1" customHeight="1" x14ac:dyDescent="0.3">
      <c r="B454" s="380" t="s">
        <v>3</v>
      </c>
      <c r="C454" s="412" t="s">
        <v>614</v>
      </c>
      <c r="D454" s="510" t="s">
        <v>447</v>
      </c>
      <c r="E454" s="511" t="s">
        <v>1605</v>
      </c>
      <c r="F454" s="496">
        <v>46064</v>
      </c>
      <c r="G454" s="380" t="s">
        <v>55</v>
      </c>
      <c r="H454" s="380">
        <v>3</v>
      </c>
      <c r="I454" s="388">
        <v>229320</v>
      </c>
      <c r="J454" s="380">
        <v>3</v>
      </c>
      <c r="K454" s="389">
        <f t="shared" si="17"/>
        <v>76440</v>
      </c>
      <c r="L454" s="505">
        <v>46023</v>
      </c>
      <c r="M454" s="505">
        <v>46387</v>
      </c>
      <c r="N454" s="668"/>
      <c r="O454" s="685"/>
      <c r="P454" s="363" t="s">
        <v>520</v>
      </c>
      <c r="Q454" s="363"/>
      <c r="R454" s="363"/>
      <c r="S454" s="390" t="s">
        <v>1559</v>
      </c>
      <c r="T454" s="363" t="s">
        <v>149</v>
      </c>
      <c r="U454" s="390" t="s">
        <v>348</v>
      </c>
      <c r="V454" s="363" t="s">
        <v>2062</v>
      </c>
      <c r="W454" s="363" t="s">
        <v>349</v>
      </c>
      <c r="X454" s="363"/>
      <c r="Y454" s="363"/>
      <c r="Z454" s="363"/>
      <c r="AA454" s="363"/>
      <c r="AB454" s="363"/>
      <c r="AC454" s="363"/>
      <c r="AD454" s="363"/>
      <c r="AE454" s="363" t="s">
        <v>281</v>
      </c>
      <c r="AF454" s="380" t="s">
        <v>97</v>
      </c>
      <c r="AG454" s="380">
        <v>3</v>
      </c>
      <c r="AH454" s="363" t="s">
        <v>1606</v>
      </c>
    </row>
    <row r="455" spans="2:34" ht="15" hidden="1" customHeight="1" x14ac:dyDescent="0.3">
      <c r="B455" s="380" t="s">
        <v>3</v>
      </c>
      <c r="C455" s="482" t="s">
        <v>1607</v>
      </c>
      <c r="D455" s="483" t="s">
        <v>1608</v>
      </c>
      <c r="E455" s="468">
        <v>4500042093</v>
      </c>
      <c r="F455" s="488">
        <v>46065</v>
      </c>
      <c r="G455" s="380" t="s">
        <v>55</v>
      </c>
      <c r="H455" s="380"/>
      <c r="I455" s="388">
        <v>160000</v>
      </c>
      <c r="J455" s="380">
        <v>4</v>
      </c>
      <c r="K455" s="389">
        <f t="shared" si="17"/>
        <v>40000</v>
      </c>
      <c r="L455" s="505">
        <v>46023</v>
      </c>
      <c r="M455" s="505">
        <v>46387</v>
      </c>
      <c r="N455" s="668"/>
      <c r="O455" s="685"/>
      <c r="P455" s="363" t="s">
        <v>520</v>
      </c>
      <c r="Q455" s="380"/>
      <c r="R455" s="380"/>
      <c r="S455" s="390" t="s">
        <v>396</v>
      </c>
      <c r="T455" s="363" t="s">
        <v>466</v>
      </c>
      <c r="U455" s="390" t="s">
        <v>397</v>
      </c>
      <c r="V455" s="363" t="s">
        <v>1963</v>
      </c>
      <c r="W455" s="363" t="s">
        <v>496</v>
      </c>
      <c r="X455" s="363"/>
      <c r="Y455" s="363" t="s">
        <v>497</v>
      </c>
      <c r="Z455" s="363"/>
      <c r="AA455" s="363"/>
      <c r="AB455" s="363"/>
      <c r="AC455" s="363"/>
      <c r="AD455" s="363"/>
      <c r="AE455" s="363" t="s">
        <v>619</v>
      </c>
      <c r="AF455" s="380" t="s">
        <v>63</v>
      </c>
      <c r="AG455" s="380">
        <v>4</v>
      </c>
      <c r="AH455" s="363" t="s">
        <v>667</v>
      </c>
    </row>
    <row r="456" spans="2:34" ht="15" hidden="1" customHeight="1" x14ac:dyDescent="0.3">
      <c r="B456" s="380" t="s">
        <v>3</v>
      </c>
      <c r="C456" s="482" t="s">
        <v>1607</v>
      </c>
      <c r="D456" s="483" t="s">
        <v>1608</v>
      </c>
      <c r="E456" s="468">
        <v>4500042093</v>
      </c>
      <c r="F456" s="488">
        <v>46065</v>
      </c>
      <c r="G456" s="380" t="s">
        <v>55</v>
      </c>
      <c r="H456" s="380"/>
      <c r="I456" s="388">
        <v>160000</v>
      </c>
      <c r="J456" s="380">
        <v>4</v>
      </c>
      <c r="K456" s="389">
        <f t="shared" si="17"/>
        <v>40000</v>
      </c>
      <c r="L456" s="507">
        <v>46388</v>
      </c>
      <c r="M456" s="507">
        <v>46752</v>
      </c>
      <c r="N456" s="663"/>
      <c r="O456" s="680"/>
      <c r="P456" s="363" t="s">
        <v>520</v>
      </c>
      <c r="Q456" s="380"/>
      <c r="R456" s="380"/>
      <c r="S456" s="363" t="s">
        <v>498</v>
      </c>
      <c r="T456" s="363"/>
      <c r="U456" s="363" t="s">
        <v>499</v>
      </c>
      <c r="V456" s="363"/>
      <c r="W456" s="363" t="s">
        <v>500</v>
      </c>
      <c r="X456" s="363"/>
      <c r="Y456" s="363" t="s">
        <v>501</v>
      </c>
      <c r="Z456" s="363"/>
      <c r="AA456" s="363"/>
      <c r="AB456" s="363"/>
      <c r="AC456" s="363"/>
      <c r="AD456" s="363"/>
      <c r="AE456" s="363" t="s">
        <v>619</v>
      </c>
      <c r="AF456" s="380" t="s">
        <v>63</v>
      </c>
      <c r="AG456" s="380">
        <v>4</v>
      </c>
      <c r="AH456" s="363" t="s">
        <v>667</v>
      </c>
    </row>
    <row r="457" spans="2:34" ht="15" hidden="1" customHeight="1" x14ac:dyDescent="0.3">
      <c r="B457" s="380" t="s">
        <v>3</v>
      </c>
      <c r="C457" s="482" t="s">
        <v>1607</v>
      </c>
      <c r="D457" s="483" t="s">
        <v>1608</v>
      </c>
      <c r="E457" s="468">
        <v>4500042093</v>
      </c>
      <c r="F457" s="488">
        <v>46065</v>
      </c>
      <c r="G457" s="380" t="s">
        <v>55</v>
      </c>
      <c r="H457" s="380">
        <v>2</v>
      </c>
      <c r="I457" s="388">
        <v>160000</v>
      </c>
      <c r="J457" s="380">
        <v>4</v>
      </c>
      <c r="K457" s="389">
        <f t="shared" si="17"/>
        <v>40000</v>
      </c>
      <c r="L457" s="507">
        <v>46753</v>
      </c>
      <c r="M457" s="507">
        <v>47118</v>
      </c>
      <c r="N457" s="663"/>
      <c r="O457" s="680"/>
      <c r="P457" s="363" t="s">
        <v>520</v>
      </c>
      <c r="Q457" s="380"/>
      <c r="R457" s="380"/>
      <c r="S457" s="363" t="s">
        <v>674</v>
      </c>
      <c r="T457" s="363"/>
      <c r="U457" s="363" t="s">
        <v>1279</v>
      </c>
      <c r="V457" s="363"/>
      <c r="W457" s="363" t="s">
        <v>1280</v>
      </c>
      <c r="X457" s="363"/>
      <c r="Y457" s="363" t="s">
        <v>1398</v>
      </c>
      <c r="Z457" s="363"/>
      <c r="AA457" s="363"/>
      <c r="AB457" s="363"/>
      <c r="AC457" s="363"/>
      <c r="AD457" s="363"/>
      <c r="AE457" s="363" t="s">
        <v>619</v>
      </c>
      <c r="AF457" s="380" t="s">
        <v>63</v>
      </c>
      <c r="AG457" s="380">
        <v>4</v>
      </c>
      <c r="AH457" s="363" t="s">
        <v>667</v>
      </c>
    </row>
    <row r="458" spans="2:34" ht="15" hidden="1" customHeight="1" x14ac:dyDescent="0.3">
      <c r="B458" s="380" t="s">
        <v>3</v>
      </c>
      <c r="C458" s="409" t="s">
        <v>1609</v>
      </c>
      <c r="D458" s="423" t="s">
        <v>1610</v>
      </c>
      <c r="E458" s="408" t="s">
        <v>1611</v>
      </c>
      <c r="F458" s="488">
        <v>46091</v>
      </c>
      <c r="G458" s="380" t="s">
        <v>55</v>
      </c>
      <c r="H458" s="380">
        <v>1</v>
      </c>
      <c r="I458" s="388">
        <v>135000</v>
      </c>
      <c r="J458" s="380">
        <v>3</v>
      </c>
      <c r="K458" s="389">
        <f t="shared" si="17"/>
        <v>45000</v>
      </c>
      <c r="L458" s="505">
        <v>46091</v>
      </c>
      <c r="M458" s="505">
        <v>46455</v>
      </c>
      <c r="N458" s="668">
        <v>154975</v>
      </c>
      <c r="O458" s="685">
        <v>4597</v>
      </c>
      <c r="P458" s="363" t="s">
        <v>520</v>
      </c>
      <c r="Q458" s="380"/>
      <c r="R458" s="380"/>
      <c r="S458" s="390" t="s">
        <v>1092</v>
      </c>
      <c r="T458" s="363" t="s">
        <v>1338</v>
      </c>
      <c r="U458" s="390" t="s">
        <v>1612</v>
      </c>
      <c r="V458" s="363" t="s">
        <v>1964</v>
      </c>
      <c r="W458" s="363" t="s">
        <v>1613</v>
      </c>
      <c r="X458" s="363"/>
      <c r="Y458" s="363"/>
      <c r="Z458" s="363"/>
      <c r="AA458" s="363"/>
      <c r="AB458" s="363"/>
      <c r="AC458" s="363"/>
      <c r="AD458" s="363"/>
      <c r="AE458" s="363" t="s">
        <v>551</v>
      </c>
      <c r="AF458" s="380" t="s">
        <v>207</v>
      </c>
      <c r="AG458" s="380">
        <v>3</v>
      </c>
      <c r="AH458" s="363" t="s">
        <v>799</v>
      </c>
    </row>
    <row r="459" spans="2:34" ht="15" hidden="1" customHeight="1" x14ac:dyDescent="0.3">
      <c r="B459" s="380" t="s">
        <v>3</v>
      </c>
      <c r="C459" s="552" t="s">
        <v>975</v>
      </c>
      <c r="D459" s="445" t="s">
        <v>1136</v>
      </c>
      <c r="E459" s="509">
        <v>6100013456</v>
      </c>
      <c r="F459" s="488">
        <v>46069</v>
      </c>
      <c r="G459" s="380" t="s">
        <v>55</v>
      </c>
      <c r="H459" s="380">
        <v>7</v>
      </c>
      <c r="I459" s="388">
        <v>784000</v>
      </c>
      <c r="J459" s="380">
        <v>3</v>
      </c>
      <c r="K459" s="389">
        <f>I459/2</f>
        <v>392000</v>
      </c>
      <c r="L459" s="512">
        <v>46082</v>
      </c>
      <c r="M459" s="512">
        <v>46446</v>
      </c>
      <c r="N459" s="669"/>
      <c r="O459" s="686"/>
      <c r="P459" s="363" t="s">
        <v>520</v>
      </c>
      <c r="Q459" s="380"/>
      <c r="R459" s="380"/>
      <c r="S459" s="390" t="s">
        <v>194</v>
      </c>
      <c r="T459" s="363" t="s">
        <v>1614</v>
      </c>
      <c r="U459" s="363" t="s">
        <v>1344</v>
      </c>
      <c r="V459" s="363" t="s">
        <v>1615</v>
      </c>
      <c r="W459" s="363" t="s">
        <v>1597</v>
      </c>
      <c r="X459" s="363"/>
      <c r="Y459" s="363"/>
      <c r="Z459" s="363"/>
      <c r="AA459" s="363"/>
      <c r="AB459" s="363"/>
      <c r="AC459" s="363"/>
      <c r="AD459" s="363"/>
      <c r="AE459" s="363" t="s">
        <v>551</v>
      </c>
      <c r="AF459" s="380" t="s">
        <v>207</v>
      </c>
      <c r="AG459" s="380">
        <v>3</v>
      </c>
      <c r="AH459" s="538" t="s">
        <v>1616</v>
      </c>
    </row>
    <row r="460" spans="2:34" ht="15" hidden="1" customHeight="1" x14ac:dyDescent="0.3">
      <c r="B460" s="380" t="s">
        <v>3</v>
      </c>
      <c r="C460" s="409" t="s">
        <v>1617</v>
      </c>
      <c r="D460" s="434" t="s">
        <v>1391</v>
      </c>
      <c r="E460" s="380" t="s">
        <v>1618</v>
      </c>
      <c r="F460" s="488">
        <v>46088</v>
      </c>
      <c r="G460" s="380" t="s">
        <v>55</v>
      </c>
      <c r="H460" s="380">
        <v>1</v>
      </c>
      <c r="I460" s="388">
        <v>86000</v>
      </c>
      <c r="J460" s="380">
        <v>2</v>
      </c>
      <c r="K460" s="389">
        <f t="shared" ref="K460:K490" si="18">I460/J460</f>
        <v>43000</v>
      </c>
      <c r="L460" s="505">
        <v>46082</v>
      </c>
      <c r="M460" s="505">
        <v>46446</v>
      </c>
      <c r="N460" s="668"/>
      <c r="O460" s="685"/>
      <c r="P460" s="363" t="s">
        <v>520</v>
      </c>
      <c r="Q460" s="380"/>
      <c r="R460" s="380"/>
      <c r="S460" s="363" t="s">
        <v>1235</v>
      </c>
      <c r="T460" s="363"/>
      <c r="U460" s="363" t="s">
        <v>1534</v>
      </c>
      <c r="V460" s="363"/>
      <c r="W460" s="363"/>
      <c r="X460" s="363"/>
      <c r="Y460" s="363"/>
      <c r="Z460" s="363"/>
      <c r="AA460" s="363"/>
      <c r="AB460" s="363"/>
      <c r="AC460" s="363"/>
      <c r="AD460" s="363"/>
      <c r="AE460" s="363" t="s">
        <v>485</v>
      </c>
      <c r="AF460" s="380" t="s">
        <v>63</v>
      </c>
      <c r="AG460" s="380">
        <v>2</v>
      </c>
      <c r="AH460" s="363" t="s">
        <v>1620</v>
      </c>
    </row>
    <row r="461" spans="2:34" ht="15" hidden="1" customHeight="1" x14ac:dyDescent="0.3">
      <c r="B461" s="380" t="s">
        <v>3</v>
      </c>
      <c r="C461" s="482" t="s">
        <v>1385</v>
      </c>
      <c r="D461" s="483" t="s">
        <v>151</v>
      </c>
      <c r="E461" s="468">
        <v>4500090498</v>
      </c>
      <c r="F461" s="488">
        <v>46063</v>
      </c>
      <c r="G461" s="380" t="s">
        <v>55</v>
      </c>
      <c r="H461" s="380">
        <v>2</v>
      </c>
      <c r="I461" s="388">
        <v>90000</v>
      </c>
      <c r="J461" s="380">
        <v>1</v>
      </c>
      <c r="K461" s="389">
        <f t="shared" si="18"/>
        <v>90000</v>
      </c>
      <c r="L461" s="504">
        <v>46023</v>
      </c>
      <c r="M461" s="504">
        <v>46387</v>
      </c>
      <c r="N461" s="667"/>
      <c r="O461" s="684"/>
      <c r="P461" s="363" t="s">
        <v>520</v>
      </c>
      <c r="Q461" s="380"/>
      <c r="R461" s="380"/>
      <c r="S461" s="363" t="s">
        <v>1594</v>
      </c>
      <c r="T461" s="363"/>
      <c r="U461" s="363"/>
      <c r="V461" s="363"/>
      <c r="W461" s="363"/>
      <c r="X461" s="363"/>
      <c r="Y461" s="363"/>
      <c r="Z461" s="363"/>
      <c r="AA461" s="363"/>
      <c r="AB461" s="363"/>
      <c r="AC461" s="363"/>
      <c r="AD461" s="363"/>
      <c r="AE461" s="363" t="s">
        <v>478</v>
      </c>
      <c r="AF461" s="380" t="s">
        <v>63</v>
      </c>
      <c r="AG461" s="380">
        <v>1</v>
      </c>
      <c r="AH461" s="363" t="s">
        <v>667</v>
      </c>
    </row>
    <row r="462" spans="2:34" ht="15" hidden="1" customHeight="1" x14ac:dyDescent="0.3">
      <c r="B462" s="380" t="s">
        <v>3</v>
      </c>
      <c r="C462" s="363" t="s">
        <v>1621</v>
      </c>
      <c r="D462" s="418" t="s">
        <v>693</v>
      </c>
      <c r="E462" s="408">
        <v>6000085013</v>
      </c>
      <c r="F462" s="488">
        <v>46078</v>
      </c>
      <c r="G462" s="380" t="s">
        <v>55</v>
      </c>
      <c r="H462" s="380"/>
      <c r="I462" s="388">
        <v>136905</v>
      </c>
      <c r="J462" s="380">
        <v>3</v>
      </c>
      <c r="K462" s="389">
        <f t="shared" si="18"/>
        <v>45635</v>
      </c>
      <c r="L462" s="505">
        <v>46082</v>
      </c>
      <c r="M462" s="505">
        <v>46446</v>
      </c>
      <c r="N462" s="668"/>
      <c r="O462" s="685"/>
      <c r="P462" s="363" t="s">
        <v>520</v>
      </c>
      <c r="Q462" s="380"/>
      <c r="R462" s="380"/>
      <c r="S462" s="390" t="s">
        <v>194</v>
      </c>
      <c r="T462" s="363" t="s">
        <v>331</v>
      </c>
      <c r="U462" s="363" t="s">
        <v>1344</v>
      </c>
      <c r="V462" s="363"/>
      <c r="W462" s="363" t="s">
        <v>1597</v>
      </c>
      <c r="X462" s="363"/>
      <c r="Y462" s="363"/>
      <c r="Z462" s="363"/>
      <c r="AA462" s="363"/>
      <c r="AB462" s="363"/>
      <c r="AC462" s="363"/>
      <c r="AD462" s="363"/>
      <c r="AE462" s="363" t="s">
        <v>128</v>
      </c>
      <c r="AF462" s="380" t="s">
        <v>129</v>
      </c>
      <c r="AG462" s="380">
        <v>2</v>
      </c>
      <c r="AH462" s="363" t="s">
        <v>667</v>
      </c>
    </row>
    <row r="463" spans="2:34" ht="15" hidden="1" customHeight="1" x14ac:dyDescent="0.3">
      <c r="B463" s="380" t="s">
        <v>3</v>
      </c>
      <c r="C463" s="363" t="s">
        <v>1621</v>
      </c>
      <c r="D463" s="418" t="s">
        <v>693</v>
      </c>
      <c r="E463" s="408">
        <v>6000085013</v>
      </c>
      <c r="F463" s="488">
        <v>46078</v>
      </c>
      <c r="G463" s="380" t="s">
        <v>55</v>
      </c>
      <c r="H463" s="380"/>
      <c r="I463" s="388">
        <v>136905</v>
      </c>
      <c r="J463" s="380">
        <v>3</v>
      </c>
      <c r="K463" s="389">
        <f t="shared" si="18"/>
        <v>45635</v>
      </c>
      <c r="L463" s="507">
        <v>46447</v>
      </c>
      <c r="M463" s="507">
        <v>46812</v>
      </c>
      <c r="N463" s="663"/>
      <c r="O463" s="680"/>
      <c r="P463" s="363" t="s">
        <v>520</v>
      </c>
      <c r="Q463" s="380"/>
      <c r="R463" s="380"/>
      <c r="S463" s="363" t="s">
        <v>1598</v>
      </c>
      <c r="T463" s="363"/>
      <c r="U463" s="363" t="s">
        <v>1599</v>
      </c>
      <c r="V463" s="363"/>
      <c r="W463" s="363" t="s">
        <v>1600</v>
      </c>
      <c r="X463" s="363"/>
      <c r="Y463" s="363"/>
      <c r="Z463" s="363"/>
      <c r="AA463" s="363"/>
      <c r="AB463" s="363"/>
      <c r="AC463" s="363"/>
      <c r="AD463" s="363"/>
      <c r="AE463" s="363" t="s">
        <v>128</v>
      </c>
      <c r="AF463" s="380" t="s">
        <v>129</v>
      </c>
      <c r="AG463" s="380">
        <v>2</v>
      </c>
      <c r="AH463" s="363" t="s">
        <v>667</v>
      </c>
    </row>
    <row r="464" spans="2:34" ht="15" hidden="1" customHeight="1" x14ac:dyDescent="0.3">
      <c r="B464" s="380" t="s">
        <v>3</v>
      </c>
      <c r="C464" s="363" t="s">
        <v>1621</v>
      </c>
      <c r="D464" s="418" t="s">
        <v>693</v>
      </c>
      <c r="E464" s="408">
        <v>6000085013</v>
      </c>
      <c r="F464" s="488">
        <v>46078</v>
      </c>
      <c r="G464" s="380" t="s">
        <v>55</v>
      </c>
      <c r="H464" s="380">
        <v>1</v>
      </c>
      <c r="I464" s="388">
        <v>136905</v>
      </c>
      <c r="J464" s="380">
        <v>3</v>
      </c>
      <c r="K464" s="389">
        <f t="shared" si="18"/>
        <v>45635</v>
      </c>
      <c r="L464" s="507">
        <v>46813</v>
      </c>
      <c r="M464" s="507">
        <v>47177</v>
      </c>
      <c r="N464" s="663"/>
      <c r="O464" s="680"/>
      <c r="P464" s="363" t="s">
        <v>520</v>
      </c>
      <c r="Q464" s="380"/>
      <c r="R464" s="380"/>
      <c r="S464" s="363" t="s">
        <v>1622</v>
      </c>
      <c r="T464" s="363"/>
      <c r="U464" s="363" t="s">
        <v>1623</v>
      </c>
      <c r="V464" s="363"/>
      <c r="W464" s="363" t="s">
        <v>1624</v>
      </c>
      <c r="X464" s="363"/>
      <c r="Y464" s="363"/>
      <c r="Z464" s="363"/>
      <c r="AA464" s="363"/>
      <c r="AB464" s="363"/>
      <c r="AC464" s="363"/>
      <c r="AD464" s="363"/>
      <c r="AE464" s="363" t="s">
        <v>128</v>
      </c>
      <c r="AF464" s="380" t="s">
        <v>129</v>
      </c>
      <c r="AG464" s="380">
        <v>2</v>
      </c>
      <c r="AH464" s="363" t="s">
        <v>667</v>
      </c>
    </row>
    <row r="465" spans="2:34" ht="15" hidden="1" customHeight="1" x14ac:dyDescent="0.3">
      <c r="B465" s="380" t="s">
        <v>3</v>
      </c>
      <c r="C465" s="482" t="s">
        <v>1625</v>
      </c>
      <c r="D465" s="483" t="s">
        <v>176</v>
      </c>
      <c r="E465" s="468">
        <v>6100109555</v>
      </c>
      <c r="F465" s="488">
        <v>46050</v>
      </c>
      <c r="G465" s="380" t="s">
        <v>55</v>
      </c>
      <c r="H465" s="380">
        <v>6</v>
      </c>
      <c r="I465" s="388">
        <v>531066</v>
      </c>
      <c r="J465" s="380">
        <v>3</v>
      </c>
      <c r="K465" s="389">
        <f t="shared" si="18"/>
        <v>177022</v>
      </c>
      <c r="L465" s="504">
        <v>46023</v>
      </c>
      <c r="M465" s="504">
        <v>46387</v>
      </c>
      <c r="N465" s="667"/>
      <c r="O465" s="684"/>
      <c r="P465" s="363" t="s">
        <v>520</v>
      </c>
      <c r="Q465" s="380"/>
      <c r="R465" s="380"/>
      <c r="S465" s="390" t="s">
        <v>347</v>
      </c>
      <c r="T465" s="363" t="s">
        <v>980</v>
      </c>
      <c r="U465" s="390" t="s">
        <v>348</v>
      </c>
      <c r="V465" s="363" t="s">
        <v>1856</v>
      </c>
      <c r="W465" s="363" t="s">
        <v>349</v>
      </c>
      <c r="X465" s="363"/>
      <c r="Y465" s="363"/>
      <c r="Z465" s="363"/>
      <c r="AA465" s="363"/>
      <c r="AB465" s="363"/>
      <c r="AC465" s="363"/>
      <c r="AD465" s="363"/>
      <c r="AE465" s="363" t="s">
        <v>183</v>
      </c>
      <c r="AF465" s="380" t="s">
        <v>97</v>
      </c>
      <c r="AG465" s="380"/>
      <c r="AH465" s="363" t="s">
        <v>1626</v>
      </c>
    </row>
    <row r="466" spans="2:34" ht="15" hidden="1" customHeight="1" x14ac:dyDescent="0.3">
      <c r="B466" s="380" t="s">
        <v>3</v>
      </c>
      <c r="C466" s="409" t="s">
        <v>1627</v>
      </c>
      <c r="D466" s="423" t="s">
        <v>151</v>
      </c>
      <c r="E466" s="493">
        <v>8183147</v>
      </c>
      <c r="F466" s="488">
        <v>46058</v>
      </c>
      <c r="G466" s="380" t="s">
        <v>55</v>
      </c>
      <c r="H466" s="380">
        <v>3</v>
      </c>
      <c r="I466" s="388">
        <v>232500</v>
      </c>
      <c r="J466" s="380">
        <v>3</v>
      </c>
      <c r="K466" s="389">
        <f t="shared" si="18"/>
        <v>77500</v>
      </c>
      <c r="L466" s="505">
        <v>46023</v>
      </c>
      <c r="M466" s="505">
        <v>46387</v>
      </c>
      <c r="N466" s="668"/>
      <c r="O466" s="685"/>
      <c r="P466" s="363" t="s">
        <v>520</v>
      </c>
      <c r="Q466" s="380"/>
      <c r="R466" s="380"/>
      <c r="S466" s="390" t="s">
        <v>347</v>
      </c>
      <c r="T466" s="363" t="s">
        <v>1738</v>
      </c>
      <c r="U466" s="363" t="s">
        <v>348</v>
      </c>
      <c r="V466" s="363" t="s">
        <v>1628</v>
      </c>
      <c r="W466" s="363" t="s">
        <v>349</v>
      </c>
      <c r="X466" s="363" t="s">
        <v>1628</v>
      </c>
      <c r="Y466" s="363"/>
      <c r="Z466" s="363"/>
      <c r="AA466" s="363"/>
      <c r="AB466" s="363"/>
      <c r="AC466" s="363"/>
      <c r="AD466" s="363"/>
      <c r="AE466" s="363" t="s">
        <v>478</v>
      </c>
      <c r="AF466" s="380" t="s">
        <v>63</v>
      </c>
      <c r="AG466" s="380">
        <v>3</v>
      </c>
      <c r="AH466" s="363" t="s">
        <v>667</v>
      </c>
    </row>
    <row r="467" spans="2:34" ht="15" hidden="1" customHeight="1" x14ac:dyDescent="0.3">
      <c r="B467" s="380" t="s">
        <v>3</v>
      </c>
      <c r="C467" s="409" t="s">
        <v>1095</v>
      </c>
      <c r="D467" s="434" t="s">
        <v>1629</v>
      </c>
      <c r="E467" s="506">
        <v>9709673270</v>
      </c>
      <c r="F467" s="488">
        <v>46086</v>
      </c>
      <c r="G467" s="380" t="s">
        <v>55</v>
      </c>
      <c r="H467" s="380">
        <v>4</v>
      </c>
      <c r="I467" s="388">
        <v>320000</v>
      </c>
      <c r="J467" s="380">
        <v>4</v>
      </c>
      <c r="K467" s="389">
        <f t="shared" si="18"/>
        <v>80000</v>
      </c>
      <c r="L467" s="505">
        <v>46023</v>
      </c>
      <c r="M467" s="505">
        <v>46387</v>
      </c>
      <c r="N467" s="668"/>
      <c r="O467" s="685"/>
      <c r="P467" s="363" t="s">
        <v>520</v>
      </c>
      <c r="Q467" s="380"/>
      <c r="R467" s="380"/>
      <c r="S467" s="390" t="s">
        <v>396</v>
      </c>
      <c r="T467" s="363" t="s">
        <v>455</v>
      </c>
      <c r="U467" s="390" t="s">
        <v>397</v>
      </c>
      <c r="V467" s="363" t="s">
        <v>1944</v>
      </c>
      <c r="W467" s="363" t="s">
        <v>496</v>
      </c>
      <c r="X467" s="363"/>
      <c r="Y467" s="363" t="s">
        <v>497</v>
      </c>
      <c r="Z467" s="363"/>
      <c r="AA467" s="363"/>
      <c r="AB467" s="363"/>
      <c r="AC467" s="363"/>
      <c r="AD467" s="363"/>
      <c r="AE467" s="363" t="s">
        <v>619</v>
      </c>
      <c r="AF467" s="380" t="s">
        <v>63</v>
      </c>
      <c r="AG467" s="380">
        <v>4</v>
      </c>
      <c r="AH467" s="363" t="s">
        <v>667</v>
      </c>
    </row>
    <row r="468" spans="2:34" ht="15" hidden="1" customHeight="1" x14ac:dyDescent="0.3">
      <c r="B468" s="380" t="s">
        <v>3</v>
      </c>
      <c r="C468" s="482" t="s">
        <v>1630</v>
      </c>
      <c r="D468" s="483" t="s">
        <v>1031</v>
      </c>
      <c r="E468" s="468">
        <v>4513903200</v>
      </c>
      <c r="F468" s="488">
        <v>46100</v>
      </c>
      <c r="G468" s="380" t="s">
        <v>55</v>
      </c>
      <c r="H468" s="380">
        <v>2</v>
      </c>
      <c r="I468" s="388">
        <v>100000</v>
      </c>
      <c r="J468" s="380">
        <v>3</v>
      </c>
      <c r="K468" s="389">
        <f t="shared" si="18"/>
        <v>33333.333333333336</v>
      </c>
      <c r="L468" s="505">
        <v>46023</v>
      </c>
      <c r="M468" s="505">
        <v>46387</v>
      </c>
      <c r="N468" s="668"/>
      <c r="O468" s="685"/>
      <c r="P468" s="363" t="s">
        <v>520</v>
      </c>
      <c r="Q468" s="380"/>
      <c r="R468" s="380"/>
      <c r="S468" s="390" t="s">
        <v>347</v>
      </c>
      <c r="T468" s="363" t="s">
        <v>1719</v>
      </c>
      <c r="U468" s="363" t="s">
        <v>348</v>
      </c>
      <c r="V468" s="363"/>
      <c r="W468" s="363" t="s">
        <v>349</v>
      </c>
      <c r="X468" s="363" t="s">
        <v>1739</v>
      </c>
      <c r="Y468" s="363"/>
      <c r="Z468" s="363"/>
      <c r="AA468" s="363"/>
      <c r="AB468" s="363"/>
      <c r="AC468" s="363"/>
      <c r="AD468" s="363"/>
      <c r="AE468" s="363" t="s">
        <v>478</v>
      </c>
      <c r="AF468" s="380" t="s">
        <v>63</v>
      </c>
      <c r="AG468" s="380">
        <v>5</v>
      </c>
      <c r="AH468" s="363" t="s">
        <v>667</v>
      </c>
    </row>
    <row r="469" spans="2:34" ht="15" hidden="1" customHeight="1" x14ac:dyDescent="0.3">
      <c r="B469" s="380" t="s">
        <v>3</v>
      </c>
      <c r="C469" s="482" t="s">
        <v>1631</v>
      </c>
      <c r="D469" s="483" t="s">
        <v>1031</v>
      </c>
      <c r="E469" s="468">
        <v>4513906043</v>
      </c>
      <c r="F469" s="488">
        <v>46101</v>
      </c>
      <c r="G469" s="380" t="s">
        <v>55</v>
      </c>
      <c r="H469" s="380">
        <v>2</v>
      </c>
      <c r="I469" s="388">
        <v>100000</v>
      </c>
      <c r="J469" s="380">
        <v>3</v>
      </c>
      <c r="K469" s="389">
        <f t="shared" si="18"/>
        <v>33333.333333333336</v>
      </c>
      <c r="L469" s="505">
        <v>46023</v>
      </c>
      <c r="M469" s="505">
        <v>46387</v>
      </c>
      <c r="N469" s="668"/>
      <c r="O469" s="685"/>
      <c r="P469" s="363" t="s">
        <v>520</v>
      </c>
      <c r="Q469" s="380"/>
      <c r="R469" s="380"/>
      <c r="S469" s="390" t="s">
        <v>347</v>
      </c>
      <c r="T469" s="363" t="s">
        <v>1870</v>
      </c>
      <c r="U469" s="363" t="s">
        <v>348</v>
      </c>
      <c r="V469" s="363" t="s">
        <v>1871</v>
      </c>
      <c r="W469" s="363" t="s">
        <v>349</v>
      </c>
      <c r="X469" s="363" t="s">
        <v>1871</v>
      </c>
      <c r="Y469" s="363"/>
      <c r="Z469" s="363"/>
      <c r="AA469" s="363"/>
      <c r="AB469" s="363"/>
      <c r="AC469" s="363"/>
      <c r="AD469" s="363"/>
      <c r="AE469" s="363" t="s">
        <v>478</v>
      </c>
      <c r="AF469" s="380" t="s">
        <v>63</v>
      </c>
      <c r="AG469" s="380">
        <v>5</v>
      </c>
      <c r="AH469" s="363" t="s">
        <v>667</v>
      </c>
    </row>
    <row r="470" spans="2:34" ht="15" hidden="1" customHeight="1" x14ac:dyDescent="0.3">
      <c r="B470" s="380" t="s">
        <v>3</v>
      </c>
      <c r="C470" s="482" t="s">
        <v>1632</v>
      </c>
      <c r="D470" s="483" t="s">
        <v>596</v>
      </c>
      <c r="E470" s="468">
        <v>3110016847</v>
      </c>
      <c r="F470" s="488">
        <v>46071</v>
      </c>
      <c r="G470" s="380" t="s">
        <v>55</v>
      </c>
      <c r="H470" s="380">
        <v>1</v>
      </c>
      <c r="I470" s="388">
        <v>50000</v>
      </c>
      <c r="J470" s="380">
        <v>2</v>
      </c>
      <c r="K470" s="389">
        <f t="shared" si="18"/>
        <v>25000</v>
      </c>
      <c r="L470" s="504">
        <v>46113</v>
      </c>
      <c r="M470" s="504">
        <v>46477</v>
      </c>
      <c r="N470" s="667"/>
      <c r="O470" s="684"/>
      <c r="P470" s="363" t="s">
        <v>520</v>
      </c>
      <c r="Q470" s="380"/>
      <c r="R470" s="380"/>
      <c r="S470" s="363" t="s">
        <v>467</v>
      </c>
      <c r="T470" s="363"/>
      <c r="U470" s="363" t="s">
        <v>1633</v>
      </c>
      <c r="V470" s="363"/>
      <c r="W470" s="363"/>
      <c r="X470" s="363"/>
      <c r="Y470" s="363"/>
      <c r="Z470" s="363"/>
      <c r="AA470" s="363"/>
      <c r="AB470" s="363"/>
      <c r="AC470" s="363"/>
      <c r="AD470" s="363"/>
      <c r="AE470" s="363" t="s">
        <v>507</v>
      </c>
      <c r="AF470" s="380" t="s">
        <v>63</v>
      </c>
      <c r="AG470" s="380">
        <v>2</v>
      </c>
      <c r="AH470" s="363" t="s">
        <v>1634</v>
      </c>
    </row>
    <row r="471" spans="2:34" ht="15" hidden="1" customHeight="1" x14ac:dyDescent="0.3">
      <c r="B471" s="380" t="s">
        <v>3</v>
      </c>
      <c r="C471" s="409" t="s">
        <v>1635</v>
      </c>
      <c r="D471" s="489" t="s">
        <v>1636</v>
      </c>
      <c r="E471" s="411" t="s">
        <v>1637</v>
      </c>
      <c r="F471" s="488">
        <v>46070</v>
      </c>
      <c r="G471" s="380" t="s">
        <v>55</v>
      </c>
      <c r="H471" s="380">
        <v>4</v>
      </c>
      <c r="I471" s="388">
        <v>448864</v>
      </c>
      <c r="J471" s="380">
        <v>1</v>
      </c>
      <c r="K471" s="389">
        <f t="shared" si="18"/>
        <v>448864</v>
      </c>
      <c r="L471" s="505">
        <v>46023</v>
      </c>
      <c r="M471" s="505">
        <v>46387</v>
      </c>
      <c r="N471" s="668"/>
      <c r="O471" s="685"/>
      <c r="P471" s="363" t="s">
        <v>19</v>
      </c>
      <c r="Q471" s="380" t="s">
        <v>1872</v>
      </c>
      <c r="R471" s="380"/>
      <c r="S471" s="390" t="s">
        <v>1594</v>
      </c>
      <c r="T471" s="363" t="s">
        <v>1846</v>
      </c>
      <c r="U471" s="363"/>
      <c r="V471" s="363"/>
      <c r="W471" s="363"/>
      <c r="X471" s="363"/>
      <c r="Y471" s="363"/>
      <c r="Z471" s="363"/>
      <c r="AA471" s="363"/>
      <c r="AB471" s="363"/>
      <c r="AC471" s="363"/>
      <c r="AD471" s="363"/>
      <c r="AE471" s="363" t="s">
        <v>96</v>
      </c>
      <c r="AF471" s="380" t="s">
        <v>97</v>
      </c>
      <c r="AG471" s="380" t="s">
        <v>1367</v>
      </c>
      <c r="AH471" s="363" t="s">
        <v>667</v>
      </c>
    </row>
    <row r="472" spans="2:34" ht="15" hidden="1" customHeight="1" x14ac:dyDescent="0.3">
      <c r="B472" s="380" t="s">
        <v>3</v>
      </c>
      <c r="C472" s="409" t="s">
        <v>668</v>
      </c>
      <c r="D472" s="434" t="s">
        <v>669</v>
      </c>
      <c r="E472" s="419">
        <v>50060329</v>
      </c>
      <c r="F472" s="488">
        <v>46106</v>
      </c>
      <c r="G472" s="380" t="s">
        <v>55</v>
      </c>
      <c r="H472" s="380">
        <v>2</v>
      </c>
      <c r="I472" s="388">
        <v>160000</v>
      </c>
      <c r="J472" s="380">
        <v>2</v>
      </c>
      <c r="K472" s="389">
        <f t="shared" si="18"/>
        <v>80000</v>
      </c>
      <c r="L472" s="505">
        <v>46113</v>
      </c>
      <c r="M472" s="505">
        <v>46477</v>
      </c>
      <c r="N472" s="668"/>
      <c r="O472" s="685"/>
      <c r="P472" s="363" t="s">
        <v>520</v>
      </c>
      <c r="Q472" s="380"/>
      <c r="R472" s="380"/>
      <c r="S472" s="390" t="s">
        <v>467</v>
      </c>
      <c r="T472" s="363" t="s">
        <v>1943</v>
      </c>
      <c r="U472" s="363" t="s">
        <v>1633</v>
      </c>
      <c r="V472" s="363"/>
      <c r="W472" s="363"/>
      <c r="X472" s="363"/>
      <c r="Y472" s="363"/>
      <c r="Z472" s="363"/>
      <c r="AA472" s="363"/>
      <c r="AB472" s="363"/>
      <c r="AC472" s="363"/>
      <c r="AD472" s="363"/>
      <c r="AE472" s="363" t="s">
        <v>478</v>
      </c>
      <c r="AF472" s="380" t="s">
        <v>63</v>
      </c>
      <c r="AG472" s="380">
        <v>2</v>
      </c>
      <c r="AH472" s="363" t="s">
        <v>1638</v>
      </c>
    </row>
    <row r="473" spans="2:34" ht="15" hidden="1" customHeight="1" x14ac:dyDescent="0.3">
      <c r="B473" s="380" t="s">
        <v>3</v>
      </c>
      <c r="C473" s="409" t="s">
        <v>668</v>
      </c>
      <c r="D473" s="434" t="s">
        <v>669</v>
      </c>
      <c r="E473" s="419">
        <v>50060329</v>
      </c>
      <c r="F473" s="488">
        <v>46106</v>
      </c>
      <c r="G473" s="380" t="s">
        <v>55</v>
      </c>
      <c r="H473" s="380">
        <v>13</v>
      </c>
      <c r="I473" s="388">
        <v>585000</v>
      </c>
      <c r="J473" s="380">
        <v>1</v>
      </c>
      <c r="K473" s="389">
        <f t="shared" si="18"/>
        <v>585000</v>
      </c>
      <c r="L473" s="505">
        <v>46113</v>
      </c>
      <c r="M473" s="505">
        <v>46477</v>
      </c>
      <c r="N473" s="668"/>
      <c r="O473" s="685"/>
      <c r="P473" s="363" t="s">
        <v>520</v>
      </c>
      <c r="Q473" s="380"/>
      <c r="R473" s="380"/>
      <c r="S473" s="363" t="s">
        <v>646</v>
      </c>
      <c r="T473" s="363"/>
      <c r="U473" s="363"/>
      <c r="V473" s="363"/>
      <c r="W473" s="363"/>
      <c r="X473" s="363"/>
      <c r="Y473" s="363"/>
      <c r="Z473" s="363"/>
      <c r="AA473" s="363"/>
      <c r="AB473" s="363"/>
      <c r="AC473" s="363"/>
      <c r="AD473" s="363"/>
      <c r="AE473" s="363" t="s">
        <v>478</v>
      </c>
      <c r="AF473" s="380" t="s">
        <v>63</v>
      </c>
      <c r="AG473" s="380">
        <v>1</v>
      </c>
      <c r="AH473" s="363" t="s">
        <v>1638</v>
      </c>
    </row>
    <row r="474" spans="2:34" ht="15" hidden="1" customHeight="1" x14ac:dyDescent="0.3">
      <c r="B474" s="380" t="s">
        <v>3</v>
      </c>
      <c r="C474" s="409" t="s">
        <v>1639</v>
      </c>
      <c r="D474" s="489" t="s">
        <v>1088</v>
      </c>
      <c r="E474" s="397">
        <v>3040058268</v>
      </c>
      <c r="F474" s="488">
        <v>46101</v>
      </c>
      <c r="G474" s="380" t="s">
        <v>55</v>
      </c>
      <c r="H474" s="380">
        <v>1</v>
      </c>
      <c r="I474" s="388">
        <v>93000</v>
      </c>
      <c r="J474" s="380">
        <v>3</v>
      </c>
      <c r="K474" s="389">
        <f t="shared" si="18"/>
        <v>31000</v>
      </c>
      <c r="L474" s="505">
        <v>46023</v>
      </c>
      <c r="M474" s="505">
        <v>46387</v>
      </c>
      <c r="N474" s="668"/>
      <c r="O474" s="685"/>
      <c r="P474" s="363" t="s">
        <v>520</v>
      </c>
      <c r="Q474" s="380"/>
      <c r="R474" s="380"/>
      <c r="S474" s="390" t="s">
        <v>347</v>
      </c>
      <c r="T474" s="363" t="s">
        <v>1640</v>
      </c>
      <c r="U474" s="363" t="s">
        <v>348</v>
      </c>
      <c r="V474" s="363"/>
      <c r="W474" s="363" t="s">
        <v>349</v>
      </c>
      <c r="X474" s="363"/>
      <c r="Y474" s="363"/>
      <c r="Z474" s="363"/>
      <c r="AA474" s="363"/>
      <c r="AB474" s="363"/>
      <c r="AC474" s="363"/>
      <c r="AD474" s="363"/>
      <c r="AE474" s="363" t="s">
        <v>96</v>
      </c>
      <c r="AF474" s="380" t="s">
        <v>97</v>
      </c>
      <c r="AG474" s="380" t="s">
        <v>494</v>
      </c>
      <c r="AH474" s="363" t="s">
        <v>1641</v>
      </c>
    </row>
    <row r="475" spans="2:34" ht="15" hidden="1" customHeight="1" x14ac:dyDescent="0.3">
      <c r="B475" s="380" t="s">
        <v>3</v>
      </c>
      <c r="C475" s="409" t="s">
        <v>783</v>
      </c>
      <c r="D475" s="423" t="s">
        <v>1000</v>
      </c>
      <c r="E475" s="493">
        <v>8000161342</v>
      </c>
      <c r="F475" s="501">
        <v>46107</v>
      </c>
      <c r="G475" s="380" t="s">
        <v>55</v>
      </c>
      <c r="H475" s="380">
        <v>7</v>
      </c>
      <c r="I475" s="388">
        <v>890400</v>
      </c>
      <c r="J475" s="380">
        <v>3</v>
      </c>
      <c r="K475" s="389">
        <f t="shared" si="18"/>
        <v>296800</v>
      </c>
      <c r="L475" s="505">
        <v>46023</v>
      </c>
      <c r="M475" s="505">
        <v>46387</v>
      </c>
      <c r="N475" s="668"/>
      <c r="O475" s="685"/>
      <c r="P475" s="363" t="s">
        <v>520</v>
      </c>
      <c r="Q475" s="380"/>
      <c r="R475" s="386" t="s">
        <v>1</v>
      </c>
      <c r="S475" s="390" t="s">
        <v>347</v>
      </c>
      <c r="T475" s="363" t="s">
        <v>1642</v>
      </c>
      <c r="U475" s="363" t="s">
        <v>348</v>
      </c>
      <c r="V475" s="363"/>
      <c r="W475" s="363" t="s">
        <v>349</v>
      </c>
      <c r="X475" s="363"/>
      <c r="Y475" s="363"/>
      <c r="Z475" s="363"/>
      <c r="AA475" s="363"/>
      <c r="AB475" s="363"/>
      <c r="AC475" s="363"/>
      <c r="AD475" s="363"/>
      <c r="AE475" s="363" t="s">
        <v>507</v>
      </c>
      <c r="AF475" s="380" t="s">
        <v>63</v>
      </c>
      <c r="AG475" s="380">
        <v>3</v>
      </c>
      <c r="AH475" s="363" t="s">
        <v>667</v>
      </c>
    </row>
    <row r="476" spans="2:34" ht="15" hidden="1" customHeight="1" x14ac:dyDescent="0.3">
      <c r="B476" s="380" t="s">
        <v>3</v>
      </c>
      <c r="C476" s="482" t="s">
        <v>1873</v>
      </c>
      <c r="D476" s="483" t="s">
        <v>151</v>
      </c>
      <c r="E476" s="468">
        <v>4601538703</v>
      </c>
      <c r="F476" s="501">
        <v>46110</v>
      </c>
      <c r="G476" s="380" t="s">
        <v>55</v>
      </c>
      <c r="H476" s="380">
        <v>1</v>
      </c>
      <c r="I476" s="388">
        <v>84999</v>
      </c>
      <c r="J476" s="380">
        <v>3</v>
      </c>
      <c r="K476" s="389">
        <f t="shared" si="18"/>
        <v>28333</v>
      </c>
      <c r="L476" s="504">
        <v>46113</v>
      </c>
      <c r="M476" s="504">
        <v>46477</v>
      </c>
      <c r="N476" s="667"/>
      <c r="O476" s="684"/>
      <c r="P476" s="363" t="s">
        <v>520</v>
      </c>
      <c r="Q476" s="380"/>
      <c r="R476" s="380"/>
      <c r="S476" s="390" t="s">
        <v>1080</v>
      </c>
      <c r="T476" s="363" t="s">
        <v>1844</v>
      </c>
      <c r="U476" s="363" t="s">
        <v>1108</v>
      </c>
      <c r="V476" s="363"/>
      <c r="W476" s="363" t="s">
        <v>1109</v>
      </c>
      <c r="X476" s="363"/>
      <c r="Y476" s="363"/>
      <c r="Z476" s="363"/>
      <c r="AA476" s="363"/>
      <c r="AB476" s="363"/>
      <c r="AC476" s="363"/>
      <c r="AD476" s="363"/>
      <c r="AE476" s="363" t="s">
        <v>478</v>
      </c>
      <c r="AF476" s="380" t="s">
        <v>63</v>
      </c>
      <c r="AG476" s="380">
        <v>3</v>
      </c>
      <c r="AH476" s="363" t="s">
        <v>667</v>
      </c>
    </row>
    <row r="477" spans="2:34" ht="15" hidden="1" customHeight="1" x14ac:dyDescent="0.3">
      <c r="B477" s="380" t="s">
        <v>3</v>
      </c>
      <c r="C477" s="482" t="s">
        <v>779</v>
      </c>
      <c r="D477" s="483" t="s">
        <v>53</v>
      </c>
      <c r="E477" s="491">
        <v>2500292830</v>
      </c>
      <c r="F477" s="488">
        <v>46111</v>
      </c>
      <c r="G477" s="380" t="s">
        <v>55</v>
      </c>
      <c r="H477" s="380">
        <v>3</v>
      </c>
      <c r="I477" s="388">
        <v>282816</v>
      </c>
      <c r="J477" s="380">
        <v>3</v>
      </c>
      <c r="K477" s="389">
        <f t="shared" si="18"/>
        <v>94272</v>
      </c>
      <c r="L477" s="504">
        <v>46113</v>
      </c>
      <c r="M477" s="504">
        <v>46477</v>
      </c>
      <c r="N477" s="667">
        <v>155099</v>
      </c>
      <c r="O477" s="684">
        <v>4642</v>
      </c>
      <c r="P477" s="363" t="s">
        <v>520</v>
      </c>
      <c r="Q477" s="380"/>
      <c r="R477" s="380"/>
      <c r="S477" s="390" t="s">
        <v>1080</v>
      </c>
      <c r="T477" s="363" t="s">
        <v>2067</v>
      </c>
      <c r="U477" s="363" t="s">
        <v>1108</v>
      </c>
      <c r="V477" s="363"/>
      <c r="W477" s="363" t="s">
        <v>1109</v>
      </c>
      <c r="X477" s="363"/>
      <c r="Y477" s="363"/>
      <c r="Z477" s="363"/>
      <c r="AA477" s="363"/>
      <c r="AB477" s="363"/>
      <c r="AC477" s="363"/>
      <c r="AD477" s="363"/>
      <c r="AE477" s="363" t="s">
        <v>619</v>
      </c>
      <c r="AF477" s="380" t="s">
        <v>63</v>
      </c>
      <c r="AG477" s="380">
        <v>3</v>
      </c>
      <c r="AH477" s="363" t="s">
        <v>667</v>
      </c>
    </row>
    <row r="478" spans="2:34" ht="15" hidden="1" customHeight="1" x14ac:dyDescent="0.3">
      <c r="B478" s="380" t="s">
        <v>3</v>
      </c>
      <c r="C478" s="409" t="s">
        <v>1643</v>
      </c>
      <c r="D478" s="423" t="s">
        <v>151</v>
      </c>
      <c r="E478" s="380">
        <v>8184550</v>
      </c>
      <c r="F478" s="488">
        <v>46108</v>
      </c>
      <c r="G478" s="380" t="s">
        <v>55</v>
      </c>
      <c r="H478" s="380">
        <v>4</v>
      </c>
      <c r="I478" s="388">
        <v>310000</v>
      </c>
      <c r="J478" s="380">
        <v>3</v>
      </c>
      <c r="K478" s="389">
        <f t="shared" si="18"/>
        <v>103333.33333333333</v>
      </c>
      <c r="L478" s="505">
        <v>46023</v>
      </c>
      <c r="M478" s="505">
        <v>46387</v>
      </c>
      <c r="N478" s="668"/>
      <c r="O478" s="685"/>
      <c r="P478" s="363" t="s">
        <v>520</v>
      </c>
      <c r="Q478" s="380"/>
      <c r="R478" s="380"/>
      <c r="S478" s="390" t="s">
        <v>347</v>
      </c>
      <c r="T478" s="363" t="s">
        <v>1740</v>
      </c>
      <c r="U478" s="363" t="s">
        <v>348</v>
      </c>
      <c r="V478" s="363"/>
      <c r="W478" s="363" t="s">
        <v>349</v>
      </c>
      <c r="X478" s="363"/>
      <c r="Y478" s="363"/>
      <c r="Z478" s="363"/>
      <c r="AA478" s="363"/>
      <c r="AB478" s="363"/>
      <c r="AC478" s="363"/>
      <c r="AD478" s="363"/>
      <c r="AE478" s="363" t="s">
        <v>478</v>
      </c>
      <c r="AF478" s="380" t="s">
        <v>63</v>
      </c>
      <c r="AG478" s="380">
        <v>3</v>
      </c>
      <c r="AH478" s="363" t="s">
        <v>667</v>
      </c>
    </row>
    <row r="479" spans="2:34" ht="15" hidden="1" customHeight="1" x14ac:dyDescent="0.3">
      <c r="B479" s="380" t="s">
        <v>3</v>
      </c>
      <c r="C479" s="409" t="s">
        <v>1643</v>
      </c>
      <c r="D479" s="423" t="s">
        <v>151</v>
      </c>
      <c r="E479" s="380">
        <v>8184550</v>
      </c>
      <c r="F479" s="488">
        <v>46108</v>
      </c>
      <c r="G479" s="380" t="s">
        <v>55</v>
      </c>
      <c r="H479" s="380">
        <v>2</v>
      </c>
      <c r="I479" s="388">
        <v>103334</v>
      </c>
      <c r="J479" s="380">
        <v>2</v>
      </c>
      <c r="K479" s="389">
        <f t="shared" si="18"/>
        <v>51667</v>
      </c>
      <c r="L479" s="505">
        <v>46023</v>
      </c>
      <c r="M479" s="505">
        <v>46387</v>
      </c>
      <c r="N479" s="668"/>
      <c r="O479" s="685"/>
      <c r="P479" s="363" t="s">
        <v>520</v>
      </c>
      <c r="Q479" s="380"/>
      <c r="R479" s="380"/>
      <c r="S479" s="363" t="s">
        <v>607</v>
      </c>
      <c r="T479" s="363"/>
      <c r="U479" s="363" t="s">
        <v>608</v>
      </c>
      <c r="V479" s="363"/>
      <c r="W479" s="363"/>
      <c r="X479" s="363"/>
      <c r="Y479" s="363"/>
      <c r="Z479" s="363"/>
      <c r="AA479" s="363"/>
      <c r="AB479" s="363"/>
      <c r="AC479" s="363"/>
      <c r="AD479" s="363"/>
      <c r="AE479" s="363" t="s">
        <v>478</v>
      </c>
      <c r="AF479" s="380" t="s">
        <v>63</v>
      </c>
      <c r="AG479" s="380">
        <v>3</v>
      </c>
      <c r="AH479" s="363" t="s">
        <v>667</v>
      </c>
    </row>
    <row r="480" spans="2:34" ht="15" hidden="1" customHeight="1" x14ac:dyDescent="0.3">
      <c r="B480" s="380" t="s">
        <v>3</v>
      </c>
      <c r="C480" s="429" t="s">
        <v>609</v>
      </c>
      <c r="D480" s="423" t="s">
        <v>86</v>
      </c>
      <c r="E480" s="509">
        <v>3791240798</v>
      </c>
      <c r="F480" s="488">
        <v>46106</v>
      </c>
      <c r="G480" s="380" t="s">
        <v>55</v>
      </c>
      <c r="H480" s="380">
        <v>2</v>
      </c>
      <c r="I480" s="388">
        <v>385536</v>
      </c>
      <c r="J480" s="380">
        <v>3</v>
      </c>
      <c r="K480" s="389">
        <f t="shared" si="18"/>
        <v>128512</v>
      </c>
      <c r="L480" s="505">
        <v>46113</v>
      </c>
      <c r="M480" s="505">
        <v>46477</v>
      </c>
      <c r="N480" s="668"/>
      <c r="O480" s="685"/>
      <c r="P480" s="363" t="s">
        <v>520</v>
      </c>
      <c r="Q480" s="380"/>
      <c r="R480" s="380"/>
      <c r="S480" s="390" t="s">
        <v>1080</v>
      </c>
      <c r="T480" s="363" t="s">
        <v>1874</v>
      </c>
      <c r="U480" s="363" t="s">
        <v>1108</v>
      </c>
      <c r="V480" s="363"/>
      <c r="W480" s="363" t="s">
        <v>1109</v>
      </c>
      <c r="X480" s="363"/>
      <c r="Y480" s="363"/>
      <c r="Z480" s="363"/>
      <c r="AA480" s="363"/>
      <c r="AB480" s="363"/>
      <c r="AC480" s="363"/>
      <c r="AD480" s="363"/>
      <c r="AE480" s="363" t="s">
        <v>281</v>
      </c>
      <c r="AF480" s="380" t="s">
        <v>97</v>
      </c>
      <c r="AG480" s="380">
        <v>3</v>
      </c>
      <c r="AH480" s="363" t="s">
        <v>667</v>
      </c>
    </row>
    <row r="481" spans="2:34" ht="15" hidden="1" customHeight="1" x14ac:dyDescent="0.3">
      <c r="B481" s="380" t="s">
        <v>3</v>
      </c>
      <c r="C481" s="482" t="s">
        <v>905</v>
      </c>
      <c r="D481" s="483" t="s">
        <v>801</v>
      </c>
      <c r="E481" s="468">
        <v>1100036670</v>
      </c>
      <c r="F481" s="501">
        <v>46102</v>
      </c>
      <c r="G481" s="380" t="s">
        <v>55</v>
      </c>
      <c r="H481" s="380">
        <v>1</v>
      </c>
      <c r="I481" s="388">
        <v>78400</v>
      </c>
      <c r="J481" s="380">
        <v>2</v>
      </c>
      <c r="K481" s="389">
        <f t="shared" si="18"/>
        <v>39200</v>
      </c>
      <c r="L481" s="504">
        <v>46143</v>
      </c>
      <c r="M481" s="504">
        <v>46507</v>
      </c>
      <c r="N481" s="667"/>
      <c r="O481" s="684"/>
      <c r="P481" s="363" t="s">
        <v>520</v>
      </c>
      <c r="Q481" s="380"/>
      <c r="R481" s="380"/>
      <c r="S481" s="363" t="s">
        <v>1339</v>
      </c>
      <c r="T481" s="363"/>
      <c r="U481" s="363" t="s">
        <v>1644</v>
      </c>
      <c r="V481" s="363"/>
      <c r="W481" s="363"/>
      <c r="X481" s="363"/>
      <c r="Y481" s="363"/>
      <c r="Z481" s="363"/>
      <c r="AA481" s="363"/>
      <c r="AB481" s="363"/>
      <c r="AC481" s="363"/>
      <c r="AD481" s="363"/>
      <c r="AE481" s="363" t="s">
        <v>485</v>
      </c>
      <c r="AF481" s="380" t="s">
        <v>63</v>
      </c>
      <c r="AG481" s="380">
        <v>3</v>
      </c>
      <c r="AH481" s="363" t="s">
        <v>667</v>
      </c>
    </row>
    <row r="482" spans="2:34" ht="15" hidden="1" customHeight="1" x14ac:dyDescent="0.3">
      <c r="B482" s="380" t="s">
        <v>3</v>
      </c>
      <c r="C482" s="482" t="s">
        <v>628</v>
      </c>
      <c r="D482" s="483" t="s">
        <v>801</v>
      </c>
      <c r="E482" s="468" t="s">
        <v>1645</v>
      </c>
      <c r="F482" s="488">
        <v>46107</v>
      </c>
      <c r="G482" s="380" t="s">
        <v>55</v>
      </c>
      <c r="H482" s="380">
        <v>1</v>
      </c>
      <c r="I482" s="388">
        <v>54500</v>
      </c>
      <c r="J482" s="380">
        <v>1</v>
      </c>
      <c r="K482" s="389">
        <f t="shared" si="18"/>
        <v>54500</v>
      </c>
      <c r="L482" s="504">
        <v>46113</v>
      </c>
      <c r="M482" s="504">
        <v>46477</v>
      </c>
      <c r="N482" s="667"/>
      <c r="O482" s="684"/>
      <c r="P482" s="363" t="s">
        <v>520</v>
      </c>
      <c r="Q482" s="380"/>
      <c r="R482" s="380"/>
      <c r="S482" s="363" t="s">
        <v>646</v>
      </c>
      <c r="T482" s="363"/>
      <c r="U482" s="363"/>
      <c r="V482" s="363"/>
      <c r="W482" s="363"/>
      <c r="X482" s="363"/>
      <c r="Y482" s="363"/>
      <c r="Z482" s="363"/>
      <c r="AA482" s="363"/>
      <c r="AB482" s="363"/>
      <c r="AC482" s="363"/>
      <c r="AD482" s="363"/>
      <c r="AE482" s="363" t="s">
        <v>485</v>
      </c>
      <c r="AF482" s="380" t="s">
        <v>63</v>
      </c>
      <c r="AG482" s="380">
        <v>2</v>
      </c>
      <c r="AH482" s="363" t="s">
        <v>1488</v>
      </c>
    </row>
    <row r="483" spans="2:34" ht="15" hidden="1" customHeight="1" x14ac:dyDescent="0.3">
      <c r="B483" s="380" t="s">
        <v>3</v>
      </c>
      <c r="C483" s="409" t="s">
        <v>805</v>
      </c>
      <c r="D483" s="423" t="s">
        <v>86</v>
      </c>
      <c r="E483" s="408">
        <v>7500135772</v>
      </c>
      <c r="F483" s="501">
        <v>46108</v>
      </c>
      <c r="G483" s="380" t="s">
        <v>55</v>
      </c>
      <c r="H483" s="380">
        <v>1</v>
      </c>
      <c r="I483" s="388">
        <v>86200</v>
      </c>
      <c r="J483" s="380">
        <v>3</v>
      </c>
      <c r="K483" s="389">
        <f t="shared" si="18"/>
        <v>28733.333333333332</v>
      </c>
      <c r="L483" s="505">
        <v>46113</v>
      </c>
      <c r="M483" s="505">
        <v>46477</v>
      </c>
      <c r="N483" s="668"/>
      <c r="O483" s="685"/>
      <c r="P483" s="363" t="s">
        <v>520</v>
      </c>
      <c r="Q483" s="380"/>
      <c r="R483" s="380"/>
      <c r="S483" s="390" t="s">
        <v>1080</v>
      </c>
      <c r="T483" s="363" t="s">
        <v>1945</v>
      </c>
      <c r="U483" s="363" t="s">
        <v>1108</v>
      </c>
      <c r="V483" s="363"/>
      <c r="W483" s="363" t="s">
        <v>1109</v>
      </c>
      <c r="X483" s="363"/>
      <c r="Y483" s="363"/>
      <c r="Z483" s="363"/>
      <c r="AA483" s="363"/>
      <c r="AB483" s="363"/>
      <c r="AC483" s="363"/>
      <c r="AD483" s="363"/>
      <c r="AE483" s="363" t="s">
        <v>96</v>
      </c>
      <c r="AF483" s="380" t="s">
        <v>97</v>
      </c>
      <c r="AG483" s="380" t="s">
        <v>494</v>
      </c>
      <c r="AH483" s="363" t="s">
        <v>667</v>
      </c>
    </row>
    <row r="484" spans="2:34" ht="15" hidden="1" customHeight="1" x14ac:dyDescent="0.3">
      <c r="B484" s="380" t="s">
        <v>5</v>
      </c>
      <c r="C484" s="482" t="s">
        <v>840</v>
      </c>
      <c r="D484" s="483" t="s">
        <v>841</v>
      </c>
      <c r="E484" s="491" t="s">
        <v>1646</v>
      </c>
      <c r="F484" s="488">
        <v>46107</v>
      </c>
      <c r="G484" s="380" t="s">
        <v>55</v>
      </c>
      <c r="H484" s="380">
        <v>3</v>
      </c>
      <c r="I484" s="388">
        <v>211500</v>
      </c>
      <c r="J484" s="380">
        <v>3</v>
      </c>
      <c r="K484" s="389">
        <f t="shared" si="18"/>
        <v>70500</v>
      </c>
      <c r="L484" s="504">
        <v>46113</v>
      </c>
      <c r="M484" s="504">
        <v>46477</v>
      </c>
      <c r="N484" s="667">
        <v>155102</v>
      </c>
      <c r="O484" s="684">
        <v>4903</v>
      </c>
      <c r="P484" s="363" t="s">
        <v>520</v>
      </c>
      <c r="Q484" s="380"/>
      <c r="R484" s="380"/>
      <c r="S484" s="390" t="s">
        <v>1080</v>
      </c>
      <c r="T484" s="363" t="s">
        <v>2045</v>
      </c>
      <c r="U484" s="363" t="s">
        <v>1108</v>
      </c>
      <c r="V484" s="363"/>
      <c r="W484" s="363" t="s">
        <v>1109</v>
      </c>
      <c r="X484" s="363"/>
      <c r="Y484" s="363"/>
      <c r="Z484" s="363"/>
      <c r="AA484" s="363"/>
      <c r="AB484" s="363"/>
      <c r="AC484" s="363"/>
      <c r="AD484" s="363"/>
      <c r="AE484" s="363" t="s">
        <v>485</v>
      </c>
      <c r="AF484" s="380" t="s">
        <v>63</v>
      </c>
      <c r="AG484" s="380">
        <v>3</v>
      </c>
      <c r="AH484" s="363" t="s">
        <v>1647</v>
      </c>
    </row>
    <row r="485" spans="2:34" ht="15" hidden="1" customHeight="1" x14ac:dyDescent="0.3">
      <c r="B485" s="380" t="s">
        <v>5</v>
      </c>
      <c r="C485" s="482" t="s">
        <v>809</v>
      </c>
      <c r="D485" s="483" t="s">
        <v>629</v>
      </c>
      <c r="E485" s="491" t="s">
        <v>1648</v>
      </c>
      <c r="F485" s="488">
        <v>46107</v>
      </c>
      <c r="G485" s="380" t="s">
        <v>55</v>
      </c>
      <c r="H485" s="380">
        <v>5</v>
      </c>
      <c r="I485" s="388">
        <v>341250</v>
      </c>
      <c r="J485" s="380">
        <v>2</v>
      </c>
      <c r="K485" s="389">
        <f t="shared" si="18"/>
        <v>170625</v>
      </c>
      <c r="L485" s="504">
        <v>46113</v>
      </c>
      <c r="M485" s="504">
        <v>46477</v>
      </c>
      <c r="N485" s="667"/>
      <c r="O485" s="684"/>
      <c r="P485" s="363" t="s">
        <v>520</v>
      </c>
      <c r="Q485" s="380"/>
      <c r="R485" s="380"/>
      <c r="S485" s="363" t="s">
        <v>467</v>
      </c>
      <c r="T485" s="363"/>
      <c r="U485" s="363" t="s">
        <v>1633</v>
      </c>
      <c r="V485" s="363"/>
      <c r="W485" s="363"/>
      <c r="X485" s="363"/>
      <c r="Y485" s="363"/>
      <c r="Z485" s="363"/>
      <c r="AA485" s="363"/>
      <c r="AB485" s="363"/>
      <c r="AC485" s="363"/>
      <c r="AD485" s="363"/>
      <c r="AE485" s="363" t="s">
        <v>485</v>
      </c>
      <c r="AF485" s="380" t="s">
        <v>63</v>
      </c>
      <c r="AG485" s="380">
        <v>3</v>
      </c>
      <c r="AH485" s="363" t="s">
        <v>1647</v>
      </c>
    </row>
    <row r="486" spans="2:34" ht="15" hidden="1" customHeight="1" x14ac:dyDescent="0.3">
      <c r="B486" s="380" t="s">
        <v>5</v>
      </c>
      <c r="C486" s="412" t="s">
        <v>1649</v>
      </c>
      <c r="D486" s="437" t="s">
        <v>176</v>
      </c>
      <c r="E486" s="426" t="s">
        <v>1650</v>
      </c>
      <c r="F486" s="488">
        <v>46025</v>
      </c>
      <c r="G486" s="380" t="s">
        <v>55</v>
      </c>
      <c r="H486" s="380">
        <v>1</v>
      </c>
      <c r="I486" s="388">
        <v>142080</v>
      </c>
      <c r="J486" s="380">
        <v>2</v>
      </c>
      <c r="K486" s="389">
        <f t="shared" si="18"/>
        <v>71040</v>
      </c>
      <c r="L486" s="505">
        <v>46023</v>
      </c>
      <c r="M486" s="505">
        <v>46387</v>
      </c>
      <c r="N486" s="668"/>
      <c r="O486" s="685"/>
      <c r="P486" s="363" t="s">
        <v>520</v>
      </c>
      <c r="Q486" s="380"/>
      <c r="R486" s="380"/>
      <c r="S486" s="390" t="s">
        <v>1651</v>
      </c>
      <c r="T486" s="363" t="s">
        <v>1965</v>
      </c>
      <c r="U486" s="363" t="s">
        <v>608</v>
      </c>
      <c r="V486" s="363"/>
      <c r="W486" s="363"/>
      <c r="X486" s="363"/>
      <c r="Y486" s="363"/>
      <c r="Z486" s="363"/>
      <c r="AA486" s="363"/>
      <c r="AB486" s="363"/>
      <c r="AC486" s="363"/>
      <c r="AD486" s="363"/>
      <c r="AE486" s="363" t="s">
        <v>183</v>
      </c>
      <c r="AF486" s="380" t="s">
        <v>97</v>
      </c>
      <c r="AG486" s="380">
        <v>2</v>
      </c>
      <c r="AH486" s="363" t="s">
        <v>1652</v>
      </c>
    </row>
    <row r="487" spans="2:34" ht="15" hidden="1" customHeight="1" x14ac:dyDescent="0.3">
      <c r="B487" s="380" t="s">
        <v>5</v>
      </c>
      <c r="C487" s="412" t="s">
        <v>1653</v>
      </c>
      <c r="D487" s="463" t="s">
        <v>151</v>
      </c>
      <c r="E487" s="426" t="s">
        <v>1654</v>
      </c>
      <c r="F487" s="488">
        <v>46114</v>
      </c>
      <c r="G487" s="380" t="s">
        <v>55</v>
      </c>
      <c r="H487" s="380">
        <v>7</v>
      </c>
      <c r="I487" s="388">
        <v>560000</v>
      </c>
      <c r="J487" s="380">
        <v>2</v>
      </c>
      <c r="K487" s="389"/>
      <c r="L487" s="505">
        <v>46023</v>
      </c>
      <c r="M487" s="505">
        <v>46387</v>
      </c>
      <c r="N487" s="668"/>
      <c r="O487" s="685"/>
      <c r="P487" s="363" t="s">
        <v>520</v>
      </c>
      <c r="Q487" s="380"/>
      <c r="R487" s="380"/>
      <c r="S487" s="390" t="s">
        <v>1651</v>
      </c>
      <c r="T487" s="363" t="s">
        <v>1732</v>
      </c>
      <c r="U487" s="363" t="s">
        <v>608</v>
      </c>
      <c r="V487" s="363"/>
      <c r="W487" s="363"/>
      <c r="X487" s="363"/>
      <c r="Y487" s="363"/>
      <c r="Z487" s="363"/>
      <c r="AA487" s="363"/>
      <c r="AB487" s="363"/>
      <c r="AC487" s="363"/>
      <c r="AD487" s="363"/>
      <c r="AE487" s="363" t="s">
        <v>478</v>
      </c>
      <c r="AF487" s="380" t="s">
        <v>63</v>
      </c>
      <c r="AG487" s="380">
        <v>3</v>
      </c>
      <c r="AH487" s="363" t="s">
        <v>1319</v>
      </c>
    </row>
    <row r="488" spans="2:34" ht="15" hidden="1" customHeight="1" x14ac:dyDescent="0.3">
      <c r="B488" s="380" t="s">
        <v>5</v>
      </c>
      <c r="C488" s="409" t="s">
        <v>1655</v>
      </c>
      <c r="D488" s="434" t="s">
        <v>664</v>
      </c>
      <c r="E488" s="380">
        <v>4507986234</v>
      </c>
      <c r="F488" s="488">
        <v>46119</v>
      </c>
      <c r="G488" s="380" t="s">
        <v>55</v>
      </c>
      <c r="H488" s="380">
        <v>1</v>
      </c>
      <c r="I488" s="388">
        <v>79999.98</v>
      </c>
      <c r="J488" s="380">
        <v>3</v>
      </c>
      <c r="K488" s="389">
        <f t="shared" si="18"/>
        <v>26666.66</v>
      </c>
      <c r="L488" s="505">
        <v>46113</v>
      </c>
      <c r="M488" s="505">
        <v>46477</v>
      </c>
      <c r="N488" s="668">
        <v>155336</v>
      </c>
      <c r="O488" s="685">
        <v>4609</v>
      </c>
      <c r="P488" s="363" t="s">
        <v>520</v>
      </c>
      <c r="Q488" s="380"/>
      <c r="R488" s="380"/>
      <c r="S488" s="390" t="s">
        <v>1080</v>
      </c>
      <c r="T488" s="363" t="s">
        <v>1936</v>
      </c>
      <c r="U488" s="363" t="s">
        <v>1108</v>
      </c>
      <c r="V488" s="363"/>
      <c r="W488" s="363" t="s">
        <v>1109</v>
      </c>
      <c r="X488" s="363"/>
      <c r="Y488" s="363"/>
      <c r="Z488" s="363"/>
      <c r="AA488" s="363"/>
      <c r="AB488" s="363"/>
      <c r="AC488" s="363"/>
      <c r="AD488" s="363"/>
      <c r="AE488" s="363" t="s">
        <v>478</v>
      </c>
      <c r="AF488" s="380" t="s">
        <v>63</v>
      </c>
      <c r="AG488" s="380" t="s">
        <v>494</v>
      </c>
      <c r="AH488" s="363" t="s">
        <v>667</v>
      </c>
    </row>
    <row r="489" spans="2:34" ht="15" hidden="1" customHeight="1" x14ac:dyDescent="0.3">
      <c r="B489" s="380" t="s">
        <v>5</v>
      </c>
      <c r="C489" s="409" t="s">
        <v>1656</v>
      </c>
      <c r="D489" s="489" t="s">
        <v>176</v>
      </c>
      <c r="E489" s="411">
        <v>4500127379</v>
      </c>
      <c r="F489" s="488">
        <v>46078</v>
      </c>
      <c r="G489" s="380" t="s">
        <v>55</v>
      </c>
      <c r="H489" s="380">
        <v>1</v>
      </c>
      <c r="I489" s="388">
        <v>89250</v>
      </c>
      <c r="J489" s="380">
        <v>2</v>
      </c>
      <c r="K489" s="389">
        <f t="shared" si="18"/>
        <v>44625</v>
      </c>
      <c r="L489" s="505">
        <v>46023</v>
      </c>
      <c r="M489" s="505">
        <v>46387</v>
      </c>
      <c r="N489" s="668"/>
      <c r="O489" s="685"/>
      <c r="P489" s="363" t="s">
        <v>520</v>
      </c>
      <c r="Q489" s="380"/>
      <c r="R489" s="380"/>
      <c r="S489" s="390" t="s">
        <v>607</v>
      </c>
      <c r="T489" s="363" t="s">
        <v>1436</v>
      </c>
      <c r="U489" s="363" t="s">
        <v>608</v>
      </c>
      <c r="V489" s="363"/>
      <c r="W489" s="363"/>
      <c r="X489" s="363"/>
      <c r="Y489" s="363"/>
      <c r="Z489" s="363"/>
      <c r="AA489" s="363"/>
      <c r="AB489" s="363"/>
      <c r="AC489" s="363"/>
      <c r="AD489" s="363"/>
      <c r="AE489" s="363" t="s">
        <v>183</v>
      </c>
      <c r="AF489" s="380" t="s">
        <v>97</v>
      </c>
      <c r="AG489" s="380">
        <v>3</v>
      </c>
      <c r="AH489" s="363" t="s">
        <v>667</v>
      </c>
    </row>
    <row r="490" spans="2:34" ht="15" hidden="1" customHeight="1" x14ac:dyDescent="0.3">
      <c r="B490" s="380" t="s">
        <v>5</v>
      </c>
      <c r="C490" s="409" t="s">
        <v>1656</v>
      </c>
      <c r="D490" s="489" t="s">
        <v>176</v>
      </c>
      <c r="E490" s="411">
        <v>4500127261</v>
      </c>
      <c r="F490" s="488">
        <v>46076</v>
      </c>
      <c r="G490" s="380" t="s">
        <v>55</v>
      </c>
      <c r="H490" s="380">
        <v>3</v>
      </c>
      <c r="I490" s="388">
        <v>267750</v>
      </c>
      <c r="J490" s="380">
        <v>2</v>
      </c>
      <c r="K490" s="389">
        <f t="shared" si="18"/>
        <v>133875</v>
      </c>
      <c r="L490" s="505">
        <v>46023</v>
      </c>
      <c r="M490" s="505">
        <v>46387</v>
      </c>
      <c r="N490" s="668"/>
      <c r="O490" s="685"/>
      <c r="P490" s="363" t="s">
        <v>520</v>
      </c>
      <c r="Q490" s="380"/>
      <c r="R490" s="380"/>
      <c r="S490" s="390" t="s">
        <v>607</v>
      </c>
      <c r="T490" s="363" t="s">
        <v>782</v>
      </c>
      <c r="U490" s="363" t="s">
        <v>608</v>
      </c>
      <c r="V490" s="363"/>
      <c r="W490" s="363"/>
      <c r="X490" s="363"/>
      <c r="Y490" s="363"/>
      <c r="Z490" s="363"/>
      <c r="AA490" s="363"/>
      <c r="AB490" s="363"/>
      <c r="AC490" s="363"/>
      <c r="AD490" s="363"/>
      <c r="AE490" s="363" t="s">
        <v>183</v>
      </c>
      <c r="AF490" s="380" t="s">
        <v>97</v>
      </c>
      <c r="AG490" s="380">
        <v>3</v>
      </c>
      <c r="AH490" s="363" t="s">
        <v>667</v>
      </c>
    </row>
    <row r="491" spans="2:34" ht="15" hidden="1" customHeight="1" x14ac:dyDescent="0.3">
      <c r="B491" s="380" t="s">
        <v>5</v>
      </c>
      <c r="C491" s="553" t="s">
        <v>1073</v>
      </c>
      <c r="D491" s="423" t="s">
        <v>1657</v>
      </c>
      <c r="E491" s="408">
        <v>440000514</v>
      </c>
      <c r="F491" s="501">
        <v>46109</v>
      </c>
      <c r="G491" s="380" t="s">
        <v>55</v>
      </c>
      <c r="H491" s="380"/>
      <c r="I491" s="388">
        <v>172900</v>
      </c>
      <c r="J491" s="380">
        <v>3</v>
      </c>
      <c r="K491" s="389">
        <f>I491/2</f>
        <v>86450</v>
      </c>
      <c r="L491" s="505">
        <v>46023</v>
      </c>
      <c r="M491" s="505">
        <v>46387</v>
      </c>
      <c r="N491" s="668"/>
      <c r="O491" s="685"/>
      <c r="P491" s="363" t="s">
        <v>520</v>
      </c>
      <c r="Q491" s="380"/>
      <c r="R491" s="380"/>
      <c r="S491" s="390" t="s">
        <v>347</v>
      </c>
      <c r="T491" s="363" t="s">
        <v>1658</v>
      </c>
      <c r="U491" s="390" t="s">
        <v>348</v>
      </c>
      <c r="V491" s="363" t="s">
        <v>2069</v>
      </c>
      <c r="W491" s="363" t="s">
        <v>349</v>
      </c>
      <c r="X491" s="363"/>
      <c r="Y491" s="363"/>
      <c r="Z491" s="363"/>
      <c r="AA491" s="363"/>
      <c r="AB491" s="363"/>
      <c r="AC491" s="363"/>
      <c r="AD491" s="363"/>
      <c r="AE491" s="363" t="s">
        <v>551</v>
      </c>
      <c r="AF491" s="380" t="s">
        <v>207</v>
      </c>
      <c r="AG491" s="380">
        <v>3</v>
      </c>
      <c r="AH491" s="363" t="s">
        <v>1660</v>
      </c>
    </row>
    <row r="492" spans="2:34" ht="15" hidden="1" customHeight="1" x14ac:dyDescent="0.3">
      <c r="B492" s="380" t="s">
        <v>5</v>
      </c>
      <c r="C492" s="553" t="s">
        <v>1073</v>
      </c>
      <c r="D492" s="423" t="s">
        <v>1657</v>
      </c>
      <c r="E492" s="408">
        <v>440000514</v>
      </c>
      <c r="F492" s="501">
        <v>46109</v>
      </c>
      <c r="G492" s="380" t="s">
        <v>55</v>
      </c>
      <c r="H492" s="380">
        <v>1</v>
      </c>
      <c r="I492" s="388">
        <v>172900</v>
      </c>
      <c r="J492" s="380">
        <v>3</v>
      </c>
      <c r="K492" s="389">
        <f>I492/2</f>
        <v>86450</v>
      </c>
      <c r="L492" s="505">
        <v>46388</v>
      </c>
      <c r="M492" s="505">
        <v>46752</v>
      </c>
      <c r="N492" s="668"/>
      <c r="O492" s="685"/>
      <c r="P492" s="363" t="s">
        <v>520</v>
      </c>
      <c r="Q492" s="380"/>
      <c r="R492" s="380"/>
      <c r="S492" s="363" t="s">
        <v>738</v>
      </c>
      <c r="T492" s="363" t="s">
        <v>1661</v>
      </c>
      <c r="U492" s="363" t="s">
        <v>1077</v>
      </c>
      <c r="V492" s="363" t="s">
        <v>1659</v>
      </c>
      <c r="W492" s="363" t="s">
        <v>1078</v>
      </c>
      <c r="X492" s="363"/>
      <c r="Y492" s="363"/>
      <c r="Z492" s="363"/>
      <c r="AA492" s="363"/>
      <c r="AB492" s="363"/>
      <c r="AC492" s="363"/>
      <c r="AD492" s="363"/>
      <c r="AE492" s="363" t="s">
        <v>551</v>
      </c>
      <c r="AF492" s="380" t="s">
        <v>207</v>
      </c>
      <c r="AG492" s="380">
        <v>3</v>
      </c>
      <c r="AH492" s="363" t="s">
        <v>1660</v>
      </c>
    </row>
    <row r="493" spans="2:34" ht="15" hidden="1" customHeight="1" x14ac:dyDescent="0.3">
      <c r="B493" s="380" t="s">
        <v>5</v>
      </c>
      <c r="C493" s="551" t="s">
        <v>508</v>
      </c>
      <c r="D493" s="483" t="s">
        <v>866</v>
      </c>
      <c r="E493" s="468" t="s">
        <v>1663</v>
      </c>
      <c r="F493" s="501">
        <v>46015</v>
      </c>
      <c r="G493" s="380" t="s">
        <v>55</v>
      </c>
      <c r="H493" s="380">
        <v>1</v>
      </c>
      <c r="I493" s="388">
        <v>89000</v>
      </c>
      <c r="J493" s="380">
        <v>3</v>
      </c>
      <c r="K493" s="389">
        <f>I493/J493</f>
        <v>29666.666666666668</v>
      </c>
      <c r="L493" s="504">
        <v>46032</v>
      </c>
      <c r="M493" s="504">
        <v>46396</v>
      </c>
      <c r="N493" s="667">
        <v>155044</v>
      </c>
      <c r="O493" s="684">
        <v>4668</v>
      </c>
      <c r="P493" s="363" t="s">
        <v>520</v>
      </c>
      <c r="Q493" s="380"/>
      <c r="R493" s="380"/>
      <c r="S493" s="390" t="s">
        <v>1664</v>
      </c>
      <c r="T493" s="363" t="s">
        <v>1239</v>
      </c>
      <c r="U493" s="363" t="s">
        <v>1665</v>
      </c>
      <c r="V493" s="363" t="s">
        <v>2071</v>
      </c>
      <c r="W493" s="363" t="s">
        <v>1273</v>
      </c>
      <c r="X493" s="363" t="s">
        <v>2071</v>
      </c>
      <c r="Y493" s="363"/>
      <c r="Z493" s="363"/>
      <c r="AA493" s="363"/>
      <c r="AB493" s="363"/>
      <c r="AC493" s="363"/>
      <c r="AD493" s="363"/>
      <c r="AE493" s="363" t="s">
        <v>96</v>
      </c>
      <c r="AF493" s="380" t="s">
        <v>97</v>
      </c>
      <c r="AG493" s="380" t="s">
        <v>494</v>
      </c>
      <c r="AH493" s="363" t="s">
        <v>1666</v>
      </c>
    </row>
    <row r="494" spans="2:34" ht="15" hidden="1" customHeight="1" x14ac:dyDescent="0.3">
      <c r="B494" s="380" t="s">
        <v>5</v>
      </c>
      <c r="C494" s="430" t="s">
        <v>1667</v>
      </c>
      <c r="D494" s="445" t="s">
        <v>1668</v>
      </c>
      <c r="E494" s="419">
        <v>5030129519</v>
      </c>
      <c r="F494" s="488">
        <v>46020</v>
      </c>
      <c r="G494" s="380" t="s">
        <v>55</v>
      </c>
      <c r="H494" s="380">
        <v>1</v>
      </c>
      <c r="I494" s="388">
        <v>67500</v>
      </c>
      <c r="J494" s="380">
        <v>2</v>
      </c>
      <c r="K494" s="389">
        <f>I494/J494</f>
        <v>33750</v>
      </c>
      <c r="L494" s="513">
        <v>46113</v>
      </c>
      <c r="M494" s="513">
        <v>46387</v>
      </c>
      <c r="N494" s="667"/>
      <c r="O494" s="684"/>
      <c r="P494" s="363" t="s">
        <v>520</v>
      </c>
      <c r="Q494" s="380"/>
      <c r="R494" s="380"/>
      <c r="S494" s="390" t="s">
        <v>1669</v>
      </c>
      <c r="T494" s="363" t="s">
        <v>1720</v>
      </c>
      <c r="U494" s="363" t="s">
        <v>1670</v>
      </c>
      <c r="V494" s="363"/>
      <c r="W494" s="363"/>
      <c r="X494" s="363"/>
      <c r="Y494" s="363"/>
      <c r="Z494" s="363"/>
      <c r="AA494" s="363"/>
      <c r="AB494" s="363"/>
      <c r="AC494" s="363"/>
      <c r="AD494" s="363"/>
      <c r="AE494" s="363" t="s">
        <v>507</v>
      </c>
      <c r="AF494" s="380" t="s">
        <v>63</v>
      </c>
      <c r="AG494" s="380">
        <v>3</v>
      </c>
      <c r="AH494" s="363" t="s">
        <v>667</v>
      </c>
    </row>
    <row r="495" spans="2:34" ht="15" hidden="1" customHeight="1" x14ac:dyDescent="0.3">
      <c r="B495" s="380" t="s">
        <v>5</v>
      </c>
      <c r="C495" s="482" t="s">
        <v>1671</v>
      </c>
      <c r="D495" s="483" t="s">
        <v>1031</v>
      </c>
      <c r="E495" s="468">
        <v>4514039171</v>
      </c>
      <c r="F495" s="488">
        <v>46128</v>
      </c>
      <c r="G495" s="380" t="s">
        <v>55</v>
      </c>
      <c r="H495" s="380">
        <v>3</v>
      </c>
      <c r="I495" s="388">
        <v>150000</v>
      </c>
      <c r="J495" s="380">
        <v>3</v>
      </c>
      <c r="K495" s="389">
        <f>I495/J495</f>
        <v>50000</v>
      </c>
      <c r="L495" s="504">
        <v>46023</v>
      </c>
      <c r="M495" s="504">
        <v>46387</v>
      </c>
      <c r="N495" s="667"/>
      <c r="O495" s="684"/>
      <c r="P495" s="363" t="s">
        <v>520</v>
      </c>
      <c r="Q495" s="380"/>
      <c r="R495" s="380"/>
      <c r="S495" s="390" t="s">
        <v>347</v>
      </c>
      <c r="T495" s="363" t="s">
        <v>1723</v>
      </c>
      <c r="U495" s="363" t="s">
        <v>348</v>
      </c>
      <c r="V495" s="363"/>
      <c r="W495" s="363" t="s">
        <v>349</v>
      </c>
      <c r="X495" s="363"/>
      <c r="Y495" s="363"/>
      <c r="Z495" s="363"/>
      <c r="AA495" s="363"/>
      <c r="AB495" s="363"/>
      <c r="AC495" s="363"/>
      <c r="AD495" s="363"/>
      <c r="AE495" s="363" t="s">
        <v>478</v>
      </c>
      <c r="AF495" s="380" t="s">
        <v>63</v>
      </c>
      <c r="AG495" s="380">
        <v>5</v>
      </c>
      <c r="AH495" s="363" t="s">
        <v>667</v>
      </c>
    </row>
    <row r="496" spans="2:34" ht="15" hidden="1" customHeight="1" x14ac:dyDescent="0.3">
      <c r="B496" s="380" t="s">
        <v>5</v>
      </c>
      <c r="C496" s="482" t="s">
        <v>1672</v>
      </c>
      <c r="D496" s="483" t="s">
        <v>1031</v>
      </c>
      <c r="E496" s="468">
        <v>4513957720</v>
      </c>
      <c r="F496" s="501">
        <v>46112</v>
      </c>
      <c r="G496" s="380" t="s">
        <v>55</v>
      </c>
      <c r="H496" s="380">
        <v>1</v>
      </c>
      <c r="I496" s="388">
        <v>50000</v>
      </c>
      <c r="J496" s="380">
        <v>3</v>
      </c>
      <c r="K496" s="389">
        <f>I496/J496</f>
        <v>16666.666666666668</v>
      </c>
      <c r="L496" s="504">
        <v>46023</v>
      </c>
      <c r="M496" s="504">
        <v>46387</v>
      </c>
      <c r="N496" s="667"/>
      <c r="O496" s="684"/>
      <c r="P496" s="363" t="s">
        <v>520</v>
      </c>
      <c r="Q496" s="380"/>
      <c r="R496" s="380"/>
      <c r="S496" s="390" t="s">
        <v>347</v>
      </c>
      <c r="T496" s="363" t="s">
        <v>1719</v>
      </c>
      <c r="U496" s="363" t="s">
        <v>348</v>
      </c>
      <c r="V496" s="363" t="s">
        <v>1741</v>
      </c>
      <c r="W496" s="363" t="s">
        <v>349</v>
      </c>
      <c r="X496" s="363"/>
      <c r="Y496" s="363"/>
      <c r="Z496" s="363"/>
      <c r="AA496" s="363"/>
      <c r="AB496" s="363"/>
      <c r="AC496" s="363"/>
      <c r="AD496" s="363"/>
      <c r="AE496" s="363" t="s">
        <v>478</v>
      </c>
      <c r="AF496" s="380" t="s">
        <v>63</v>
      </c>
      <c r="AG496" s="380">
        <v>5</v>
      </c>
      <c r="AH496" s="363" t="s">
        <v>667</v>
      </c>
    </row>
    <row r="497" spans="2:34" ht="15" hidden="1" customHeight="1" x14ac:dyDescent="0.3">
      <c r="B497" s="380" t="s">
        <v>5</v>
      </c>
      <c r="C497" s="551" t="s">
        <v>775</v>
      </c>
      <c r="D497" s="483" t="s">
        <v>852</v>
      </c>
      <c r="E497" s="468">
        <v>2710001873</v>
      </c>
      <c r="F497" s="488">
        <v>46127</v>
      </c>
      <c r="G497" s="380" t="s">
        <v>55</v>
      </c>
      <c r="H497" s="380">
        <v>2</v>
      </c>
      <c r="I497" s="388">
        <v>170000</v>
      </c>
      <c r="J497" s="380">
        <v>3</v>
      </c>
      <c r="K497" s="389">
        <f>I497/2</f>
        <v>85000</v>
      </c>
      <c r="L497" s="504">
        <v>46113</v>
      </c>
      <c r="M497" s="504">
        <v>46477</v>
      </c>
      <c r="N497" s="667"/>
      <c r="O497" s="684"/>
      <c r="P497" s="363" t="s">
        <v>520</v>
      </c>
      <c r="Q497" s="380"/>
      <c r="R497" s="380"/>
      <c r="S497" s="390" t="s">
        <v>1080</v>
      </c>
      <c r="T497" s="363" t="s">
        <v>1876</v>
      </c>
      <c r="U497" s="363" t="s">
        <v>1108</v>
      </c>
      <c r="V497" s="363" t="s">
        <v>1674</v>
      </c>
      <c r="W497" s="363" t="s">
        <v>1109</v>
      </c>
      <c r="X497" s="363"/>
      <c r="Y497" s="363"/>
      <c r="Z497" s="363"/>
      <c r="AA497" s="363"/>
      <c r="AB497" s="363"/>
      <c r="AC497" s="363"/>
      <c r="AD497" s="363"/>
      <c r="AE497" s="363" t="s">
        <v>551</v>
      </c>
      <c r="AF497" s="380" t="s">
        <v>207</v>
      </c>
      <c r="AG497" s="380">
        <v>3</v>
      </c>
      <c r="AH497" s="363" t="s">
        <v>1675</v>
      </c>
    </row>
    <row r="498" spans="2:34" ht="15" hidden="1" customHeight="1" x14ac:dyDescent="0.3">
      <c r="B498" s="380" t="s">
        <v>5</v>
      </c>
      <c r="C498" s="409" t="s">
        <v>527</v>
      </c>
      <c r="D498" s="423" t="s">
        <v>131</v>
      </c>
      <c r="E498" s="380">
        <v>7001298017</v>
      </c>
      <c r="F498" s="488">
        <v>46122</v>
      </c>
      <c r="G498" s="380" t="s">
        <v>55</v>
      </c>
      <c r="H498" s="380">
        <v>1</v>
      </c>
      <c r="I498" s="388">
        <v>78750</v>
      </c>
      <c r="J498" s="380">
        <v>2</v>
      </c>
      <c r="K498" s="389">
        <f t="shared" ref="K498:K506" si="19">I498/J498</f>
        <v>39375</v>
      </c>
      <c r="L498" s="505">
        <v>46113</v>
      </c>
      <c r="M498" s="505">
        <v>46477</v>
      </c>
      <c r="N498" s="668"/>
      <c r="O498" s="685"/>
      <c r="P498" s="363" t="s">
        <v>520</v>
      </c>
      <c r="Q498" s="380"/>
      <c r="R498" s="380"/>
      <c r="S498" s="363" t="s">
        <v>467</v>
      </c>
      <c r="T498" s="363"/>
      <c r="U498" s="363" t="s">
        <v>1633</v>
      </c>
      <c r="V498" s="363"/>
      <c r="W498" s="363"/>
      <c r="X498" s="363"/>
      <c r="Y498" s="363"/>
      <c r="Z498" s="363"/>
      <c r="AA498" s="363"/>
      <c r="AB498" s="363"/>
      <c r="AC498" s="363"/>
      <c r="AD498" s="363"/>
      <c r="AE498" s="363" t="s">
        <v>485</v>
      </c>
      <c r="AF498" s="380" t="s">
        <v>63</v>
      </c>
      <c r="AG498" s="380">
        <v>2</v>
      </c>
      <c r="AH498" s="363" t="s">
        <v>1676</v>
      </c>
    </row>
    <row r="499" spans="2:34" ht="15" hidden="1" customHeight="1" x14ac:dyDescent="0.3">
      <c r="B499" s="380" t="s">
        <v>5</v>
      </c>
      <c r="C499" s="482" t="s">
        <v>800</v>
      </c>
      <c r="D499" s="483" t="s">
        <v>812</v>
      </c>
      <c r="E499" s="491">
        <v>2102600168</v>
      </c>
      <c r="F499" s="488">
        <v>46119</v>
      </c>
      <c r="G499" s="380" t="s">
        <v>55</v>
      </c>
      <c r="H499" s="380">
        <v>4</v>
      </c>
      <c r="I499" s="388">
        <v>332800</v>
      </c>
      <c r="J499" s="380">
        <v>2</v>
      </c>
      <c r="K499" s="389">
        <f t="shared" si="19"/>
        <v>166400</v>
      </c>
      <c r="L499" s="504">
        <v>46113</v>
      </c>
      <c r="M499" s="504">
        <v>46477</v>
      </c>
      <c r="N499" s="667"/>
      <c r="O499" s="684"/>
      <c r="P499" s="363" t="s">
        <v>520</v>
      </c>
      <c r="Q499" s="380"/>
      <c r="R499" s="380"/>
      <c r="S499" s="363" t="s">
        <v>467</v>
      </c>
      <c r="T499" s="363"/>
      <c r="U499" s="363" t="s">
        <v>1633</v>
      </c>
      <c r="V499" s="363"/>
      <c r="W499" s="363"/>
      <c r="X499" s="363"/>
      <c r="Y499" s="363"/>
      <c r="Z499" s="363"/>
      <c r="AA499" s="363"/>
      <c r="AB499" s="363"/>
      <c r="AC499" s="363"/>
      <c r="AD499" s="363"/>
      <c r="AE499" s="363" t="s">
        <v>485</v>
      </c>
      <c r="AF499" s="380" t="s">
        <v>63</v>
      </c>
      <c r="AG499" s="380">
        <v>2</v>
      </c>
      <c r="AH499" s="363" t="s">
        <v>1677</v>
      </c>
    </row>
    <row r="500" spans="2:34" ht="15" hidden="1" customHeight="1" x14ac:dyDescent="0.3">
      <c r="B500" s="380" t="s">
        <v>5</v>
      </c>
      <c r="C500" s="409" t="s">
        <v>668</v>
      </c>
      <c r="D500" s="489" t="s">
        <v>693</v>
      </c>
      <c r="E500" s="493">
        <v>30082781</v>
      </c>
      <c r="F500" s="488">
        <v>46113</v>
      </c>
      <c r="G500" s="380" t="s">
        <v>55</v>
      </c>
      <c r="H500" s="380">
        <v>7</v>
      </c>
      <c r="I500" s="388">
        <v>441434</v>
      </c>
      <c r="J500" s="380">
        <v>2</v>
      </c>
      <c r="K500" s="389">
        <f>I500/J500</f>
        <v>220717</v>
      </c>
      <c r="L500" s="505">
        <v>46113</v>
      </c>
      <c r="M500" s="505">
        <v>46477</v>
      </c>
      <c r="N500" s="668"/>
      <c r="O500" s="685"/>
      <c r="P500" s="363" t="s">
        <v>520</v>
      </c>
      <c r="Q500" s="380"/>
      <c r="R500" s="380" t="s">
        <v>1</v>
      </c>
      <c r="S500" s="363" t="s">
        <v>467</v>
      </c>
      <c r="T500" s="363"/>
      <c r="U500" s="363" t="s">
        <v>1633</v>
      </c>
      <c r="V500" s="363"/>
      <c r="W500" s="363"/>
      <c r="X500" s="363"/>
      <c r="Y500" s="363"/>
      <c r="Z500" s="363"/>
      <c r="AA500" s="363"/>
      <c r="AB500" s="363"/>
      <c r="AC500" s="363"/>
      <c r="AD500" s="363"/>
      <c r="AE500" s="363" t="s">
        <v>128</v>
      </c>
      <c r="AF500" s="380" t="s">
        <v>129</v>
      </c>
      <c r="AG500" s="380">
        <v>2</v>
      </c>
      <c r="AH500" s="363" t="s">
        <v>1679</v>
      </c>
    </row>
    <row r="501" spans="2:34" ht="15" hidden="1" customHeight="1" x14ac:dyDescent="0.3">
      <c r="B501" s="380" t="s">
        <v>5</v>
      </c>
      <c r="C501" s="482" t="s">
        <v>800</v>
      </c>
      <c r="D501" s="483" t="s">
        <v>801</v>
      </c>
      <c r="E501" s="491">
        <v>3102600034</v>
      </c>
      <c r="F501" s="488">
        <v>46120</v>
      </c>
      <c r="G501" s="380" t="s">
        <v>55</v>
      </c>
      <c r="H501" s="380">
        <v>6</v>
      </c>
      <c r="I501" s="388">
        <v>468000</v>
      </c>
      <c r="J501" s="380">
        <v>2</v>
      </c>
      <c r="K501" s="389">
        <f t="shared" si="19"/>
        <v>234000</v>
      </c>
      <c r="L501" s="504">
        <v>46113</v>
      </c>
      <c r="M501" s="504">
        <v>46477</v>
      </c>
      <c r="N501" s="667"/>
      <c r="O501" s="684"/>
      <c r="P501" s="363" t="s">
        <v>520</v>
      </c>
      <c r="Q501" s="380"/>
      <c r="R501" s="380"/>
      <c r="S501" s="363" t="s">
        <v>467</v>
      </c>
      <c r="T501" s="363"/>
      <c r="U501" s="363" t="s">
        <v>1633</v>
      </c>
      <c r="V501" s="363"/>
      <c r="W501" s="363"/>
      <c r="X501" s="363"/>
      <c r="Y501" s="363"/>
      <c r="Z501" s="363"/>
      <c r="AA501" s="363"/>
      <c r="AB501" s="363"/>
      <c r="AC501" s="363"/>
      <c r="AD501" s="363"/>
      <c r="AE501" s="363" t="s">
        <v>485</v>
      </c>
      <c r="AF501" s="380" t="s">
        <v>63</v>
      </c>
      <c r="AG501" s="380">
        <v>2</v>
      </c>
      <c r="AH501" s="363" t="s">
        <v>1677</v>
      </c>
    </row>
    <row r="502" spans="2:34" ht="15" hidden="1" customHeight="1" x14ac:dyDescent="0.3">
      <c r="B502" s="380" t="s">
        <v>5</v>
      </c>
      <c r="C502" s="482" t="s">
        <v>905</v>
      </c>
      <c r="D502" s="483" t="s">
        <v>906</v>
      </c>
      <c r="E502" s="491">
        <v>1100036794</v>
      </c>
      <c r="F502" s="488">
        <v>46112</v>
      </c>
      <c r="G502" s="380" t="s">
        <v>55</v>
      </c>
      <c r="H502" s="380">
        <v>4</v>
      </c>
      <c r="I502" s="388">
        <v>294000</v>
      </c>
      <c r="J502" s="380">
        <v>2</v>
      </c>
      <c r="K502" s="389">
        <f t="shared" si="19"/>
        <v>147000</v>
      </c>
      <c r="L502" s="504">
        <v>46174</v>
      </c>
      <c r="M502" s="504">
        <v>46538</v>
      </c>
      <c r="N502" s="667"/>
      <c r="O502" s="684"/>
      <c r="P502" s="363" t="s">
        <v>520</v>
      </c>
      <c r="Q502" s="380"/>
      <c r="R502" s="380"/>
      <c r="S502" s="363" t="s">
        <v>1414</v>
      </c>
      <c r="T502" s="363"/>
      <c r="U502" s="363" t="s">
        <v>1680</v>
      </c>
      <c r="V502" s="363"/>
      <c r="W502" s="363"/>
      <c r="X502" s="363"/>
      <c r="Y502" s="363"/>
      <c r="Z502" s="363"/>
      <c r="AA502" s="363"/>
      <c r="AB502" s="363"/>
      <c r="AC502" s="363"/>
      <c r="AD502" s="363"/>
      <c r="AE502" s="363" t="s">
        <v>551</v>
      </c>
      <c r="AF502" s="380" t="s">
        <v>207</v>
      </c>
      <c r="AG502" s="380">
        <v>2</v>
      </c>
      <c r="AH502" s="363" t="s">
        <v>667</v>
      </c>
    </row>
    <row r="503" spans="2:34" ht="15" hidden="1" customHeight="1" x14ac:dyDescent="0.3">
      <c r="B503" s="380" t="s">
        <v>5</v>
      </c>
      <c r="C503" s="482" t="s">
        <v>716</v>
      </c>
      <c r="D503" s="483" t="s">
        <v>447</v>
      </c>
      <c r="E503" s="491" t="s">
        <v>1681</v>
      </c>
      <c r="F503" s="488">
        <v>46125</v>
      </c>
      <c r="G503" s="380" t="s">
        <v>55</v>
      </c>
      <c r="H503" s="380">
        <v>1</v>
      </c>
      <c r="I503" s="388">
        <v>59794.68</v>
      </c>
      <c r="J503" s="380">
        <v>3</v>
      </c>
      <c r="K503" s="389">
        <f t="shared" si="19"/>
        <v>19931.560000000001</v>
      </c>
      <c r="L503" s="504">
        <v>46113</v>
      </c>
      <c r="M503" s="504">
        <v>46477</v>
      </c>
      <c r="N503" s="667"/>
      <c r="O503" s="684"/>
      <c r="P503" s="363" t="s">
        <v>520</v>
      </c>
      <c r="Q503" s="380"/>
      <c r="R503" s="380"/>
      <c r="S503" s="390" t="s">
        <v>1080</v>
      </c>
      <c r="T503" s="363" t="s">
        <v>1949</v>
      </c>
      <c r="U503" s="363" t="s">
        <v>1108</v>
      </c>
      <c r="V503" s="363"/>
      <c r="W503" s="363" t="s">
        <v>1109</v>
      </c>
      <c r="X503" s="363"/>
      <c r="Y503" s="363"/>
      <c r="Z503" s="363"/>
      <c r="AA503" s="363"/>
      <c r="AB503" s="363"/>
      <c r="AC503" s="363"/>
      <c r="AD503" s="363"/>
      <c r="AE503" s="363" t="s">
        <v>281</v>
      </c>
      <c r="AF503" s="380" t="s">
        <v>97</v>
      </c>
      <c r="AG503" s="380" t="s">
        <v>494</v>
      </c>
      <c r="AH503" s="363" t="s">
        <v>667</v>
      </c>
    </row>
    <row r="504" spans="2:34" ht="15" hidden="1" customHeight="1" x14ac:dyDescent="0.3">
      <c r="B504" s="380" t="s">
        <v>5</v>
      </c>
      <c r="C504" s="482" t="s">
        <v>716</v>
      </c>
      <c r="D504" s="483" t="s">
        <v>447</v>
      </c>
      <c r="E504" s="491" t="s">
        <v>1682</v>
      </c>
      <c r="F504" s="488">
        <v>46125</v>
      </c>
      <c r="G504" s="380" t="s">
        <v>55</v>
      </c>
      <c r="H504" s="380">
        <v>3</v>
      </c>
      <c r="I504" s="388">
        <v>273093.78000000003</v>
      </c>
      <c r="J504" s="380">
        <v>3</v>
      </c>
      <c r="K504" s="389">
        <f t="shared" si="19"/>
        <v>91031.260000000009</v>
      </c>
      <c r="L504" s="504">
        <v>46113</v>
      </c>
      <c r="M504" s="504">
        <v>46477</v>
      </c>
      <c r="N504" s="667"/>
      <c r="O504" s="684"/>
      <c r="P504" s="363" t="s">
        <v>520</v>
      </c>
      <c r="Q504" s="380"/>
      <c r="R504" s="380"/>
      <c r="S504" s="390" t="s">
        <v>1080</v>
      </c>
      <c r="T504" s="363" t="s">
        <v>1949</v>
      </c>
      <c r="U504" s="363" t="s">
        <v>1108</v>
      </c>
      <c r="V504" s="363"/>
      <c r="W504" s="363" t="s">
        <v>1109</v>
      </c>
      <c r="X504" s="363"/>
      <c r="Y504" s="363"/>
      <c r="Z504" s="363"/>
      <c r="AA504" s="363"/>
      <c r="AB504" s="363"/>
      <c r="AC504" s="363"/>
      <c r="AD504" s="363"/>
      <c r="AE504" s="363" t="s">
        <v>281</v>
      </c>
      <c r="AF504" s="380" t="s">
        <v>97</v>
      </c>
      <c r="AG504" s="380" t="s">
        <v>494</v>
      </c>
      <c r="AH504" s="363" t="s">
        <v>667</v>
      </c>
    </row>
    <row r="505" spans="2:34" ht="15" hidden="1" customHeight="1" x14ac:dyDescent="0.3">
      <c r="B505" s="380" t="s">
        <v>5</v>
      </c>
      <c r="C505" s="482" t="s">
        <v>716</v>
      </c>
      <c r="D505" s="483" t="s">
        <v>447</v>
      </c>
      <c r="E505" s="491" t="s">
        <v>1683</v>
      </c>
      <c r="F505" s="488">
        <v>46125</v>
      </c>
      <c r="G505" s="380" t="s">
        <v>55</v>
      </c>
      <c r="H505" s="380">
        <v>2</v>
      </c>
      <c r="I505" s="388">
        <v>247338.36</v>
      </c>
      <c r="J505" s="380">
        <v>3</v>
      </c>
      <c r="K505" s="389">
        <f t="shared" si="19"/>
        <v>82446.12</v>
      </c>
      <c r="L505" s="504">
        <v>46113</v>
      </c>
      <c r="M505" s="504">
        <v>46477</v>
      </c>
      <c r="N505" s="667"/>
      <c r="O505" s="684"/>
      <c r="P505" s="363" t="s">
        <v>520</v>
      </c>
      <c r="Q505" s="380"/>
      <c r="R505" s="380"/>
      <c r="S505" s="390" t="s">
        <v>1080</v>
      </c>
      <c r="T505" s="363" t="s">
        <v>1952</v>
      </c>
      <c r="U505" s="363" t="s">
        <v>1108</v>
      </c>
      <c r="V505" s="363" t="s">
        <v>2072</v>
      </c>
      <c r="W505" s="363" t="s">
        <v>1109</v>
      </c>
      <c r="X505" s="363"/>
      <c r="Y505" s="363"/>
      <c r="Z505" s="363"/>
      <c r="AA505" s="363"/>
      <c r="AB505" s="363"/>
      <c r="AC505" s="363"/>
      <c r="AD505" s="363"/>
      <c r="AE505" s="363" t="s">
        <v>281</v>
      </c>
      <c r="AF505" s="380" t="s">
        <v>97</v>
      </c>
      <c r="AG505" s="380" t="s">
        <v>494</v>
      </c>
      <c r="AH505" s="363" t="s">
        <v>667</v>
      </c>
    </row>
    <row r="506" spans="2:34" ht="15" hidden="1" customHeight="1" x14ac:dyDescent="0.3">
      <c r="B506" s="380" t="s">
        <v>5</v>
      </c>
      <c r="C506" s="409" t="s">
        <v>762</v>
      </c>
      <c r="D506" s="423" t="s">
        <v>763</v>
      </c>
      <c r="E506" s="380" t="s">
        <v>1684</v>
      </c>
      <c r="F506" s="501">
        <v>46128</v>
      </c>
      <c r="G506" s="380" t="s">
        <v>55</v>
      </c>
      <c r="H506" s="380">
        <v>1</v>
      </c>
      <c r="I506" s="388">
        <v>80001</v>
      </c>
      <c r="J506" s="380">
        <v>3</v>
      </c>
      <c r="K506" s="389">
        <f t="shared" si="19"/>
        <v>26667</v>
      </c>
      <c r="L506" s="505">
        <v>46113</v>
      </c>
      <c r="M506" s="505">
        <v>46477</v>
      </c>
      <c r="N506" s="668">
        <v>155416</v>
      </c>
      <c r="O506" s="685">
        <v>4625</v>
      </c>
      <c r="P506" s="363" t="s">
        <v>520</v>
      </c>
      <c r="Q506" s="380"/>
      <c r="R506" s="380"/>
      <c r="S506" s="390" t="s">
        <v>1080</v>
      </c>
      <c r="T506" s="363" t="s">
        <v>1857</v>
      </c>
      <c r="U506" s="363" t="s">
        <v>1108</v>
      </c>
      <c r="V506" s="363"/>
      <c r="W506" s="363" t="s">
        <v>1109</v>
      </c>
      <c r="X506" s="363"/>
      <c r="Y506" s="363"/>
      <c r="Z506" s="363"/>
      <c r="AA506" s="363"/>
      <c r="AB506" s="363"/>
      <c r="AC506" s="363"/>
      <c r="AD506" s="363"/>
      <c r="AE506" s="363" t="s">
        <v>507</v>
      </c>
      <c r="AF506" s="380" t="s">
        <v>63</v>
      </c>
      <c r="AG506" s="380">
        <v>3</v>
      </c>
      <c r="AH506" s="363" t="s">
        <v>667</v>
      </c>
    </row>
    <row r="507" spans="2:34" ht="15" hidden="1" customHeight="1" x14ac:dyDescent="0.3">
      <c r="B507" s="380" t="s">
        <v>5</v>
      </c>
      <c r="C507" s="409" t="s">
        <v>1685</v>
      </c>
      <c r="D507" s="423" t="s">
        <v>1686</v>
      </c>
      <c r="E507" s="493" t="s">
        <v>1687</v>
      </c>
      <c r="F507" s="488">
        <v>46130</v>
      </c>
      <c r="G507" s="514" t="s">
        <v>703</v>
      </c>
      <c r="H507" s="380">
        <v>6</v>
      </c>
      <c r="I507" s="388">
        <v>2352488.14</v>
      </c>
      <c r="J507" s="380">
        <v>6</v>
      </c>
      <c r="K507" s="389">
        <f>I507/4</f>
        <v>588122.03500000003</v>
      </c>
      <c r="L507" s="505">
        <v>46136</v>
      </c>
      <c r="M507" s="505">
        <v>46500</v>
      </c>
      <c r="N507" s="668">
        <v>155079</v>
      </c>
      <c r="O507" s="685">
        <v>4216</v>
      </c>
      <c r="P507" s="363" t="s">
        <v>520</v>
      </c>
      <c r="Q507" s="389"/>
      <c r="R507" s="380" t="s">
        <v>1</v>
      </c>
      <c r="S507" s="390" t="s">
        <v>1688</v>
      </c>
      <c r="T507" s="363" t="s">
        <v>1710</v>
      </c>
      <c r="U507" s="390" t="s">
        <v>1689</v>
      </c>
      <c r="V507" s="363" t="s">
        <v>1936</v>
      </c>
      <c r="W507" s="363" t="s">
        <v>1690</v>
      </c>
      <c r="X507" s="363"/>
      <c r="Y507" s="363" t="s">
        <v>1691</v>
      </c>
      <c r="Z507" s="363"/>
      <c r="AA507" s="363" t="s">
        <v>1692</v>
      </c>
      <c r="AB507" s="363"/>
      <c r="AC507" s="363" t="s">
        <v>1693</v>
      </c>
      <c r="AD507" s="363"/>
      <c r="AE507" s="363" t="s">
        <v>551</v>
      </c>
      <c r="AF507" s="380" t="s">
        <v>207</v>
      </c>
      <c r="AG507" s="380" t="s">
        <v>494</v>
      </c>
      <c r="AH507" s="363" t="s">
        <v>667</v>
      </c>
    </row>
    <row r="508" spans="2:34" ht="15" hidden="1" customHeight="1" x14ac:dyDescent="0.3">
      <c r="B508" s="380" t="s">
        <v>5</v>
      </c>
      <c r="C508" s="482" t="s">
        <v>836</v>
      </c>
      <c r="D508" s="483" t="s">
        <v>629</v>
      </c>
      <c r="E508" s="491" t="s">
        <v>1694</v>
      </c>
      <c r="F508" s="488">
        <v>46133</v>
      </c>
      <c r="G508" s="380" t="s">
        <v>55</v>
      </c>
      <c r="H508" s="380">
        <v>2</v>
      </c>
      <c r="I508" s="388">
        <v>176400</v>
      </c>
      <c r="J508" s="380">
        <v>2</v>
      </c>
      <c r="K508" s="389">
        <f t="shared" ref="K508:K512" si="20">I508/J508</f>
        <v>88200</v>
      </c>
      <c r="L508" s="504">
        <v>46113</v>
      </c>
      <c r="M508" s="504">
        <v>46477</v>
      </c>
      <c r="N508" s="667"/>
      <c r="O508" s="684"/>
      <c r="P508" s="363" t="s">
        <v>520</v>
      </c>
      <c r="Q508" s="380"/>
      <c r="R508" s="380"/>
      <c r="S508" s="363" t="s">
        <v>467</v>
      </c>
      <c r="T508" s="363"/>
      <c r="U508" s="363" t="s">
        <v>1633</v>
      </c>
      <c r="V508" s="363"/>
      <c r="W508" s="363"/>
      <c r="X508" s="363"/>
      <c r="Y508" s="363"/>
      <c r="Z508" s="363"/>
      <c r="AA508" s="363"/>
      <c r="AB508" s="363"/>
      <c r="AC508" s="363"/>
      <c r="AD508" s="363"/>
      <c r="AE508" s="363" t="s">
        <v>485</v>
      </c>
      <c r="AF508" s="380" t="s">
        <v>63</v>
      </c>
      <c r="AG508" s="380">
        <v>2</v>
      </c>
      <c r="AH508" s="363" t="s">
        <v>799</v>
      </c>
    </row>
    <row r="509" spans="2:34" ht="15" hidden="1" customHeight="1" x14ac:dyDescent="0.3">
      <c r="B509" s="380" t="s">
        <v>5</v>
      </c>
      <c r="C509" s="482" t="s">
        <v>544</v>
      </c>
      <c r="D509" s="483" t="s">
        <v>1029</v>
      </c>
      <c r="E509" s="419">
        <v>1260004105</v>
      </c>
      <c r="F509" s="488">
        <v>46130</v>
      </c>
      <c r="G509" s="380" t="s">
        <v>55</v>
      </c>
      <c r="H509" s="380">
        <v>1</v>
      </c>
      <c r="I509" s="388">
        <v>145000</v>
      </c>
      <c r="J509" s="380">
        <v>3</v>
      </c>
      <c r="K509" s="389">
        <f t="shared" si="20"/>
        <v>48333.333333333336</v>
      </c>
      <c r="L509" s="513">
        <v>46164</v>
      </c>
      <c r="M509" s="513">
        <v>46528</v>
      </c>
      <c r="N509" s="667"/>
      <c r="O509" s="684"/>
      <c r="P509" s="363" t="s">
        <v>520</v>
      </c>
      <c r="Q509" s="380"/>
      <c r="R509" s="380"/>
      <c r="S509" s="363" t="s">
        <v>1695</v>
      </c>
      <c r="T509" s="363"/>
      <c r="U509" s="363" t="s">
        <v>1696</v>
      </c>
      <c r="V509" s="363"/>
      <c r="W509" s="363" t="s">
        <v>1697</v>
      </c>
      <c r="X509" s="363"/>
      <c r="Y509" s="363"/>
      <c r="Z509" s="363"/>
      <c r="AA509" s="363"/>
      <c r="AB509" s="363"/>
      <c r="AC509" s="363"/>
      <c r="AD509" s="363"/>
      <c r="AE509" s="363" t="s">
        <v>834</v>
      </c>
      <c r="AF509" s="380" t="s">
        <v>207</v>
      </c>
      <c r="AG509" s="380">
        <v>3</v>
      </c>
      <c r="AH509" s="363" t="s">
        <v>667</v>
      </c>
    </row>
    <row r="510" spans="2:34" ht="15" hidden="1" customHeight="1" x14ac:dyDescent="0.3">
      <c r="B510" s="380" t="s">
        <v>5</v>
      </c>
      <c r="C510" s="482" t="s">
        <v>544</v>
      </c>
      <c r="D510" s="483" t="s">
        <v>447</v>
      </c>
      <c r="E510" s="491">
        <v>1260003465</v>
      </c>
      <c r="F510" s="488">
        <v>46127</v>
      </c>
      <c r="G510" s="380" t="s">
        <v>55</v>
      </c>
      <c r="H510" s="380">
        <v>2</v>
      </c>
      <c r="I510" s="388">
        <v>215400</v>
      </c>
      <c r="J510" s="380">
        <v>3</v>
      </c>
      <c r="K510" s="389">
        <f t="shared" si="20"/>
        <v>71800</v>
      </c>
      <c r="L510" s="504">
        <v>46113</v>
      </c>
      <c r="M510" s="504">
        <v>46477</v>
      </c>
      <c r="N510" s="667">
        <v>155217</v>
      </c>
      <c r="O510" s="684">
        <v>4907</v>
      </c>
      <c r="P510" s="363" t="s">
        <v>520</v>
      </c>
      <c r="Q510" s="380"/>
      <c r="R510" s="380"/>
      <c r="S510" s="390" t="s">
        <v>1080</v>
      </c>
      <c r="T510" s="363" t="s">
        <v>1941</v>
      </c>
      <c r="U510" s="363" t="s">
        <v>1108</v>
      </c>
      <c r="V510" s="363"/>
      <c r="W510" s="363" t="s">
        <v>1109</v>
      </c>
      <c r="X510" s="363"/>
      <c r="Y510" s="363"/>
      <c r="Z510" s="363"/>
      <c r="AA510" s="363"/>
      <c r="AB510" s="363"/>
      <c r="AC510" s="363"/>
      <c r="AD510" s="363"/>
      <c r="AE510" s="363" t="s">
        <v>96</v>
      </c>
      <c r="AF510" s="380" t="s">
        <v>97</v>
      </c>
      <c r="AG510" s="380" t="s">
        <v>494</v>
      </c>
      <c r="AH510" s="363" t="s">
        <v>667</v>
      </c>
    </row>
    <row r="511" spans="2:34" ht="15" hidden="1" customHeight="1" x14ac:dyDescent="0.3">
      <c r="B511" s="380" t="s">
        <v>5</v>
      </c>
      <c r="C511" s="409" t="s">
        <v>751</v>
      </c>
      <c r="D511" s="423" t="s">
        <v>151</v>
      </c>
      <c r="E511" s="408">
        <v>307000844</v>
      </c>
      <c r="F511" s="488">
        <v>46129</v>
      </c>
      <c r="G511" s="380" t="s">
        <v>55</v>
      </c>
      <c r="H511" s="380">
        <v>1</v>
      </c>
      <c r="I511" s="388">
        <v>124440</v>
      </c>
      <c r="J511" s="380">
        <v>4</v>
      </c>
      <c r="K511" s="389">
        <f t="shared" si="20"/>
        <v>31110</v>
      </c>
      <c r="L511" s="505">
        <v>46113</v>
      </c>
      <c r="M511" s="505">
        <v>46477</v>
      </c>
      <c r="N511" s="668"/>
      <c r="O511" s="685"/>
      <c r="P511" s="363" t="s">
        <v>520</v>
      </c>
      <c r="Q511" s="380"/>
      <c r="R511" s="380"/>
      <c r="S511" s="390" t="s">
        <v>397</v>
      </c>
      <c r="T511" s="363" t="s">
        <v>1853</v>
      </c>
      <c r="U511" s="363" t="s">
        <v>496</v>
      </c>
      <c r="V511" s="363"/>
      <c r="W511" s="363" t="s">
        <v>497</v>
      </c>
      <c r="X511" s="363"/>
      <c r="Y511" s="363" t="s">
        <v>498</v>
      </c>
      <c r="Z511" s="363"/>
      <c r="AA511" s="363"/>
      <c r="AB511" s="363"/>
      <c r="AC511" s="363"/>
      <c r="AD511" s="363"/>
      <c r="AE511" s="363" t="s">
        <v>507</v>
      </c>
      <c r="AF511" s="380" t="s">
        <v>63</v>
      </c>
      <c r="AG511" s="380">
        <v>4</v>
      </c>
      <c r="AH511" s="363" t="s">
        <v>1626</v>
      </c>
    </row>
    <row r="512" spans="2:34" ht="15" hidden="1" customHeight="1" x14ac:dyDescent="0.3">
      <c r="B512" s="380" t="s">
        <v>5</v>
      </c>
      <c r="C512" s="409" t="s">
        <v>875</v>
      </c>
      <c r="D512" s="423" t="s">
        <v>876</v>
      </c>
      <c r="E512" s="484" t="s">
        <v>1698</v>
      </c>
      <c r="F512" s="488">
        <v>46133</v>
      </c>
      <c r="G512" s="380" t="s">
        <v>55</v>
      </c>
      <c r="H512" s="380">
        <v>3</v>
      </c>
      <c r="I512" s="388">
        <v>461100</v>
      </c>
      <c r="J512" s="380">
        <v>3</v>
      </c>
      <c r="K512" s="389">
        <f t="shared" si="20"/>
        <v>153700</v>
      </c>
      <c r="L512" s="505">
        <v>46143</v>
      </c>
      <c r="M512" s="505">
        <v>46507</v>
      </c>
      <c r="N512" s="668"/>
      <c r="O512" s="685"/>
      <c r="P512" s="363" t="s">
        <v>520</v>
      </c>
      <c r="Q512" s="380"/>
      <c r="R512" s="380"/>
      <c r="S512" s="363" t="s">
        <v>348</v>
      </c>
      <c r="T512" s="363"/>
      <c r="U512" s="363" t="s">
        <v>349</v>
      </c>
      <c r="V512" s="363"/>
      <c r="W512" s="363" t="s">
        <v>738</v>
      </c>
      <c r="X512" s="363"/>
      <c r="Y512" s="363"/>
      <c r="Z512" s="363"/>
      <c r="AA512" s="363"/>
      <c r="AB512" s="363"/>
      <c r="AC512" s="363"/>
      <c r="AD512" s="363"/>
      <c r="AE512" s="363" t="s">
        <v>281</v>
      </c>
      <c r="AF512" s="380" t="s">
        <v>97</v>
      </c>
      <c r="AG512" s="380">
        <v>3</v>
      </c>
      <c r="AH512" s="363" t="s">
        <v>799</v>
      </c>
    </row>
    <row r="513" spans="2:34" ht="15" hidden="1" customHeight="1" x14ac:dyDescent="0.3">
      <c r="B513" s="380" t="s">
        <v>5</v>
      </c>
      <c r="C513" s="409" t="s">
        <v>1699</v>
      </c>
      <c r="D513" s="423" t="s">
        <v>906</v>
      </c>
      <c r="E513" s="408" t="s">
        <v>1700</v>
      </c>
      <c r="F513" s="488">
        <v>46136</v>
      </c>
      <c r="G513" s="380" t="s">
        <v>55</v>
      </c>
      <c r="H513" s="380">
        <v>2</v>
      </c>
      <c r="I513" s="388">
        <v>180000</v>
      </c>
      <c r="J513" s="380">
        <v>4</v>
      </c>
      <c r="K513" s="389">
        <f>I513/2</f>
        <v>90000</v>
      </c>
      <c r="L513" s="505">
        <v>45953</v>
      </c>
      <c r="M513" s="505">
        <v>46317</v>
      </c>
      <c r="N513" s="668">
        <v>155377</v>
      </c>
      <c r="O513" s="685">
        <v>4693</v>
      </c>
      <c r="P513" s="363" t="s">
        <v>520</v>
      </c>
      <c r="Q513" s="380"/>
      <c r="R513" s="380"/>
      <c r="S513" s="394" t="str" cm="1">
        <f t="array" ref="S513">TEXT(EDATE($L513,{0}),"dd/mm/yyy") &amp; " to " &amp; TEXT(EDATE($L513,{3})-1,"dd/mm/yyyy")</f>
        <v>23/10/2025 to 22/01/2026</v>
      </c>
      <c r="T513" s="363"/>
      <c r="U513" s="394" t="str" cm="1">
        <f t="array" ref="U513">TEXT(EDATE($L513,{3}),"dd/mm/yyy") &amp; " to " &amp; TEXT(EDATE($L513,{6})-1,"dd/mm/yyyy")</f>
        <v>23/01/2026 to 22/04/2026</v>
      </c>
      <c r="V513" s="363" t="s">
        <v>1877</v>
      </c>
      <c r="W513" s="394" t="str" cm="1">
        <f t="array" ref="W513">TEXT(EDATE($L513,{6}),"dd/mm/yyy") &amp; " to " &amp; TEXT(EDATE($L513,{9})-1,"dd/mm/yyyy")</f>
        <v>23/04/2026 to 22/07/2026</v>
      </c>
      <c r="X513" s="363" t="s">
        <v>2045</v>
      </c>
      <c r="Y513" s="381" t="str" cm="1">
        <f t="array" ref="Y513">TEXT(EDATE($L513,{9}),"dd/mm/yyy") &amp; " to " &amp; TEXT(EDATE($L513,{12})-1,"dd/mm/yyyy")</f>
        <v>23/07/2026 to 22/10/2026</v>
      </c>
      <c r="Z513" s="363"/>
      <c r="AA513" s="363"/>
      <c r="AB513" s="363"/>
      <c r="AC513" s="363"/>
      <c r="AD513" s="363"/>
      <c r="AE513" s="363" t="s">
        <v>551</v>
      </c>
      <c r="AF513" s="380" t="s">
        <v>207</v>
      </c>
      <c r="AG513" s="380">
        <v>3</v>
      </c>
      <c r="AH513" s="363" t="s">
        <v>1704</v>
      </c>
    </row>
    <row r="514" spans="2:34" ht="15" hidden="1" customHeight="1" x14ac:dyDescent="0.3">
      <c r="B514" s="380" t="s">
        <v>5</v>
      </c>
      <c r="C514" s="478" t="s">
        <v>628</v>
      </c>
      <c r="D514" s="480" t="s">
        <v>910</v>
      </c>
      <c r="E514" s="481" t="s">
        <v>1705</v>
      </c>
      <c r="F514" s="496">
        <v>46128</v>
      </c>
      <c r="G514" s="380" t="s">
        <v>55</v>
      </c>
      <c r="H514" s="380">
        <v>3</v>
      </c>
      <c r="I514" s="388">
        <v>163500</v>
      </c>
      <c r="J514" s="380">
        <v>1</v>
      </c>
      <c r="K514" s="389">
        <f t="shared" ref="K514" si="21">I514/J514</f>
        <v>163500</v>
      </c>
      <c r="L514" s="504">
        <v>46113</v>
      </c>
      <c r="M514" s="504">
        <v>46477</v>
      </c>
      <c r="N514" s="667"/>
      <c r="O514" s="684"/>
      <c r="P514" s="363" t="s">
        <v>520</v>
      </c>
      <c r="Q514" s="380"/>
      <c r="R514" s="380"/>
      <c r="S514" s="363" t="s">
        <v>1706</v>
      </c>
      <c r="T514" s="363"/>
      <c r="U514" s="363"/>
      <c r="V514" s="363"/>
      <c r="W514" s="363"/>
      <c r="X514" s="363"/>
      <c r="Y514" s="363"/>
      <c r="Z514" s="363"/>
      <c r="AA514" s="363"/>
      <c r="AB514" s="363"/>
      <c r="AC514" s="363"/>
      <c r="AD514" s="363"/>
      <c r="AE514" s="363" t="s">
        <v>485</v>
      </c>
      <c r="AF514" s="380" t="s">
        <v>63</v>
      </c>
      <c r="AG514" s="380">
        <v>2</v>
      </c>
      <c r="AH514" s="363" t="s">
        <v>1488</v>
      </c>
    </row>
    <row r="515" spans="2:34" ht="15" hidden="1" customHeight="1" x14ac:dyDescent="0.3">
      <c r="B515" s="380" t="s">
        <v>5</v>
      </c>
      <c r="C515" s="412" t="s">
        <v>1707</v>
      </c>
      <c r="D515" s="510" t="s">
        <v>176</v>
      </c>
      <c r="E515" s="515">
        <v>26000193</v>
      </c>
      <c r="F515" s="499">
        <v>46118</v>
      </c>
      <c r="G515" s="380" t="s">
        <v>55</v>
      </c>
      <c r="H515" s="380">
        <v>1</v>
      </c>
      <c r="I515" s="388">
        <v>94500</v>
      </c>
      <c r="J515" s="380">
        <v>3</v>
      </c>
      <c r="K515" s="389"/>
      <c r="L515" s="516">
        <v>46113</v>
      </c>
      <c r="M515" s="516">
        <v>46477</v>
      </c>
      <c r="N515" s="667"/>
      <c r="O515" s="684"/>
      <c r="P515" s="363" t="s">
        <v>520</v>
      </c>
      <c r="Q515" s="380"/>
      <c r="R515" s="380"/>
      <c r="S515" s="390" t="s">
        <v>1080</v>
      </c>
      <c r="T515" s="363" t="s">
        <v>1859</v>
      </c>
      <c r="U515" s="363" t="s">
        <v>1108</v>
      </c>
      <c r="V515" s="363"/>
      <c r="W515" s="363" t="s">
        <v>1109</v>
      </c>
      <c r="X515" s="363"/>
      <c r="Y515" s="363"/>
      <c r="Z515" s="363"/>
      <c r="AA515" s="363"/>
      <c r="AB515" s="363"/>
      <c r="AC515" s="363"/>
      <c r="AD515" s="363"/>
      <c r="AE515" s="363" t="s">
        <v>183</v>
      </c>
      <c r="AF515" s="380" t="s">
        <v>97</v>
      </c>
      <c r="AG515" s="380">
        <v>2</v>
      </c>
      <c r="AH515" s="363" t="s">
        <v>1708</v>
      </c>
    </row>
    <row r="516" spans="2:34" ht="15" hidden="1" customHeight="1" x14ac:dyDescent="0.3">
      <c r="B516" s="380" t="s">
        <v>6</v>
      </c>
      <c r="C516" s="409" t="s">
        <v>663</v>
      </c>
      <c r="D516" s="434" t="s">
        <v>950</v>
      </c>
      <c r="E516" s="493">
        <v>4508018808</v>
      </c>
      <c r="F516" s="488">
        <v>46140</v>
      </c>
      <c r="G516" s="380" t="s">
        <v>55</v>
      </c>
      <c r="H516" s="380">
        <v>6</v>
      </c>
      <c r="I516" s="388">
        <v>479999.88</v>
      </c>
      <c r="J516" s="380">
        <v>3</v>
      </c>
      <c r="K516" s="389">
        <f>I516/J516</f>
        <v>159999.96</v>
      </c>
      <c r="L516" s="517">
        <v>46113</v>
      </c>
      <c r="M516" s="517">
        <v>46477</v>
      </c>
      <c r="N516" s="668">
        <v>155307</v>
      </c>
      <c r="O516" s="685">
        <v>4905</v>
      </c>
      <c r="P516" s="363" t="s">
        <v>520</v>
      </c>
      <c r="Q516" s="380"/>
      <c r="R516" s="380"/>
      <c r="S516" s="390" t="s">
        <v>1080</v>
      </c>
      <c r="T516" s="363" t="s">
        <v>2074</v>
      </c>
      <c r="U516" s="363" t="s">
        <v>1108</v>
      </c>
      <c r="V516" s="363"/>
      <c r="W516" s="363" t="s">
        <v>1109</v>
      </c>
      <c r="X516" s="363"/>
      <c r="Y516" s="363"/>
      <c r="Z516" s="363"/>
      <c r="AA516" s="363"/>
      <c r="AB516" s="363"/>
      <c r="AC516" s="363"/>
      <c r="AD516" s="363"/>
      <c r="AE516" s="363" t="s">
        <v>478</v>
      </c>
      <c r="AF516" s="380" t="s">
        <v>63</v>
      </c>
      <c r="AG516" s="380">
        <v>3</v>
      </c>
      <c r="AH516" s="363" t="s">
        <v>1272</v>
      </c>
    </row>
    <row r="517" spans="2:34" ht="15" hidden="1" customHeight="1" x14ac:dyDescent="0.3">
      <c r="B517" s="380" t="s">
        <v>6</v>
      </c>
      <c r="C517" s="409" t="s">
        <v>150</v>
      </c>
      <c r="D517" s="423" t="s">
        <v>350</v>
      </c>
      <c r="E517" s="408">
        <v>4200384269</v>
      </c>
      <c r="F517" s="488">
        <v>46100</v>
      </c>
      <c r="G517" s="380" t="s">
        <v>55</v>
      </c>
      <c r="H517" s="380"/>
      <c r="I517" s="388">
        <v>123300</v>
      </c>
      <c r="J517" s="380">
        <v>3</v>
      </c>
      <c r="K517" s="389">
        <f>I517/J517</f>
        <v>41100</v>
      </c>
      <c r="L517" s="505">
        <v>46113</v>
      </c>
      <c r="M517" s="505">
        <v>46477</v>
      </c>
      <c r="N517" s="668"/>
      <c r="O517" s="685"/>
      <c r="P517" s="363" t="s">
        <v>520</v>
      </c>
      <c r="Q517" s="380"/>
      <c r="R517" s="380"/>
      <c r="S517" s="390" t="s">
        <v>1080</v>
      </c>
      <c r="T517" s="363" t="s">
        <v>1878</v>
      </c>
      <c r="U517" s="363" t="s">
        <v>1108</v>
      </c>
      <c r="V517" s="363"/>
      <c r="W517" s="363" t="s">
        <v>1109</v>
      </c>
      <c r="X517" s="363"/>
      <c r="Y517" s="363"/>
      <c r="Z517" s="363"/>
      <c r="AA517" s="363"/>
      <c r="AB517" s="363"/>
      <c r="AC517" s="363"/>
      <c r="AD517" s="363"/>
      <c r="AE517" s="363" t="s">
        <v>834</v>
      </c>
      <c r="AF517" s="380" t="s">
        <v>207</v>
      </c>
      <c r="AG517" s="380">
        <v>2</v>
      </c>
      <c r="AH517" s="363" t="s">
        <v>1272</v>
      </c>
    </row>
    <row r="518" spans="2:34" ht="15" hidden="1" customHeight="1" x14ac:dyDescent="0.3">
      <c r="B518" s="380" t="s">
        <v>6</v>
      </c>
      <c r="C518" s="409" t="s">
        <v>150</v>
      </c>
      <c r="D518" s="423" t="s">
        <v>350</v>
      </c>
      <c r="E518" s="408">
        <v>4200384269</v>
      </c>
      <c r="F518" s="488">
        <v>46100</v>
      </c>
      <c r="G518" s="380" t="s">
        <v>55</v>
      </c>
      <c r="H518" s="380"/>
      <c r="I518" s="388">
        <v>129600</v>
      </c>
      <c r="J518" s="380">
        <v>3</v>
      </c>
      <c r="K518" s="389">
        <f>I518/J518</f>
        <v>43200</v>
      </c>
      <c r="L518" s="507">
        <v>46478</v>
      </c>
      <c r="M518" s="507">
        <v>46843</v>
      </c>
      <c r="N518" s="663"/>
      <c r="O518" s="680"/>
      <c r="P518" s="363" t="s">
        <v>520</v>
      </c>
      <c r="Q518" s="380"/>
      <c r="R518" s="380"/>
      <c r="S518" s="363" t="s">
        <v>1110</v>
      </c>
      <c r="T518" s="363"/>
      <c r="U518" s="363" t="s">
        <v>1742</v>
      </c>
      <c r="V518" s="363"/>
      <c r="W518" s="363" t="s">
        <v>1112</v>
      </c>
      <c r="X518" s="363"/>
      <c r="Y518" s="363"/>
      <c r="Z518" s="363"/>
      <c r="AA518" s="363"/>
      <c r="AB518" s="363"/>
      <c r="AC518" s="363"/>
      <c r="AD518" s="363"/>
      <c r="AE518" s="363" t="s">
        <v>834</v>
      </c>
      <c r="AF518" s="380" t="s">
        <v>207</v>
      </c>
      <c r="AG518" s="380">
        <v>2</v>
      </c>
      <c r="AH518" s="363" t="s">
        <v>1272</v>
      </c>
    </row>
    <row r="519" spans="2:34" ht="15" hidden="1" customHeight="1" x14ac:dyDescent="0.3">
      <c r="B519" s="380" t="s">
        <v>6</v>
      </c>
      <c r="C519" s="409" t="s">
        <v>150</v>
      </c>
      <c r="D519" s="423" t="s">
        <v>350</v>
      </c>
      <c r="E519" s="408">
        <v>4200384269</v>
      </c>
      <c r="F519" s="488">
        <v>46100</v>
      </c>
      <c r="G519" s="380" t="s">
        <v>55</v>
      </c>
      <c r="H519" s="380">
        <v>1</v>
      </c>
      <c r="I519" s="388">
        <v>136200</v>
      </c>
      <c r="J519" s="380">
        <v>3</v>
      </c>
      <c r="K519" s="389">
        <f>I519/J519</f>
        <v>45400</v>
      </c>
      <c r="L519" s="507">
        <v>46844</v>
      </c>
      <c r="M519" s="507">
        <v>47208</v>
      </c>
      <c r="N519" s="663"/>
      <c r="O519" s="680"/>
      <c r="P519" s="363" t="s">
        <v>520</v>
      </c>
      <c r="Q519" s="380"/>
      <c r="R519" s="380"/>
      <c r="S519" s="363" t="s">
        <v>1743</v>
      </c>
      <c r="T519" s="363"/>
      <c r="U519" s="363" t="s">
        <v>1744</v>
      </c>
      <c r="V519" s="363"/>
      <c r="W519" s="363" t="s">
        <v>1745</v>
      </c>
      <c r="X519" s="363"/>
      <c r="Y519" s="363"/>
      <c r="Z519" s="363"/>
      <c r="AA519" s="363"/>
      <c r="AB519" s="363"/>
      <c r="AC519" s="363"/>
      <c r="AD519" s="363"/>
      <c r="AE519" s="363" t="s">
        <v>834</v>
      </c>
      <c r="AF519" s="380" t="s">
        <v>207</v>
      </c>
      <c r="AG519" s="380">
        <v>2</v>
      </c>
      <c r="AH519" s="363" t="s">
        <v>1272</v>
      </c>
    </row>
    <row r="520" spans="2:34" ht="15" hidden="1" customHeight="1" x14ac:dyDescent="0.3">
      <c r="B520" s="380" t="s">
        <v>6</v>
      </c>
      <c r="C520" s="482" t="s">
        <v>1746</v>
      </c>
      <c r="D520" s="483" t="s">
        <v>388</v>
      </c>
      <c r="E520" s="468">
        <v>5000146860</v>
      </c>
      <c r="F520" s="501">
        <v>46136</v>
      </c>
      <c r="G520" s="380" t="s">
        <v>55</v>
      </c>
      <c r="H520" s="380">
        <v>1</v>
      </c>
      <c r="I520" s="388">
        <v>89300</v>
      </c>
      <c r="J520" s="380">
        <v>2</v>
      </c>
      <c r="K520" s="389">
        <f>I520/J520</f>
        <v>44650</v>
      </c>
      <c r="L520" s="504">
        <v>46113</v>
      </c>
      <c r="M520" s="504">
        <v>46477</v>
      </c>
      <c r="N520" s="667"/>
      <c r="O520" s="684"/>
      <c r="P520" s="363" t="s">
        <v>520</v>
      </c>
      <c r="Q520" s="380"/>
      <c r="R520" s="380" t="s">
        <v>1</v>
      </c>
      <c r="S520" s="363" t="s">
        <v>467</v>
      </c>
      <c r="T520" s="363"/>
      <c r="U520" s="363" t="s">
        <v>1633</v>
      </c>
      <c r="V520" s="363"/>
      <c r="W520" s="363"/>
      <c r="X520" s="363"/>
      <c r="Y520" s="363"/>
      <c r="Z520" s="363"/>
      <c r="AA520" s="363"/>
      <c r="AB520" s="363"/>
      <c r="AC520" s="363"/>
      <c r="AD520" s="363"/>
      <c r="AE520" s="363" t="s">
        <v>619</v>
      </c>
      <c r="AF520" s="380" t="s">
        <v>63</v>
      </c>
      <c r="AG520" s="380">
        <v>3</v>
      </c>
      <c r="AH520" s="363" t="s">
        <v>667</v>
      </c>
    </row>
    <row r="521" spans="2:34" ht="15" hidden="1" customHeight="1" x14ac:dyDescent="0.3">
      <c r="B521" s="380" t="s">
        <v>6</v>
      </c>
      <c r="C521" s="482" t="s">
        <v>845</v>
      </c>
      <c r="D521" s="483" t="s">
        <v>846</v>
      </c>
      <c r="E521" s="468">
        <v>901984108</v>
      </c>
      <c r="F521" s="501">
        <v>46136</v>
      </c>
      <c r="G521" s="380" t="s">
        <v>55</v>
      </c>
      <c r="H521" s="380">
        <v>1</v>
      </c>
      <c r="I521" s="388">
        <v>98000</v>
      </c>
      <c r="J521" s="380">
        <v>3</v>
      </c>
      <c r="K521" s="389">
        <f>I521/2</f>
        <v>49000</v>
      </c>
      <c r="L521" s="504">
        <v>46023</v>
      </c>
      <c r="M521" s="504">
        <v>46387</v>
      </c>
      <c r="N521" s="667"/>
      <c r="O521" s="684"/>
      <c r="P521" s="363" t="s">
        <v>520</v>
      </c>
      <c r="Q521" s="380"/>
      <c r="R521" s="380" t="s">
        <v>1</v>
      </c>
      <c r="S521" s="390" t="s">
        <v>347</v>
      </c>
      <c r="T521" s="363" t="s">
        <v>1747</v>
      </c>
      <c r="U521" s="390" t="s">
        <v>348</v>
      </c>
      <c r="V521" s="363" t="s">
        <v>1966</v>
      </c>
      <c r="W521" s="363" t="s">
        <v>349</v>
      </c>
      <c r="X521" s="363" t="s">
        <v>2075</v>
      </c>
      <c r="Y521" s="363"/>
      <c r="Z521" s="363"/>
      <c r="AA521" s="363"/>
      <c r="AB521" s="363"/>
      <c r="AC521" s="363"/>
      <c r="AD521" s="363"/>
      <c r="AE521" s="363" t="s">
        <v>551</v>
      </c>
      <c r="AF521" s="380" t="s">
        <v>207</v>
      </c>
      <c r="AG521" s="380">
        <v>3</v>
      </c>
      <c r="AH521" s="363" t="s">
        <v>1967</v>
      </c>
    </row>
    <row r="522" spans="2:34" ht="15" hidden="1" customHeight="1" x14ac:dyDescent="0.3">
      <c r="B522" s="380" t="s">
        <v>6</v>
      </c>
      <c r="C522" s="430" t="s">
        <v>1151</v>
      </c>
      <c r="D522" s="445" t="s">
        <v>151</v>
      </c>
      <c r="E522" s="509">
        <v>4514137209</v>
      </c>
      <c r="F522" s="488">
        <v>46147</v>
      </c>
      <c r="G522" s="380" t="s">
        <v>55</v>
      </c>
      <c r="H522" s="380">
        <v>1</v>
      </c>
      <c r="I522" s="388">
        <v>285000</v>
      </c>
      <c r="J522" s="380">
        <v>3</v>
      </c>
      <c r="K522" s="389">
        <f t="shared" ref="K522:K534" si="22">I522/J522</f>
        <v>95000</v>
      </c>
      <c r="L522" s="504">
        <v>46143</v>
      </c>
      <c r="M522" s="504">
        <v>46507</v>
      </c>
      <c r="N522" s="667">
        <v>155308</v>
      </c>
      <c r="O522" s="684"/>
      <c r="P522" s="363" t="s">
        <v>520</v>
      </c>
      <c r="Q522" s="380"/>
      <c r="R522" s="380"/>
      <c r="S522" s="363" t="s">
        <v>348</v>
      </c>
      <c r="T522" s="363"/>
      <c r="U522" s="363" t="s">
        <v>349</v>
      </c>
      <c r="V522" s="363"/>
      <c r="W522" s="363" t="s">
        <v>738</v>
      </c>
      <c r="X522" s="363"/>
      <c r="Y522" s="363"/>
      <c r="Z522" s="363"/>
      <c r="AA522" s="363"/>
      <c r="AB522" s="363"/>
      <c r="AC522" s="363"/>
      <c r="AD522" s="363"/>
      <c r="AE522" s="363" t="s">
        <v>478</v>
      </c>
      <c r="AF522" s="380" t="s">
        <v>63</v>
      </c>
      <c r="AG522" s="380">
        <v>3</v>
      </c>
      <c r="AH522" s="363" t="s">
        <v>667</v>
      </c>
    </row>
    <row r="523" spans="2:34" ht="15" hidden="1" customHeight="1" x14ac:dyDescent="0.3">
      <c r="B523" s="380" t="s">
        <v>6</v>
      </c>
      <c r="C523" s="363" t="s">
        <v>1749</v>
      </c>
      <c r="D523" s="483" t="s">
        <v>841</v>
      </c>
      <c r="E523" s="468" t="s">
        <v>1750</v>
      </c>
      <c r="F523" s="488">
        <v>46144</v>
      </c>
      <c r="G523" s="380" t="s">
        <v>55</v>
      </c>
      <c r="H523" s="380">
        <v>2</v>
      </c>
      <c r="I523" s="388">
        <v>110000</v>
      </c>
      <c r="J523" s="380">
        <v>1</v>
      </c>
      <c r="K523" s="389">
        <f t="shared" si="22"/>
        <v>110000</v>
      </c>
      <c r="L523" s="504">
        <v>46113</v>
      </c>
      <c r="M523" s="504">
        <v>46477</v>
      </c>
      <c r="N523" s="667"/>
      <c r="O523" s="684"/>
      <c r="P523" s="363" t="s">
        <v>520</v>
      </c>
      <c r="Q523" s="380"/>
      <c r="R523" s="380"/>
      <c r="S523" s="363" t="s">
        <v>646</v>
      </c>
      <c r="T523" s="363"/>
      <c r="U523" s="363"/>
      <c r="V523" s="363"/>
      <c r="W523" s="363"/>
      <c r="X523" s="363"/>
      <c r="Y523" s="363"/>
      <c r="Z523" s="363"/>
      <c r="AA523" s="363"/>
      <c r="AB523" s="363"/>
      <c r="AC523" s="363"/>
      <c r="AD523" s="363"/>
      <c r="AE523" s="363" t="s">
        <v>485</v>
      </c>
      <c r="AF523" s="380" t="s">
        <v>63</v>
      </c>
      <c r="AG523" s="380">
        <v>2</v>
      </c>
      <c r="AH523" s="363" t="s">
        <v>1751</v>
      </c>
    </row>
    <row r="524" spans="2:34" ht="15" hidden="1" customHeight="1" x14ac:dyDescent="0.3">
      <c r="B524" s="380" t="s">
        <v>6</v>
      </c>
      <c r="C524" s="482" t="s">
        <v>679</v>
      </c>
      <c r="D524" s="483" t="s">
        <v>680</v>
      </c>
      <c r="E524" s="491">
        <v>7000296927</v>
      </c>
      <c r="F524" s="488">
        <v>46140</v>
      </c>
      <c r="G524" s="380" t="s">
        <v>55</v>
      </c>
      <c r="H524" s="380">
        <v>2</v>
      </c>
      <c r="I524" s="388">
        <v>180000</v>
      </c>
      <c r="J524" s="380">
        <v>2</v>
      </c>
      <c r="K524" s="389">
        <f t="shared" si="22"/>
        <v>90000</v>
      </c>
      <c r="L524" s="504">
        <v>46113</v>
      </c>
      <c r="M524" s="504">
        <v>46477</v>
      </c>
      <c r="N524" s="667"/>
      <c r="O524" s="684"/>
      <c r="P524" s="363" t="s">
        <v>520</v>
      </c>
      <c r="Q524" s="380"/>
      <c r="R524" s="380"/>
      <c r="S524" s="363" t="s">
        <v>467</v>
      </c>
      <c r="T524" s="363"/>
      <c r="U524" s="363" t="s">
        <v>1633</v>
      </c>
      <c r="V524" s="363"/>
      <c r="W524" s="363"/>
      <c r="X524" s="363"/>
      <c r="Y524" s="363"/>
      <c r="Z524" s="363"/>
      <c r="AA524" s="363"/>
      <c r="AB524" s="363"/>
      <c r="AC524" s="363"/>
      <c r="AD524" s="363"/>
      <c r="AE524" s="363" t="s">
        <v>485</v>
      </c>
      <c r="AF524" s="380" t="s">
        <v>63</v>
      </c>
      <c r="AG524" s="380">
        <v>2</v>
      </c>
      <c r="AH524" s="363" t="s">
        <v>1752</v>
      </c>
    </row>
    <row r="525" spans="2:34" ht="15" hidden="1" customHeight="1" x14ac:dyDescent="0.3">
      <c r="B525" s="380" t="s">
        <v>6</v>
      </c>
      <c r="C525" s="482" t="s">
        <v>830</v>
      </c>
      <c r="D525" s="483" t="s">
        <v>831</v>
      </c>
      <c r="E525" s="468">
        <v>3500126806</v>
      </c>
      <c r="F525" s="488">
        <v>46141</v>
      </c>
      <c r="G525" s="380" t="s">
        <v>55</v>
      </c>
      <c r="H525" s="380">
        <v>1</v>
      </c>
      <c r="I525" s="388">
        <v>120000</v>
      </c>
      <c r="J525" s="380">
        <v>3</v>
      </c>
      <c r="K525" s="389">
        <f t="shared" si="22"/>
        <v>40000</v>
      </c>
      <c r="L525" s="504">
        <v>46143</v>
      </c>
      <c r="M525" s="504">
        <v>46507</v>
      </c>
      <c r="N525" s="667"/>
      <c r="O525" s="684"/>
      <c r="P525" s="363" t="s">
        <v>520</v>
      </c>
      <c r="Q525" s="380"/>
      <c r="R525" s="380"/>
      <c r="S525" s="390" t="s">
        <v>348</v>
      </c>
      <c r="T525" s="363" t="s">
        <v>1733</v>
      </c>
      <c r="U525" s="363" t="s">
        <v>349</v>
      </c>
      <c r="V525" s="363"/>
      <c r="W525" s="363" t="s">
        <v>738</v>
      </c>
      <c r="X525" s="363"/>
      <c r="Y525" s="363"/>
      <c r="Z525" s="363"/>
      <c r="AA525" s="363"/>
      <c r="AB525" s="363"/>
      <c r="AC525" s="363"/>
      <c r="AD525" s="363"/>
      <c r="AE525" s="363" t="s">
        <v>834</v>
      </c>
      <c r="AF525" s="380" t="s">
        <v>207</v>
      </c>
      <c r="AG525" s="380">
        <v>3</v>
      </c>
      <c r="AH525" s="363" t="s">
        <v>1753</v>
      </c>
    </row>
    <row r="526" spans="2:34" ht="15" hidden="1" customHeight="1" x14ac:dyDescent="0.3">
      <c r="B526" s="380" t="s">
        <v>6</v>
      </c>
      <c r="C526" s="409" t="s">
        <v>1206</v>
      </c>
      <c r="D526" s="489" t="s">
        <v>323</v>
      </c>
      <c r="E526" s="408">
        <v>401249055</v>
      </c>
      <c r="F526" s="488">
        <v>46101</v>
      </c>
      <c r="G526" s="380" t="s">
        <v>55</v>
      </c>
      <c r="H526" s="380"/>
      <c r="I526" s="388">
        <v>196002</v>
      </c>
      <c r="J526" s="380">
        <v>2</v>
      </c>
      <c r="K526" s="389">
        <f t="shared" si="22"/>
        <v>98001</v>
      </c>
      <c r="L526" s="505">
        <v>46143</v>
      </c>
      <c r="M526" s="505">
        <v>46507</v>
      </c>
      <c r="N526" s="668"/>
      <c r="O526" s="685"/>
      <c r="P526" s="363" t="s">
        <v>520</v>
      </c>
      <c r="Q526" s="380"/>
      <c r="R526" s="380" t="s">
        <v>437</v>
      </c>
      <c r="S526" s="363" t="s">
        <v>1339</v>
      </c>
      <c r="T526" s="363"/>
      <c r="U526" s="363" t="s">
        <v>1644</v>
      </c>
      <c r="V526" s="363"/>
      <c r="W526" s="363"/>
      <c r="X526" s="363"/>
      <c r="Y526" s="363"/>
      <c r="Z526" s="363"/>
      <c r="AA526" s="363"/>
      <c r="AB526" s="363"/>
      <c r="AC526" s="363"/>
      <c r="AD526" s="363"/>
      <c r="AE526" s="363" t="s">
        <v>96</v>
      </c>
      <c r="AF526" s="380" t="s">
        <v>97</v>
      </c>
      <c r="AG526" s="380">
        <v>4</v>
      </c>
      <c r="AH526" s="363" t="s">
        <v>1754</v>
      </c>
    </row>
    <row r="527" spans="2:34" ht="15" hidden="1" customHeight="1" x14ac:dyDescent="0.3">
      <c r="B527" s="380" t="s">
        <v>6</v>
      </c>
      <c r="C527" s="409" t="s">
        <v>1206</v>
      </c>
      <c r="D527" s="489" t="s">
        <v>323</v>
      </c>
      <c r="E527" s="408">
        <v>401249055</v>
      </c>
      <c r="F527" s="488">
        <v>46101</v>
      </c>
      <c r="G527" s="380" t="s">
        <v>55</v>
      </c>
      <c r="H527" s="380">
        <v>2</v>
      </c>
      <c r="I527" s="388">
        <v>196002</v>
      </c>
      <c r="J527" s="380">
        <v>2</v>
      </c>
      <c r="K527" s="389">
        <f t="shared" si="22"/>
        <v>98001</v>
      </c>
      <c r="L527" s="505">
        <v>46508</v>
      </c>
      <c r="M527" s="505">
        <v>46873</v>
      </c>
      <c r="N527" s="668"/>
      <c r="O527" s="685"/>
      <c r="P527" s="363" t="s">
        <v>520</v>
      </c>
      <c r="Q527" s="380"/>
      <c r="R527" s="380" t="s">
        <v>437</v>
      </c>
      <c r="S527" s="363" t="s">
        <v>1755</v>
      </c>
      <c r="T527" s="363"/>
      <c r="U527" s="363" t="s">
        <v>1756</v>
      </c>
      <c r="V527" s="363"/>
      <c r="W527" s="363"/>
      <c r="X527" s="363"/>
      <c r="Y527" s="363"/>
      <c r="Z527" s="363"/>
      <c r="AA527" s="363"/>
      <c r="AB527" s="363"/>
      <c r="AC527" s="363"/>
      <c r="AD527" s="363"/>
      <c r="AE527" s="363" t="s">
        <v>96</v>
      </c>
      <c r="AF527" s="380" t="s">
        <v>97</v>
      </c>
      <c r="AG527" s="380">
        <v>4</v>
      </c>
      <c r="AH527" s="363" t="s">
        <v>1754</v>
      </c>
    </row>
    <row r="528" spans="2:34" ht="15" hidden="1" customHeight="1" x14ac:dyDescent="0.3">
      <c r="B528" s="380" t="s">
        <v>6</v>
      </c>
      <c r="C528" s="409" t="s">
        <v>195</v>
      </c>
      <c r="D528" s="423" t="s">
        <v>858</v>
      </c>
      <c r="E528" s="408" t="s">
        <v>1757</v>
      </c>
      <c r="F528" s="488">
        <v>46104</v>
      </c>
      <c r="G528" s="380" t="s">
        <v>55</v>
      </c>
      <c r="H528" s="380"/>
      <c r="I528" s="388">
        <v>281300</v>
      </c>
      <c r="J528" s="380">
        <v>4</v>
      </c>
      <c r="K528" s="389">
        <f t="shared" si="22"/>
        <v>70325</v>
      </c>
      <c r="L528" s="505">
        <v>46104</v>
      </c>
      <c r="M528" s="505">
        <v>46468</v>
      </c>
      <c r="N528" s="668"/>
      <c r="O528" s="685"/>
      <c r="P528" s="363" t="s">
        <v>520</v>
      </c>
      <c r="Q528" s="380"/>
      <c r="R528" s="380"/>
      <c r="S528" s="390" t="s">
        <v>1758</v>
      </c>
      <c r="T528" s="363" t="s">
        <v>1737</v>
      </c>
      <c r="U528" s="363" t="s">
        <v>1759</v>
      </c>
      <c r="V528" s="363"/>
      <c r="W528" s="363" t="s">
        <v>1760</v>
      </c>
      <c r="X528" s="363"/>
      <c r="Y528" s="363" t="s">
        <v>1761</v>
      </c>
      <c r="Z528" s="363"/>
      <c r="AA528" s="363"/>
      <c r="AB528" s="363"/>
      <c r="AC528" s="363"/>
      <c r="AD528" s="363"/>
      <c r="AE528" s="363" t="s">
        <v>551</v>
      </c>
      <c r="AF528" s="380" t="s">
        <v>207</v>
      </c>
      <c r="AG528" s="380">
        <v>3</v>
      </c>
      <c r="AH528" s="363" t="s">
        <v>1762</v>
      </c>
    </row>
    <row r="529" spans="2:34" ht="15" hidden="1" customHeight="1" x14ac:dyDescent="0.3">
      <c r="B529" s="380" t="s">
        <v>6</v>
      </c>
      <c r="C529" s="409" t="s">
        <v>195</v>
      </c>
      <c r="D529" s="423" t="s">
        <v>858</v>
      </c>
      <c r="E529" s="408" t="s">
        <v>1757</v>
      </c>
      <c r="F529" s="488">
        <v>46104</v>
      </c>
      <c r="G529" s="380" t="s">
        <v>55</v>
      </c>
      <c r="H529" s="380"/>
      <c r="I529" s="388">
        <v>281300</v>
      </c>
      <c r="J529" s="380">
        <v>4</v>
      </c>
      <c r="K529" s="389">
        <f t="shared" si="22"/>
        <v>70325</v>
      </c>
      <c r="L529" s="505">
        <v>46469</v>
      </c>
      <c r="M529" s="505">
        <v>46834</v>
      </c>
      <c r="N529" s="668"/>
      <c r="O529" s="685"/>
      <c r="P529" s="363" t="s">
        <v>520</v>
      </c>
      <c r="Q529" s="380"/>
      <c r="R529" s="380"/>
      <c r="S529" s="363" t="s">
        <v>1763</v>
      </c>
      <c r="T529" s="363"/>
      <c r="U529" s="363" t="s">
        <v>1764</v>
      </c>
      <c r="V529" s="363"/>
      <c r="W529" s="363" t="s">
        <v>1765</v>
      </c>
      <c r="X529" s="363"/>
      <c r="Y529" s="363" t="s">
        <v>1766</v>
      </c>
      <c r="Z529" s="363"/>
      <c r="AA529" s="363"/>
      <c r="AB529" s="363"/>
      <c r="AC529" s="363"/>
      <c r="AD529" s="363"/>
      <c r="AE529" s="363" t="s">
        <v>551</v>
      </c>
      <c r="AF529" s="380" t="s">
        <v>207</v>
      </c>
      <c r="AG529" s="380">
        <v>3</v>
      </c>
      <c r="AH529" s="363" t="s">
        <v>1762</v>
      </c>
    </row>
    <row r="530" spans="2:34" ht="15" hidden="1" customHeight="1" x14ac:dyDescent="0.3">
      <c r="B530" s="380" t="s">
        <v>6</v>
      </c>
      <c r="C530" s="409" t="s">
        <v>195</v>
      </c>
      <c r="D530" s="423" t="s">
        <v>858</v>
      </c>
      <c r="E530" s="408" t="s">
        <v>1757</v>
      </c>
      <c r="F530" s="488">
        <v>46104</v>
      </c>
      <c r="G530" s="380" t="s">
        <v>55</v>
      </c>
      <c r="H530" s="380">
        <v>5</v>
      </c>
      <c r="I530" s="388">
        <v>281300</v>
      </c>
      <c r="J530" s="380">
        <v>4</v>
      </c>
      <c r="K530" s="389">
        <f t="shared" si="22"/>
        <v>70325</v>
      </c>
      <c r="L530" s="505">
        <v>46835</v>
      </c>
      <c r="M530" s="505">
        <v>47199</v>
      </c>
      <c r="N530" s="668"/>
      <c r="O530" s="685"/>
      <c r="P530" s="363" t="s">
        <v>520</v>
      </c>
      <c r="Q530" s="380"/>
      <c r="R530" s="380"/>
      <c r="S530" s="363" t="s">
        <v>1767</v>
      </c>
      <c r="T530" s="363"/>
      <c r="U530" s="363" t="s">
        <v>1768</v>
      </c>
      <c r="V530" s="363"/>
      <c r="W530" s="363" t="s">
        <v>1769</v>
      </c>
      <c r="X530" s="363"/>
      <c r="Y530" s="363" t="s">
        <v>1770</v>
      </c>
      <c r="Z530" s="363"/>
      <c r="AA530" s="363"/>
      <c r="AB530" s="363"/>
      <c r="AC530" s="363"/>
      <c r="AD530" s="363"/>
      <c r="AE530" s="363" t="s">
        <v>551</v>
      </c>
      <c r="AF530" s="380" t="s">
        <v>207</v>
      </c>
      <c r="AG530" s="380">
        <v>3</v>
      </c>
      <c r="AH530" s="363" t="s">
        <v>1762</v>
      </c>
    </row>
    <row r="531" spans="2:34" ht="15" hidden="1" customHeight="1" x14ac:dyDescent="0.3">
      <c r="B531" s="380" t="s">
        <v>6</v>
      </c>
      <c r="C531" s="409" t="s">
        <v>948</v>
      </c>
      <c r="D531" s="423" t="s">
        <v>949</v>
      </c>
      <c r="E531" s="380">
        <v>9000019753</v>
      </c>
      <c r="F531" s="488">
        <v>46149</v>
      </c>
      <c r="G531" s="380" t="s">
        <v>55</v>
      </c>
      <c r="H531" s="380">
        <v>4</v>
      </c>
      <c r="I531" s="388">
        <v>310400</v>
      </c>
      <c r="J531" s="380">
        <v>4</v>
      </c>
      <c r="K531" s="389">
        <f t="shared" si="22"/>
        <v>77600</v>
      </c>
      <c r="L531" s="505">
        <v>46143</v>
      </c>
      <c r="M531" s="505">
        <v>46507</v>
      </c>
      <c r="N531" s="668"/>
      <c r="O531" s="685"/>
      <c r="P531" s="363" t="s">
        <v>520</v>
      </c>
      <c r="Q531" s="380"/>
      <c r="R531" s="380"/>
      <c r="S531" s="390" t="s">
        <v>444</v>
      </c>
      <c r="T531" s="363" t="s">
        <v>1856</v>
      </c>
      <c r="U531" s="363" t="s">
        <v>1443</v>
      </c>
      <c r="V531" s="363"/>
      <c r="W531" s="363" t="s">
        <v>456</v>
      </c>
      <c r="X531" s="363"/>
      <c r="Y531" s="363" t="s">
        <v>457</v>
      </c>
      <c r="Z531" s="363"/>
      <c r="AA531" s="363"/>
      <c r="AB531" s="363"/>
      <c r="AC531" s="363"/>
      <c r="AD531" s="363"/>
      <c r="AE531" s="363" t="s">
        <v>551</v>
      </c>
      <c r="AF531" s="380" t="s">
        <v>207</v>
      </c>
      <c r="AG531" s="380">
        <v>4</v>
      </c>
      <c r="AH531" s="363" t="s">
        <v>1762</v>
      </c>
    </row>
    <row r="532" spans="2:34" ht="15" hidden="1" customHeight="1" x14ac:dyDescent="0.3">
      <c r="B532" s="380" t="s">
        <v>6</v>
      </c>
      <c r="C532" s="482" t="s">
        <v>663</v>
      </c>
      <c r="D532" s="483" t="s">
        <v>1114</v>
      </c>
      <c r="E532" s="468">
        <v>4508000076</v>
      </c>
      <c r="F532" s="488">
        <v>46127</v>
      </c>
      <c r="G532" s="380" t="s">
        <v>55</v>
      </c>
      <c r="H532" s="380">
        <v>4</v>
      </c>
      <c r="I532" s="388">
        <v>320000</v>
      </c>
      <c r="J532" s="380">
        <v>3</v>
      </c>
      <c r="K532" s="389">
        <f t="shared" si="22"/>
        <v>106666.66666666667</v>
      </c>
      <c r="L532" s="504">
        <v>46113</v>
      </c>
      <c r="M532" s="504">
        <v>46477</v>
      </c>
      <c r="N532" s="667"/>
      <c r="O532" s="684"/>
      <c r="P532" s="363" t="s">
        <v>520</v>
      </c>
      <c r="Q532" s="380"/>
      <c r="R532" s="380"/>
      <c r="S532" s="390" t="s">
        <v>1080</v>
      </c>
      <c r="T532" s="363" t="s">
        <v>1722</v>
      </c>
      <c r="U532" s="363" t="s">
        <v>1108</v>
      </c>
      <c r="V532" s="363"/>
      <c r="W532" s="363" t="s">
        <v>1109</v>
      </c>
      <c r="X532" s="363"/>
      <c r="Y532" s="363"/>
      <c r="Z532" s="363"/>
      <c r="AA532" s="363"/>
      <c r="AB532" s="363"/>
      <c r="AC532" s="363"/>
      <c r="AD532" s="363"/>
      <c r="AE532" s="363" t="s">
        <v>183</v>
      </c>
      <c r="AF532" s="380" t="s">
        <v>97</v>
      </c>
      <c r="AG532" s="380">
        <v>3</v>
      </c>
      <c r="AH532" s="363" t="s">
        <v>1771</v>
      </c>
    </row>
    <row r="533" spans="2:34" ht="15" hidden="1" customHeight="1" x14ac:dyDescent="0.3">
      <c r="B533" s="380" t="s">
        <v>6</v>
      </c>
      <c r="C533" s="409" t="s">
        <v>595</v>
      </c>
      <c r="D533" s="418" t="s">
        <v>1000</v>
      </c>
      <c r="E533" s="548">
        <v>3110016879</v>
      </c>
      <c r="F533" s="488">
        <v>46074</v>
      </c>
      <c r="G533" s="380" t="s">
        <v>55</v>
      </c>
      <c r="H533" s="380">
        <v>11</v>
      </c>
      <c r="I533" s="388">
        <v>660000</v>
      </c>
      <c r="J533" s="380">
        <v>3</v>
      </c>
      <c r="K533" s="389">
        <f t="shared" si="22"/>
        <v>220000</v>
      </c>
      <c r="L533" s="505">
        <v>46143</v>
      </c>
      <c r="M533" s="505">
        <v>46507</v>
      </c>
      <c r="N533" s="668"/>
      <c r="O533" s="685"/>
      <c r="P533" s="363" t="s">
        <v>520</v>
      </c>
      <c r="Q533" s="380"/>
      <c r="R533" s="380"/>
      <c r="S533" s="363" t="s">
        <v>348</v>
      </c>
      <c r="T533" s="363"/>
      <c r="U533" s="363" t="s">
        <v>349</v>
      </c>
      <c r="V533" s="363"/>
      <c r="W533" s="363" t="s">
        <v>738</v>
      </c>
      <c r="X533" s="363"/>
      <c r="Y533" s="363"/>
      <c r="Z533" s="363"/>
      <c r="AA533" s="363"/>
      <c r="AB533" s="363"/>
      <c r="AC533" s="363"/>
      <c r="AD533" s="363"/>
      <c r="AE533" s="363" t="s">
        <v>507</v>
      </c>
      <c r="AF533" s="380" t="s">
        <v>63</v>
      </c>
      <c r="AG533" s="380">
        <v>3</v>
      </c>
      <c r="AH533" s="363" t="s">
        <v>1772</v>
      </c>
    </row>
    <row r="534" spans="2:34" ht="15" hidden="1" customHeight="1" x14ac:dyDescent="0.3">
      <c r="B534" s="380" t="s">
        <v>6</v>
      </c>
      <c r="C534" s="409" t="s">
        <v>595</v>
      </c>
      <c r="D534" s="418" t="s">
        <v>1000</v>
      </c>
      <c r="E534" s="462">
        <v>3110016964</v>
      </c>
      <c r="F534" s="488">
        <v>46084</v>
      </c>
      <c r="G534" s="380" t="s">
        <v>55</v>
      </c>
      <c r="H534" s="380">
        <v>1</v>
      </c>
      <c r="I534" s="388">
        <v>75999.990000000005</v>
      </c>
      <c r="J534" s="380">
        <v>3</v>
      </c>
      <c r="K534" s="389">
        <f t="shared" si="22"/>
        <v>25333.33</v>
      </c>
      <c r="L534" s="505">
        <v>46143</v>
      </c>
      <c r="M534" s="505">
        <v>46507</v>
      </c>
      <c r="N534" s="668"/>
      <c r="O534" s="685"/>
      <c r="P534" s="363" t="s">
        <v>520</v>
      </c>
      <c r="Q534" s="380"/>
      <c r="R534" s="380"/>
      <c r="S534" s="363" t="s">
        <v>348</v>
      </c>
      <c r="T534" s="363"/>
      <c r="U534" s="363" t="s">
        <v>349</v>
      </c>
      <c r="V534" s="363"/>
      <c r="W534" s="363" t="s">
        <v>738</v>
      </c>
      <c r="X534" s="363"/>
      <c r="Y534" s="363"/>
      <c r="Z534" s="363"/>
      <c r="AA534" s="363"/>
      <c r="AB534" s="363"/>
      <c r="AC534" s="363"/>
      <c r="AD534" s="363"/>
      <c r="AE534" s="363" t="s">
        <v>507</v>
      </c>
      <c r="AF534" s="380" t="s">
        <v>63</v>
      </c>
      <c r="AG534" s="380">
        <v>3</v>
      </c>
      <c r="AH534" s="363" t="s">
        <v>1772</v>
      </c>
    </row>
    <row r="535" spans="2:34" ht="15" hidden="1" customHeight="1" x14ac:dyDescent="0.3">
      <c r="B535" s="380" t="s">
        <v>6</v>
      </c>
      <c r="C535" s="409" t="s">
        <v>614</v>
      </c>
      <c r="D535" s="418" t="s">
        <v>1016</v>
      </c>
      <c r="E535" s="694" t="s">
        <v>1773</v>
      </c>
      <c r="F535" s="488">
        <v>46150</v>
      </c>
      <c r="G535" s="380" t="s">
        <v>55</v>
      </c>
      <c r="H535" s="380">
        <v>12</v>
      </c>
      <c r="I535" s="388">
        <v>917280</v>
      </c>
      <c r="J535" s="380">
        <v>3</v>
      </c>
      <c r="K535" s="380"/>
      <c r="L535" s="517">
        <v>46174</v>
      </c>
      <c r="M535" s="517">
        <v>46538</v>
      </c>
      <c r="N535" s="668">
        <v>155336</v>
      </c>
      <c r="O535" s="685">
        <v>4189</v>
      </c>
      <c r="P535" s="363" t="s">
        <v>520</v>
      </c>
      <c r="Q535" s="380"/>
      <c r="R535" s="380"/>
      <c r="S535" s="363" t="s">
        <v>406</v>
      </c>
      <c r="T535" s="363"/>
      <c r="U535" s="363" t="s">
        <v>407</v>
      </c>
      <c r="V535" s="363"/>
      <c r="W535" s="363" t="s">
        <v>408</v>
      </c>
      <c r="X535" s="363"/>
      <c r="Y535" s="363"/>
      <c r="Z535" s="363"/>
      <c r="AA535" s="363"/>
      <c r="AB535" s="363"/>
      <c r="AC535" s="363"/>
      <c r="AD535" s="363"/>
      <c r="AE535" s="363" t="s">
        <v>619</v>
      </c>
      <c r="AF535" s="380" t="s">
        <v>63</v>
      </c>
      <c r="AG535" s="380">
        <v>3</v>
      </c>
      <c r="AH535" s="363" t="s">
        <v>1127</v>
      </c>
    </row>
    <row r="536" spans="2:34" ht="15" hidden="1" customHeight="1" x14ac:dyDescent="0.3">
      <c r="B536" s="380" t="s">
        <v>6</v>
      </c>
      <c r="C536" s="429" t="s">
        <v>609</v>
      </c>
      <c r="D536" s="418" t="s">
        <v>1016</v>
      </c>
      <c r="E536" s="419">
        <v>2100062247</v>
      </c>
      <c r="F536" s="488">
        <v>46153</v>
      </c>
      <c r="G536" s="380" t="s">
        <v>55</v>
      </c>
      <c r="H536" s="380">
        <v>1</v>
      </c>
      <c r="I536" s="388">
        <v>66300</v>
      </c>
      <c r="J536" s="380">
        <v>3</v>
      </c>
      <c r="K536" s="389">
        <f t="shared" ref="K536:K547" si="23">I536/J536</f>
        <v>22100</v>
      </c>
      <c r="L536" s="505">
        <v>46153</v>
      </c>
      <c r="M536" s="505">
        <v>46477</v>
      </c>
      <c r="N536" s="668">
        <v>155414</v>
      </c>
      <c r="O536" s="685">
        <v>4656</v>
      </c>
      <c r="P536" s="363" t="s">
        <v>520</v>
      </c>
      <c r="Q536" s="380"/>
      <c r="R536" s="380"/>
      <c r="S536" s="390" t="s">
        <v>1774</v>
      </c>
      <c r="T536" s="363" t="s">
        <v>2014</v>
      </c>
      <c r="U536" s="363" t="s">
        <v>1775</v>
      </c>
      <c r="V536" s="363"/>
      <c r="W536" s="363" t="s">
        <v>1776</v>
      </c>
      <c r="X536" s="363"/>
      <c r="Y536" s="363"/>
      <c r="Z536" s="363"/>
      <c r="AA536" s="363"/>
      <c r="AB536" s="363"/>
      <c r="AC536" s="363"/>
      <c r="AD536" s="363"/>
      <c r="AE536" s="363" t="s">
        <v>619</v>
      </c>
      <c r="AF536" s="380" t="s">
        <v>63</v>
      </c>
      <c r="AG536" s="380">
        <v>3</v>
      </c>
      <c r="AH536" s="363" t="s">
        <v>667</v>
      </c>
    </row>
    <row r="537" spans="2:34" ht="15" hidden="1" customHeight="1" x14ac:dyDescent="0.3">
      <c r="B537" s="380" t="s">
        <v>6</v>
      </c>
      <c r="C537" s="482" t="s">
        <v>800</v>
      </c>
      <c r="D537" s="483" t="s">
        <v>812</v>
      </c>
      <c r="E537" s="468">
        <v>2102601022</v>
      </c>
      <c r="F537" s="488">
        <v>46146</v>
      </c>
      <c r="G537" s="380" t="s">
        <v>55</v>
      </c>
      <c r="H537" s="380">
        <v>4</v>
      </c>
      <c r="I537" s="388">
        <v>270400</v>
      </c>
      <c r="J537" s="380">
        <v>2</v>
      </c>
      <c r="K537" s="389">
        <f t="shared" si="23"/>
        <v>135200</v>
      </c>
      <c r="L537" s="504">
        <v>46113</v>
      </c>
      <c r="M537" s="504">
        <v>46477</v>
      </c>
      <c r="N537" s="667"/>
      <c r="O537" s="684"/>
      <c r="P537" s="363" t="s">
        <v>520</v>
      </c>
      <c r="Q537" s="380"/>
      <c r="R537" s="380"/>
      <c r="S537" s="363" t="s">
        <v>467</v>
      </c>
      <c r="T537" s="363"/>
      <c r="U537" s="363" t="s">
        <v>1633</v>
      </c>
      <c r="V537" s="363"/>
      <c r="W537" s="363"/>
      <c r="X537" s="363"/>
      <c r="Y537" s="363"/>
      <c r="Z537" s="363"/>
      <c r="AA537" s="363"/>
      <c r="AB537" s="363"/>
      <c r="AC537" s="363"/>
      <c r="AD537" s="363"/>
      <c r="AE537" s="363" t="s">
        <v>485</v>
      </c>
      <c r="AF537" s="380" t="s">
        <v>63</v>
      </c>
      <c r="AG537" s="380">
        <v>2</v>
      </c>
      <c r="AH537" s="363" t="s">
        <v>667</v>
      </c>
    </row>
    <row r="538" spans="2:34" ht="15" hidden="1" customHeight="1" x14ac:dyDescent="0.3">
      <c r="B538" s="380" t="s">
        <v>6</v>
      </c>
      <c r="C538" s="409" t="s">
        <v>857</v>
      </c>
      <c r="D538" s="423" t="s">
        <v>858</v>
      </c>
      <c r="E538" s="419" t="s">
        <v>1777</v>
      </c>
      <c r="F538" s="488">
        <v>46112</v>
      </c>
      <c r="G538" s="380" t="s">
        <v>55</v>
      </c>
      <c r="H538" s="380">
        <v>2</v>
      </c>
      <c r="I538" s="388">
        <v>384000</v>
      </c>
      <c r="J538" s="380">
        <v>3</v>
      </c>
      <c r="K538" s="389">
        <f>I538/3</f>
        <v>128000</v>
      </c>
      <c r="L538" s="505">
        <v>46113</v>
      </c>
      <c r="M538" s="505">
        <v>46477</v>
      </c>
      <c r="N538" s="668"/>
      <c r="O538" s="685"/>
      <c r="P538" s="363" t="s">
        <v>520</v>
      </c>
      <c r="Q538" s="380"/>
      <c r="R538" s="380" t="s">
        <v>1</v>
      </c>
      <c r="S538" s="390" t="s">
        <v>1080</v>
      </c>
      <c r="T538" s="363" t="s">
        <v>1778</v>
      </c>
      <c r="U538" s="363" t="s">
        <v>1108</v>
      </c>
      <c r="V538" s="363"/>
      <c r="W538" s="363" t="s">
        <v>1109</v>
      </c>
      <c r="X538" s="363" t="s">
        <v>1968</v>
      </c>
      <c r="Y538" s="363"/>
      <c r="Z538" s="363"/>
      <c r="AA538" s="363"/>
      <c r="AB538" s="363"/>
      <c r="AC538" s="363"/>
      <c r="AD538" s="363"/>
      <c r="AE538" s="363" t="s">
        <v>356</v>
      </c>
      <c r="AF538" s="380" t="s">
        <v>207</v>
      </c>
      <c r="AG538" s="380">
        <v>3</v>
      </c>
      <c r="AH538" s="363" t="s">
        <v>1779</v>
      </c>
    </row>
    <row r="539" spans="2:34" ht="15" hidden="1" customHeight="1" x14ac:dyDescent="0.3">
      <c r="B539" s="380" t="s">
        <v>6</v>
      </c>
      <c r="C539" s="482" t="s">
        <v>195</v>
      </c>
      <c r="D539" s="483" t="s">
        <v>447</v>
      </c>
      <c r="E539" s="380" t="s">
        <v>1780</v>
      </c>
      <c r="F539" s="387">
        <v>46156</v>
      </c>
      <c r="G539" s="380" t="s">
        <v>55</v>
      </c>
      <c r="H539" s="380"/>
      <c r="I539" s="388">
        <v>65500</v>
      </c>
      <c r="J539" s="380">
        <v>4</v>
      </c>
      <c r="K539" s="389">
        <f t="shared" si="23"/>
        <v>16375</v>
      </c>
      <c r="L539" s="507">
        <v>46161</v>
      </c>
      <c r="M539" s="507">
        <v>46525</v>
      </c>
      <c r="N539" s="663">
        <v>155405</v>
      </c>
      <c r="O539" s="680">
        <v>4763</v>
      </c>
      <c r="P539" s="363" t="s">
        <v>520</v>
      </c>
      <c r="Q539" s="380"/>
      <c r="R539" s="380"/>
      <c r="S539" s="390" t="s">
        <v>1781</v>
      </c>
      <c r="T539" s="363" t="s">
        <v>2014</v>
      </c>
      <c r="U539" s="363" t="s">
        <v>1782</v>
      </c>
      <c r="V539" s="363"/>
      <c r="W539" s="363" t="s">
        <v>1783</v>
      </c>
      <c r="X539" s="363"/>
      <c r="Y539" s="363" t="s">
        <v>1784</v>
      </c>
      <c r="Z539" s="363"/>
      <c r="AA539" s="363"/>
      <c r="AB539" s="363"/>
      <c r="AC539" s="363"/>
      <c r="AD539" s="363"/>
      <c r="AE539" s="363" t="s">
        <v>96</v>
      </c>
      <c r="AF539" s="380" t="s">
        <v>97</v>
      </c>
      <c r="AG539" s="380" t="s">
        <v>494</v>
      </c>
      <c r="AH539" s="363" t="s">
        <v>667</v>
      </c>
    </row>
    <row r="540" spans="2:34" ht="15" hidden="1" customHeight="1" x14ac:dyDescent="0.3">
      <c r="B540" s="380" t="s">
        <v>6</v>
      </c>
      <c r="C540" s="482" t="s">
        <v>195</v>
      </c>
      <c r="D540" s="483" t="s">
        <v>447</v>
      </c>
      <c r="E540" s="380" t="s">
        <v>1780</v>
      </c>
      <c r="F540" s="387">
        <v>46156</v>
      </c>
      <c r="G540" s="380" t="s">
        <v>55</v>
      </c>
      <c r="H540" s="380">
        <v>1</v>
      </c>
      <c r="I540" s="388">
        <v>65500</v>
      </c>
      <c r="J540" s="380">
        <v>4</v>
      </c>
      <c r="K540" s="389">
        <f t="shared" si="23"/>
        <v>16375</v>
      </c>
      <c r="L540" s="507">
        <v>46526</v>
      </c>
      <c r="M540" s="507">
        <v>46891</v>
      </c>
      <c r="N540" s="663"/>
      <c r="O540" s="680"/>
      <c r="P540" s="363" t="s">
        <v>520</v>
      </c>
      <c r="Q540" s="380"/>
      <c r="R540" s="380"/>
      <c r="S540" s="363" t="s">
        <v>1785</v>
      </c>
      <c r="T540" s="363"/>
      <c r="U540" s="363" t="s">
        <v>1786</v>
      </c>
      <c r="V540" s="363"/>
      <c r="W540" s="363" t="s">
        <v>1787</v>
      </c>
      <c r="X540" s="363"/>
      <c r="Y540" s="363" t="s">
        <v>1788</v>
      </c>
      <c r="Z540" s="363"/>
      <c r="AA540" s="363"/>
      <c r="AB540" s="363"/>
      <c r="AC540" s="363"/>
      <c r="AD540" s="363"/>
      <c r="AE540" s="363" t="s">
        <v>96</v>
      </c>
      <c r="AF540" s="380" t="s">
        <v>97</v>
      </c>
      <c r="AG540" s="380" t="s">
        <v>494</v>
      </c>
      <c r="AH540" s="363" t="s">
        <v>667</v>
      </c>
    </row>
    <row r="541" spans="2:34" ht="15" hidden="1" customHeight="1" x14ac:dyDescent="0.3">
      <c r="B541" s="380" t="s">
        <v>6</v>
      </c>
      <c r="C541" s="482" t="s">
        <v>1746</v>
      </c>
      <c r="D541" s="483" t="s">
        <v>1789</v>
      </c>
      <c r="E541" s="468">
        <v>5000146844</v>
      </c>
      <c r="F541" s="488">
        <v>46136</v>
      </c>
      <c r="G541" s="380" t="s">
        <v>55</v>
      </c>
      <c r="H541" s="380">
        <v>1</v>
      </c>
      <c r="I541" s="388">
        <v>120000</v>
      </c>
      <c r="J541" s="380">
        <v>3</v>
      </c>
      <c r="K541" s="389">
        <f t="shared" si="23"/>
        <v>40000</v>
      </c>
      <c r="L541" s="504">
        <v>46158</v>
      </c>
      <c r="M541" s="504">
        <v>46522</v>
      </c>
      <c r="N541" s="667"/>
      <c r="O541" s="684"/>
      <c r="P541" s="363" t="s">
        <v>520</v>
      </c>
      <c r="Q541" s="380"/>
      <c r="R541" s="380"/>
      <c r="S541" s="390" t="s">
        <v>1790</v>
      </c>
      <c r="T541" s="363" t="s">
        <v>1791</v>
      </c>
      <c r="U541" s="363" t="s">
        <v>1792</v>
      </c>
      <c r="V541" s="363"/>
      <c r="W541" s="363" t="s">
        <v>1793</v>
      </c>
      <c r="X541" s="363"/>
      <c r="Y541" s="363"/>
      <c r="Z541" s="363"/>
      <c r="AA541" s="363"/>
      <c r="AB541" s="363"/>
      <c r="AC541" s="363"/>
      <c r="AD541" s="363"/>
      <c r="AE541" s="363" t="s">
        <v>834</v>
      </c>
      <c r="AF541" s="380" t="s">
        <v>207</v>
      </c>
      <c r="AG541" s="380">
        <v>3</v>
      </c>
      <c r="AH541" s="363" t="s">
        <v>1794</v>
      </c>
    </row>
    <row r="542" spans="2:34" ht="15" hidden="1" customHeight="1" x14ac:dyDescent="0.3">
      <c r="B542" s="380" t="s">
        <v>6</v>
      </c>
      <c r="C542" s="409" t="s">
        <v>1002</v>
      </c>
      <c r="D542" s="418" t="s">
        <v>151</v>
      </c>
      <c r="E542" s="419">
        <v>4518005269</v>
      </c>
      <c r="F542" s="488">
        <v>46156</v>
      </c>
      <c r="G542" s="380" t="s">
        <v>55</v>
      </c>
      <c r="H542" s="380">
        <v>4</v>
      </c>
      <c r="I542" s="388">
        <v>186000</v>
      </c>
      <c r="J542" s="380">
        <v>1</v>
      </c>
      <c r="K542" s="389">
        <f t="shared" si="23"/>
        <v>186000</v>
      </c>
      <c r="L542" s="505">
        <v>46113</v>
      </c>
      <c r="M542" s="505">
        <v>46477</v>
      </c>
      <c r="N542" s="668"/>
      <c r="O542" s="685"/>
      <c r="P542" s="363" t="s">
        <v>520</v>
      </c>
      <c r="Q542" s="380"/>
      <c r="R542" s="380" t="s">
        <v>1</v>
      </c>
      <c r="S542" s="363" t="s">
        <v>646</v>
      </c>
      <c r="T542" s="363"/>
      <c r="U542" s="363"/>
      <c r="V542" s="363"/>
      <c r="W542" s="363"/>
      <c r="X542" s="363"/>
      <c r="Y542" s="363"/>
      <c r="Z542" s="363"/>
      <c r="AA542" s="363"/>
      <c r="AB542" s="363"/>
      <c r="AC542" s="363"/>
      <c r="AD542" s="363"/>
      <c r="AE542" s="363" t="s">
        <v>507</v>
      </c>
      <c r="AF542" s="380" t="s">
        <v>63</v>
      </c>
      <c r="AG542" s="380">
        <v>1</v>
      </c>
      <c r="AH542" s="363" t="s">
        <v>1795</v>
      </c>
    </row>
    <row r="543" spans="2:34" ht="15" hidden="1" customHeight="1" x14ac:dyDescent="0.3">
      <c r="B543" s="380" t="s">
        <v>6</v>
      </c>
      <c r="C543" s="482" t="s">
        <v>965</v>
      </c>
      <c r="D543" s="483" t="s">
        <v>1088</v>
      </c>
      <c r="E543" s="468">
        <v>5400089448</v>
      </c>
      <c r="F543" s="488">
        <v>46160</v>
      </c>
      <c r="G543" s="380" t="s">
        <v>55</v>
      </c>
      <c r="H543" s="380">
        <v>1</v>
      </c>
      <c r="I543" s="417">
        <v>109270</v>
      </c>
      <c r="J543" s="380">
        <v>4</v>
      </c>
      <c r="K543" s="389">
        <f t="shared" si="23"/>
        <v>27317.5</v>
      </c>
      <c r="L543" s="504">
        <v>46113</v>
      </c>
      <c r="M543" s="504">
        <v>46477</v>
      </c>
      <c r="N543" s="667"/>
      <c r="O543" s="684"/>
      <c r="P543" s="363" t="s">
        <v>520</v>
      </c>
      <c r="Q543" s="380"/>
      <c r="R543" s="380"/>
      <c r="S543" s="390" t="s">
        <v>397</v>
      </c>
      <c r="T543" s="363" t="s">
        <v>1874</v>
      </c>
      <c r="U543" s="363" t="s">
        <v>496</v>
      </c>
      <c r="V543" s="363"/>
      <c r="W543" s="363" t="s">
        <v>497</v>
      </c>
      <c r="X543" s="363"/>
      <c r="Y543" s="363" t="s">
        <v>498</v>
      </c>
      <c r="Z543" s="363"/>
      <c r="AA543" s="363"/>
      <c r="AB543" s="363"/>
      <c r="AC543" s="363"/>
      <c r="AD543" s="363"/>
      <c r="AE543" s="363" t="s">
        <v>96</v>
      </c>
      <c r="AF543" s="380" t="s">
        <v>97</v>
      </c>
      <c r="AG543" s="380" t="s">
        <v>494</v>
      </c>
      <c r="AH543" s="363" t="s">
        <v>667</v>
      </c>
    </row>
    <row r="544" spans="2:34" ht="15" hidden="1" customHeight="1" x14ac:dyDescent="0.3">
      <c r="B544" s="380" t="s">
        <v>6</v>
      </c>
      <c r="C544" s="409" t="s">
        <v>1796</v>
      </c>
      <c r="D544" s="434" t="s">
        <v>757</v>
      </c>
      <c r="E544" s="493">
        <v>2265007686</v>
      </c>
      <c r="F544" s="488">
        <v>46160</v>
      </c>
      <c r="G544" s="380" t="s">
        <v>55</v>
      </c>
      <c r="H544" s="380">
        <v>10</v>
      </c>
      <c r="I544" s="388">
        <v>835000</v>
      </c>
      <c r="J544" s="380">
        <v>3</v>
      </c>
      <c r="K544" s="389">
        <f t="shared" si="23"/>
        <v>278333.33333333331</v>
      </c>
      <c r="L544" s="505">
        <v>46113</v>
      </c>
      <c r="M544" s="505">
        <v>46477</v>
      </c>
      <c r="N544" s="668">
        <v>155335</v>
      </c>
      <c r="O544" s="685"/>
      <c r="P544" s="363" t="s">
        <v>520</v>
      </c>
      <c r="Q544" s="380"/>
      <c r="R544" s="380"/>
      <c r="S544" s="363" t="s">
        <v>1080</v>
      </c>
      <c r="T544" s="363"/>
      <c r="U544" s="363" t="s">
        <v>1108</v>
      </c>
      <c r="V544" s="363"/>
      <c r="W544" s="363" t="s">
        <v>1109</v>
      </c>
      <c r="X544" s="363"/>
      <c r="Y544" s="363"/>
      <c r="Z544" s="363"/>
      <c r="AA544" s="363"/>
      <c r="AB544" s="363"/>
      <c r="AC544" s="363"/>
      <c r="AD544" s="363"/>
      <c r="AE544" s="363" t="s">
        <v>507</v>
      </c>
      <c r="AF544" s="380" t="s">
        <v>63</v>
      </c>
      <c r="AG544" s="380">
        <v>3</v>
      </c>
      <c r="AH544" s="363" t="s">
        <v>667</v>
      </c>
    </row>
    <row r="545" spans="2:34" ht="15" hidden="1" customHeight="1" x14ac:dyDescent="0.3">
      <c r="B545" s="380" t="s">
        <v>6</v>
      </c>
      <c r="C545" s="551" t="s">
        <v>1797</v>
      </c>
      <c r="D545" s="483" t="s">
        <v>1798</v>
      </c>
      <c r="E545" s="468" t="s">
        <v>1799</v>
      </c>
      <c r="F545" s="488">
        <v>46154</v>
      </c>
      <c r="G545" s="380" t="s">
        <v>55</v>
      </c>
      <c r="H545" s="380"/>
      <c r="I545" s="388">
        <v>105000</v>
      </c>
      <c r="J545" s="380">
        <v>2</v>
      </c>
      <c r="K545" s="389">
        <f t="shared" si="23"/>
        <v>52500</v>
      </c>
      <c r="L545" s="504">
        <v>46158</v>
      </c>
      <c r="M545" s="504">
        <v>46522</v>
      </c>
      <c r="N545" s="667">
        <v>155374</v>
      </c>
      <c r="O545" s="684"/>
      <c r="P545" s="363" t="s">
        <v>520</v>
      </c>
      <c r="Q545" s="380"/>
      <c r="R545" s="380"/>
      <c r="S545" s="390" t="s">
        <v>1800</v>
      </c>
      <c r="T545" s="363" t="s">
        <v>1855</v>
      </c>
      <c r="U545" s="363" t="s">
        <v>1801</v>
      </c>
      <c r="V545" s="363"/>
      <c r="W545" s="363"/>
      <c r="X545" s="363"/>
      <c r="Y545" s="363"/>
      <c r="Z545" s="363"/>
      <c r="AA545" s="363"/>
      <c r="AB545" s="363"/>
      <c r="AC545" s="363"/>
      <c r="AD545" s="363"/>
      <c r="AE545" s="363" t="s">
        <v>183</v>
      </c>
      <c r="AF545" s="380" t="s">
        <v>97</v>
      </c>
      <c r="AG545" s="380">
        <v>3</v>
      </c>
      <c r="AH545" s="363" t="s">
        <v>1802</v>
      </c>
    </row>
    <row r="546" spans="2:34" ht="15" hidden="1" customHeight="1" x14ac:dyDescent="0.3">
      <c r="B546" s="380" t="s">
        <v>6</v>
      </c>
      <c r="C546" s="551" t="s">
        <v>1797</v>
      </c>
      <c r="D546" s="483" t="s">
        <v>1798</v>
      </c>
      <c r="E546" s="468" t="s">
        <v>1799</v>
      </c>
      <c r="F546" s="488">
        <v>46154</v>
      </c>
      <c r="G546" s="380" t="s">
        <v>55</v>
      </c>
      <c r="H546" s="380"/>
      <c r="I546" s="388">
        <v>105000</v>
      </c>
      <c r="J546" s="380">
        <v>2</v>
      </c>
      <c r="K546" s="389">
        <f t="shared" si="23"/>
        <v>52500</v>
      </c>
      <c r="L546" s="507">
        <v>46523</v>
      </c>
      <c r="M546" s="507">
        <v>46888</v>
      </c>
      <c r="N546" s="663"/>
      <c r="O546" s="680"/>
      <c r="P546" s="363" t="s">
        <v>520</v>
      </c>
      <c r="Q546" s="380"/>
      <c r="R546" s="380"/>
      <c r="S546" s="363" t="s">
        <v>1803</v>
      </c>
      <c r="T546" s="363"/>
      <c r="U546" s="363" t="s">
        <v>1804</v>
      </c>
      <c r="V546" s="363"/>
      <c r="W546" s="363"/>
      <c r="X546" s="363"/>
      <c r="Y546" s="363"/>
      <c r="Z546" s="363"/>
      <c r="AA546" s="363"/>
      <c r="AB546" s="363"/>
      <c r="AC546" s="363"/>
      <c r="AD546" s="363"/>
      <c r="AE546" s="363" t="s">
        <v>183</v>
      </c>
      <c r="AF546" s="380" t="s">
        <v>97</v>
      </c>
      <c r="AG546" s="380">
        <v>3</v>
      </c>
      <c r="AH546" s="363" t="s">
        <v>1802</v>
      </c>
    </row>
    <row r="547" spans="2:34" ht="15" hidden="1" customHeight="1" x14ac:dyDescent="0.3">
      <c r="B547" s="380" t="s">
        <v>6</v>
      </c>
      <c r="C547" s="551" t="s">
        <v>1797</v>
      </c>
      <c r="D547" s="483" t="s">
        <v>1798</v>
      </c>
      <c r="E547" s="468" t="s">
        <v>1799</v>
      </c>
      <c r="F547" s="488">
        <v>46154</v>
      </c>
      <c r="G547" s="380" t="s">
        <v>55</v>
      </c>
      <c r="H547" s="380">
        <v>1</v>
      </c>
      <c r="I547" s="388">
        <v>105000</v>
      </c>
      <c r="J547" s="380">
        <v>2</v>
      </c>
      <c r="K547" s="389">
        <f t="shared" si="23"/>
        <v>52500</v>
      </c>
      <c r="L547" s="507">
        <v>46889</v>
      </c>
      <c r="M547" s="507">
        <v>47253</v>
      </c>
      <c r="N547" s="663"/>
      <c r="O547" s="680"/>
      <c r="P547" s="363" t="s">
        <v>520</v>
      </c>
      <c r="Q547" s="380"/>
      <c r="R547" s="380"/>
      <c r="S547" s="363" t="s">
        <v>1805</v>
      </c>
      <c r="T547" s="363"/>
      <c r="U547" s="363" t="s">
        <v>1806</v>
      </c>
      <c r="V547" s="363"/>
      <c r="W547" s="363"/>
      <c r="X547" s="363"/>
      <c r="Y547" s="363"/>
      <c r="Z547" s="363"/>
      <c r="AA547" s="363"/>
      <c r="AB547" s="363"/>
      <c r="AC547" s="363"/>
      <c r="AD547" s="363"/>
      <c r="AE547" s="363" t="s">
        <v>183</v>
      </c>
      <c r="AF547" s="380" t="s">
        <v>97</v>
      </c>
      <c r="AG547" s="380">
        <v>3</v>
      </c>
      <c r="AH547" s="363" t="s">
        <v>1802</v>
      </c>
    </row>
    <row r="548" spans="2:34" ht="15" hidden="1" customHeight="1" x14ac:dyDescent="0.3">
      <c r="B548" s="380" t="s">
        <v>6</v>
      </c>
      <c r="C548" s="482" t="s">
        <v>614</v>
      </c>
      <c r="D548" s="483" t="s">
        <v>884</v>
      </c>
      <c r="E548" s="494" t="s">
        <v>1807</v>
      </c>
      <c r="F548" s="488">
        <v>46150</v>
      </c>
      <c r="G548" s="380" t="s">
        <v>55</v>
      </c>
      <c r="H548" s="380">
        <v>1</v>
      </c>
      <c r="I548" s="388">
        <v>76440</v>
      </c>
      <c r="J548" s="380">
        <v>3</v>
      </c>
      <c r="K548" s="389"/>
      <c r="L548" s="516">
        <v>46174</v>
      </c>
      <c r="M548" s="516">
        <v>46538</v>
      </c>
      <c r="N548" s="667"/>
      <c r="O548" s="684"/>
      <c r="P548" s="363" t="s">
        <v>520</v>
      </c>
      <c r="Q548" s="380"/>
      <c r="R548" s="380"/>
      <c r="S548" s="363" t="s">
        <v>406</v>
      </c>
      <c r="T548" s="363"/>
      <c r="U548" s="363" t="s">
        <v>407</v>
      </c>
      <c r="V548" s="363"/>
      <c r="W548" s="363" t="s">
        <v>1808</v>
      </c>
      <c r="X548" s="363"/>
      <c r="Y548" s="363"/>
      <c r="Z548" s="363"/>
      <c r="AA548" s="363"/>
      <c r="AB548" s="363"/>
      <c r="AC548" s="363"/>
      <c r="AD548" s="363"/>
      <c r="AE548" s="363" t="s">
        <v>281</v>
      </c>
      <c r="AF548" s="380" t="s">
        <v>97</v>
      </c>
      <c r="AG548" s="380">
        <v>3</v>
      </c>
      <c r="AH548" s="363" t="s">
        <v>1809</v>
      </c>
    </row>
    <row r="549" spans="2:34" ht="15" hidden="1" customHeight="1" x14ac:dyDescent="0.3">
      <c r="B549" s="380" t="s">
        <v>6</v>
      </c>
      <c r="C549" s="409" t="s">
        <v>771</v>
      </c>
      <c r="D549" s="423" t="s">
        <v>388</v>
      </c>
      <c r="E549" s="408">
        <v>6000065535</v>
      </c>
      <c r="F549" s="501">
        <v>46135</v>
      </c>
      <c r="G549" s="380" t="s">
        <v>55</v>
      </c>
      <c r="H549" s="380">
        <v>1</v>
      </c>
      <c r="I549" s="388">
        <v>70700</v>
      </c>
      <c r="J549" s="380">
        <v>2</v>
      </c>
      <c r="K549" s="389">
        <f t="shared" ref="K549:K555" si="24">I549/J549</f>
        <v>35350</v>
      </c>
      <c r="L549" s="505">
        <v>46113</v>
      </c>
      <c r="M549" s="505">
        <v>46477</v>
      </c>
      <c r="N549" s="668"/>
      <c r="O549" s="685"/>
      <c r="P549" s="363" t="s">
        <v>520</v>
      </c>
      <c r="Q549" s="380"/>
      <c r="R549" s="380"/>
      <c r="S549" s="363" t="s">
        <v>467</v>
      </c>
      <c r="T549" s="363"/>
      <c r="U549" s="363" t="s">
        <v>1633</v>
      </c>
      <c r="V549" s="363"/>
      <c r="W549" s="363"/>
      <c r="X549" s="363"/>
      <c r="Y549" s="363"/>
      <c r="Z549" s="363"/>
      <c r="AA549" s="363"/>
      <c r="AB549" s="363"/>
      <c r="AC549" s="363"/>
      <c r="AD549" s="363"/>
      <c r="AE549" s="363" t="s">
        <v>619</v>
      </c>
      <c r="AF549" s="380" t="s">
        <v>63</v>
      </c>
      <c r="AG549" s="380">
        <v>2</v>
      </c>
      <c r="AH549" s="363" t="s">
        <v>667</v>
      </c>
    </row>
    <row r="550" spans="2:34" ht="15" hidden="1" customHeight="1" x14ac:dyDescent="0.3">
      <c r="B550" s="380" t="s">
        <v>6</v>
      </c>
      <c r="C550" s="482" t="s">
        <v>1810</v>
      </c>
      <c r="D550" s="483" t="s">
        <v>151</v>
      </c>
      <c r="E550" s="468">
        <v>6700005665</v>
      </c>
      <c r="F550" s="488">
        <v>46136</v>
      </c>
      <c r="G550" s="380" t="s">
        <v>55</v>
      </c>
      <c r="H550" s="380"/>
      <c r="I550" s="388">
        <v>80000.009999999995</v>
      </c>
      <c r="J550" s="380">
        <v>3</v>
      </c>
      <c r="K550" s="389">
        <f t="shared" si="24"/>
        <v>26666.67</v>
      </c>
      <c r="L550" s="504">
        <v>46054</v>
      </c>
      <c r="M550" s="504">
        <v>46418</v>
      </c>
      <c r="N550" s="667"/>
      <c r="O550" s="684"/>
      <c r="P550" s="363" t="s">
        <v>520</v>
      </c>
      <c r="Q550" s="380"/>
      <c r="R550" s="380"/>
      <c r="S550" s="390" t="s">
        <v>404</v>
      </c>
      <c r="T550" s="363" t="s">
        <v>1712</v>
      </c>
      <c r="U550" s="363" t="s">
        <v>406</v>
      </c>
      <c r="V550" s="363"/>
      <c r="W550" s="363" t="s">
        <v>407</v>
      </c>
      <c r="X550" s="363"/>
      <c r="Y550" s="363"/>
      <c r="Z550" s="363"/>
      <c r="AA550" s="363"/>
      <c r="AB550" s="363"/>
      <c r="AC550" s="363"/>
      <c r="AD550" s="363"/>
      <c r="AE550" s="363" t="s">
        <v>478</v>
      </c>
      <c r="AF550" s="380" t="s">
        <v>63</v>
      </c>
      <c r="AG550" s="380">
        <v>3</v>
      </c>
      <c r="AH550" s="363" t="s">
        <v>667</v>
      </c>
    </row>
    <row r="551" spans="2:34" ht="15" hidden="1" customHeight="1" x14ac:dyDescent="0.3">
      <c r="B551" s="380" t="s">
        <v>6</v>
      </c>
      <c r="C551" s="482" t="s">
        <v>1810</v>
      </c>
      <c r="D551" s="483" t="s">
        <v>151</v>
      </c>
      <c r="E551" s="468">
        <v>6700005665</v>
      </c>
      <c r="F551" s="488">
        <v>46136</v>
      </c>
      <c r="G551" s="380" t="s">
        <v>55</v>
      </c>
      <c r="H551" s="380"/>
      <c r="I551" s="388">
        <v>80000.009999999995</v>
      </c>
      <c r="J551" s="380">
        <v>3</v>
      </c>
      <c r="K551" s="389">
        <f t="shared" si="24"/>
        <v>26666.67</v>
      </c>
      <c r="L551" s="507">
        <v>46419</v>
      </c>
      <c r="M551" s="507">
        <v>46783</v>
      </c>
      <c r="N551" s="663"/>
      <c r="O551" s="680"/>
      <c r="P551" s="363" t="s">
        <v>520</v>
      </c>
      <c r="Q551" s="380"/>
      <c r="R551" s="380"/>
      <c r="S551" s="363" t="s">
        <v>408</v>
      </c>
      <c r="T551" s="363"/>
      <c r="U551" s="363" t="s">
        <v>1811</v>
      </c>
      <c r="V551" s="363"/>
      <c r="W551" s="363" t="s">
        <v>1812</v>
      </c>
      <c r="X551" s="363"/>
      <c r="Y551" s="363"/>
      <c r="Z551" s="363"/>
      <c r="AA551" s="363"/>
      <c r="AB551" s="363"/>
      <c r="AC551" s="363"/>
      <c r="AD551" s="363"/>
      <c r="AE551" s="363" t="s">
        <v>478</v>
      </c>
      <c r="AF551" s="380" t="s">
        <v>63</v>
      </c>
      <c r="AG551" s="380">
        <v>3</v>
      </c>
      <c r="AH551" s="363" t="s">
        <v>667</v>
      </c>
    </row>
    <row r="552" spans="2:34" ht="15" hidden="1" customHeight="1" x14ac:dyDescent="0.3">
      <c r="B552" s="380" t="s">
        <v>6</v>
      </c>
      <c r="C552" s="482" t="s">
        <v>1810</v>
      </c>
      <c r="D552" s="483" t="s">
        <v>151</v>
      </c>
      <c r="E552" s="468">
        <v>6700005665</v>
      </c>
      <c r="F552" s="488">
        <v>46136</v>
      </c>
      <c r="G552" s="380" t="s">
        <v>55</v>
      </c>
      <c r="H552" s="380">
        <v>1</v>
      </c>
      <c r="I552" s="388">
        <v>80000.009999999995</v>
      </c>
      <c r="J552" s="380">
        <v>3</v>
      </c>
      <c r="K552" s="389">
        <f t="shared" si="24"/>
        <v>26666.67</v>
      </c>
      <c r="L552" s="507">
        <v>46784</v>
      </c>
      <c r="M552" s="507">
        <v>47149</v>
      </c>
      <c r="N552" s="663"/>
      <c r="O552" s="680"/>
      <c r="P552" s="363" t="s">
        <v>520</v>
      </c>
      <c r="Q552" s="380"/>
      <c r="R552" s="380"/>
      <c r="S552" s="363" t="s">
        <v>1813</v>
      </c>
      <c r="T552" s="363"/>
      <c r="U552" s="363" t="s">
        <v>1814</v>
      </c>
      <c r="V552" s="363"/>
      <c r="W552" s="363" t="s">
        <v>1815</v>
      </c>
      <c r="X552" s="363"/>
      <c r="Y552" s="363"/>
      <c r="Z552" s="363"/>
      <c r="AA552" s="363"/>
      <c r="AB552" s="363"/>
      <c r="AC552" s="363"/>
      <c r="AD552" s="363"/>
      <c r="AE552" s="363" t="s">
        <v>478</v>
      </c>
      <c r="AF552" s="380" t="s">
        <v>63</v>
      </c>
      <c r="AG552" s="380">
        <v>3</v>
      </c>
      <c r="AH552" s="363" t="s">
        <v>667</v>
      </c>
    </row>
    <row r="553" spans="2:34" ht="15" hidden="1" customHeight="1" x14ac:dyDescent="0.3">
      <c r="B553" s="380" t="s">
        <v>6</v>
      </c>
      <c r="C553" s="409" t="s">
        <v>1816</v>
      </c>
      <c r="D553" s="423" t="s">
        <v>1012</v>
      </c>
      <c r="E553" s="488" t="s">
        <v>1817</v>
      </c>
      <c r="F553" s="488">
        <v>46132</v>
      </c>
      <c r="G553" s="380" t="s">
        <v>55</v>
      </c>
      <c r="H553" s="380"/>
      <c r="I553" s="388">
        <v>316800</v>
      </c>
      <c r="J553" s="380">
        <v>3</v>
      </c>
      <c r="K553" s="389">
        <f t="shared" si="24"/>
        <v>105600</v>
      </c>
      <c r="L553" s="505">
        <v>46023</v>
      </c>
      <c r="M553" s="505">
        <v>46387</v>
      </c>
      <c r="N553" s="668"/>
      <c r="O553" s="685"/>
      <c r="P553" s="363" t="s">
        <v>520</v>
      </c>
      <c r="Q553" s="380"/>
      <c r="R553" s="380"/>
      <c r="S553" s="390" t="s">
        <v>347</v>
      </c>
      <c r="T553" s="363" t="s">
        <v>1720</v>
      </c>
      <c r="U553" s="390" t="s">
        <v>348</v>
      </c>
      <c r="V553" s="363" t="s">
        <v>2062</v>
      </c>
      <c r="W553" s="363" t="s">
        <v>349</v>
      </c>
      <c r="X553" s="363"/>
      <c r="Y553" s="363"/>
      <c r="Z553" s="363"/>
      <c r="AA553" s="363"/>
      <c r="AB553" s="363"/>
      <c r="AC553" s="363"/>
      <c r="AD553" s="363"/>
      <c r="AE553" s="363" t="s">
        <v>619</v>
      </c>
      <c r="AF553" s="380" t="s">
        <v>63</v>
      </c>
      <c r="AG553" s="380">
        <v>3</v>
      </c>
      <c r="AH553" s="363" t="s">
        <v>667</v>
      </c>
    </row>
    <row r="554" spans="2:34" ht="15" hidden="1" customHeight="1" x14ac:dyDescent="0.3">
      <c r="B554" s="380" t="s">
        <v>6</v>
      </c>
      <c r="C554" s="409" t="s">
        <v>1816</v>
      </c>
      <c r="D554" s="423" t="s">
        <v>1012</v>
      </c>
      <c r="E554" s="488" t="s">
        <v>1817</v>
      </c>
      <c r="F554" s="488">
        <v>46132</v>
      </c>
      <c r="G554" s="380" t="s">
        <v>55</v>
      </c>
      <c r="H554" s="380"/>
      <c r="I554" s="388">
        <v>316800</v>
      </c>
      <c r="J554" s="380">
        <v>3</v>
      </c>
      <c r="K554" s="389">
        <f t="shared" si="24"/>
        <v>105600</v>
      </c>
      <c r="L554" s="507">
        <v>46388</v>
      </c>
      <c r="M554" s="507">
        <v>46752</v>
      </c>
      <c r="N554" s="663"/>
      <c r="O554" s="680"/>
      <c r="P554" s="363" t="s">
        <v>520</v>
      </c>
      <c r="Q554" s="380"/>
      <c r="R554" s="380"/>
      <c r="S554" s="363" t="s">
        <v>738</v>
      </c>
      <c r="T554" s="363"/>
      <c r="U554" s="363" t="s">
        <v>1077</v>
      </c>
      <c r="V554" s="363"/>
      <c r="W554" s="363" t="s">
        <v>1078</v>
      </c>
      <c r="X554" s="363"/>
      <c r="Y554" s="363"/>
      <c r="Z554" s="363"/>
      <c r="AA554" s="363"/>
      <c r="AB554" s="363"/>
      <c r="AC554" s="363"/>
      <c r="AD554" s="363"/>
      <c r="AE554" s="363" t="s">
        <v>619</v>
      </c>
      <c r="AF554" s="380" t="s">
        <v>63</v>
      </c>
      <c r="AG554" s="380">
        <v>3</v>
      </c>
      <c r="AH554" s="363" t="s">
        <v>667</v>
      </c>
    </row>
    <row r="555" spans="2:34" ht="15" hidden="1" customHeight="1" x14ac:dyDescent="0.3">
      <c r="B555" s="380" t="s">
        <v>6</v>
      </c>
      <c r="C555" s="409" t="s">
        <v>1816</v>
      </c>
      <c r="D555" s="423" t="s">
        <v>1012</v>
      </c>
      <c r="E555" s="488" t="s">
        <v>1817</v>
      </c>
      <c r="F555" s="488">
        <v>46132</v>
      </c>
      <c r="G555" s="380" t="s">
        <v>55</v>
      </c>
      <c r="H555" s="380">
        <v>3</v>
      </c>
      <c r="I555" s="388">
        <v>316800</v>
      </c>
      <c r="J555" s="380">
        <v>3</v>
      </c>
      <c r="K555" s="389">
        <f t="shared" si="24"/>
        <v>105600</v>
      </c>
      <c r="L555" s="507">
        <v>46753</v>
      </c>
      <c r="M555" s="507">
        <v>47118</v>
      </c>
      <c r="N555" s="663"/>
      <c r="O555" s="680"/>
      <c r="P555" s="363" t="s">
        <v>520</v>
      </c>
      <c r="Q555" s="380"/>
      <c r="R555" s="380"/>
      <c r="S555" s="363" t="s">
        <v>1818</v>
      </c>
      <c r="T555" s="363"/>
      <c r="U555" s="363" t="s">
        <v>1819</v>
      </c>
      <c r="V555" s="363"/>
      <c r="W555" s="363" t="s">
        <v>1820</v>
      </c>
      <c r="X555" s="363"/>
      <c r="Y555" s="363"/>
      <c r="Z555" s="363"/>
      <c r="AA555" s="363"/>
      <c r="AB555" s="363"/>
      <c r="AC555" s="363"/>
      <c r="AD555" s="363"/>
      <c r="AE555" s="363" t="s">
        <v>619</v>
      </c>
      <c r="AF555" s="380" t="s">
        <v>63</v>
      </c>
      <c r="AG555" s="380">
        <v>3</v>
      </c>
      <c r="AH555" s="363" t="s">
        <v>667</v>
      </c>
    </row>
    <row r="556" spans="2:34" ht="15" hidden="1" customHeight="1" x14ac:dyDescent="0.3">
      <c r="B556" s="380" t="s">
        <v>6</v>
      </c>
      <c r="C556" s="551" t="s">
        <v>1821</v>
      </c>
      <c r="D556" s="483" t="s">
        <v>176</v>
      </c>
      <c r="E556" s="468">
        <v>1365722343</v>
      </c>
      <c r="F556" s="488">
        <v>45909</v>
      </c>
      <c r="G556" s="380" t="s">
        <v>55</v>
      </c>
      <c r="H556" s="468">
        <v>5</v>
      </c>
      <c r="I556" s="388">
        <v>438100</v>
      </c>
      <c r="J556" s="380">
        <v>3</v>
      </c>
      <c r="K556" s="389">
        <f>I556/2</f>
        <v>219050</v>
      </c>
      <c r="L556" s="504">
        <v>45910</v>
      </c>
      <c r="M556" s="504">
        <v>46274</v>
      </c>
      <c r="N556" s="667"/>
      <c r="O556" s="684"/>
      <c r="P556" s="363" t="s">
        <v>520</v>
      </c>
      <c r="Q556" s="380"/>
      <c r="R556" s="380"/>
      <c r="S556" s="390" t="s">
        <v>1822</v>
      </c>
      <c r="T556" s="363" t="s">
        <v>1673</v>
      </c>
      <c r="U556" s="390" t="s">
        <v>1664</v>
      </c>
      <c r="V556" s="363" t="s">
        <v>1673</v>
      </c>
      <c r="W556" s="363" t="s">
        <v>1665</v>
      </c>
      <c r="X556" s="363" t="s">
        <v>1823</v>
      </c>
      <c r="Y556" s="363"/>
      <c r="Z556" s="363"/>
      <c r="AA556" s="363"/>
      <c r="AB556" s="363"/>
      <c r="AC556" s="363"/>
      <c r="AD556" s="363"/>
      <c r="AE556" s="363" t="s">
        <v>183</v>
      </c>
      <c r="AF556" s="380" t="s">
        <v>97</v>
      </c>
      <c r="AG556" s="380">
        <v>2</v>
      </c>
      <c r="AH556" s="363" t="s">
        <v>1824</v>
      </c>
    </row>
    <row r="557" spans="2:34" ht="15" hidden="1" customHeight="1" x14ac:dyDescent="0.3">
      <c r="B557" s="380" t="s">
        <v>6</v>
      </c>
      <c r="C557" s="482" t="s">
        <v>655</v>
      </c>
      <c r="D557" s="483" t="s">
        <v>151</v>
      </c>
      <c r="E557" s="491">
        <v>2016202</v>
      </c>
      <c r="F557" s="488">
        <v>46150</v>
      </c>
      <c r="G557" s="380" t="s">
        <v>55</v>
      </c>
      <c r="H557" s="468">
        <v>4</v>
      </c>
      <c r="I557" s="388">
        <v>279360</v>
      </c>
      <c r="J557" s="380">
        <v>2</v>
      </c>
      <c r="K557" s="389">
        <f>I557/J557</f>
        <v>139680</v>
      </c>
      <c r="L557" s="504">
        <v>46113</v>
      </c>
      <c r="M557" s="504">
        <v>46477</v>
      </c>
      <c r="N557" s="667">
        <v>155337</v>
      </c>
      <c r="O557" s="684"/>
      <c r="P557" s="363" t="s">
        <v>520</v>
      </c>
      <c r="Q557" s="380"/>
      <c r="R557" s="380"/>
      <c r="S557" s="363" t="s">
        <v>467</v>
      </c>
      <c r="T557" s="363"/>
      <c r="U557" s="363" t="s">
        <v>1633</v>
      </c>
      <c r="V557" s="363"/>
      <c r="W557" s="363"/>
      <c r="X557" s="363"/>
      <c r="Y557" s="363"/>
      <c r="Z557" s="363"/>
      <c r="AA557" s="363"/>
      <c r="AB557" s="363"/>
      <c r="AC557" s="363"/>
      <c r="AD557" s="363"/>
      <c r="AE557" s="363" t="s">
        <v>478</v>
      </c>
      <c r="AF557" s="380" t="s">
        <v>63</v>
      </c>
      <c r="AG557" s="380">
        <v>3</v>
      </c>
      <c r="AH557" s="363" t="s">
        <v>667</v>
      </c>
    </row>
    <row r="558" spans="2:34" ht="15" hidden="1" customHeight="1" x14ac:dyDescent="0.3">
      <c r="B558" s="380" t="s">
        <v>6</v>
      </c>
      <c r="C558" s="409" t="s">
        <v>751</v>
      </c>
      <c r="D558" s="423" t="s">
        <v>752</v>
      </c>
      <c r="E558" s="380">
        <v>357000936</v>
      </c>
      <c r="F558" s="488">
        <v>46164</v>
      </c>
      <c r="G558" s="380" t="s">
        <v>55</v>
      </c>
      <c r="H558" s="408">
        <v>1</v>
      </c>
      <c r="I558" s="388">
        <v>89300</v>
      </c>
      <c r="J558" s="380">
        <v>3</v>
      </c>
      <c r="K558" s="389">
        <f>I558/J558</f>
        <v>29766.666666666668</v>
      </c>
      <c r="L558" s="505">
        <v>46174</v>
      </c>
      <c r="M558" s="505">
        <v>46538</v>
      </c>
      <c r="N558" s="668"/>
      <c r="O558" s="685"/>
      <c r="P558" s="363" t="s">
        <v>520</v>
      </c>
      <c r="Q558" s="380"/>
      <c r="R558" s="380"/>
      <c r="S558" s="381" t="s">
        <v>406</v>
      </c>
      <c r="T558" s="363"/>
      <c r="U558" s="363" t="s">
        <v>407</v>
      </c>
      <c r="V558" s="363"/>
      <c r="W558" s="363" t="s">
        <v>408</v>
      </c>
      <c r="X558" s="363"/>
      <c r="Y558" s="363"/>
      <c r="Z558" s="363"/>
      <c r="AA558" s="363"/>
      <c r="AB558" s="363"/>
      <c r="AC558" s="363"/>
      <c r="AD558" s="363"/>
      <c r="AE558" s="363" t="s">
        <v>1825</v>
      </c>
      <c r="AF558" s="380" t="s">
        <v>63</v>
      </c>
      <c r="AG558" s="380">
        <v>3</v>
      </c>
      <c r="AH558" s="363" t="s">
        <v>1626</v>
      </c>
    </row>
    <row r="559" spans="2:34" ht="15" hidden="1" customHeight="1" x14ac:dyDescent="0.3">
      <c r="B559" s="380" t="s">
        <v>6</v>
      </c>
      <c r="C559" s="482" t="s">
        <v>822</v>
      </c>
      <c r="D559" s="483" t="s">
        <v>823</v>
      </c>
      <c r="E559" s="494" t="s">
        <v>1827</v>
      </c>
      <c r="F559" s="501">
        <v>46157</v>
      </c>
      <c r="G559" s="380" t="s">
        <v>55</v>
      </c>
      <c r="H559" s="380">
        <v>1</v>
      </c>
      <c r="I559" s="388">
        <v>105000</v>
      </c>
      <c r="J559" s="380">
        <v>2</v>
      </c>
      <c r="K559" s="389">
        <f>I559/J559</f>
        <v>52500</v>
      </c>
      <c r="L559" s="504">
        <v>46128</v>
      </c>
      <c r="M559" s="504">
        <v>46492</v>
      </c>
      <c r="N559" s="667"/>
      <c r="O559" s="684"/>
      <c r="P559" s="363" t="s">
        <v>520</v>
      </c>
      <c r="Q559" s="380"/>
      <c r="R559" s="380"/>
      <c r="S559" s="390" t="s">
        <v>1828</v>
      </c>
      <c r="T559" s="363" t="s">
        <v>1730</v>
      </c>
      <c r="U559" s="363" t="s">
        <v>1829</v>
      </c>
      <c r="V559" s="363"/>
      <c r="W559" s="363"/>
      <c r="X559" s="363"/>
      <c r="Y559" s="363"/>
      <c r="Z559" s="363"/>
      <c r="AA559" s="363"/>
      <c r="AB559" s="363"/>
      <c r="AC559" s="363"/>
      <c r="AD559" s="363"/>
      <c r="AE559" s="363" t="s">
        <v>183</v>
      </c>
      <c r="AF559" s="380" t="s">
        <v>97</v>
      </c>
      <c r="AG559" s="380">
        <v>3</v>
      </c>
      <c r="AH559" s="363" t="s">
        <v>829</v>
      </c>
    </row>
    <row r="560" spans="2:34" ht="15" hidden="1" customHeight="1" x14ac:dyDescent="0.3">
      <c r="B560" s="380" t="s">
        <v>6</v>
      </c>
      <c r="C560" s="430" t="s">
        <v>1830</v>
      </c>
      <c r="D560" s="445" t="s">
        <v>1831</v>
      </c>
      <c r="E560" s="419">
        <v>4501930640</v>
      </c>
      <c r="F560" s="488">
        <v>46167</v>
      </c>
      <c r="G560" s="380" t="s">
        <v>55</v>
      </c>
      <c r="H560" s="380">
        <v>1</v>
      </c>
      <c r="I560" s="388">
        <v>93575</v>
      </c>
      <c r="J560" s="380">
        <v>3</v>
      </c>
      <c r="K560" s="389">
        <f>I560/J560</f>
        <v>31191.666666666668</v>
      </c>
      <c r="L560" s="504">
        <v>46157</v>
      </c>
      <c r="M560" s="504">
        <v>46521</v>
      </c>
      <c r="N560" s="667"/>
      <c r="O560" s="684"/>
      <c r="P560" s="363" t="s">
        <v>520</v>
      </c>
      <c r="Q560" s="380"/>
      <c r="R560" s="380"/>
      <c r="S560" s="363" t="s">
        <v>1832</v>
      </c>
      <c r="T560" s="363"/>
      <c r="U560" s="363" t="s">
        <v>1833</v>
      </c>
      <c r="V560" s="363"/>
      <c r="W560" s="363" t="s">
        <v>1834</v>
      </c>
      <c r="X560" s="363"/>
      <c r="Y560" s="363"/>
      <c r="Z560" s="363"/>
      <c r="AA560" s="363"/>
      <c r="AB560" s="363"/>
      <c r="AC560" s="363"/>
      <c r="AD560" s="363"/>
      <c r="AE560" s="363" t="s">
        <v>619</v>
      </c>
      <c r="AF560" s="380" t="s">
        <v>63</v>
      </c>
      <c r="AG560" s="380">
        <v>3</v>
      </c>
      <c r="AH560" s="363" t="s">
        <v>667</v>
      </c>
    </row>
    <row r="561" spans="2:34" ht="15" hidden="1" customHeight="1" x14ac:dyDescent="0.3">
      <c r="B561" s="380" t="s">
        <v>6</v>
      </c>
      <c r="C561" s="409" t="s">
        <v>1014</v>
      </c>
      <c r="D561" s="418" t="s">
        <v>151</v>
      </c>
      <c r="E561" s="419">
        <v>4500596880</v>
      </c>
      <c r="F561" s="488">
        <v>46162</v>
      </c>
      <c r="G561" s="380" t="s">
        <v>55</v>
      </c>
      <c r="H561" s="380">
        <v>2</v>
      </c>
      <c r="I561" s="388">
        <v>180000</v>
      </c>
      <c r="J561" s="380">
        <v>3</v>
      </c>
      <c r="K561" s="389">
        <f>I561/J561</f>
        <v>60000</v>
      </c>
      <c r="L561" s="505">
        <v>46174</v>
      </c>
      <c r="M561" s="505">
        <v>46538</v>
      </c>
      <c r="N561" s="668"/>
      <c r="O561" s="685"/>
      <c r="P561" s="363" t="s">
        <v>520</v>
      </c>
      <c r="Q561" s="380"/>
      <c r="R561" s="380"/>
      <c r="S561" s="363" t="s">
        <v>406</v>
      </c>
      <c r="T561" s="363"/>
      <c r="U561" s="363" t="s">
        <v>407</v>
      </c>
      <c r="V561" s="363"/>
      <c r="W561" s="363" t="s">
        <v>408</v>
      </c>
      <c r="X561" s="363"/>
      <c r="Y561" s="363"/>
      <c r="Z561" s="363"/>
      <c r="AA561" s="363"/>
      <c r="AB561" s="363"/>
      <c r="AC561" s="363"/>
      <c r="AD561" s="363"/>
      <c r="AE561" s="363" t="s">
        <v>507</v>
      </c>
      <c r="AF561" s="380" t="s">
        <v>63</v>
      </c>
      <c r="AG561" s="380">
        <v>3</v>
      </c>
      <c r="AH561" s="363" t="s">
        <v>667</v>
      </c>
    </row>
    <row r="562" spans="2:34" ht="15" hidden="1" customHeight="1" x14ac:dyDescent="0.3">
      <c r="B562" s="380" t="s">
        <v>6</v>
      </c>
      <c r="C562" s="412" t="s">
        <v>614</v>
      </c>
      <c r="D562" s="510" t="s">
        <v>447</v>
      </c>
      <c r="E562" s="511" t="s">
        <v>1835</v>
      </c>
      <c r="F562" s="488">
        <v>46149</v>
      </c>
      <c r="G562" s="380" t="s">
        <v>55</v>
      </c>
      <c r="H562" s="408">
        <v>2</v>
      </c>
      <c r="I562" s="388">
        <v>152880</v>
      </c>
      <c r="J562" s="380">
        <v>3</v>
      </c>
      <c r="K562" s="389"/>
      <c r="L562" s="505">
        <v>46113</v>
      </c>
      <c r="M562" s="505">
        <v>46477</v>
      </c>
      <c r="N562" s="668"/>
      <c r="O562" s="685"/>
      <c r="P562" s="363" t="s">
        <v>520</v>
      </c>
      <c r="Q562" s="380"/>
      <c r="R562" s="380"/>
      <c r="S562" s="390" t="s">
        <v>1080</v>
      </c>
      <c r="T562" s="363" t="s">
        <v>1940</v>
      </c>
      <c r="U562" s="363" t="s">
        <v>1108</v>
      </c>
      <c r="V562" s="363"/>
      <c r="W562" s="363" t="s">
        <v>1109</v>
      </c>
      <c r="X562" s="363"/>
      <c r="Y562" s="363"/>
      <c r="Z562" s="363"/>
      <c r="AA562" s="363"/>
      <c r="AB562" s="363"/>
      <c r="AC562" s="363"/>
      <c r="AD562" s="363"/>
      <c r="AE562" s="363" t="s">
        <v>281</v>
      </c>
      <c r="AF562" s="380" t="s">
        <v>97</v>
      </c>
      <c r="AG562" s="380">
        <v>3</v>
      </c>
      <c r="AH562" s="363" t="s">
        <v>1836</v>
      </c>
    </row>
    <row r="563" spans="2:34" ht="15" hidden="1" customHeight="1" x14ac:dyDescent="0.3">
      <c r="B563" s="380" t="s">
        <v>6</v>
      </c>
      <c r="C563" s="409" t="s">
        <v>948</v>
      </c>
      <c r="D563" s="409" t="s">
        <v>987</v>
      </c>
      <c r="E563" s="380">
        <v>9000022562</v>
      </c>
      <c r="F563" s="488">
        <v>46167</v>
      </c>
      <c r="G563" s="380" t="s">
        <v>55</v>
      </c>
      <c r="H563" s="408">
        <v>1</v>
      </c>
      <c r="I563" s="388">
        <v>19400</v>
      </c>
      <c r="J563" s="380"/>
      <c r="K563" s="389"/>
      <c r="L563" s="505">
        <v>46113</v>
      </c>
      <c r="M563" s="507">
        <v>46477</v>
      </c>
      <c r="N563" s="663"/>
      <c r="O563" s="680"/>
      <c r="P563" s="363" t="s">
        <v>520</v>
      </c>
      <c r="Q563" s="719"/>
      <c r="R563" s="380"/>
      <c r="S563" s="390" t="s">
        <v>397</v>
      </c>
      <c r="T563" s="363" t="s">
        <v>1863</v>
      </c>
      <c r="U563" s="363" t="s">
        <v>496</v>
      </c>
      <c r="V563" s="363"/>
      <c r="W563" s="363" t="s">
        <v>497</v>
      </c>
      <c r="X563" s="363"/>
      <c r="Y563" s="363" t="s">
        <v>498</v>
      </c>
      <c r="Z563" s="363"/>
      <c r="AA563" s="363"/>
      <c r="AB563" s="363"/>
      <c r="AC563" s="363"/>
      <c r="AD563" s="363"/>
      <c r="AE563" s="363" t="s">
        <v>356</v>
      </c>
      <c r="AF563" s="380" t="s">
        <v>207</v>
      </c>
      <c r="AG563" s="380"/>
      <c r="AH563" s="363"/>
    </row>
    <row r="564" spans="2:34" ht="15" hidden="1" customHeight="1" x14ac:dyDescent="0.3">
      <c r="B564" s="380" t="s">
        <v>9</v>
      </c>
      <c r="C564" s="409" t="s">
        <v>975</v>
      </c>
      <c r="D564" s="409" t="s">
        <v>976</v>
      </c>
      <c r="E564" s="419">
        <v>6100015292</v>
      </c>
      <c r="F564" s="501">
        <v>46160</v>
      </c>
      <c r="G564" s="380" t="s">
        <v>55</v>
      </c>
      <c r="H564" s="380">
        <v>3</v>
      </c>
      <c r="I564" s="388">
        <v>336000</v>
      </c>
      <c r="J564" s="380">
        <v>3</v>
      </c>
      <c r="K564" s="389">
        <f>I564/J564</f>
        <v>112000</v>
      </c>
      <c r="L564" s="518">
        <v>46074</v>
      </c>
      <c r="M564" s="518">
        <v>46438</v>
      </c>
      <c r="N564" s="670"/>
      <c r="O564" s="687"/>
      <c r="P564" s="363" t="s">
        <v>520</v>
      </c>
      <c r="Q564" s="380"/>
      <c r="R564" s="380"/>
      <c r="S564" s="390" t="s">
        <v>1880</v>
      </c>
      <c r="T564" s="363" t="s">
        <v>1856</v>
      </c>
      <c r="U564" s="363" t="s">
        <v>1881</v>
      </c>
      <c r="V564" s="363"/>
      <c r="W564" s="363" t="s">
        <v>1882</v>
      </c>
      <c r="X564" s="363"/>
      <c r="Y564" s="363"/>
      <c r="Z564" s="363"/>
      <c r="AA564" s="363"/>
      <c r="AB564" s="363"/>
      <c r="AC564" s="363"/>
      <c r="AD564" s="363"/>
      <c r="AE564" s="363" t="s">
        <v>834</v>
      </c>
      <c r="AF564" s="380" t="s">
        <v>207</v>
      </c>
      <c r="AG564" s="380">
        <v>3</v>
      </c>
      <c r="AH564" s="363" t="s">
        <v>1581</v>
      </c>
    </row>
    <row r="565" spans="2:34" ht="15" hidden="1" customHeight="1" x14ac:dyDescent="0.3">
      <c r="B565" s="380" t="s">
        <v>9</v>
      </c>
      <c r="C565" s="553" t="s">
        <v>775</v>
      </c>
      <c r="D565" s="482" t="s">
        <v>1883</v>
      </c>
      <c r="E565" s="408">
        <v>2710002054</v>
      </c>
      <c r="F565" s="488">
        <v>46168</v>
      </c>
      <c r="G565" s="380" t="s">
        <v>55</v>
      </c>
      <c r="H565" s="380">
        <v>2</v>
      </c>
      <c r="I565" s="388">
        <v>188175</v>
      </c>
      <c r="J565" s="380">
        <v>3</v>
      </c>
      <c r="K565" s="389">
        <f>47775+46312.5</f>
        <v>94087.5</v>
      </c>
      <c r="L565" s="505">
        <v>46113</v>
      </c>
      <c r="M565" s="505">
        <v>46477</v>
      </c>
      <c r="N565" s="668"/>
      <c r="O565" s="685"/>
      <c r="P565" s="363" t="s">
        <v>520</v>
      </c>
      <c r="Q565" s="380"/>
      <c r="R565" s="380"/>
      <c r="S565" s="390" t="s">
        <v>1080</v>
      </c>
      <c r="T565" s="363" t="s">
        <v>1847</v>
      </c>
      <c r="U565" s="363" t="s">
        <v>1108</v>
      </c>
      <c r="V565" s="363" t="s">
        <v>1884</v>
      </c>
      <c r="W565" s="363" t="s">
        <v>1885</v>
      </c>
      <c r="X565" s="363"/>
      <c r="Y565" s="363"/>
      <c r="Z565" s="363"/>
      <c r="AA565" s="363"/>
      <c r="AB565" s="363"/>
      <c r="AC565" s="363"/>
      <c r="AD565" s="363"/>
      <c r="AE565" s="363" t="s">
        <v>551</v>
      </c>
      <c r="AF565" s="380" t="s">
        <v>207</v>
      </c>
      <c r="AG565" s="380">
        <v>3</v>
      </c>
      <c r="AH565" s="363" t="s">
        <v>1886</v>
      </c>
    </row>
    <row r="566" spans="2:34" ht="15" hidden="1" customHeight="1" x14ac:dyDescent="0.3">
      <c r="B566" s="380" t="s">
        <v>9</v>
      </c>
      <c r="C566" s="553" t="s">
        <v>775</v>
      </c>
      <c r="D566" s="482" t="s">
        <v>1883</v>
      </c>
      <c r="E566" s="408">
        <v>2710002053</v>
      </c>
      <c r="F566" s="488">
        <v>46168</v>
      </c>
      <c r="G566" s="380" t="s">
        <v>55</v>
      </c>
      <c r="H566" s="380">
        <v>2</v>
      </c>
      <c r="I566" s="388">
        <v>160875</v>
      </c>
      <c r="J566" s="380">
        <v>3</v>
      </c>
      <c r="K566" s="389">
        <f>36562.5+43875</f>
        <v>80437.5</v>
      </c>
      <c r="L566" s="517">
        <v>46113</v>
      </c>
      <c r="M566" s="517">
        <v>46477</v>
      </c>
      <c r="N566" s="668"/>
      <c r="O566" s="685"/>
      <c r="P566" s="363" t="s">
        <v>520</v>
      </c>
      <c r="Q566" s="380"/>
      <c r="R566" s="380"/>
      <c r="S566" s="390" t="s">
        <v>1080</v>
      </c>
      <c r="T566" s="363" t="s">
        <v>1854</v>
      </c>
      <c r="U566" s="363" t="s">
        <v>1108</v>
      </c>
      <c r="V566" s="363" t="s">
        <v>1884</v>
      </c>
      <c r="W566" s="363" t="s">
        <v>1885</v>
      </c>
      <c r="X566" s="363"/>
      <c r="Y566" s="363"/>
      <c r="Z566" s="363"/>
      <c r="AA566" s="363"/>
      <c r="AB566" s="363"/>
      <c r="AC566" s="363"/>
      <c r="AD566" s="363"/>
      <c r="AE566" s="363" t="s">
        <v>551</v>
      </c>
      <c r="AF566" s="380" t="s">
        <v>207</v>
      </c>
      <c r="AG566" s="380">
        <v>3</v>
      </c>
      <c r="AH566" s="363" t="s">
        <v>1886</v>
      </c>
    </row>
    <row r="567" spans="2:34" ht="15" hidden="1" customHeight="1" x14ac:dyDescent="0.3">
      <c r="B567" s="380" t="s">
        <v>9</v>
      </c>
      <c r="C567" s="482" t="s">
        <v>1887</v>
      </c>
      <c r="D567" s="482" t="s">
        <v>1031</v>
      </c>
      <c r="E567" s="468">
        <v>4514271746</v>
      </c>
      <c r="F567" s="488">
        <v>46175</v>
      </c>
      <c r="G567" s="380" t="s">
        <v>55</v>
      </c>
      <c r="H567" s="380">
        <v>1</v>
      </c>
      <c r="I567" s="388">
        <v>285000</v>
      </c>
      <c r="J567" s="380">
        <v>3</v>
      </c>
      <c r="K567" s="389">
        <f t="shared" ref="K567:K575" si="25">I567/J567</f>
        <v>95000</v>
      </c>
      <c r="L567" s="504">
        <v>46113</v>
      </c>
      <c r="M567" s="504">
        <v>46477</v>
      </c>
      <c r="N567" s="667"/>
      <c r="O567" s="684"/>
      <c r="P567" s="363" t="s">
        <v>520</v>
      </c>
      <c r="Q567" s="380"/>
      <c r="R567" s="380"/>
      <c r="S567" s="363" t="s">
        <v>1080</v>
      </c>
      <c r="T567" s="363"/>
      <c r="U567" s="363" t="s">
        <v>1108</v>
      </c>
      <c r="V567" s="363"/>
      <c r="W567" s="363" t="s">
        <v>1885</v>
      </c>
      <c r="X567" s="363"/>
      <c r="Y567" s="363"/>
      <c r="Z567" s="363"/>
      <c r="AA567" s="363"/>
      <c r="AB567" s="363"/>
      <c r="AC567" s="363"/>
      <c r="AD567" s="363"/>
      <c r="AE567" s="363" t="s">
        <v>478</v>
      </c>
      <c r="AF567" s="380" t="s">
        <v>63</v>
      </c>
      <c r="AG567" s="380">
        <v>5</v>
      </c>
      <c r="AH567" s="363" t="s">
        <v>667</v>
      </c>
    </row>
    <row r="568" spans="2:34" ht="15" hidden="1" customHeight="1" x14ac:dyDescent="0.3">
      <c r="B568" s="380" t="s">
        <v>9</v>
      </c>
      <c r="C568" s="482" t="s">
        <v>1888</v>
      </c>
      <c r="D568" s="482" t="s">
        <v>151</v>
      </c>
      <c r="E568" s="468">
        <v>4504965642</v>
      </c>
      <c r="F568" s="488">
        <v>46112</v>
      </c>
      <c r="G568" s="380" t="s">
        <v>55</v>
      </c>
      <c r="H568" s="380">
        <v>4</v>
      </c>
      <c r="I568" s="388">
        <v>260000</v>
      </c>
      <c r="J568" s="380">
        <v>2</v>
      </c>
      <c r="K568" s="389">
        <f t="shared" si="25"/>
        <v>130000</v>
      </c>
      <c r="L568" s="504">
        <v>46023</v>
      </c>
      <c r="M568" s="504">
        <v>46387</v>
      </c>
      <c r="N568" s="667"/>
      <c r="O568" s="684"/>
      <c r="P568" s="363" t="s">
        <v>520</v>
      </c>
      <c r="Q568" s="380"/>
      <c r="R568" s="380"/>
      <c r="S568" s="390" t="s">
        <v>607</v>
      </c>
      <c r="T568" s="363" t="s">
        <v>1854</v>
      </c>
      <c r="U568" s="363" t="s">
        <v>1889</v>
      </c>
      <c r="V568" s="363"/>
      <c r="W568" s="363"/>
      <c r="X568" s="363"/>
      <c r="Y568" s="363"/>
      <c r="Z568" s="363"/>
      <c r="AA568" s="363"/>
      <c r="AB568" s="363"/>
      <c r="AC568" s="363"/>
      <c r="AD568" s="363"/>
      <c r="AE568" s="363" t="s">
        <v>478</v>
      </c>
      <c r="AF568" s="380" t="s">
        <v>63</v>
      </c>
      <c r="AG568" s="380">
        <v>2</v>
      </c>
      <c r="AH568" s="363" t="s">
        <v>667</v>
      </c>
    </row>
    <row r="569" spans="2:34" ht="15" hidden="1" customHeight="1" x14ac:dyDescent="0.3">
      <c r="B569" s="380" t="s">
        <v>9</v>
      </c>
      <c r="C569" s="482" t="s">
        <v>530</v>
      </c>
      <c r="D569" s="482" t="s">
        <v>1016</v>
      </c>
      <c r="E569" s="468" t="s">
        <v>1890</v>
      </c>
      <c r="F569" s="488">
        <v>46174</v>
      </c>
      <c r="G569" s="380" t="s">
        <v>55</v>
      </c>
      <c r="H569" s="380"/>
      <c r="I569" s="388">
        <f>563400/3</f>
        <v>187800</v>
      </c>
      <c r="J569" s="380">
        <v>3</v>
      </c>
      <c r="K569" s="389">
        <f t="shared" si="25"/>
        <v>62600</v>
      </c>
      <c r="L569" s="504">
        <v>46174</v>
      </c>
      <c r="M569" s="504">
        <v>46538</v>
      </c>
      <c r="N569" s="667"/>
      <c r="O569" s="684"/>
      <c r="P569" s="363" t="s">
        <v>520</v>
      </c>
      <c r="Q569" s="380"/>
      <c r="R569" s="380"/>
      <c r="S569" s="394" t="str" cm="1">
        <f t="array" ref="S569">TEXT(EDATE(L569,{0}),"dd/mm/yyy") &amp; " to " &amp; TEXT(EDATE(L569,{4})-1,"dd/mm/yyyy")</f>
        <v>01/06/2026 to 30/09/2026</v>
      </c>
      <c r="T569" s="363" t="s">
        <v>2032</v>
      </c>
      <c r="U569" s="381" t="str" cm="1">
        <f t="array" ref="U569">TEXT(EDATE(L569,{4}),"dd/mm/yyy") &amp; " to " &amp; TEXT(EDATE(L569,{8})-1,"dd/mm/yyyy")</f>
        <v>01/10/2026 to 31/01/2027</v>
      </c>
      <c r="V569" s="363"/>
      <c r="W569" s="381" t="str" cm="1">
        <f t="array" ref="W569">TEXT(EDATE(L569,{8}),"dd/mm/yyy") &amp; " to " &amp; TEXT(EDATE(L569,{12})-1,"dd/mm/yyyy")</f>
        <v>01/02/2027 to 31/05/2027</v>
      </c>
      <c r="X569" s="363"/>
      <c r="Y569" s="363"/>
      <c r="Z569" s="363"/>
      <c r="AA569" s="363"/>
      <c r="AB569" s="363"/>
      <c r="AC569" s="363"/>
      <c r="AD569" s="363"/>
      <c r="AE569" s="363" t="s">
        <v>619</v>
      </c>
      <c r="AF569" s="380" t="s">
        <v>63</v>
      </c>
      <c r="AG569" s="380">
        <v>3</v>
      </c>
      <c r="AH569" s="363" t="s">
        <v>667</v>
      </c>
    </row>
    <row r="570" spans="2:34" ht="15" hidden="1" customHeight="1" x14ac:dyDescent="0.3">
      <c r="B570" s="380" t="s">
        <v>9</v>
      </c>
      <c r="C570" s="482" t="s">
        <v>530</v>
      </c>
      <c r="D570" s="482" t="s">
        <v>1016</v>
      </c>
      <c r="E570" s="468" t="s">
        <v>1890</v>
      </c>
      <c r="F570" s="488">
        <v>46174</v>
      </c>
      <c r="G570" s="380" t="s">
        <v>55</v>
      </c>
      <c r="H570" s="380"/>
      <c r="I570" s="388">
        <f>563400/3</f>
        <v>187800</v>
      </c>
      <c r="J570" s="380">
        <v>3</v>
      </c>
      <c r="K570" s="389">
        <f t="shared" si="25"/>
        <v>62600</v>
      </c>
      <c r="L570" s="504">
        <v>46539</v>
      </c>
      <c r="M570" s="507">
        <v>46904</v>
      </c>
      <c r="N570" s="663"/>
      <c r="O570" s="680"/>
      <c r="P570" s="363" t="s">
        <v>520</v>
      </c>
      <c r="Q570" s="380"/>
      <c r="R570" s="380"/>
      <c r="S570" s="381" t="str" cm="1">
        <f t="array" ref="S570">TEXT(EDATE(L570,{0}),"dd/mm/yyy") &amp; " to " &amp; TEXT(EDATE(L570,{4})-1,"dd/mm/yyyy")</f>
        <v>01/06/2027 to 30/09/2027</v>
      </c>
      <c r="T570" s="363"/>
      <c r="U570" s="381" t="str" cm="1">
        <f t="array" ref="U570">TEXT(EDATE(L570,{4}),"dd/mm/yyy") &amp; " to " &amp; TEXT(EDATE(L570,{8})-1,"dd/mm/yyyy")</f>
        <v>01/10/2027 to 31/01/2028</v>
      </c>
      <c r="V570" s="363"/>
      <c r="W570" s="381" t="str" cm="1">
        <f t="array" ref="W570">TEXT(EDATE(L570,{8}),"dd/mm/yyy") &amp; " to " &amp; TEXT(EDATE(L570,{12})-1,"dd/mm/yyyy")</f>
        <v>01/02/2028 to 31/05/2028</v>
      </c>
      <c r="X570" s="363"/>
      <c r="Y570" s="363"/>
      <c r="Z570" s="363"/>
      <c r="AA570" s="363"/>
      <c r="AB570" s="363"/>
      <c r="AC570" s="363"/>
      <c r="AD570" s="363"/>
      <c r="AE570" s="363" t="s">
        <v>619</v>
      </c>
      <c r="AF570" s="380" t="s">
        <v>63</v>
      </c>
      <c r="AG570" s="380">
        <v>3</v>
      </c>
      <c r="AH570" s="363" t="s">
        <v>667</v>
      </c>
    </row>
    <row r="571" spans="2:34" ht="15" hidden="1" customHeight="1" x14ac:dyDescent="0.3">
      <c r="B571" s="380" t="s">
        <v>9</v>
      </c>
      <c r="C571" s="482" t="s">
        <v>530</v>
      </c>
      <c r="D571" s="482" t="s">
        <v>1016</v>
      </c>
      <c r="E571" s="468" t="s">
        <v>1890</v>
      </c>
      <c r="F571" s="488">
        <v>46174</v>
      </c>
      <c r="G571" s="380" t="s">
        <v>55</v>
      </c>
      <c r="H571" s="380">
        <v>2</v>
      </c>
      <c r="I571" s="388">
        <f>563400/3</f>
        <v>187800</v>
      </c>
      <c r="J571" s="380">
        <v>3</v>
      </c>
      <c r="K571" s="389">
        <f t="shared" si="25"/>
        <v>62600</v>
      </c>
      <c r="L571" s="504">
        <v>46905</v>
      </c>
      <c r="M571" s="507">
        <v>47269</v>
      </c>
      <c r="N571" s="663"/>
      <c r="O571" s="680"/>
      <c r="P571" s="363" t="s">
        <v>520</v>
      </c>
      <c r="Q571" s="380"/>
      <c r="R571" s="380"/>
      <c r="S571" s="381" t="str" cm="1">
        <f t="array" ref="S571">TEXT(EDATE(L571,{0}),"dd/mm/yyy") &amp; " to " &amp; TEXT(EDATE(L571,{4})-1,"dd/mm/yyyy")</f>
        <v>01/06/2028 to 30/09/2028</v>
      </c>
      <c r="T571" s="363"/>
      <c r="U571" s="381" t="str" cm="1">
        <f t="array" ref="U571">TEXT(EDATE(L571,{4}),"dd/mm/yyy") &amp; " to " &amp; TEXT(EDATE(L571,{8})-1,"dd/mm/yyyy")</f>
        <v>01/10/2028 to 31/01/2029</v>
      </c>
      <c r="V571" s="363"/>
      <c r="W571" s="381" t="str" cm="1">
        <f t="array" ref="W571">TEXT(EDATE($L571,{8}),"dd/mm/yyy") &amp; " to " &amp; TEXT(EDATE($L571,{12})-1,"dd/mm/yyyy")</f>
        <v>01/02/2029 to 31/05/2029</v>
      </c>
      <c r="X571" s="363"/>
      <c r="Y571" s="363"/>
      <c r="Z571" s="363"/>
      <c r="AA571" s="363"/>
      <c r="AB571" s="363"/>
      <c r="AC571" s="363"/>
      <c r="AD571" s="363"/>
      <c r="AE571" s="363" t="s">
        <v>619</v>
      </c>
      <c r="AF571" s="380" t="s">
        <v>63</v>
      </c>
      <c r="AG571" s="380">
        <v>3</v>
      </c>
      <c r="AH571" s="363" t="s">
        <v>667</v>
      </c>
    </row>
    <row r="572" spans="2:34" ht="15" hidden="1" customHeight="1" x14ac:dyDescent="0.3">
      <c r="B572" s="380" t="s">
        <v>9</v>
      </c>
      <c r="C572" s="430" t="s">
        <v>1891</v>
      </c>
      <c r="D572" s="430" t="s">
        <v>1892</v>
      </c>
      <c r="E572" s="419">
        <v>4514063024</v>
      </c>
      <c r="F572" s="519">
        <v>46133</v>
      </c>
      <c r="G572" s="380" t="s">
        <v>55</v>
      </c>
      <c r="H572" s="464">
        <v>1</v>
      </c>
      <c r="I572" s="388">
        <v>50000</v>
      </c>
      <c r="J572" s="380">
        <v>3</v>
      </c>
      <c r="K572" s="389">
        <f t="shared" si="25"/>
        <v>16666.666666666668</v>
      </c>
      <c r="L572" s="512">
        <v>46023</v>
      </c>
      <c r="M572" s="512">
        <v>46387</v>
      </c>
      <c r="N572" s="669"/>
      <c r="O572" s="686"/>
      <c r="P572" s="363" t="s">
        <v>520</v>
      </c>
      <c r="Q572" s="380"/>
      <c r="R572" s="380"/>
      <c r="S572" s="394" t="str" cm="1">
        <f t="array" ref="S572">TEXT(EDATE(L572,{0}),"dd/mm/yyy") &amp; " to " &amp; TEXT(EDATE(L572,{4})-1,"dd/mm/yyyy")</f>
        <v>01/01/2026 to 30/04/2026</v>
      </c>
      <c r="T572" s="363" t="s">
        <v>1852</v>
      </c>
      <c r="U572" s="381" t="str" cm="1">
        <f t="array" ref="U572">TEXT(EDATE(L572,{4}),"dd/mm/yyy") &amp; " to " &amp; TEXT(EDATE(L572,{8})-1,"dd/mm/yyyy")</f>
        <v>01/05/2026 to 31/08/2026</v>
      </c>
      <c r="V572" s="363"/>
      <c r="W572" s="381" t="str" cm="1">
        <f t="array" ref="W572">TEXT(EDATE($L572,{8}),"dd/mm/yyy") &amp; " to " &amp; TEXT(EDATE($L572,{12})-1,"dd/mm/yyyy")</f>
        <v>01/09/2026 to 31/12/2026</v>
      </c>
      <c r="X572" s="363"/>
      <c r="Y572" s="363"/>
      <c r="Z572" s="363"/>
      <c r="AA572" s="363"/>
      <c r="AB572" s="363"/>
      <c r="AC572" s="363"/>
      <c r="AD572" s="363"/>
      <c r="AE572" s="363" t="s">
        <v>478</v>
      </c>
      <c r="AF572" s="380" t="s">
        <v>63</v>
      </c>
      <c r="AG572" s="380">
        <v>5</v>
      </c>
      <c r="AH572" s="363" t="s">
        <v>667</v>
      </c>
    </row>
    <row r="573" spans="2:34" ht="15" hidden="1" customHeight="1" x14ac:dyDescent="0.3">
      <c r="B573" s="380" t="s">
        <v>9</v>
      </c>
      <c r="C573" s="482" t="s">
        <v>130</v>
      </c>
      <c r="D573" s="483" t="s">
        <v>940</v>
      </c>
      <c r="E573" s="468">
        <v>6800051961</v>
      </c>
      <c r="F573" s="488">
        <v>46132</v>
      </c>
      <c r="G573" s="380" t="s">
        <v>55</v>
      </c>
      <c r="H573" s="380">
        <v>1</v>
      </c>
      <c r="I573" s="388">
        <v>89500</v>
      </c>
      <c r="J573" s="380">
        <v>3</v>
      </c>
      <c r="K573" s="389">
        <f t="shared" si="25"/>
        <v>29833.333333333332</v>
      </c>
      <c r="L573" s="505">
        <v>46143</v>
      </c>
      <c r="M573" s="505">
        <v>46507</v>
      </c>
      <c r="N573" s="668"/>
      <c r="O573" s="685"/>
      <c r="P573" s="363" t="s">
        <v>520</v>
      </c>
      <c r="Q573" s="380"/>
      <c r="R573" s="380"/>
      <c r="S573" s="394" t="str" cm="1">
        <f t="array" ref="S573">TEXT(EDATE(L573,{0}),"dd/mm/yyy") &amp; " to " &amp; TEXT(EDATE(L573,{4})-1,"dd/mm/yyyy")</f>
        <v>01/05/2026 to 31/08/2026</v>
      </c>
      <c r="T573" s="363" t="s">
        <v>1712</v>
      </c>
      <c r="U573" s="381" t="str" cm="1">
        <f t="array" ref="U573">TEXT(EDATE(L573,{4}),"dd/mm/yyy") &amp; " to " &amp; TEXT(EDATE(L573,{8})-1,"dd/mm/yyyy")</f>
        <v>01/09/2026 to 31/12/2026</v>
      </c>
      <c r="V573" s="363"/>
      <c r="W573" s="381" t="str" cm="1">
        <f t="array" ref="W573">TEXT(EDATE($L573,{8}),"dd/mm/yyy") &amp; " to " &amp; TEXT(EDATE($L573,{12})-1,"dd/mm/yyyy")</f>
        <v>01/01/2027 to 30/04/2027</v>
      </c>
      <c r="X573" s="363"/>
      <c r="Y573" s="363"/>
      <c r="Z573" s="363"/>
      <c r="AA573" s="363"/>
      <c r="AB573" s="363"/>
      <c r="AC573" s="363"/>
      <c r="AD573" s="363"/>
      <c r="AE573" s="363" t="s">
        <v>1893</v>
      </c>
      <c r="AF573" s="380" t="s">
        <v>97</v>
      </c>
      <c r="AG573" s="380">
        <v>2</v>
      </c>
      <c r="AH573" s="363" t="s">
        <v>1894</v>
      </c>
    </row>
    <row r="574" spans="2:34" ht="15" hidden="1" customHeight="1" x14ac:dyDescent="0.3">
      <c r="B574" s="380" t="s">
        <v>9</v>
      </c>
      <c r="C574" s="482" t="s">
        <v>130</v>
      </c>
      <c r="D574" s="483" t="s">
        <v>940</v>
      </c>
      <c r="E574" s="411">
        <v>6800051960</v>
      </c>
      <c r="F574" s="488">
        <v>46132</v>
      </c>
      <c r="G574" s="380" t="s">
        <v>55</v>
      </c>
      <c r="H574" s="380">
        <v>5</v>
      </c>
      <c r="I574" s="388">
        <f>89500*5</f>
        <v>447500</v>
      </c>
      <c r="J574" s="380">
        <v>3</v>
      </c>
      <c r="K574" s="389">
        <f t="shared" si="25"/>
        <v>149166.66666666666</v>
      </c>
      <c r="L574" s="505">
        <v>46143</v>
      </c>
      <c r="M574" s="505">
        <v>46507</v>
      </c>
      <c r="N574" s="668"/>
      <c r="O574" s="685"/>
      <c r="P574" s="363" t="s">
        <v>520</v>
      </c>
      <c r="Q574" s="380"/>
      <c r="R574" s="380"/>
      <c r="S574" s="394" t="str" cm="1">
        <f t="array" ref="S574">TEXT(EDATE(L574,{0}),"dd/mm/yyy") &amp; " to " &amp; TEXT(EDATE(L574,{4})-1,"dd/mm/yyyy")</f>
        <v>01/05/2026 to 31/08/2026</v>
      </c>
      <c r="T574" s="363" t="s">
        <v>1712</v>
      </c>
      <c r="U574" s="381" t="str" cm="1">
        <f t="array" ref="U574">TEXT(EDATE(L574,{4}),"dd/mm/yyy") &amp; " to " &amp; TEXT(EDATE(L574,{8})-1,"dd/mm/yyyy")</f>
        <v>01/09/2026 to 31/12/2026</v>
      </c>
      <c r="V574" s="363"/>
      <c r="W574" s="381" t="str" cm="1">
        <f t="array" ref="W574">TEXT(EDATE($L574,{8}),"dd/mm/yyy") &amp; " to " &amp; TEXT(EDATE($L574,{12})-1,"dd/mm/yyyy")</f>
        <v>01/01/2027 to 30/04/2027</v>
      </c>
      <c r="X574" s="363"/>
      <c r="Y574" s="363"/>
      <c r="Z574" s="363"/>
      <c r="AA574" s="363"/>
      <c r="AB574" s="363"/>
      <c r="AC574" s="363"/>
      <c r="AD574" s="363"/>
      <c r="AE574" s="363" t="s">
        <v>1893</v>
      </c>
      <c r="AF574" s="380" t="s">
        <v>97</v>
      </c>
      <c r="AG574" s="380">
        <v>2</v>
      </c>
      <c r="AH574" s="363" t="s">
        <v>1894</v>
      </c>
    </row>
    <row r="575" spans="2:34" ht="15" hidden="1" customHeight="1" x14ac:dyDescent="0.3">
      <c r="B575" s="380" t="s">
        <v>9</v>
      </c>
      <c r="C575" s="482" t="s">
        <v>744</v>
      </c>
      <c r="D575" s="483" t="s">
        <v>176</v>
      </c>
      <c r="E575" s="468">
        <v>4500026344</v>
      </c>
      <c r="F575" s="488">
        <v>46092</v>
      </c>
      <c r="G575" s="380" t="s">
        <v>55</v>
      </c>
      <c r="H575" s="380">
        <v>2</v>
      </c>
      <c r="I575" s="388">
        <v>222750</v>
      </c>
      <c r="J575" s="380">
        <v>2</v>
      </c>
      <c r="K575" s="389">
        <f t="shared" si="25"/>
        <v>111375</v>
      </c>
      <c r="L575" s="504">
        <v>46092</v>
      </c>
      <c r="M575" s="504">
        <v>46456</v>
      </c>
      <c r="N575" s="667">
        <v>155386</v>
      </c>
      <c r="O575" s="684">
        <v>4474</v>
      </c>
      <c r="P575" s="363" t="s">
        <v>520</v>
      </c>
      <c r="Q575" s="380"/>
      <c r="R575" s="380"/>
      <c r="S575" s="394" t="str" cm="1">
        <f t="array" ref="S575">TEXT(EDATE($L575,{0}),"dd/mm/yyy") &amp; " to " &amp; TEXT(EDATE($L575,{6})-1,"dd/mm/yyyy")</f>
        <v>11/03/2026 to 10/09/2026</v>
      </c>
      <c r="T575" s="363" t="s">
        <v>2078</v>
      </c>
      <c r="U575" s="381" t="str" cm="1">
        <f t="array" ref="U575">TEXT(EDATE($L575,{6}),"dd/mm/yyy") &amp; " to " &amp; TEXT(EDATE($L575,{12})-1,"dd/mm/yyyy")</f>
        <v>11/09/2026 to 10/03/2027</v>
      </c>
      <c r="V575" s="363" t="s">
        <v>2079</v>
      </c>
      <c r="W575" s="363"/>
      <c r="X575" s="363"/>
      <c r="Y575" s="363"/>
      <c r="Z575" s="363"/>
      <c r="AA575" s="363"/>
      <c r="AB575" s="363"/>
      <c r="AC575" s="363"/>
      <c r="AD575" s="363"/>
      <c r="AE575" s="363" t="s">
        <v>1893</v>
      </c>
      <c r="AF575" s="380" t="s">
        <v>97</v>
      </c>
      <c r="AG575" s="380">
        <v>2</v>
      </c>
      <c r="AH575" s="363" t="s">
        <v>667</v>
      </c>
    </row>
    <row r="576" spans="2:34" ht="15" hidden="1" customHeight="1" x14ac:dyDescent="0.3">
      <c r="B576" s="380" t="s">
        <v>9</v>
      </c>
      <c r="C576" s="412" t="s">
        <v>614</v>
      </c>
      <c r="D576" s="510" t="s">
        <v>447</v>
      </c>
      <c r="E576" s="467" t="s">
        <v>1895</v>
      </c>
      <c r="F576" s="496">
        <v>46171</v>
      </c>
      <c r="G576" s="380" t="s">
        <v>55</v>
      </c>
      <c r="H576" s="380">
        <v>1</v>
      </c>
      <c r="I576" s="388">
        <v>76440</v>
      </c>
      <c r="J576" s="380">
        <v>3</v>
      </c>
      <c r="K576" s="380"/>
      <c r="L576" s="505">
        <v>46174</v>
      </c>
      <c r="M576" s="505">
        <v>46538</v>
      </c>
      <c r="N576" s="668"/>
      <c r="O576" s="685"/>
      <c r="P576" s="363" t="s">
        <v>520</v>
      </c>
      <c r="Q576" s="380"/>
      <c r="R576" s="380"/>
      <c r="S576" s="394" t="str" cm="1">
        <f t="array" ref="S576">TEXT(EDATE(L576,{0}),"dd/mm/yyy") &amp; " to " &amp; TEXT(EDATE(L576,{4})-1,"dd/mm/yyyy")</f>
        <v>01/06/2026 to 30/09/2026</v>
      </c>
      <c r="T576" s="363" t="s">
        <v>1944</v>
      </c>
      <c r="U576" s="381" t="str" cm="1">
        <f t="array" ref="U576">TEXT(EDATE(L576,{4}),"dd/mm/yyy") &amp; " to " &amp; TEXT(EDATE(L576,{8})-1,"dd/mm/yyyy")</f>
        <v>01/10/2026 to 31/01/2027</v>
      </c>
      <c r="V576" s="363"/>
      <c r="W576" s="381" t="str" cm="1">
        <f t="array" ref="W576">TEXT(EDATE($L576,{8}),"dd/mm/yyy") &amp; " to " &amp; TEXT(EDATE($L576,{12})-1,"dd/mm/yyyy")</f>
        <v>01/02/2027 to 31/05/2027</v>
      </c>
      <c r="X576" s="363"/>
      <c r="Y576" s="363"/>
      <c r="Z576" s="363"/>
      <c r="AA576" s="363"/>
      <c r="AB576" s="363"/>
      <c r="AC576" s="363"/>
      <c r="AD576" s="363"/>
      <c r="AE576" s="363" t="s">
        <v>281</v>
      </c>
      <c r="AF576" s="380" t="s">
        <v>97</v>
      </c>
      <c r="AG576" s="380">
        <v>3</v>
      </c>
      <c r="AH576" s="363" t="s">
        <v>1896</v>
      </c>
    </row>
    <row r="577" spans="2:34" ht="15" hidden="1" customHeight="1" x14ac:dyDescent="0.3">
      <c r="B577" s="380" t="s">
        <v>9</v>
      </c>
      <c r="C577" s="478" t="s">
        <v>614</v>
      </c>
      <c r="D577" s="480" t="s">
        <v>447</v>
      </c>
      <c r="E577" s="495" t="s">
        <v>1897</v>
      </c>
      <c r="F577" s="496">
        <v>46091</v>
      </c>
      <c r="G577" s="380" t="s">
        <v>55</v>
      </c>
      <c r="H577" s="380">
        <v>1</v>
      </c>
      <c r="I577" s="388">
        <v>76440</v>
      </c>
      <c r="J577" s="380">
        <v>3</v>
      </c>
      <c r="K577" s="380"/>
      <c r="L577" s="504">
        <v>46143</v>
      </c>
      <c r="M577" s="504">
        <v>46507</v>
      </c>
      <c r="N577" s="667"/>
      <c r="O577" s="684">
        <v>4155</v>
      </c>
      <c r="P577" s="363" t="s">
        <v>520</v>
      </c>
      <c r="Q577" s="380"/>
      <c r="R577" s="380"/>
      <c r="S577" s="394" t="str" cm="1">
        <f t="array" ref="S577">TEXT(EDATE(L577,{0}),"dd/mm/yyy") &amp; " to " &amp; TEXT(EDATE(L577,{4})-1,"dd/mm/yyyy")</f>
        <v>01/05/2026 to 31/08/2026</v>
      </c>
      <c r="T577" s="363" t="s">
        <v>1941</v>
      </c>
      <c r="U577" s="381" t="str" cm="1">
        <f t="array" ref="U577">TEXT(EDATE(L577,{4}),"dd/mm/yyy") &amp; " to " &amp; TEXT(EDATE(L577,{8})-1,"dd/mm/yyyy")</f>
        <v>01/09/2026 to 31/12/2026</v>
      </c>
      <c r="V577" s="363"/>
      <c r="W577" s="381" t="str" cm="1">
        <f t="array" ref="W577">TEXT(EDATE($L577,{8}),"dd/mm/yyy") &amp; " to " &amp; TEXT(EDATE($L577,{12})-1,"dd/mm/yyyy")</f>
        <v>01/01/2027 to 30/04/2027</v>
      </c>
      <c r="X577" s="363"/>
      <c r="Y577" s="363"/>
      <c r="Z577" s="363"/>
      <c r="AA577" s="363"/>
      <c r="AB577" s="363"/>
      <c r="AC577" s="363"/>
      <c r="AD577" s="363"/>
      <c r="AE577" s="363" t="s">
        <v>281</v>
      </c>
      <c r="AF577" s="380" t="s">
        <v>97</v>
      </c>
      <c r="AG577" s="380">
        <v>3</v>
      </c>
      <c r="AH577" s="363" t="s">
        <v>1896</v>
      </c>
    </row>
    <row r="578" spans="2:34" ht="15" hidden="1" customHeight="1" x14ac:dyDescent="0.3">
      <c r="B578" s="380" t="s">
        <v>9</v>
      </c>
      <c r="C578" s="409" t="s">
        <v>614</v>
      </c>
      <c r="D578" s="489" t="s">
        <v>970</v>
      </c>
      <c r="E578" s="380">
        <v>4500050673</v>
      </c>
      <c r="F578" s="488">
        <v>46175</v>
      </c>
      <c r="G578" s="380" t="s">
        <v>55</v>
      </c>
      <c r="H578" s="380">
        <v>2</v>
      </c>
      <c r="I578" s="388">
        <f>I577*2</f>
        <v>152880</v>
      </c>
      <c r="J578" s="380">
        <v>3</v>
      </c>
      <c r="K578" s="380"/>
      <c r="L578" s="505">
        <v>46167</v>
      </c>
      <c r="M578" s="505">
        <v>46531</v>
      </c>
      <c r="N578" s="671"/>
      <c r="O578" s="688"/>
      <c r="P578" s="363" t="s">
        <v>520</v>
      </c>
      <c r="Q578" s="380"/>
      <c r="R578" s="380"/>
      <c r="S578" s="381" t="str" cm="1">
        <f t="array" ref="S578">TEXT(EDATE(L578,{0}),"dd/mm/yyy") &amp; " to " &amp; TEXT(EDATE(L578,{4})-1,"dd/mm/yyyy")</f>
        <v>25/05/2026 to 24/09/2026</v>
      </c>
      <c r="T578" s="363"/>
      <c r="U578" s="381" t="str" cm="1">
        <f t="array" ref="U578">TEXT(EDATE(L578,{4}),"dd/mm/yyy") &amp; " to " &amp; TEXT(EDATE(L578,{8})-1,"dd/mm/yyyy")</f>
        <v>25/09/2026 to 24/01/2027</v>
      </c>
      <c r="V578" s="363"/>
      <c r="W578" s="381" t="str" cm="1">
        <f t="array" ref="W578">TEXT(EDATE($L578,{8}),"dd/mm/yyy") &amp; " to " &amp; TEXT(EDATE($L578,{12})-1,"dd/mm/yyyy")</f>
        <v>25/01/2027 to 24/05/2027</v>
      </c>
      <c r="X578" s="363"/>
      <c r="Y578" s="363"/>
      <c r="Z578" s="363"/>
      <c r="AA578" s="363"/>
      <c r="AB578" s="363"/>
      <c r="AC578" s="363"/>
      <c r="AD578" s="363"/>
      <c r="AE578" s="363" t="s">
        <v>281</v>
      </c>
      <c r="AF578" s="380" t="s">
        <v>97</v>
      </c>
      <c r="AG578" s="380">
        <v>3</v>
      </c>
      <c r="AH578" s="363" t="s">
        <v>1896</v>
      </c>
    </row>
    <row r="579" spans="2:34" ht="15" hidden="1" customHeight="1" x14ac:dyDescent="0.3">
      <c r="B579" s="380" t="s">
        <v>9</v>
      </c>
      <c r="C579" s="409" t="s">
        <v>130</v>
      </c>
      <c r="D579" s="434" t="s">
        <v>131</v>
      </c>
      <c r="E579" s="408">
        <v>6800052761</v>
      </c>
      <c r="F579" s="501">
        <v>46181</v>
      </c>
      <c r="G579" s="380" t="s">
        <v>55</v>
      </c>
      <c r="H579" s="408">
        <v>1</v>
      </c>
      <c r="I579" s="388">
        <v>90000</v>
      </c>
      <c r="J579" s="380">
        <v>3</v>
      </c>
      <c r="K579" s="389">
        <f>I579/J579</f>
        <v>30000</v>
      </c>
      <c r="L579" s="517">
        <v>46174</v>
      </c>
      <c r="M579" s="655">
        <v>46538</v>
      </c>
      <c r="N579" s="668">
        <v>155395</v>
      </c>
      <c r="O579" s="685">
        <v>4673</v>
      </c>
      <c r="P579" s="657" t="s">
        <v>520</v>
      </c>
      <c r="Q579" s="380"/>
      <c r="R579" s="380"/>
      <c r="S579" s="394" t="str" cm="1">
        <f t="array" ref="S579">TEXT(EDATE(L579,{0}),"dd/mm/yyy") &amp; " to " &amp; TEXT(EDATE(L579,{4})-1,"dd/mm/yyyy")</f>
        <v>01/06/2026 to 30/09/2026</v>
      </c>
      <c r="T579" s="718" t="s">
        <v>2032</v>
      </c>
      <c r="U579" s="381" t="str" cm="1">
        <f t="array" ref="U579">TEXT(EDATE(L579,{4}),"dd/mm/yyy") &amp; " to " &amp; TEXT(EDATE(L579,{8})-1,"dd/mm/yyyy")</f>
        <v>01/10/2026 to 31/01/2027</v>
      </c>
      <c r="V579" s="363"/>
      <c r="W579" s="381" t="str" cm="1">
        <f t="array" ref="W579">TEXT(EDATE($L579,{8}),"dd/mm/yyy") &amp; " to " &amp; TEXT(EDATE($L579,{12})-1,"dd/mm/yyyy")</f>
        <v>01/02/2027 to 31/05/2027</v>
      </c>
      <c r="X579" s="363"/>
      <c r="Y579" s="363"/>
      <c r="Z579" s="363"/>
      <c r="AA579" s="363"/>
      <c r="AB579" s="363"/>
      <c r="AC579" s="363"/>
      <c r="AD579" s="363"/>
      <c r="AE579" s="363" t="s">
        <v>485</v>
      </c>
      <c r="AF579" s="380" t="s">
        <v>63</v>
      </c>
      <c r="AG579" s="380">
        <v>2</v>
      </c>
      <c r="AH579" s="363" t="s">
        <v>1898</v>
      </c>
    </row>
    <row r="580" spans="2:34" ht="15" hidden="1" customHeight="1" x14ac:dyDescent="0.3">
      <c r="B580" s="380" t="s">
        <v>9</v>
      </c>
      <c r="C580" s="554" t="s">
        <v>508</v>
      </c>
      <c r="D580" s="521" t="s">
        <v>866</v>
      </c>
      <c r="E580" s="468" t="s">
        <v>1899</v>
      </c>
      <c r="F580" s="488">
        <v>46176</v>
      </c>
      <c r="G580" s="380" t="s">
        <v>55</v>
      </c>
      <c r="H580" s="522">
        <v>2</v>
      </c>
      <c r="I580" s="384">
        <v>185000</v>
      </c>
      <c r="J580" s="367">
        <v>3</v>
      </c>
      <c r="K580" s="370">
        <f>I580/2</f>
        <v>92500</v>
      </c>
      <c r="L580" s="523">
        <v>46188</v>
      </c>
      <c r="M580" s="524">
        <v>46552</v>
      </c>
      <c r="N580" s="667"/>
      <c r="O580" s="684"/>
      <c r="P580" s="657" t="s">
        <v>520</v>
      </c>
      <c r="S580" s="381" t="str" cm="1">
        <f t="array" ref="S580">TEXT(EDATE(L580,{0}),"dd/mm/yyy") &amp; " to " &amp; TEXT(EDATE(L580,{4})-1,"dd/mm/yyyy")</f>
        <v>15/06/2026 to 14/10/2026</v>
      </c>
      <c r="T580" s="376" t="s">
        <v>1900</v>
      </c>
      <c r="U580" s="381" t="str" cm="1">
        <f t="array" ref="U580">TEXT(EDATE(L580,{4}),"dd/mm/yyy") &amp; " to " &amp; TEXT(EDATE(L580,{8})-1,"dd/mm/yyyy")</f>
        <v>15/10/2026 to 14/02/2027</v>
      </c>
      <c r="V580" s="376" t="s">
        <v>1901</v>
      </c>
      <c r="W580" s="381" t="str" cm="1">
        <f t="array" ref="W580">TEXT(EDATE($L580,{8}),"dd/mm/yyy") &amp; " to " &amp; TEXT(EDATE($L580,{12})-1,"dd/mm/yyyy")</f>
        <v>15/02/2027 to 14/06/2027</v>
      </c>
      <c r="AE580" s="376" t="s">
        <v>96</v>
      </c>
      <c r="AF580" s="380" t="s">
        <v>97</v>
      </c>
      <c r="AG580" s="367">
        <v>2</v>
      </c>
      <c r="AH580" s="376" t="s">
        <v>1902</v>
      </c>
    </row>
    <row r="581" spans="2:34" ht="15" hidden="1" customHeight="1" x14ac:dyDescent="0.3">
      <c r="B581" s="380" t="s">
        <v>9</v>
      </c>
      <c r="C581" s="364" t="s">
        <v>1903</v>
      </c>
      <c r="D581" s="521" t="s">
        <v>151</v>
      </c>
      <c r="E581" s="419">
        <v>4501011273</v>
      </c>
      <c r="F581" s="488">
        <v>46168</v>
      </c>
      <c r="G581" s="525" t="s">
        <v>55</v>
      </c>
      <c r="H581" s="380">
        <v>1</v>
      </c>
      <c r="I581" s="384">
        <v>90000</v>
      </c>
      <c r="J581" s="367">
        <v>3</v>
      </c>
      <c r="K581" s="370">
        <f>I581/2</f>
        <v>45000</v>
      </c>
      <c r="L581" s="543">
        <v>46113</v>
      </c>
      <c r="M581" s="544">
        <v>46477</v>
      </c>
      <c r="N581" s="667"/>
      <c r="O581" s="684"/>
      <c r="P581" s="657" t="s">
        <v>520</v>
      </c>
      <c r="S581" s="381" t="str" cm="1">
        <f t="array" ref="S581">TEXT(EDATE(L581,{0}),"dd/mm/yyy") &amp; " to " &amp; TEXT(EDATE(L581,{4})-1,"dd/mm/yyyy")</f>
        <v>01/04/2026 to 31/07/2026</v>
      </c>
      <c r="U581" s="381" t="str" cm="1">
        <f t="array" ref="U581">TEXT(EDATE(L581,{4}),"dd/mm/yyy") &amp; " to " &amp; TEXT(EDATE(L581,{8})-1,"dd/mm/yyyy")</f>
        <v>01/08/2026 to 30/11/2026</v>
      </c>
      <c r="W581" s="381" t="str" cm="1">
        <f t="array" ref="W581">TEXT(EDATE($L581,{8}),"dd/mm/yyy") &amp; " to " &amp; TEXT(EDATE($L581,{12})-1,"dd/mm/yyyy")</f>
        <v>01/12/2026 to 31/03/2027</v>
      </c>
      <c r="AE581" s="376" t="s">
        <v>478</v>
      </c>
      <c r="AF581" s="380" t="s">
        <v>63</v>
      </c>
      <c r="AG581" s="367">
        <v>2</v>
      </c>
      <c r="AH581" s="376" t="s">
        <v>667</v>
      </c>
    </row>
    <row r="582" spans="2:34" ht="15" hidden="1" customHeight="1" x14ac:dyDescent="0.3">
      <c r="B582" s="380" t="s">
        <v>9</v>
      </c>
      <c r="C582" s="364" t="s">
        <v>658</v>
      </c>
      <c r="D582" s="521" t="s">
        <v>388</v>
      </c>
      <c r="E582" s="468" t="s">
        <v>1904</v>
      </c>
      <c r="F582" s="488">
        <v>46126</v>
      </c>
      <c r="G582" s="525" t="s">
        <v>55</v>
      </c>
      <c r="H582" s="540">
        <v>1</v>
      </c>
      <c r="I582" s="384">
        <v>73500</v>
      </c>
      <c r="J582" s="367">
        <v>2</v>
      </c>
      <c r="K582" s="370">
        <f>I582/2</f>
        <v>36750</v>
      </c>
      <c r="L582" s="543">
        <v>46082</v>
      </c>
      <c r="M582" s="544">
        <v>46446</v>
      </c>
      <c r="N582" s="667"/>
      <c r="O582" s="684"/>
      <c r="P582" s="657" t="s">
        <v>520</v>
      </c>
      <c r="S582" s="394" t="str" cm="1">
        <f t="array" ref="S582">TEXT(EDATE($L582,{0}),"dd/mm/yyy") &amp; " to " &amp; TEXT(EDATE($L582,{6})-1,"dd/mm/yyyy")</f>
        <v>01/03/2026 to 31/08/2026</v>
      </c>
      <c r="T582" s="718" t="s">
        <v>2073</v>
      </c>
      <c r="U582" s="381" t="str" cm="1">
        <f t="array" ref="U582">TEXT(EDATE($L582,{6}),"dd/mm/yyy") &amp; " to " &amp; TEXT(EDATE($L582,{12})-1,"dd/mm/yyyy")</f>
        <v>01/09/2026 to 28/02/2027</v>
      </c>
      <c r="AE582" s="376" t="s">
        <v>619</v>
      </c>
      <c r="AF582" s="380" t="s">
        <v>63</v>
      </c>
      <c r="AG582" s="367">
        <v>3</v>
      </c>
      <c r="AH582" s="376" t="s">
        <v>667</v>
      </c>
    </row>
    <row r="583" spans="2:34" ht="15" hidden="1" customHeight="1" x14ac:dyDescent="0.3">
      <c r="B583" s="380" t="s">
        <v>9</v>
      </c>
      <c r="C583" s="526" t="s">
        <v>734</v>
      </c>
      <c r="D583" s="527" t="s">
        <v>323</v>
      </c>
      <c r="E583" s="419">
        <v>101289109</v>
      </c>
      <c r="F583" s="488">
        <v>46185</v>
      </c>
      <c r="G583" s="525" t="s">
        <v>55</v>
      </c>
      <c r="H583" s="380">
        <v>4</v>
      </c>
      <c r="I583" s="384">
        <v>322680</v>
      </c>
      <c r="J583" s="367">
        <v>3</v>
      </c>
      <c r="K583" s="370">
        <f>I583/J583</f>
        <v>107560</v>
      </c>
      <c r="L583" s="545">
        <v>46174</v>
      </c>
      <c r="M583" s="656">
        <v>46507</v>
      </c>
      <c r="N583" s="667">
        <v>155400</v>
      </c>
      <c r="O583" s="684">
        <v>4906</v>
      </c>
      <c r="P583" s="657" t="s">
        <v>520</v>
      </c>
      <c r="S583" s="394" t="str" cm="1">
        <f t="array" ref="S583">TEXT(EDATE($L583,{0}),"dd/mm/yyy") &amp; " to " &amp; TEXT(EDATE($L583,{4})-1,"dd/mm/yyyy")</f>
        <v>01/06/2026 to 30/09/2026</v>
      </c>
      <c r="T583" s="363" t="s">
        <v>2014</v>
      </c>
      <c r="U583" s="381" t="str" cm="1">
        <f t="array" ref="U583">TEXT(EDATE($L583,{4}),"dd/mm/yyy") &amp; " to " &amp; TEXT(EDATE($L583,{8})-1,"dd/mm/yyyy")</f>
        <v>01/10/2026 to 31/01/2027</v>
      </c>
      <c r="V583" s="363"/>
      <c r="W583" s="381" t="s">
        <v>457</v>
      </c>
      <c r="AE583" s="376" t="s">
        <v>96</v>
      </c>
      <c r="AF583" s="380" t="s">
        <v>97</v>
      </c>
      <c r="AG583" s="367" t="s">
        <v>494</v>
      </c>
      <c r="AH583" s="376" t="s">
        <v>1905</v>
      </c>
    </row>
    <row r="584" spans="2:34" ht="15" hidden="1" customHeight="1" x14ac:dyDescent="0.3">
      <c r="B584" s="380" t="s">
        <v>9</v>
      </c>
      <c r="C584" s="600" t="s">
        <v>775</v>
      </c>
      <c r="D584" s="733" t="s">
        <v>776</v>
      </c>
      <c r="E584" s="732">
        <v>2710002115</v>
      </c>
      <c r="F584" s="343">
        <v>46185</v>
      </c>
      <c r="G584" s="525" t="s">
        <v>55</v>
      </c>
      <c r="H584" s="380">
        <v>2</v>
      </c>
      <c r="I584" s="384">
        <v>129320</v>
      </c>
      <c r="J584" s="367">
        <v>3</v>
      </c>
      <c r="K584" s="370">
        <f>I584/2</f>
        <v>64660</v>
      </c>
      <c r="L584" s="602">
        <v>46113</v>
      </c>
      <c r="M584" s="603">
        <v>46477</v>
      </c>
      <c r="N584" s="672"/>
      <c r="O584" s="689"/>
      <c r="P584" s="363" t="s">
        <v>520</v>
      </c>
      <c r="S584" s="394" t="str" cm="1">
        <f t="array" ref="S584">TEXT(EDATE($L584,{0}),"dd/mm/yyy") &amp; " to " &amp; TEXT(EDATE($L584,{4})-1,"dd/mm/yyyy")</f>
        <v>01/04/2026 to 31/07/2026</v>
      </c>
      <c r="T584" s="376" t="s">
        <v>1874</v>
      </c>
      <c r="U584" s="381" t="str" cm="1">
        <f t="array" ref="U584">TEXT(EDATE($L584,{4}),"dd/mm/yyy") &amp; " to " &amp; TEXT(EDATE($L584,{8})-1,"dd/mm/yyyy")</f>
        <v>01/08/2026 to 30/11/2026</v>
      </c>
      <c r="V584" s="376" t="s">
        <v>1906</v>
      </c>
      <c r="W584" s="381" t="str" cm="1">
        <f t="array" ref="W584">TEXT(EDATE($L584,{8}),"dd/mm/yyy") &amp; " to " &amp; TEXT(EDATE($L584,{12})-1,"dd/mm/yyyy")</f>
        <v>01/12/2026 to 31/03/2027</v>
      </c>
      <c r="AE584" s="376" t="s">
        <v>551</v>
      </c>
      <c r="AF584" s="380" t="s">
        <v>207</v>
      </c>
      <c r="AG584" s="367">
        <v>3</v>
      </c>
      <c r="AH584" s="376" t="s">
        <v>1907</v>
      </c>
    </row>
    <row r="585" spans="2:34" ht="15" hidden="1" customHeight="1" x14ac:dyDescent="0.3">
      <c r="B585" s="380" t="s">
        <v>9</v>
      </c>
      <c r="C585" s="556" t="s">
        <v>658</v>
      </c>
      <c r="D585" s="557" t="s">
        <v>151</v>
      </c>
      <c r="E585" s="728">
        <v>6500016201</v>
      </c>
      <c r="F585" s="343">
        <v>46188</v>
      </c>
      <c r="G585" s="525" t="s">
        <v>55</v>
      </c>
      <c r="H585" s="540">
        <v>8</v>
      </c>
      <c r="I585" s="384">
        <v>448000</v>
      </c>
      <c r="J585" s="367">
        <v>1</v>
      </c>
      <c r="K585" s="370">
        <f t="shared" ref="K585:K592" si="26">I585/J585</f>
        <v>448000</v>
      </c>
      <c r="L585" s="558">
        <v>46113</v>
      </c>
      <c r="M585" s="559">
        <v>46477</v>
      </c>
      <c r="N585" s="673"/>
      <c r="O585" s="690"/>
      <c r="P585" s="363" t="s">
        <v>520</v>
      </c>
      <c r="S585" s="376" t="s">
        <v>646</v>
      </c>
      <c r="AE585" s="376" t="s">
        <v>507</v>
      </c>
      <c r="AF585" s="380" t="s">
        <v>63</v>
      </c>
      <c r="AG585" s="367">
        <v>2</v>
      </c>
      <c r="AH585" s="376" t="s">
        <v>1908</v>
      </c>
    </row>
    <row r="586" spans="2:34" ht="15" hidden="1" customHeight="1" x14ac:dyDescent="0.3">
      <c r="B586" s="380" t="s">
        <v>9</v>
      </c>
      <c r="C586" s="37" t="s">
        <v>1909</v>
      </c>
      <c r="D586" s="557" t="s">
        <v>151</v>
      </c>
      <c r="E586" s="174">
        <v>4601561729</v>
      </c>
      <c r="F586" s="343">
        <v>46189</v>
      </c>
      <c r="G586" s="525" t="s">
        <v>55</v>
      </c>
      <c r="H586" s="380">
        <v>2</v>
      </c>
      <c r="I586" s="384">
        <f>84999+84999</f>
        <v>169998</v>
      </c>
      <c r="J586" s="367">
        <v>3</v>
      </c>
      <c r="K586" s="370">
        <f t="shared" si="26"/>
        <v>56666</v>
      </c>
      <c r="L586" s="602">
        <v>46113</v>
      </c>
      <c r="M586" s="603">
        <v>46477</v>
      </c>
      <c r="N586" s="672"/>
      <c r="O586" s="689"/>
      <c r="P586" s="363" t="s">
        <v>520</v>
      </c>
      <c r="S586" s="394" t="str" cm="1">
        <f t="array" ref="S586">TEXT(EDATE($L586,{0}),"dd/mm/yyy") &amp; " to " &amp; TEXT(EDATE($L586,{4})-1,"dd/mm/yyyy")</f>
        <v>01/04/2026 to 31/07/2026</v>
      </c>
      <c r="T586" s="363" t="s">
        <v>1844</v>
      </c>
      <c r="U586" s="381" t="str" cm="1">
        <f t="array" ref="U586">TEXT(EDATE($L586,{4}),"dd/mm/yyy") &amp; " to " &amp; TEXT(EDATE($L586,{8})-1,"dd/mm/yyyy")</f>
        <v>01/08/2026 to 30/11/2026</v>
      </c>
      <c r="V586" s="363"/>
      <c r="W586" s="381" t="str" cm="1">
        <f t="array" ref="W586">TEXT(EDATE($L586,{8}),"dd/mm/yyy") &amp; " to " &amp; TEXT(EDATE($L586,{12})-1,"dd/mm/yyyy")</f>
        <v>01/12/2026 to 31/03/2027</v>
      </c>
      <c r="AE586" s="376" t="s">
        <v>478</v>
      </c>
      <c r="AF586" s="380" t="s">
        <v>63</v>
      </c>
      <c r="AG586" s="367">
        <v>3</v>
      </c>
      <c r="AH586" s="376" t="s">
        <v>667</v>
      </c>
    </row>
    <row r="587" spans="2:34" ht="15" hidden="1" customHeight="1" x14ac:dyDescent="0.3">
      <c r="B587" s="380" t="s">
        <v>9</v>
      </c>
      <c r="C587" s="556" t="s">
        <v>1069</v>
      </c>
      <c r="D587" s="557" t="s">
        <v>1137</v>
      </c>
      <c r="E587" s="50">
        <v>4400023545</v>
      </c>
      <c r="F587" s="343">
        <v>46191</v>
      </c>
      <c r="G587" s="525" t="s">
        <v>55</v>
      </c>
      <c r="H587" s="380">
        <v>1</v>
      </c>
      <c r="I587" s="384">
        <v>50000.01</v>
      </c>
      <c r="J587" s="367">
        <v>3</v>
      </c>
      <c r="K587" s="370">
        <f t="shared" si="26"/>
        <v>16666.670000000002</v>
      </c>
      <c r="L587" s="558">
        <v>46204</v>
      </c>
      <c r="M587" s="559">
        <v>46568</v>
      </c>
      <c r="N587" s="673"/>
      <c r="O587" s="690"/>
      <c r="P587" s="363" t="s">
        <v>520</v>
      </c>
      <c r="S587" s="381" t="str" cm="1">
        <f t="array" ref="S587">TEXT(EDATE($L587,{0}),"dd/mm/yyy") &amp; " to " &amp; TEXT(EDATE($L587,{4})-1,"dd/mm/yyyy")</f>
        <v>01/07/2026 to 31/10/2026</v>
      </c>
      <c r="T587" s="363"/>
      <c r="U587" s="381" t="str" cm="1">
        <f t="array" ref="U587">TEXT(EDATE($L587,{4}),"dd/mm/yyy") &amp; " to " &amp; TEXT(EDATE($L587,{8})-1,"dd/mm/yyyy")</f>
        <v>01/11/2026 to 28/02/2027</v>
      </c>
      <c r="V587" s="363"/>
      <c r="W587" s="381" t="str" cm="1">
        <f t="array" ref="W587">TEXT(EDATE($L587,{8}),"dd/mm/yyy") &amp; " to " &amp; TEXT(EDATE($L587,{12})-1,"dd/mm/yyyy")</f>
        <v>01/03/2027 to 30/06/2027</v>
      </c>
      <c r="AE587" s="376" t="s">
        <v>478</v>
      </c>
      <c r="AF587" s="380" t="s">
        <v>63</v>
      </c>
      <c r="AG587" s="367">
        <v>5</v>
      </c>
      <c r="AH587" s="376" t="s">
        <v>667</v>
      </c>
    </row>
    <row r="588" spans="2:34" ht="15" hidden="1" customHeight="1" x14ac:dyDescent="0.3">
      <c r="B588" s="380" t="s">
        <v>9</v>
      </c>
      <c r="C588" s="37" t="s">
        <v>1203</v>
      </c>
      <c r="D588" s="560" t="s">
        <v>997</v>
      </c>
      <c r="E588" s="50" t="s">
        <v>1910</v>
      </c>
      <c r="F588" s="343">
        <v>46191</v>
      </c>
      <c r="G588" s="525" t="s">
        <v>55</v>
      </c>
      <c r="H588" s="540">
        <v>1</v>
      </c>
      <c r="I588" s="384">
        <v>85000.05</v>
      </c>
      <c r="J588" s="367">
        <v>3</v>
      </c>
      <c r="K588" s="370">
        <f t="shared" si="26"/>
        <v>28333.350000000002</v>
      </c>
      <c r="L588" s="604">
        <v>46204</v>
      </c>
      <c r="M588" s="605">
        <v>46568</v>
      </c>
      <c r="N588" s="672"/>
      <c r="O588" s="689"/>
      <c r="P588" s="363" t="s">
        <v>520</v>
      </c>
      <c r="S588" s="381" t="str" cm="1">
        <f t="array" ref="S588">TEXT(EDATE($L588,{0}),"dd/mm/yyy") &amp; " to " &amp; TEXT(EDATE($L588,{4})-1,"dd/mm/yyyy")</f>
        <v>01/07/2026 to 31/10/2026</v>
      </c>
      <c r="U588" s="381" t="str" cm="1">
        <f t="array" ref="U588">TEXT(EDATE($L588,{4}),"dd/mm/yyy") &amp; " to " &amp; TEXT(EDATE($L588,{8})-1,"dd/mm/yyyy")</f>
        <v>01/11/2026 to 28/02/2027</v>
      </c>
      <c r="W588" s="381" t="str" cm="1">
        <f t="array" ref="W588">TEXT(EDATE($L588,{8}),"dd/mm/yyy") &amp; " to " &amp; TEXT(EDATE($L588,{12})-1,"dd/mm/yyyy")</f>
        <v>01/03/2027 to 30/06/2027</v>
      </c>
      <c r="AE588" s="376" t="s">
        <v>96</v>
      </c>
      <c r="AF588" s="380" t="s">
        <v>97</v>
      </c>
      <c r="AG588" s="367" t="s">
        <v>494</v>
      </c>
      <c r="AH588" s="376" t="s">
        <v>667</v>
      </c>
    </row>
    <row r="589" spans="2:34" ht="15" hidden="1" customHeight="1" x14ac:dyDescent="0.3">
      <c r="B589" s="380" t="s">
        <v>9</v>
      </c>
      <c r="C589" s="37" t="s">
        <v>1911</v>
      </c>
      <c r="D589" s="37" t="s">
        <v>1282</v>
      </c>
      <c r="E589" s="125">
        <v>9200017243</v>
      </c>
      <c r="F589" s="606">
        <v>46165</v>
      </c>
      <c r="G589" s="525" t="s">
        <v>55</v>
      </c>
      <c r="H589" s="380">
        <v>1</v>
      </c>
      <c r="I589" s="384">
        <v>91998</v>
      </c>
      <c r="J589" s="367">
        <v>3</v>
      </c>
      <c r="K589" s="370">
        <f t="shared" si="26"/>
        <v>30666</v>
      </c>
      <c r="L589" s="604">
        <v>46196</v>
      </c>
      <c r="M589" s="605">
        <v>46560</v>
      </c>
      <c r="N589" s="672"/>
      <c r="O589" s="689"/>
      <c r="P589" s="363" t="s">
        <v>520</v>
      </c>
      <c r="S589" s="394" t="str" cm="1">
        <f t="array" ref="S589">TEXT(EDATE($L589,{0}),"dd/mm/yyy") &amp; " to " &amp; TEXT(EDATE($L589,{4})-1,"dd/mm/yyyy")</f>
        <v>23/06/2026 to 22/10/2026</v>
      </c>
      <c r="T589" s="376" t="s">
        <v>1940</v>
      </c>
      <c r="U589" s="381" t="str" cm="1">
        <f t="array" ref="U589">TEXT(EDATE($L589,{4}),"dd/mm/yyy") &amp; " to " &amp; TEXT(EDATE($L589,{8})-1,"dd/mm/yyyy")</f>
        <v>23/10/2026 to 22/02/2027</v>
      </c>
      <c r="W589" s="381" t="str" cm="1">
        <f t="array" ref="W589">TEXT(EDATE($L589,{8}),"dd/mm/yyy") &amp; " to " &amp; TEXT(EDATE($L589,{12})-1,"dd/mm/yyyy")</f>
        <v>23/02/2027 to 22/06/2027</v>
      </c>
      <c r="AE589" s="376" t="s">
        <v>1912</v>
      </c>
      <c r="AF589" s="380" t="s">
        <v>97</v>
      </c>
      <c r="AG589" s="380">
        <v>3</v>
      </c>
      <c r="AH589" s="366" t="s">
        <v>1345</v>
      </c>
    </row>
    <row r="590" spans="2:34" ht="15" hidden="1" customHeight="1" x14ac:dyDescent="0.3">
      <c r="B590" s="380" t="s">
        <v>9</v>
      </c>
      <c r="C590" s="561" t="s">
        <v>604</v>
      </c>
      <c r="D590" s="561" t="s">
        <v>1913</v>
      </c>
      <c r="E590" s="50">
        <v>5700221111</v>
      </c>
      <c r="F590" s="343">
        <v>46182</v>
      </c>
      <c r="G590" s="525" t="s">
        <v>55</v>
      </c>
      <c r="H590" s="540">
        <v>1</v>
      </c>
      <c r="I590" s="384">
        <v>118335</v>
      </c>
      <c r="J590" s="367">
        <v>2</v>
      </c>
      <c r="K590" s="370">
        <f t="shared" si="26"/>
        <v>59167.5</v>
      </c>
      <c r="L590" s="605">
        <v>46170</v>
      </c>
      <c r="M590" s="605">
        <v>46534</v>
      </c>
      <c r="N590" s="672"/>
      <c r="O590" s="689"/>
      <c r="P590" s="363" t="s">
        <v>520</v>
      </c>
      <c r="S590" s="381" t="str" cm="1">
        <f t="array" ref="S590">TEXT(EDATE($L590,{0}),"dd/mm/yyy") &amp; " to " &amp; TEXT(EDATE($L590,{6})-1,"dd/mm/yyyy")</f>
        <v>28/05/2026 to 27/11/2026</v>
      </c>
      <c r="T590" s="382"/>
      <c r="U590" s="381" t="str" cm="1">
        <f t="array" ref="U590">TEXT(EDATE($L590,{6}),"dd/mm/yyy") &amp; " to " &amp; TEXT(EDATE($L590,{12})-1,"dd/mm/yyyy")</f>
        <v>28/11/2026 to 27/05/2027</v>
      </c>
      <c r="AE590" s="376" t="s">
        <v>1912</v>
      </c>
      <c r="AF590" s="380" t="s">
        <v>97</v>
      </c>
      <c r="AG590" s="367">
        <v>2</v>
      </c>
      <c r="AH590" s="366" t="s">
        <v>799</v>
      </c>
    </row>
    <row r="591" spans="2:34" ht="15" hidden="1" customHeight="1" x14ac:dyDescent="0.3">
      <c r="B591" s="380" t="s">
        <v>9</v>
      </c>
      <c r="C591" s="39" t="s">
        <v>130</v>
      </c>
      <c r="D591" s="562" t="s">
        <v>1572</v>
      </c>
      <c r="E591" s="330">
        <v>6800051942</v>
      </c>
      <c r="F591" s="343">
        <v>46129</v>
      </c>
      <c r="G591" s="525" t="s">
        <v>55</v>
      </c>
      <c r="H591" s="380">
        <v>1</v>
      </c>
      <c r="I591" s="384">
        <v>88000</v>
      </c>
      <c r="J591" s="367">
        <v>2</v>
      </c>
      <c r="K591" s="370">
        <f t="shared" si="26"/>
        <v>44000</v>
      </c>
      <c r="L591" s="348">
        <v>46126</v>
      </c>
      <c r="M591" s="348">
        <v>46490</v>
      </c>
      <c r="N591" s="674"/>
      <c r="O591" s="691"/>
      <c r="P591" s="363" t="s">
        <v>520</v>
      </c>
      <c r="S591" s="381" t="str" cm="1">
        <f t="array" ref="S591">TEXT(EDATE($L591,{0}),"dd/mm/yyy") &amp; " to " &amp; TEXT(EDATE($L591,{6})-1,"dd/mm/yyyy")</f>
        <v>14/04/2026 to 13/10/2026</v>
      </c>
      <c r="U591" s="381" t="str" cm="1">
        <f t="array" ref="U591">TEXT(EDATE($L591,{6}),"dd/mm/yyy") &amp; " to " &amp; TEXT(EDATE($L591,{12})-1,"dd/mm/yyyy")</f>
        <v>14/10/2026 to 13/04/2027</v>
      </c>
      <c r="AE591" s="376" t="s">
        <v>1893</v>
      </c>
      <c r="AF591" s="380" t="s">
        <v>97</v>
      </c>
      <c r="AG591" s="367">
        <v>2</v>
      </c>
      <c r="AH591" s="376" t="s">
        <v>1914</v>
      </c>
    </row>
    <row r="592" spans="2:34" ht="15" hidden="1" customHeight="1" x14ac:dyDescent="0.3">
      <c r="B592" s="380" t="s">
        <v>9</v>
      </c>
      <c r="C592" s="563" t="s">
        <v>1915</v>
      </c>
      <c r="D592" s="564" t="s">
        <v>1916</v>
      </c>
      <c r="E592" s="50">
        <v>6200828878</v>
      </c>
      <c r="F592" s="343">
        <v>46185</v>
      </c>
      <c r="G592" s="525" t="s">
        <v>55</v>
      </c>
      <c r="H592" s="540">
        <v>1</v>
      </c>
      <c r="I592" s="384">
        <v>75000</v>
      </c>
      <c r="J592" s="367">
        <v>3</v>
      </c>
      <c r="K592" s="370">
        <f t="shared" si="26"/>
        <v>25000</v>
      </c>
      <c r="L592" s="374">
        <v>46174</v>
      </c>
      <c r="M592" s="374">
        <v>46538</v>
      </c>
      <c r="P592" s="363" t="s">
        <v>998</v>
      </c>
      <c r="S592" s="381" t="str" cm="1">
        <f t="array" ref="S592">TEXT(EDATE($L592,{0}),"dd/mm/yyy") &amp; " to " &amp; TEXT(EDATE($L592,{4})-1,"dd/mm/yyyy")</f>
        <v>01/06/2026 to 30/09/2026</v>
      </c>
      <c r="U592" s="381" t="str" cm="1">
        <f t="array" ref="U592">TEXT(EDATE($L592,{4}),"dd/mm/yyy") &amp; " to " &amp; TEXT(EDATE($L592,{8})-1,"dd/mm/yyyy")</f>
        <v>01/10/2026 to 31/01/2027</v>
      </c>
      <c r="W592" s="381" t="str" cm="1">
        <f t="array" ref="W592">TEXT(EDATE($L592,{8}),"dd/mm/yyy") &amp; " to " &amp; TEXT(EDATE($L592,{12})-1,"dd/mm/yyyy")</f>
        <v>01/02/2027 to 31/05/2027</v>
      </c>
      <c r="AE592" s="376" t="s">
        <v>478</v>
      </c>
      <c r="AF592" s="380" t="s">
        <v>63</v>
      </c>
      <c r="AG592" s="367">
        <v>5</v>
      </c>
      <c r="AH592" s="376" t="s">
        <v>667</v>
      </c>
    </row>
    <row r="593" spans="2:34" ht="15" hidden="1" customHeight="1" x14ac:dyDescent="0.3">
      <c r="B593" s="380" t="s">
        <v>9</v>
      </c>
      <c r="C593" s="39" t="s">
        <v>614</v>
      </c>
      <c r="D593" s="562" t="s">
        <v>447</v>
      </c>
      <c r="E593" s="695" t="s">
        <v>1917</v>
      </c>
      <c r="F593" s="343">
        <v>46190</v>
      </c>
      <c r="G593" s="525" t="s">
        <v>55</v>
      </c>
      <c r="H593" s="380">
        <v>15</v>
      </c>
      <c r="I593" s="384">
        <v>1146599</v>
      </c>
      <c r="J593" s="367">
        <v>3</v>
      </c>
      <c r="K593" s="370"/>
      <c r="L593" s="348">
        <v>46204</v>
      </c>
      <c r="M593" s="348">
        <v>46538</v>
      </c>
      <c r="N593" s="674">
        <v>155338</v>
      </c>
      <c r="O593" s="691"/>
      <c r="P593" s="363" t="s">
        <v>520</v>
      </c>
      <c r="S593" s="394" t="str" cm="1">
        <f t="array" ref="S593">TEXT(EDATE($L593,{0}),"dd/mm/yyy") &amp; " to " &amp; TEXT(EDATE($L593,{4})-1,"dd/mm/yyyy")</f>
        <v>01/07/2026 to 31/10/2026</v>
      </c>
      <c r="T593" s="363" t="s">
        <v>2047</v>
      </c>
      <c r="U593" s="381" t="str" cm="1">
        <f t="array" ref="U593">TEXT(EDATE($L593,{4}),"dd/mm/yyy") &amp; " to " &amp; TEXT(EDATE($L593,{8})-1,"dd/mm/yyyy")</f>
        <v>01/11/2026 to 28/02/2027</v>
      </c>
      <c r="V593" s="363"/>
      <c r="W593" s="381" t="s">
        <v>1247</v>
      </c>
      <c r="AE593" s="376" t="s">
        <v>281</v>
      </c>
      <c r="AF593" s="380" t="s">
        <v>97</v>
      </c>
      <c r="AG593" s="367">
        <v>3</v>
      </c>
    </row>
    <row r="594" spans="2:34" ht="15" hidden="1" customHeight="1" x14ac:dyDescent="0.3">
      <c r="B594" s="380" t="s">
        <v>9</v>
      </c>
      <c r="C594" s="565" t="s">
        <v>1918</v>
      </c>
      <c r="D594" s="566" t="s">
        <v>388</v>
      </c>
      <c r="E594" s="269" t="s">
        <v>1919</v>
      </c>
      <c r="F594" s="343">
        <v>46195</v>
      </c>
      <c r="G594" s="525" t="s">
        <v>55</v>
      </c>
      <c r="H594" s="540">
        <v>3</v>
      </c>
      <c r="I594" s="384">
        <v>220500</v>
      </c>
      <c r="J594" s="367">
        <v>2</v>
      </c>
      <c r="K594" s="370">
        <f>I594/J594</f>
        <v>110250</v>
      </c>
      <c r="L594" s="567">
        <v>46174</v>
      </c>
      <c r="M594" s="567">
        <v>46538</v>
      </c>
      <c r="N594" s="675"/>
      <c r="O594" s="692"/>
      <c r="P594" s="363" t="s">
        <v>520</v>
      </c>
      <c r="S594" s="381" t="str" cm="1">
        <f t="array" ref="S594">TEXT(EDATE($L594,{0}),"dd/mm/yyy") &amp; " to " &amp; TEXT(EDATE($L594,{6})-1,"dd/mm/yyyy")</f>
        <v>01/06/2026 to 30/11/2026</v>
      </c>
      <c r="T594" s="382"/>
      <c r="U594" s="381" t="str" cm="1">
        <f t="array" ref="U594">TEXT(EDATE($L594,{6}),"dd/mm/yyy") &amp; " to " &amp; TEXT(EDATE($L594,{12})-1,"dd/mm/yyyy")</f>
        <v>01/12/2026 to 31/05/2027</v>
      </c>
      <c r="AE594" s="376" t="s">
        <v>478</v>
      </c>
      <c r="AF594" s="380" t="s">
        <v>63</v>
      </c>
      <c r="AG594" s="367">
        <v>5</v>
      </c>
      <c r="AH594" s="376" t="s">
        <v>667</v>
      </c>
    </row>
    <row r="595" spans="2:34" ht="15" hidden="1" customHeight="1" x14ac:dyDescent="0.3">
      <c r="B595" s="380" t="s">
        <v>9</v>
      </c>
      <c r="C595" s="565" t="s">
        <v>1346</v>
      </c>
      <c r="D595" s="566" t="s">
        <v>1920</v>
      </c>
      <c r="E595" s="269" t="s">
        <v>1921</v>
      </c>
      <c r="F595" s="343">
        <v>46133</v>
      </c>
      <c r="G595" s="525" t="s">
        <v>55</v>
      </c>
      <c r="H595" s="540">
        <v>1</v>
      </c>
      <c r="I595" s="384">
        <v>90000</v>
      </c>
      <c r="J595" s="367">
        <v>2</v>
      </c>
      <c r="K595" s="370">
        <f>I595/J595</f>
        <v>45000</v>
      </c>
      <c r="L595" s="567">
        <v>46113</v>
      </c>
      <c r="M595" s="567">
        <v>46477</v>
      </c>
      <c r="N595" s="675"/>
      <c r="O595" s="692"/>
      <c r="P595" s="363" t="s">
        <v>520</v>
      </c>
      <c r="S595" s="381" t="str" cm="1">
        <f t="array" ref="S595">TEXT(EDATE($L595,{0}),"dd/mm/yyy") &amp; " to " &amp; TEXT(EDATE($L595,{6})-1,"dd/mm/yyyy")</f>
        <v>01/04/2026 to 30/09/2026</v>
      </c>
      <c r="U595" s="381" t="str" cm="1">
        <f t="array" ref="U595">TEXT(EDATE($L595,{6}),"dd/mm/yyy") &amp; " to " &amp; TEXT(EDATE($L595,{12})-1,"dd/mm/yyyy")</f>
        <v>01/10/2026 to 31/03/2027</v>
      </c>
      <c r="AE595" s="376" t="s">
        <v>96</v>
      </c>
      <c r="AF595" s="380" t="s">
        <v>97</v>
      </c>
      <c r="AG595" s="367">
        <v>3</v>
      </c>
      <c r="AH595" s="376" t="s">
        <v>667</v>
      </c>
    </row>
    <row r="596" spans="2:34" ht="15" hidden="1" customHeight="1" x14ac:dyDescent="0.3">
      <c r="B596" s="380" t="s">
        <v>9</v>
      </c>
      <c r="C596" s="720" t="s">
        <v>508</v>
      </c>
      <c r="D596" s="730" t="s">
        <v>866</v>
      </c>
      <c r="E596" s="729" t="s">
        <v>1922</v>
      </c>
      <c r="F596" s="343">
        <v>46193</v>
      </c>
      <c r="G596" s="525" t="s">
        <v>55</v>
      </c>
      <c r="H596" s="540">
        <v>8</v>
      </c>
      <c r="I596" s="384">
        <v>740000</v>
      </c>
      <c r="J596" s="367">
        <v>3</v>
      </c>
      <c r="K596" s="370">
        <f>I596/2</f>
        <v>370000</v>
      </c>
      <c r="L596" s="721">
        <v>46204</v>
      </c>
      <c r="M596" s="721">
        <v>46568</v>
      </c>
      <c r="N596" s="722">
        <v>155351</v>
      </c>
      <c r="O596" s="723" t="s">
        <v>1969</v>
      </c>
      <c r="P596" s="363" t="s">
        <v>520</v>
      </c>
      <c r="S596" s="381" t="str" cm="1">
        <f t="array" ref="S596">TEXT(EDATE($L596,{0}),"dd/mm/yyy") &amp; " to " &amp; TEXT(EDATE($L596,{4})-1,"dd/mm/yyyy")</f>
        <v>01/07/2026 to 31/10/2026</v>
      </c>
      <c r="T596" s="363" t="s">
        <v>1900</v>
      </c>
      <c r="U596" s="381" t="str" cm="1">
        <f t="array" ref="U596">TEXT(EDATE($L596,{4}),"dd/mm/yyy") &amp; " to " &amp; TEXT(EDATE($L596,{8})-1,"dd/mm/yyyy")</f>
        <v>01/11/2026 to 28/02/2027</v>
      </c>
      <c r="V596" s="376" t="s">
        <v>1901</v>
      </c>
      <c r="W596" s="381" t="str" cm="1">
        <f t="array" ref="W596">TEXT(EDATE($L596,{8}),"dd/mm/yyy") &amp; " to " &amp; TEXT(EDATE($L596,{12})-1,"dd/mm/yyyy")</f>
        <v>01/03/2027 to 30/06/2027</v>
      </c>
      <c r="AE596" s="376" t="s">
        <v>96</v>
      </c>
      <c r="AF596" s="380" t="s">
        <v>97</v>
      </c>
      <c r="AG596" s="367" t="s">
        <v>494</v>
      </c>
      <c r="AH596" s="376" t="s">
        <v>1902</v>
      </c>
    </row>
    <row r="597" spans="2:34" ht="15" hidden="1" customHeight="1" x14ac:dyDescent="0.3">
      <c r="B597" s="380" t="s">
        <v>9</v>
      </c>
      <c r="C597" s="565" t="s">
        <v>1923</v>
      </c>
      <c r="D597" s="566" t="s">
        <v>757</v>
      </c>
      <c r="E597" s="50">
        <v>2265007719</v>
      </c>
      <c r="F597" s="343">
        <v>46165</v>
      </c>
      <c r="G597" s="525" t="s">
        <v>55</v>
      </c>
      <c r="H597" s="540">
        <v>1</v>
      </c>
      <c r="I597" s="384">
        <v>83499.899999999994</v>
      </c>
      <c r="J597" s="367">
        <v>3</v>
      </c>
      <c r="K597" s="370">
        <f>I597/J597</f>
        <v>27833.3</v>
      </c>
      <c r="L597" s="567">
        <v>46113</v>
      </c>
      <c r="M597" s="567">
        <v>46477</v>
      </c>
      <c r="N597" s="675"/>
      <c r="O597" s="692"/>
      <c r="P597" s="363" t="s">
        <v>520</v>
      </c>
      <c r="S597" s="381" t="str" cm="1">
        <f t="array" ref="S597">TEXT(EDATE($L597,{0}),"dd/mm/yyy") &amp; " to " &amp; TEXT(EDATE($L597,{4})-1,"dd/mm/yyyy")</f>
        <v>01/04/2026 to 31/07/2026</v>
      </c>
      <c r="U597" s="381" t="str" cm="1">
        <f t="array" ref="U597">TEXT(EDATE($L597,{4}),"dd/mm/yyy") &amp; " to " &amp; TEXT(EDATE($L597,{8})-1,"dd/mm/yyyy")</f>
        <v>01/08/2026 to 30/11/2026</v>
      </c>
      <c r="W597" s="381" t="str" cm="1">
        <f t="array" ref="W597">TEXT(EDATE($L597,{8}),"dd/mm/yyy") &amp; " to " &amp; TEXT(EDATE($L597,{12})-1,"dd/mm/yyyy")</f>
        <v>01/12/2026 to 31/03/2027</v>
      </c>
      <c r="AE597" s="376" t="s">
        <v>507</v>
      </c>
      <c r="AF597" s="380" t="s">
        <v>63</v>
      </c>
      <c r="AG597" s="367">
        <v>3</v>
      </c>
      <c r="AH597" s="376" t="s">
        <v>799</v>
      </c>
    </row>
    <row r="598" spans="2:34" ht="15" hidden="1" customHeight="1" x14ac:dyDescent="0.3">
      <c r="B598" s="380" t="s">
        <v>9</v>
      </c>
      <c r="C598" s="39" t="s">
        <v>926</v>
      </c>
      <c r="D598" s="232" t="s">
        <v>932</v>
      </c>
      <c r="E598" s="50" t="s">
        <v>1924</v>
      </c>
      <c r="F598" s="343">
        <v>46199</v>
      </c>
      <c r="G598" s="525" t="s">
        <v>55</v>
      </c>
      <c r="H598" s="380">
        <v>1</v>
      </c>
      <c r="I598" s="384">
        <v>78000</v>
      </c>
      <c r="J598" s="367">
        <v>3</v>
      </c>
      <c r="K598" s="370">
        <f>I598/J598</f>
        <v>26000</v>
      </c>
      <c r="L598" s="569">
        <v>46113</v>
      </c>
      <c r="M598" s="569">
        <v>46477</v>
      </c>
      <c r="N598" s="675">
        <v>155304</v>
      </c>
      <c r="O598" s="692">
        <v>4896</v>
      </c>
      <c r="P598" s="363" t="s">
        <v>520</v>
      </c>
      <c r="S598" s="394" t="str" cm="1">
        <f t="array" ref="S598">TEXT(EDATE($L598,{0}),"dd/mm/yyy") &amp; " to " &amp; TEXT(EDATE($L598,{4})-1,"dd/mm/yyyy")</f>
        <v>01/04/2026 to 31/07/2026</v>
      </c>
      <c r="T598" s="376" t="s">
        <v>1953</v>
      </c>
      <c r="U598" s="381" t="str" cm="1">
        <f t="array" ref="U598">TEXT(EDATE($L598,{4}),"dd/mm/yyy") &amp; " to " &amp; TEXT(EDATE($L598,{8})-1,"dd/mm/yyyy")</f>
        <v>01/08/2026 to 30/11/2026</v>
      </c>
      <c r="W598" s="381" t="str" cm="1">
        <f t="array" ref="W598">TEXT(EDATE($L598,{8}),"dd/mm/yyy") &amp; " to " &amp; TEXT(EDATE($L598,{12})-1,"dd/mm/yyyy")</f>
        <v>01/12/2026 to 31/03/2027</v>
      </c>
      <c r="AE598" s="376" t="s">
        <v>507</v>
      </c>
      <c r="AF598" s="380" t="s">
        <v>63</v>
      </c>
      <c r="AG598" s="367">
        <v>3</v>
      </c>
      <c r="AH598" s="376" t="s">
        <v>1345</v>
      </c>
    </row>
    <row r="599" spans="2:34" ht="15" hidden="1" customHeight="1" x14ac:dyDescent="0.3">
      <c r="B599" s="380" t="s">
        <v>9</v>
      </c>
      <c r="C599" s="565" t="s">
        <v>789</v>
      </c>
      <c r="D599" s="566" t="s">
        <v>1925</v>
      </c>
      <c r="E599" s="269">
        <v>8480253149</v>
      </c>
      <c r="F599" s="343">
        <v>46189</v>
      </c>
      <c r="G599" s="525" t="s">
        <v>55</v>
      </c>
      <c r="H599" s="380">
        <v>1</v>
      </c>
      <c r="I599" s="384">
        <v>82500</v>
      </c>
      <c r="J599" s="367">
        <v>3</v>
      </c>
      <c r="K599" s="370">
        <f>I599/J599</f>
        <v>27500</v>
      </c>
      <c r="L599" s="567">
        <v>46174</v>
      </c>
      <c r="M599" s="567">
        <v>46538</v>
      </c>
      <c r="N599" s="675">
        <v>155306</v>
      </c>
      <c r="O599" s="692">
        <v>3919</v>
      </c>
      <c r="P599" s="363" t="s">
        <v>520</v>
      </c>
      <c r="S599" s="394" t="str" cm="1">
        <f t="array" ref="S599">TEXT(EDATE($L599,{0}),"dd/mm/yyy") &amp; " to " &amp; TEXT(EDATE($L599,{4})-1,"dd/mm/yyyy")</f>
        <v>01/06/2026 to 30/09/2026</v>
      </c>
      <c r="T599" s="376" t="s">
        <v>1955</v>
      </c>
      <c r="U599" s="381" t="str" cm="1">
        <f t="array" ref="U599">TEXT(EDATE($L599,{4}),"dd/mm/yyy") &amp; " to " &amp; TEXT(EDATE($L599,{8})-1,"dd/mm/yyyy")</f>
        <v>01/10/2026 to 31/01/2027</v>
      </c>
      <c r="W599" s="381" t="str" cm="1">
        <f t="array" ref="W599">TEXT(EDATE($L599,{8}),"dd/mm/yyy") &amp; " to " &amp; TEXT(EDATE($L599,{12})-1,"dd/mm/yyyy")</f>
        <v>01/02/2027 to 31/05/2027</v>
      </c>
      <c r="AE599" s="376" t="s">
        <v>1912</v>
      </c>
      <c r="AF599" s="380" t="s">
        <v>97</v>
      </c>
      <c r="AG599" s="367">
        <v>3</v>
      </c>
      <c r="AH599" s="376" t="s">
        <v>1345</v>
      </c>
    </row>
    <row r="600" spans="2:34" ht="15" hidden="1" customHeight="1" x14ac:dyDescent="0.3">
      <c r="B600" s="380" t="s">
        <v>9</v>
      </c>
      <c r="C600" s="39" t="s">
        <v>727</v>
      </c>
      <c r="D600" s="232" t="s">
        <v>984</v>
      </c>
      <c r="E600" s="727">
        <v>4100041000</v>
      </c>
      <c r="F600" s="343">
        <v>46181</v>
      </c>
      <c r="G600" s="525" t="s">
        <v>55</v>
      </c>
      <c r="H600" s="540">
        <v>4</v>
      </c>
      <c r="I600" s="384">
        <v>644828</v>
      </c>
      <c r="J600" s="367">
        <v>3</v>
      </c>
      <c r="L600" s="348">
        <v>46174</v>
      </c>
      <c r="M600" s="348">
        <v>46538</v>
      </c>
      <c r="N600" s="674">
        <v>155406</v>
      </c>
      <c r="O600" s="691"/>
      <c r="P600" s="363" t="s">
        <v>520</v>
      </c>
      <c r="S600" s="381" t="str" cm="1">
        <f t="array" ref="S600">TEXT(EDATE($L600,{0}),"dd/mm/yyy") &amp; " to " &amp; TEXT(EDATE($L600,{4})-1,"dd/mm/yyyy")</f>
        <v>01/06/2026 to 30/09/2026</v>
      </c>
      <c r="U600" s="381" t="str" cm="1">
        <f t="array" ref="U600">TEXT(EDATE($L600,{4}),"dd/mm/yyy") &amp; " to " &amp; TEXT(EDATE($L600,{8})-1,"dd/mm/yyyy")</f>
        <v>01/10/2026 to 31/01/2027</v>
      </c>
      <c r="W600" s="381" t="str" cm="1">
        <f t="array" ref="W600">TEXT(EDATE($L600,{8}),"dd/mm/yyy") &amp; " to " &amp; TEXT(EDATE($L600,{12})-1,"dd/mm/yyyy")</f>
        <v>01/02/2027 to 31/05/2027</v>
      </c>
      <c r="AE600" s="376" t="s">
        <v>1912</v>
      </c>
      <c r="AF600" s="380" t="s">
        <v>97</v>
      </c>
      <c r="AG600" s="367">
        <v>3</v>
      </c>
      <c r="AH600" s="376" t="s">
        <v>1926</v>
      </c>
    </row>
    <row r="601" spans="2:34" ht="15" hidden="1" customHeight="1" x14ac:dyDescent="0.3">
      <c r="B601" s="380" t="s">
        <v>9</v>
      </c>
      <c r="C601" s="565" t="s">
        <v>1128</v>
      </c>
      <c r="D601" s="566" t="s">
        <v>1129</v>
      </c>
      <c r="E601" s="333">
        <v>4503070714</v>
      </c>
      <c r="F601" s="343">
        <v>46198</v>
      </c>
      <c r="G601" s="525" t="s">
        <v>55</v>
      </c>
      <c r="H601" s="380">
        <v>4</v>
      </c>
      <c r="I601" s="384">
        <v>281872</v>
      </c>
      <c r="J601" s="367">
        <v>4</v>
      </c>
      <c r="K601" s="370">
        <f>I601/J601</f>
        <v>70468</v>
      </c>
      <c r="L601" s="567">
        <v>46174</v>
      </c>
      <c r="M601" s="567">
        <v>46538</v>
      </c>
      <c r="N601" s="675">
        <v>155438</v>
      </c>
      <c r="O601" s="692"/>
      <c r="P601" s="363" t="s">
        <v>520</v>
      </c>
      <c r="S601" s="381" t="str" cm="1">
        <f t="array" ref="S601">TEXT(EDATE($L601,{0}),"dd/mm/yyy") &amp; " to " &amp; TEXT(EDATE($L601,{3})-1,"dd/mm/yyyy")</f>
        <v>01/06/2026 to 31/08/2026</v>
      </c>
      <c r="T601" s="363"/>
      <c r="U601" s="381" t="str" cm="1">
        <f t="array" ref="U601">TEXT(EDATE($L601,{3}),"dd/mm/yyy") &amp; " to " &amp; TEXT(EDATE($L601,{6})-1,"dd/mm/yyyy")</f>
        <v>01/09/2026 to 30/11/2026</v>
      </c>
      <c r="V601" s="363"/>
      <c r="W601" s="381" t="str" cm="1">
        <f t="array" ref="W601">TEXT(EDATE($L601,{6}),"dd/mm/yyy") &amp; " to " &amp; TEXT(EDATE($L601,{9})-1,"dd/mm/yyyy")</f>
        <v>01/12/2026 to 28/02/2027</v>
      </c>
      <c r="X601" s="363"/>
      <c r="Y601" s="381" t="str" cm="1">
        <f t="array" ref="Y601">TEXT(EDATE($L601,{9}),"dd/mm/yyy") &amp; " to " &amp; TEXT(EDATE($L601,{12})-1,"dd/mm/yyyy")</f>
        <v>01/03/2027 to 31/05/2027</v>
      </c>
      <c r="AE601" s="376" t="s">
        <v>1912</v>
      </c>
      <c r="AF601" s="380" t="s">
        <v>97</v>
      </c>
      <c r="AG601" s="367">
        <v>4</v>
      </c>
      <c r="AH601" s="376" t="s">
        <v>1345</v>
      </c>
    </row>
    <row r="602" spans="2:34" ht="15" hidden="1" customHeight="1" x14ac:dyDescent="0.3">
      <c r="B602" s="367" t="s">
        <v>9</v>
      </c>
      <c r="C602" s="376" t="s">
        <v>926</v>
      </c>
      <c r="D602" s="366" t="s">
        <v>151</v>
      </c>
      <c r="E602" s="367" t="s">
        <v>1927</v>
      </c>
      <c r="F602" s="644">
        <v>46197</v>
      </c>
      <c r="G602" s="367" t="s">
        <v>55</v>
      </c>
      <c r="H602" s="367">
        <v>1</v>
      </c>
      <c r="I602" s="384">
        <v>78000</v>
      </c>
      <c r="J602" s="367">
        <v>3</v>
      </c>
      <c r="K602" s="370">
        <f>I602/J602</f>
        <v>26000</v>
      </c>
      <c r="L602" s="639">
        <v>46174</v>
      </c>
      <c r="M602" s="639">
        <v>46538</v>
      </c>
      <c r="P602" s="376" t="s">
        <v>520</v>
      </c>
      <c r="S602" s="652" t="s">
        <v>406</v>
      </c>
      <c r="T602" s="376" t="s">
        <v>1949</v>
      </c>
      <c r="U602" s="376" t="s">
        <v>407</v>
      </c>
      <c r="W602" s="376" t="s">
        <v>408</v>
      </c>
      <c r="AE602" s="376" t="s">
        <v>507</v>
      </c>
      <c r="AF602" s="380" t="s">
        <v>63</v>
      </c>
      <c r="AG602" s="367">
        <v>3</v>
      </c>
      <c r="AH602" s="376" t="s">
        <v>1345</v>
      </c>
    </row>
    <row r="603" spans="2:34" ht="15" hidden="1" customHeight="1" x14ac:dyDescent="0.3">
      <c r="B603" s="367" t="s">
        <v>11</v>
      </c>
      <c r="C603" s="642" t="s">
        <v>817</v>
      </c>
      <c r="D603" s="630" t="s">
        <v>818</v>
      </c>
      <c r="E603" s="330">
        <v>242607532</v>
      </c>
      <c r="F603" s="640">
        <v>46197</v>
      </c>
      <c r="G603" s="367" t="s">
        <v>55</v>
      </c>
      <c r="H603" s="540">
        <v>3</v>
      </c>
      <c r="I603" s="389">
        <v>368112</v>
      </c>
      <c r="J603" s="367">
        <v>2</v>
      </c>
      <c r="K603" s="370">
        <f>I603/J603</f>
        <v>184056</v>
      </c>
      <c r="L603" s="631">
        <v>46174</v>
      </c>
      <c r="M603" s="631">
        <v>46538</v>
      </c>
      <c r="N603" s="676"/>
      <c r="O603" s="693"/>
      <c r="P603" s="376" t="s">
        <v>520</v>
      </c>
      <c r="S603" s="381" t="str" cm="1">
        <f t="array" ref="S603">TEXT(EDATE($L603,{0}),"dd/mm/yyy") &amp; " to " &amp; TEXT(EDATE($L603,{6})-1,"dd/mm/yyyy")</f>
        <v>01/06/2026 to 30/11/2026</v>
      </c>
      <c r="T603" s="382" t="s">
        <v>1971</v>
      </c>
      <c r="U603" s="381" t="str" cm="1">
        <f t="array" ref="U603">TEXT(EDATE($L603,{6}),"dd/mm/yyy") &amp; " to " &amp; TEXT(EDATE($L603,{12})-1,"dd/mm/yyyy")</f>
        <v>01/12/2026 to 31/05/2027</v>
      </c>
      <c r="AE603" s="376" t="s">
        <v>281</v>
      </c>
      <c r="AF603" s="380" t="s">
        <v>97</v>
      </c>
      <c r="AG603" s="367">
        <v>2</v>
      </c>
      <c r="AH603" s="376" t="s">
        <v>1972</v>
      </c>
    </row>
    <row r="604" spans="2:34" ht="15" hidden="1" customHeight="1" x14ac:dyDescent="0.3">
      <c r="B604" s="367" t="s">
        <v>11</v>
      </c>
      <c r="C604" s="630" t="s">
        <v>614</v>
      </c>
      <c r="D604" s="643" t="s">
        <v>1016</v>
      </c>
      <c r="E604" s="353" t="s">
        <v>1973</v>
      </c>
      <c r="F604" s="641">
        <v>46188</v>
      </c>
      <c r="G604" s="367" t="s">
        <v>55</v>
      </c>
      <c r="H604" s="380">
        <v>1</v>
      </c>
      <c r="I604" s="645">
        <v>76440</v>
      </c>
      <c r="J604" s="367">
        <v>3</v>
      </c>
      <c r="K604" s="370"/>
      <c r="L604" s="631">
        <v>46174</v>
      </c>
      <c r="M604" s="631">
        <v>46538</v>
      </c>
      <c r="N604" s="676"/>
      <c r="O604" s="693"/>
      <c r="P604" s="376" t="s">
        <v>520</v>
      </c>
      <c r="S604" s="381" t="str" cm="1">
        <f t="array" ref="S604">TEXT(EDATE($L604,{0}),"dd/mm/yyy") &amp; " to " &amp; TEXT(EDATE($L604,{4})-1,"dd/mm/yyyy")</f>
        <v>01/06/2026 to 30/09/2026</v>
      </c>
      <c r="T604" s="363"/>
      <c r="U604" s="381" t="str" cm="1">
        <f t="array" ref="U604">TEXT(EDATE($L604,{4}),"dd/mm/yyy") &amp; " to " &amp; TEXT(EDATE($L604,{8})-1,"dd/mm/yyyy")</f>
        <v>01/10/2026 to 31/01/2027</v>
      </c>
      <c r="V604" s="363"/>
      <c r="W604" s="381" t="str" cm="1">
        <f t="array" ref="W604">TEXT(EDATE($L604,{8}),"dd/mm/yyy") &amp; " to " &amp; TEXT(EDATE($L604,{12})-1,"dd/mm/yyyy")</f>
        <v>01/02/2027 to 31/05/2027</v>
      </c>
      <c r="AE604" s="376" t="s">
        <v>619</v>
      </c>
      <c r="AF604" s="380" t="s">
        <v>63</v>
      </c>
      <c r="AG604" s="367">
        <v>3</v>
      </c>
      <c r="AH604" s="376" t="s">
        <v>1974</v>
      </c>
    </row>
    <row r="605" spans="2:34" ht="15" hidden="1" customHeight="1" x14ac:dyDescent="0.3">
      <c r="B605" s="367" t="s">
        <v>11</v>
      </c>
      <c r="C605" s="806" t="s">
        <v>1172</v>
      </c>
      <c r="D605" s="806" t="s">
        <v>1016</v>
      </c>
      <c r="E605" s="50">
        <v>7100181028</v>
      </c>
      <c r="F605" s="641">
        <v>46197</v>
      </c>
      <c r="G605" s="367" t="s">
        <v>55</v>
      </c>
      <c r="H605" s="380">
        <v>1</v>
      </c>
      <c r="I605" s="384">
        <v>81000</v>
      </c>
      <c r="J605" s="367">
        <v>3</v>
      </c>
      <c r="K605" s="370">
        <f>I605/J605</f>
        <v>27000</v>
      </c>
      <c r="L605" s="807">
        <v>46266</v>
      </c>
      <c r="M605" s="807">
        <v>46630</v>
      </c>
      <c r="N605" s="808"/>
      <c r="O605" s="809"/>
      <c r="P605" s="376" t="s">
        <v>520</v>
      </c>
      <c r="S605" s="381" t="str" cm="1">
        <f t="array" ref="S605">TEXT(EDATE($L605,{0}),"dd/mm/yyy") &amp; " to " &amp; TEXT(EDATE($L605,{4})-1,"dd/mm/yyyy")</f>
        <v>01/09/2026 to 31/12/2026</v>
      </c>
      <c r="T605" s="363"/>
      <c r="U605" s="381" t="str" cm="1">
        <f t="array" ref="U605">TEXT(EDATE($L605,{4}),"dd/mm/yyy") &amp; " to " &amp; TEXT(EDATE($L605,{8})-1,"dd/mm/yyyy")</f>
        <v>01/01/2027 to 30/04/2027</v>
      </c>
      <c r="W605" s="381" t="str" cm="1">
        <f t="array" ref="W605">TEXT(EDATE($L605,{8}),"dd/mm/yyy") &amp; " to " &amp; TEXT(EDATE($L605,{12})-1,"dd/mm/yyyy")</f>
        <v>01/05/2027 to 31/08/2027</v>
      </c>
      <c r="AE605" s="376" t="s">
        <v>619</v>
      </c>
      <c r="AF605" s="380" t="s">
        <v>63</v>
      </c>
      <c r="AG605" s="367">
        <v>3</v>
      </c>
      <c r="AH605" s="376" t="s">
        <v>667</v>
      </c>
    </row>
    <row r="606" spans="2:34" ht="15" hidden="1" customHeight="1" x14ac:dyDescent="0.3">
      <c r="B606" s="367" t="s">
        <v>11</v>
      </c>
      <c r="C606" s="806" t="s">
        <v>1172</v>
      </c>
      <c r="D606" s="806" t="s">
        <v>1016</v>
      </c>
      <c r="E606" s="50">
        <v>7100181028</v>
      </c>
      <c r="F606" s="641">
        <v>46197</v>
      </c>
      <c r="G606" s="367" t="s">
        <v>55</v>
      </c>
      <c r="H606" s="540">
        <v>1</v>
      </c>
      <c r="I606" s="384">
        <v>81000</v>
      </c>
      <c r="J606" s="367">
        <v>3</v>
      </c>
      <c r="K606" s="370">
        <f>I606/J606</f>
        <v>27000</v>
      </c>
      <c r="L606" s="807">
        <v>46174</v>
      </c>
      <c r="M606" s="807">
        <v>46538</v>
      </c>
      <c r="N606" s="808"/>
      <c r="O606" s="809"/>
      <c r="P606" s="376" t="s">
        <v>520</v>
      </c>
      <c r="S606" s="381" t="str" cm="1">
        <f t="array" ref="S606">TEXT(EDATE($L606,{0}),"dd/mm/yyy") &amp; " to " &amp; TEXT(EDATE($L606,{4})-1,"dd/mm/yyyy")</f>
        <v>01/06/2026 to 30/09/2026</v>
      </c>
      <c r="U606" s="381" t="str" cm="1">
        <f t="array" ref="U606">TEXT(EDATE($L606,{4}),"dd/mm/yyy") &amp; " to " &amp; TEXT(EDATE($L606,{8})-1,"dd/mm/yyyy")</f>
        <v>01/10/2026 to 31/01/2027</v>
      </c>
      <c r="W606" s="381" t="str" cm="1">
        <f t="array" ref="W606">TEXT(EDATE($L606,{8}),"dd/mm/yyy") &amp; " to " &amp; TEXT(EDATE($L606,{12})-1,"dd/mm/yyyy")</f>
        <v>01/02/2027 to 31/05/2027</v>
      </c>
      <c r="AE606" s="376" t="s">
        <v>619</v>
      </c>
      <c r="AF606" s="380" t="s">
        <v>63</v>
      </c>
      <c r="AG606" s="367">
        <v>3</v>
      </c>
      <c r="AH606" s="376" t="s">
        <v>667</v>
      </c>
    </row>
    <row r="607" spans="2:34" ht="15" hidden="1" customHeight="1" x14ac:dyDescent="0.3">
      <c r="B607" s="367" t="s">
        <v>11</v>
      </c>
      <c r="C607" s="630" t="s">
        <v>1032</v>
      </c>
      <c r="D607" s="630" t="s">
        <v>1036</v>
      </c>
      <c r="E607" s="805">
        <v>4430018620</v>
      </c>
      <c r="F607" s="641">
        <v>46193</v>
      </c>
      <c r="G607" s="367" t="s">
        <v>55</v>
      </c>
      <c r="H607" s="540">
        <v>3</v>
      </c>
      <c r="I607" s="384">
        <v>381000</v>
      </c>
      <c r="J607" s="367">
        <v>2</v>
      </c>
      <c r="K607" s="370">
        <f>I607/J607</f>
        <v>190500</v>
      </c>
      <c r="L607" s="631">
        <v>46204</v>
      </c>
      <c r="M607" s="631">
        <v>46568</v>
      </c>
      <c r="N607" s="676"/>
      <c r="O607" s="693"/>
      <c r="P607" s="376" t="s">
        <v>520</v>
      </c>
      <c r="S607" s="381" t="str" cm="1">
        <f t="array" ref="S607">TEXT(EDATE($L607,{0}),"dd/mm/yyy") &amp; " to " &amp; TEXT(EDATE($L607,{6})-1,"dd/mm/yyyy")</f>
        <v>01/07/2026 to 31/12/2026</v>
      </c>
      <c r="T607" s="533"/>
      <c r="U607" s="381" t="str" cm="1">
        <f t="array" ref="U607">TEXT(EDATE($L607,{6}),"dd/mm/yyy") &amp; " to " &amp; TEXT(EDATE($L607,{12})-1,"dd/mm/yyyy")</f>
        <v>01/01/2027 to 30/06/2027</v>
      </c>
      <c r="W607" s="381"/>
      <c r="AE607" s="376" t="s">
        <v>1975</v>
      </c>
      <c r="AF607" s="380" t="s">
        <v>207</v>
      </c>
      <c r="AG607" s="367">
        <v>3</v>
      </c>
      <c r="AH607" s="376" t="s">
        <v>1898</v>
      </c>
    </row>
    <row r="608" spans="2:34" ht="15" hidden="1" customHeight="1" x14ac:dyDescent="0.3">
      <c r="B608" s="367" t="s">
        <v>11</v>
      </c>
      <c r="C608" s="810" t="s">
        <v>959</v>
      </c>
      <c r="D608" s="810" t="s">
        <v>1976</v>
      </c>
      <c r="E608" s="50">
        <v>4521075304</v>
      </c>
      <c r="F608" s="641">
        <v>46209</v>
      </c>
      <c r="G608" s="367" t="s">
        <v>55</v>
      </c>
      <c r="H608" s="380">
        <v>1</v>
      </c>
      <c r="I608" s="384">
        <v>70000</v>
      </c>
      <c r="J608" s="367">
        <v>3</v>
      </c>
      <c r="K608" s="370">
        <f>I608/J608</f>
        <v>23333.333333333332</v>
      </c>
      <c r="L608" s="811">
        <v>46174</v>
      </c>
      <c r="M608" s="811">
        <v>46538</v>
      </c>
      <c r="N608" s="808"/>
      <c r="O608" s="809"/>
      <c r="P608" s="376" t="s">
        <v>520</v>
      </c>
      <c r="S608" s="381" t="str" cm="1">
        <f t="array" ref="S608">TEXT(EDATE($L608,{0}),"dd/mm/yyy") &amp; " to " &amp; TEXT(EDATE($L608,{4})-1,"dd/mm/yyyy")</f>
        <v>01/06/2026 to 30/09/2026</v>
      </c>
      <c r="T608" s="363"/>
      <c r="U608" s="381" t="str" cm="1">
        <f t="array" ref="U608">TEXT(EDATE($L608,{4}),"dd/mm/yyy") &amp; " to " &amp; TEXT(EDATE($L608,{8})-1,"dd/mm/yyyy")</f>
        <v>01/10/2026 to 31/01/2027</v>
      </c>
      <c r="V608" s="363"/>
      <c r="W608" s="381" t="str" cm="1">
        <f t="array" ref="W608">TEXT(EDATE($L608,{8}),"dd/mm/yyy") &amp; " to " &amp; TEXT(EDATE($L608,{12})-1,"dd/mm/yyyy")</f>
        <v>01/02/2027 to 31/05/2027</v>
      </c>
      <c r="AE608" s="376" t="s">
        <v>507</v>
      </c>
      <c r="AF608" s="380" t="s">
        <v>63</v>
      </c>
      <c r="AG608" s="367">
        <v>3</v>
      </c>
      <c r="AH608" s="376" t="s">
        <v>667</v>
      </c>
    </row>
    <row r="609" spans="2:34" ht="15" hidden="1" customHeight="1" x14ac:dyDescent="0.3">
      <c r="B609" s="367" t="s">
        <v>11</v>
      </c>
      <c r="C609" s="630" t="s">
        <v>863</v>
      </c>
      <c r="D609" s="630" t="s">
        <v>864</v>
      </c>
      <c r="E609" s="125">
        <v>4504690834</v>
      </c>
      <c r="F609" s="640">
        <v>46204</v>
      </c>
      <c r="G609" s="367" t="s">
        <v>55</v>
      </c>
      <c r="H609" s="380">
        <v>1</v>
      </c>
      <c r="I609" s="384">
        <v>67000</v>
      </c>
      <c r="J609" s="367">
        <v>2</v>
      </c>
      <c r="K609" s="370">
        <f>I609/J609</f>
        <v>33500</v>
      </c>
      <c r="L609" s="631">
        <v>46204</v>
      </c>
      <c r="M609" s="631">
        <v>46568</v>
      </c>
      <c r="N609" s="676"/>
      <c r="O609" s="693"/>
      <c r="P609" s="376" t="s">
        <v>520</v>
      </c>
      <c r="S609" s="381" t="str" cm="1">
        <f t="array" ref="S609">TEXT(EDATE($L609,{0}),"dd/mm/yyy") &amp; " to " &amp; TEXT(EDATE($L609,{6})-1,"dd/mm/yyyy")</f>
        <v>01/07/2026 to 31/12/2026</v>
      </c>
      <c r="T609" s="533"/>
      <c r="U609" s="381" t="str" cm="1">
        <f t="array" ref="U609">TEXT(EDATE($L609,{6}),"dd/mm/yyy") &amp; " to " &amp; TEXT(EDATE($L609,{12})-1,"dd/mm/yyyy")</f>
        <v>01/01/2027 to 30/06/2027</v>
      </c>
      <c r="AE609" s="376" t="s">
        <v>507</v>
      </c>
      <c r="AF609" s="380" t="s">
        <v>63</v>
      </c>
      <c r="AG609" s="367">
        <v>2</v>
      </c>
      <c r="AH609" s="376" t="s">
        <v>667</v>
      </c>
    </row>
    <row r="610" spans="2:34" ht="15" hidden="1" customHeight="1" x14ac:dyDescent="0.3">
      <c r="B610" s="367" t="s">
        <v>11</v>
      </c>
      <c r="C610" s="812" t="s">
        <v>1978</v>
      </c>
      <c r="D610" s="806" t="s">
        <v>151</v>
      </c>
      <c r="E610" s="269" t="s">
        <v>1979</v>
      </c>
      <c r="F610" s="641">
        <v>46171</v>
      </c>
      <c r="G610" s="367" t="s">
        <v>55</v>
      </c>
      <c r="H610" s="367">
        <v>4</v>
      </c>
      <c r="I610" s="384">
        <v>360000</v>
      </c>
      <c r="J610" s="367">
        <v>3</v>
      </c>
      <c r="K610" s="370">
        <f>I610/2</f>
        <v>180000</v>
      </c>
      <c r="L610" s="807">
        <v>46023</v>
      </c>
      <c r="M610" s="807">
        <v>46387</v>
      </c>
      <c r="N610" s="808">
        <v>155309</v>
      </c>
      <c r="O610" s="809">
        <v>3044</v>
      </c>
      <c r="P610" s="376" t="s">
        <v>520</v>
      </c>
      <c r="S610" s="394" t="str" cm="1">
        <f t="array" ref="S610">TEXT(EDATE($L610,{0}),"dd/mm/yyy") &amp; " to " &amp; TEXT(EDATE($L610,{4})-1,"dd/mm/yyyy")</f>
        <v>01/01/2026 to 30/04/2026</v>
      </c>
      <c r="T610" s="363" t="s">
        <v>1955</v>
      </c>
      <c r="U610" s="381" t="str" cm="1">
        <f t="array" ref="U610">TEXT(EDATE($L610,{4}),"dd/mm/yyy") &amp; " to " &amp; TEXT(EDATE($L610,{8})-1,"dd/mm/yyyy")</f>
        <v>01/05/2026 to 31/08/2026</v>
      </c>
      <c r="V610" s="363"/>
      <c r="W610" s="381" t="str" cm="1">
        <f t="array" ref="W610">TEXT(EDATE($L610,{8}),"dd/mm/yyy") &amp; " to " &amp; TEXT(EDATE($L610,{12})-1,"dd/mm/yyyy")</f>
        <v>01/09/2026 to 31/12/2026</v>
      </c>
      <c r="AE610" s="376" t="s">
        <v>478</v>
      </c>
      <c r="AF610" s="380" t="s">
        <v>63</v>
      </c>
      <c r="AG610" s="367">
        <v>3</v>
      </c>
      <c r="AH610" s="376" t="s">
        <v>667</v>
      </c>
    </row>
    <row r="611" spans="2:34" ht="15" hidden="1" customHeight="1" x14ac:dyDescent="0.3">
      <c r="B611" s="367" t="s">
        <v>11</v>
      </c>
      <c r="C611" s="630" t="s">
        <v>195</v>
      </c>
      <c r="D611" s="806" t="s">
        <v>447</v>
      </c>
      <c r="E611" s="183" t="s">
        <v>1980</v>
      </c>
      <c r="F611" s="641">
        <v>46211</v>
      </c>
      <c r="G611" s="367" t="s">
        <v>55</v>
      </c>
      <c r="H611" s="651">
        <v>8</v>
      </c>
      <c r="I611" s="384">
        <v>513520</v>
      </c>
      <c r="J611" s="367">
        <v>4</v>
      </c>
      <c r="K611" s="370">
        <f>I611/J611</f>
        <v>128380</v>
      </c>
      <c r="L611" s="639">
        <v>46237</v>
      </c>
      <c r="M611" s="639">
        <v>46601</v>
      </c>
      <c r="P611" s="376" t="s">
        <v>520</v>
      </c>
      <c r="S611" s="381" t="str" cm="1">
        <f t="array" ref="S611">TEXT(EDATE($L611,{0}),"dd/mm/yyy") &amp; " to " &amp; TEXT(EDATE($L611,{3})-1,"dd/mm/yyyy")</f>
        <v>03/08/2026 to 02/11/2026</v>
      </c>
      <c r="T611" s="363"/>
      <c r="U611" s="381" t="str" cm="1">
        <f t="array" ref="U611">TEXT(EDATE($L611,{3}),"dd/mm/yyy") &amp; " to " &amp; TEXT(EDATE($L611,{6})-1,"dd/mm/yyyy")</f>
        <v>03/11/2026 to 02/02/2027</v>
      </c>
      <c r="V611" s="363"/>
      <c r="W611" s="381" t="str" cm="1">
        <f t="array" ref="W611">TEXT(EDATE($L611,{6}),"dd/mm/yyy") &amp; " to " &amp; TEXT(EDATE($L611,{9})-1,"dd/mm/yyyy")</f>
        <v>03/02/2027 to 02/05/2027</v>
      </c>
      <c r="X611" s="363"/>
      <c r="Y611" s="381" t="str" cm="1">
        <f t="array" ref="Y611">TEXT(EDATE($L611,{9}),"dd/mm/yyy") &amp; " to " &amp; TEXT(EDATE($L611,{12})-1,"dd/mm/yyyy")</f>
        <v>03/05/2027 to 02/08/2027</v>
      </c>
      <c r="AE611" s="376" t="s">
        <v>96</v>
      </c>
      <c r="AF611" s="380" t="s">
        <v>97</v>
      </c>
      <c r="AG611" s="367" t="s">
        <v>494</v>
      </c>
      <c r="AH611" s="376" t="s">
        <v>667</v>
      </c>
    </row>
    <row r="612" spans="2:34" ht="15" hidden="1" customHeight="1" x14ac:dyDescent="0.3">
      <c r="B612" s="367" t="s">
        <v>11</v>
      </c>
      <c r="C612" s="812" t="s">
        <v>845</v>
      </c>
      <c r="D612" s="806" t="s">
        <v>846</v>
      </c>
      <c r="E612" s="50">
        <v>901987168</v>
      </c>
      <c r="F612" s="641">
        <v>46204</v>
      </c>
      <c r="G612" s="367" t="s">
        <v>55</v>
      </c>
      <c r="H612" s="813">
        <v>2</v>
      </c>
      <c r="I612" s="384">
        <v>196000</v>
      </c>
      <c r="J612" s="367">
        <v>3</v>
      </c>
      <c r="K612" s="370">
        <f>I612/2</f>
        <v>98000</v>
      </c>
      <c r="L612" s="639">
        <v>46212</v>
      </c>
      <c r="M612" s="639">
        <v>46576</v>
      </c>
      <c r="N612" s="660">
        <v>155326</v>
      </c>
      <c r="O612" s="677">
        <v>4645</v>
      </c>
      <c r="P612" s="376" t="s">
        <v>520</v>
      </c>
      <c r="S612" s="394" t="str" cm="1">
        <f t="array" ref="S612">TEXT(EDATE($L612,{0}),"dd/mm/yyy") &amp; " to " &amp; TEXT(EDATE($L612,{4})-1,"dd/mm/yyyy")</f>
        <v>09/07/2026 to 08/11/2026</v>
      </c>
      <c r="T612" s="363" t="s">
        <v>1964</v>
      </c>
      <c r="U612" s="381" t="str" cm="1">
        <f t="array" ref="U612">TEXT(EDATE($L612,{4}),"dd/mm/yyy") &amp; " to " &amp; TEXT(EDATE($L612,{8})-1,"dd/mm/yyyy")</f>
        <v>09/11/2026 to 08/03/2027</v>
      </c>
      <c r="V612" s="363"/>
      <c r="W612" s="381" t="str" cm="1">
        <f t="array" ref="W612">TEXT(EDATE($L612,{8}),"dd/mm/yyy") &amp; " to " &amp; TEXT(EDATE($L612,{12})-1,"dd/mm/yyyy")</f>
        <v>09/03/2027 to 08/07/2027</v>
      </c>
      <c r="AE612" s="376" t="s">
        <v>834</v>
      </c>
      <c r="AF612" s="380" t="s">
        <v>207</v>
      </c>
      <c r="AG612" s="367">
        <v>3</v>
      </c>
      <c r="AH612" s="376" t="s">
        <v>1981</v>
      </c>
    </row>
    <row r="613" spans="2:34" ht="15" hidden="1" customHeight="1" x14ac:dyDescent="0.3">
      <c r="B613" s="367" t="s">
        <v>11</v>
      </c>
      <c r="C613" s="812" t="s">
        <v>845</v>
      </c>
      <c r="D613" s="806" t="s">
        <v>846</v>
      </c>
      <c r="E613" s="50">
        <v>901985480</v>
      </c>
      <c r="F613" s="641">
        <v>46167</v>
      </c>
      <c r="G613" s="367" t="s">
        <v>55</v>
      </c>
      <c r="H613" s="814">
        <v>1</v>
      </c>
      <c r="I613" s="384">
        <v>98000</v>
      </c>
      <c r="J613" s="367">
        <v>3</v>
      </c>
      <c r="K613" s="370">
        <f>I613/2</f>
        <v>49000</v>
      </c>
      <c r="L613" s="807">
        <v>46213</v>
      </c>
      <c r="M613" s="807">
        <v>46577</v>
      </c>
      <c r="N613" s="808">
        <v>155330</v>
      </c>
      <c r="O613" s="809">
        <v>4577</v>
      </c>
      <c r="P613" s="376" t="s">
        <v>520</v>
      </c>
      <c r="S613" s="394" t="str" cm="1">
        <f t="array" ref="S613">TEXT(EDATE($L613,{0}),"dd/mm/yyy") &amp; " to " &amp; TEXT(EDATE($L613,{4})-1,"dd/mm/yyyy")</f>
        <v>10/07/2026 to 09/11/2026</v>
      </c>
      <c r="T613" s="363" t="s">
        <v>1982</v>
      </c>
      <c r="U613" s="381" t="str" cm="1">
        <f t="array" ref="U613">TEXT(EDATE($L613,{4}),"dd/mm/yyy") &amp; " to " &amp; TEXT(EDATE($L613,{8})-1,"dd/mm/yyyy")</f>
        <v>10/11/2026 to 09/03/2027</v>
      </c>
      <c r="V613" s="363" t="s">
        <v>2081</v>
      </c>
      <c r="W613" s="381" t="str" cm="1">
        <f t="array" ref="W613">TEXT(EDATE($L613,{8}),"dd/mm/yyy") &amp; " to " &amp; TEXT(EDATE($L613,{12})-1,"dd/mm/yyyy")</f>
        <v>10/03/2027 to 09/07/2027</v>
      </c>
      <c r="X613" s="363" t="s">
        <v>2082</v>
      </c>
      <c r="AE613" s="376" t="s">
        <v>834</v>
      </c>
      <c r="AF613" s="380" t="s">
        <v>207</v>
      </c>
      <c r="AG613" s="367">
        <v>3</v>
      </c>
      <c r="AH613" s="376" t="s">
        <v>1981</v>
      </c>
    </row>
    <row r="614" spans="2:34" ht="15" hidden="1" customHeight="1" x14ac:dyDescent="0.3">
      <c r="B614" s="367" t="s">
        <v>11</v>
      </c>
      <c r="C614" s="630" t="s">
        <v>1041</v>
      </c>
      <c r="D614" s="632" t="s">
        <v>1016</v>
      </c>
      <c r="E614" s="50">
        <v>4220021773</v>
      </c>
      <c r="F614" s="641">
        <v>46176</v>
      </c>
      <c r="G614" s="367" t="s">
        <v>55</v>
      </c>
      <c r="H614" s="380">
        <v>3</v>
      </c>
      <c r="I614" s="384">
        <v>218592</v>
      </c>
      <c r="J614" s="367">
        <v>3</v>
      </c>
      <c r="K614" s="370">
        <f t="shared" ref="K614:K619" si="27">I614/J614</f>
        <v>72864</v>
      </c>
      <c r="L614" s="654">
        <v>46113</v>
      </c>
      <c r="M614" s="654">
        <v>46477</v>
      </c>
      <c r="N614" s="676"/>
      <c r="O614" s="693"/>
      <c r="P614" s="376" t="s">
        <v>520</v>
      </c>
      <c r="S614" s="394" t="str" cm="1">
        <f t="array" ref="S614">TEXT(EDATE($L614,{0}),"dd/mm/yyy") &amp; " to " &amp; TEXT(EDATE($L614,{4})-1,"dd/mm/yyyy")</f>
        <v>01/04/2026 to 31/07/2026</v>
      </c>
      <c r="T614" s="376" t="s">
        <v>1949</v>
      </c>
      <c r="U614" s="381" t="str" cm="1">
        <f t="array" ref="U614">TEXT(EDATE($L614,{4}),"dd/mm/yyy") &amp; " to " &amp; TEXT(EDATE($L614,{8})-1,"dd/mm/yyyy")</f>
        <v>01/08/2026 to 30/11/2026</v>
      </c>
      <c r="W614" s="381" t="str" cm="1">
        <f t="array" ref="W614">TEXT(EDATE($L614,{8}),"dd/mm/yyy") &amp; " to " &amp; TEXT(EDATE($L614,{12})-1,"dd/mm/yyyy")</f>
        <v>01/12/2026 to 31/03/2027</v>
      </c>
      <c r="AE614" s="376" t="s">
        <v>619</v>
      </c>
      <c r="AF614" s="380" t="s">
        <v>63</v>
      </c>
      <c r="AG614" s="367">
        <v>3</v>
      </c>
      <c r="AH614" s="376" t="s">
        <v>1984</v>
      </c>
    </row>
    <row r="615" spans="2:34" ht="15" hidden="1" customHeight="1" x14ac:dyDescent="0.3">
      <c r="B615" s="367" t="s">
        <v>11</v>
      </c>
      <c r="C615" s="630" t="s">
        <v>565</v>
      </c>
      <c r="D615" s="630" t="s">
        <v>566</v>
      </c>
      <c r="E615" s="125">
        <v>1011707698</v>
      </c>
      <c r="F615" s="641">
        <v>46196</v>
      </c>
      <c r="G615" s="367" t="s">
        <v>55</v>
      </c>
      <c r="H615" s="540">
        <v>1</v>
      </c>
      <c r="I615" s="384">
        <v>80000</v>
      </c>
      <c r="J615" s="367">
        <v>2</v>
      </c>
      <c r="K615" s="370">
        <f t="shared" si="27"/>
        <v>40000</v>
      </c>
      <c r="L615" s="654">
        <v>46200</v>
      </c>
      <c r="M615" s="654">
        <v>46564</v>
      </c>
      <c r="N615" s="676"/>
      <c r="O615" s="693"/>
      <c r="P615" s="376" t="s">
        <v>520</v>
      </c>
      <c r="S615" s="381" t="str" cm="1">
        <f t="array" ref="S615">TEXT(EDATE($L615,{0}),"dd/mm/yyy") &amp; " to " &amp; TEXT(EDATE($L615,{6})-1,"dd/mm/yyyy")</f>
        <v>27/06/2026 to 26/12/2026</v>
      </c>
      <c r="T615" s="533"/>
      <c r="U615" s="381" t="str" cm="1">
        <f t="array" ref="U615">TEXT(EDATE($L615,{6}),"dd/mm/yyy") &amp; " to " &amp; TEXT(EDATE($L615,{12})-1,"dd/mm/yyyy")</f>
        <v>27/12/2026 to 26/06/2027</v>
      </c>
      <c r="AE615" s="376" t="s">
        <v>551</v>
      </c>
      <c r="AF615" s="380" t="s">
        <v>207</v>
      </c>
      <c r="AG615" s="367">
        <v>1</v>
      </c>
      <c r="AH615" s="376" t="s">
        <v>667</v>
      </c>
    </row>
    <row r="616" spans="2:34" ht="15" hidden="1" customHeight="1" x14ac:dyDescent="0.3">
      <c r="B616" s="367" t="s">
        <v>11</v>
      </c>
      <c r="C616" s="806" t="s">
        <v>1985</v>
      </c>
      <c r="D616" s="806" t="s">
        <v>447</v>
      </c>
      <c r="E616" s="269">
        <v>3300015405</v>
      </c>
      <c r="F616" s="641">
        <v>46200</v>
      </c>
      <c r="G616" s="367" t="s">
        <v>55</v>
      </c>
      <c r="H616" s="380">
        <v>1</v>
      </c>
      <c r="I616" s="384">
        <v>115851</v>
      </c>
      <c r="J616" s="367">
        <v>4</v>
      </c>
      <c r="K616" s="370">
        <f t="shared" si="27"/>
        <v>28962.75</v>
      </c>
      <c r="L616" s="807">
        <v>46143</v>
      </c>
      <c r="M616" s="807">
        <v>46507</v>
      </c>
      <c r="N616" s="660">
        <v>155334</v>
      </c>
      <c r="O616" s="677">
        <v>4662</v>
      </c>
      <c r="P616" s="376" t="s">
        <v>520</v>
      </c>
      <c r="S616" s="394" t="str" cm="1">
        <f t="array" ref="S616">TEXT(EDATE($L616,{0}),"dd/mm/yyy") &amp; " to " &amp; TEXT(EDATE($L616,{3})-1,"dd/mm/yyyy")</f>
        <v>01/05/2026 to 31/07/2026</v>
      </c>
      <c r="T616" s="363" t="s">
        <v>1964</v>
      </c>
      <c r="U616" s="381" t="str" cm="1">
        <f t="array" ref="U616">TEXT(EDATE($L616,{3}),"dd/mm/yyy") &amp; " to " &amp; TEXT(EDATE($L616,{6})-1,"dd/mm/yyyy")</f>
        <v>01/08/2026 to 31/10/2026</v>
      </c>
      <c r="V616" s="363"/>
      <c r="W616" s="381" t="str" cm="1">
        <f t="array" ref="W616">TEXT(EDATE($L616,{6}),"dd/mm/yyy") &amp; " to " &amp; TEXT(EDATE($L616,{9})-1,"dd/mm/yyyy")</f>
        <v>01/11/2026 to 31/01/2027</v>
      </c>
      <c r="X616" s="363"/>
      <c r="Y616" s="381" t="str" cm="1">
        <f t="array" ref="Y616">TEXT(EDATE($L616,{9}),"dd/mm/yyy") &amp; " to " &amp; TEXT(EDATE($L616,{12})-1,"dd/mm/yyyy")</f>
        <v>01/02/2027 to 30/04/2027</v>
      </c>
      <c r="AE616" s="376" t="s">
        <v>1912</v>
      </c>
      <c r="AF616" s="380" t="s">
        <v>97</v>
      </c>
      <c r="AG616" s="367" t="s">
        <v>494</v>
      </c>
      <c r="AH616" s="376" t="s">
        <v>835</v>
      </c>
    </row>
    <row r="617" spans="2:34" ht="15" hidden="1" customHeight="1" x14ac:dyDescent="0.3">
      <c r="B617" s="367" t="s">
        <v>11</v>
      </c>
      <c r="C617" s="630" t="s">
        <v>1986</v>
      </c>
      <c r="D617" s="630" t="s">
        <v>1987</v>
      </c>
      <c r="E617" s="50">
        <v>4601565464</v>
      </c>
      <c r="F617" s="641">
        <v>46203</v>
      </c>
      <c r="G617" s="367" t="s">
        <v>55</v>
      </c>
      <c r="H617" s="380">
        <v>1</v>
      </c>
      <c r="I617" s="384">
        <v>85000</v>
      </c>
      <c r="J617" s="367">
        <v>1</v>
      </c>
      <c r="K617" s="370">
        <f t="shared" si="27"/>
        <v>85000</v>
      </c>
      <c r="L617" s="631">
        <v>46204</v>
      </c>
      <c r="M617" s="631">
        <v>46568</v>
      </c>
      <c r="P617" s="376" t="s">
        <v>520</v>
      </c>
      <c r="S617" s="376" t="s">
        <v>1988</v>
      </c>
      <c r="AE617" s="376" t="s">
        <v>478</v>
      </c>
      <c r="AF617" s="380" t="s">
        <v>63</v>
      </c>
      <c r="AG617" s="367">
        <v>3</v>
      </c>
      <c r="AH617" s="376" t="s">
        <v>667</v>
      </c>
    </row>
    <row r="618" spans="2:34" ht="15" hidden="1" customHeight="1" x14ac:dyDescent="0.3">
      <c r="B618" s="367" t="s">
        <v>11</v>
      </c>
      <c r="C618" s="630" t="s">
        <v>1989</v>
      </c>
      <c r="D618" s="630" t="s">
        <v>1987</v>
      </c>
      <c r="E618" s="50">
        <v>4601565693</v>
      </c>
      <c r="F618" s="641">
        <v>46203</v>
      </c>
      <c r="G618" s="367" t="s">
        <v>55</v>
      </c>
      <c r="H618" s="380">
        <v>1</v>
      </c>
      <c r="I618" s="384">
        <v>85000</v>
      </c>
      <c r="J618" s="367">
        <v>1</v>
      </c>
      <c r="K618" s="370">
        <f t="shared" si="27"/>
        <v>85000</v>
      </c>
      <c r="L618" s="631">
        <v>46204</v>
      </c>
      <c r="M618" s="631">
        <v>46568</v>
      </c>
      <c r="P618" s="376" t="s">
        <v>520</v>
      </c>
      <c r="S618" s="376" t="s">
        <v>1988</v>
      </c>
      <c r="AE618" s="376" t="s">
        <v>478</v>
      </c>
      <c r="AF618" s="380" t="s">
        <v>63</v>
      </c>
      <c r="AG618" s="367">
        <v>3</v>
      </c>
      <c r="AH618" s="376" t="s">
        <v>667</v>
      </c>
    </row>
    <row r="619" spans="2:34" ht="15" hidden="1" customHeight="1" x14ac:dyDescent="0.3">
      <c r="B619" s="367" t="s">
        <v>11</v>
      </c>
      <c r="C619" s="630" t="s">
        <v>1990</v>
      </c>
      <c r="D619" s="630" t="s">
        <v>1987</v>
      </c>
      <c r="E619" s="50">
        <v>4601565681</v>
      </c>
      <c r="F619" s="641">
        <v>46203</v>
      </c>
      <c r="G619" s="367" t="s">
        <v>55</v>
      </c>
      <c r="H619" s="540">
        <v>1</v>
      </c>
      <c r="I619" s="384">
        <v>85000</v>
      </c>
      <c r="J619" s="367">
        <v>1</v>
      </c>
      <c r="K619" s="370">
        <f t="shared" si="27"/>
        <v>85000</v>
      </c>
      <c r="L619" s="631">
        <v>46204</v>
      </c>
      <c r="M619" s="631">
        <v>46568</v>
      </c>
      <c r="P619" s="376" t="s">
        <v>520</v>
      </c>
      <c r="S619" s="376" t="s">
        <v>1988</v>
      </c>
      <c r="AE619" s="376" t="s">
        <v>478</v>
      </c>
      <c r="AF619" s="380" t="s">
        <v>63</v>
      </c>
      <c r="AG619" s="367">
        <v>3</v>
      </c>
      <c r="AH619" s="376" t="s">
        <v>667</v>
      </c>
    </row>
    <row r="620" spans="2:34" ht="15" hidden="1" customHeight="1" x14ac:dyDescent="0.3">
      <c r="B620" s="367" t="s">
        <v>11</v>
      </c>
      <c r="C620" s="630" t="s">
        <v>935</v>
      </c>
      <c r="D620" s="630" t="s">
        <v>176</v>
      </c>
      <c r="E620" s="120" t="s">
        <v>1991</v>
      </c>
      <c r="F620" s="640">
        <v>46219</v>
      </c>
      <c r="G620" s="367" t="s">
        <v>55</v>
      </c>
      <c r="H620" s="380">
        <v>1</v>
      </c>
      <c r="I620" s="384">
        <v>98500</v>
      </c>
      <c r="J620" s="367">
        <v>2</v>
      </c>
      <c r="K620" s="370"/>
      <c r="L620" s="631">
        <v>46113</v>
      </c>
      <c r="M620" s="631">
        <v>46477</v>
      </c>
      <c r="O620" s="677">
        <v>4211</v>
      </c>
      <c r="P620" s="376" t="s">
        <v>520</v>
      </c>
      <c r="S620" s="394" t="str" cm="1">
        <f t="array" ref="S620">TEXT(EDATE($L620,{0}),"dd/mm/yyy") &amp; " to " &amp; TEXT(EDATE($L620,{6})-1,"dd/mm/yyyy")</f>
        <v>01/04/2026 to 30/09/2026</v>
      </c>
      <c r="T620" s="704" t="s">
        <v>1950</v>
      </c>
      <c r="U620" s="381" t="str" cm="1">
        <f t="array" ref="U620">TEXT(EDATE($L620,{6}),"dd/mm/yyy") &amp; " to " &amp; TEXT(EDATE($L620,{12})-1,"dd/mm/yyyy")</f>
        <v>01/10/2026 to 31/03/2027</v>
      </c>
      <c r="AE620" s="376" t="s">
        <v>1893</v>
      </c>
      <c r="AF620" s="380" t="s">
        <v>97</v>
      </c>
      <c r="AG620" s="367">
        <v>2</v>
      </c>
      <c r="AH620" s="376" t="s">
        <v>1573</v>
      </c>
    </row>
    <row r="621" spans="2:34" ht="15" hidden="1" customHeight="1" x14ac:dyDescent="0.3">
      <c r="B621" s="367" t="s">
        <v>11</v>
      </c>
      <c r="C621" s="812" t="s">
        <v>1113</v>
      </c>
      <c r="D621" s="806" t="s">
        <v>1114</v>
      </c>
      <c r="E621" s="269">
        <v>700006603</v>
      </c>
      <c r="F621" s="641">
        <v>46229</v>
      </c>
      <c r="G621" s="367" t="s">
        <v>55</v>
      </c>
      <c r="H621" s="540">
        <v>2</v>
      </c>
      <c r="I621" s="384">
        <v>190048</v>
      </c>
      <c r="J621" s="367">
        <v>3</v>
      </c>
      <c r="K621" s="370">
        <f>I621/2</f>
        <v>95024</v>
      </c>
      <c r="L621" s="807">
        <v>46113</v>
      </c>
      <c r="M621" s="807">
        <v>46477</v>
      </c>
      <c r="N621" s="660">
        <v>155396</v>
      </c>
      <c r="O621" s="677">
        <v>4608</v>
      </c>
      <c r="P621" s="376" t="s">
        <v>520</v>
      </c>
      <c r="S621" s="394" t="str" cm="1">
        <f t="array" ref="S621">TEXT(EDATE($L621,{0}),"dd/mm/yyy") &amp; " to " &amp; TEXT(EDATE($L621,{4})-1,"dd/mm/yyyy")</f>
        <v>01/04/2026 to 31/07/2026</v>
      </c>
      <c r="T621" s="363" t="s">
        <v>2083</v>
      </c>
      <c r="U621" s="381" t="str" cm="1">
        <f t="array" ref="U621">TEXT(EDATE($L621,{4}),"dd/mm/yyy") &amp; " to " &amp; TEXT(EDATE($L621,{8})-1,"dd/mm/yyyy")</f>
        <v>01/08/2026 to 30/11/2026</v>
      </c>
      <c r="V621" s="363" t="s">
        <v>2084</v>
      </c>
      <c r="W621" s="381" t="str" cm="1">
        <f t="array" ref="W621">TEXT(EDATE($L621,{8}),"dd/mm/yyy") &amp; " to " &amp; TEXT(EDATE($L621,{12})-1,"dd/mm/yyyy")</f>
        <v>01/12/2026 to 31/03/2027</v>
      </c>
      <c r="AE621" s="376" t="s">
        <v>1893</v>
      </c>
      <c r="AF621" s="380" t="s">
        <v>97</v>
      </c>
      <c r="AG621" s="367">
        <v>3</v>
      </c>
      <c r="AH621" s="376" t="s">
        <v>1992</v>
      </c>
    </row>
    <row r="622" spans="2:34" ht="15" hidden="1" customHeight="1" x14ac:dyDescent="0.3">
      <c r="B622" s="367" t="s">
        <v>11</v>
      </c>
      <c r="C622" s="630" t="s">
        <v>614</v>
      </c>
      <c r="D622" s="643" t="s">
        <v>1016</v>
      </c>
      <c r="E622" s="737" t="s">
        <v>1993</v>
      </c>
      <c r="F622" s="641">
        <v>46189</v>
      </c>
      <c r="G622" s="367" t="s">
        <v>55</v>
      </c>
      <c r="H622" s="380">
        <v>7</v>
      </c>
      <c r="I622" s="384">
        <v>535080</v>
      </c>
      <c r="J622" s="367">
        <v>3</v>
      </c>
      <c r="L622" s="631">
        <v>46174</v>
      </c>
      <c r="M622" s="631">
        <v>46538</v>
      </c>
      <c r="P622" s="376" t="s">
        <v>520</v>
      </c>
      <c r="S622" s="381" t="str" cm="1">
        <f t="array" ref="S622">TEXT(EDATE($L622,{0}),"dd/mm/yyy") &amp; " to " &amp; TEXT(EDATE($L622,{4})-1,"dd/mm/yyyy")</f>
        <v>01/06/2026 to 30/09/2026</v>
      </c>
      <c r="U622" s="381" t="str" cm="1">
        <f t="array" ref="U622">TEXT(EDATE($L622,{4}),"dd/mm/yyy") &amp; " to " &amp; TEXT(EDATE($L622,{8})-1,"dd/mm/yyyy")</f>
        <v>01/10/2026 to 31/01/2027</v>
      </c>
      <c r="W622" s="381" t="str" cm="1">
        <f t="array" ref="W622">TEXT(EDATE($L622,{8}),"dd/mm/yyy") &amp; " to " &amp; TEXT(EDATE($L622,{12})-1,"dd/mm/yyyy")</f>
        <v>01/02/2027 to 31/05/2027</v>
      </c>
      <c r="AE622" s="376" t="s">
        <v>619</v>
      </c>
      <c r="AF622" s="380" t="s">
        <v>63</v>
      </c>
      <c r="AG622" s="367">
        <v>3</v>
      </c>
      <c r="AH622" s="659">
        <v>1</v>
      </c>
    </row>
    <row r="623" spans="2:34" ht="15" hidden="1" customHeight="1" x14ac:dyDescent="0.3">
      <c r="B623" s="367" t="s">
        <v>11</v>
      </c>
      <c r="C623" s="806" t="s">
        <v>789</v>
      </c>
      <c r="D623" s="806" t="s">
        <v>629</v>
      </c>
      <c r="E623" s="815">
        <v>8480253150</v>
      </c>
      <c r="F623" s="641">
        <v>46219</v>
      </c>
      <c r="G623" s="367" t="s">
        <v>55</v>
      </c>
      <c r="H623" s="367">
        <v>10</v>
      </c>
      <c r="I623" s="384">
        <v>764400</v>
      </c>
      <c r="J623" s="367">
        <v>3</v>
      </c>
      <c r="L623" s="807">
        <v>46174</v>
      </c>
      <c r="M623" s="807">
        <v>46538</v>
      </c>
      <c r="N623" s="660">
        <v>155339</v>
      </c>
      <c r="P623" s="376" t="s">
        <v>520</v>
      </c>
      <c r="S623" s="381" t="str" cm="1">
        <f t="array" ref="S623">TEXT(EDATE($L623,{0}),"dd/mm/yyy") &amp; " to " &amp; TEXT(EDATE($L623,{4})-1,"dd/mm/yyyy")</f>
        <v>01/06/2026 to 30/09/2026</v>
      </c>
      <c r="U623" s="381" t="str" cm="1">
        <f t="array" ref="U623">TEXT(EDATE($L623,{4}),"dd/mm/yyy") &amp; " to " &amp; TEXT(EDATE($L623,{8})-1,"dd/mm/yyyy")</f>
        <v>01/10/2026 to 31/01/2027</v>
      </c>
      <c r="W623" s="381" t="str" cm="1">
        <f t="array" ref="W623">TEXT(EDATE($L623,{8}),"dd/mm/yyy") &amp; " to " &amp; TEXT(EDATE($L623,{12})-1,"dd/mm/yyyy")</f>
        <v>01/02/2027 to 31/05/2027</v>
      </c>
      <c r="AE623" s="376" t="s">
        <v>485</v>
      </c>
      <c r="AF623" s="380" t="s">
        <v>63</v>
      </c>
      <c r="AG623" s="367">
        <v>3</v>
      </c>
      <c r="AH623" s="659">
        <v>1</v>
      </c>
    </row>
    <row r="624" spans="2:34" ht="15" hidden="1" customHeight="1" x14ac:dyDescent="0.3">
      <c r="B624" s="367" t="s">
        <v>11</v>
      </c>
      <c r="C624" s="630" t="s">
        <v>982</v>
      </c>
      <c r="D624" s="630" t="s">
        <v>801</v>
      </c>
      <c r="E624" s="125" t="s">
        <v>1994</v>
      </c>
      <c r="F624" s="641">
        <v>46186</v>
      </c>
      <c r="G624" s="367" t="s">
        <v>55</v>
      </c>
      <c r="H624" s="380">
        <v>1</v>
      </c>
      <c r="I624" s="384">
        <v>90000</v>
      </c>
      <c r="J624" s="367">
        <v>2</v>
      </c>
      <c r="L624" s="631">
        <v>46174</v>
      </c>
      <c r="M624" s="631">
        <v>46538</v>
      </c>
      <c r="P624" s="376" t="s">
        <v>520</v>
      </c>
      <c r="R624" s="367" t="s">
        <v>1</v>
      </c>
      <c r="S624" s="381" t="str" cm="1">
        <f t="array" ref="S624">TEXT(EDATE($L624,{0}),"dd/mm/yyy") &amp; " to " &amp; TEXT(EDATE($L624,{6})-1,"dd/mm/yyyy")</f>
        <v>01/06/2026 to 30/11/2026</v>
      </c>
      <c r="T624" s="533"/>
      <c r="U624" s="381" t="str" cm="1">
        <f t="array" ref="U624">TEXT(EDATE($L624,{6}),"dd/mm/yyy") &amp; " to " &amp; TEXT(EDATE($L624,{12})-1,"dd/mm/yyyy")</f>
        <v>01/12/2026 to 31/05/2027</v>
      </c>
      <c r="AE624" s="376" t="s">
        <v>485</v>
      </c>
      <c r="AF624" s="380" t="s">
        <v>63</v>
      </c>
      <c r="AG624" s="367">
        <v>2</v>
      </c>
      <c r="AH624" s="659">
        <v>1</v>
      </c>
    </row>
    <row r="625" spans="2:34" ht="15" hidden="1" customHeight="1" x14ac:dyDescent="0.3">
      <c r="B625" s="367" t="s">
        <v>11</v>
      </c>
      <c r="C625" s="806" t="s">
        <v>1061</v>
      </c>
      <c r="D625" s="806" t="s">
        <v>841</v>
      </c>
      <c r="E625" s="50">
        <v>327050092</v>
      </c>
      <c r="F625" s="641">
        <v>46203</v>
      </c>
      <c r="G625" s="367" t="s">
        <v>55</v>
      </c>
      <c r="H625" s="380">
        <v>1</v>
      </c>
      <c r="I625" s="384">
        <v>94500</v>
      </c>
      <c r="J625" s="367">
        <v>3</v>
      </c>
      <c r="K625" s="370">
        <f>I625/J625</f>
        <v>31500</v>
      </c>
      <c r="L625" s="807">
        <v>46174</v>
      </c>
      <c r="M625" s="807">
        <v>46538</v>
      </c>
      <c r="P625" s="376" t="s">
        <v>520</v>
      </c>
      <c r="R625" s="367" t="s">
        <v>1</v>
      </c>
      <c r="S625" s="381" t="str" cm="1">
        <f t="array" ref="S625">TEXT(EDATE($L625,{0}),"dd/mm/yyy") &amp; " to " &amp; TEXT(EDATE($L625,{4})-1,"dd/mm/yyyy")</f>
        <v>01/06/2026 to 30/09/2026</v>
      </c>
      <c r="U625" s="381" t="str" cm="1">
        <f t="array" ref="U625">TEXT(EDATE($L625,{4}),"dd/mm/yyy") &amp; " to " &amp; TEXT(EDATE($L625,{8})-1,"dd/mm/yyyy")</f>
        <v>01/10/2026 to 31/01/2027</v>
      </c>
      <c r="W625" s="381" t="str" cm="1">
        <f t="array" ref="W625">TEXT(EDATE($L625,{8}),"dd/mm/yyy") &amp; " to " &amp; TEXT(EDATE($L625,{12})-1,"dd/mm/yyyy")</f>
        <v>01/02/2027 to 31/05/2027</v>
      </c>
      <c r="AE625" s="376" t="s">
        <v>485</v>
      </c>
      <c r="AF625" s="380" t="s">
        <v>63</v>
      </c>
      <c r="AG625" s="367">
        <v>2</v>
      </c>
      <c r="AH625" s="376" t="s">
        <v>1995</v>
      </c>
    </row>
    <row r="626" spans="2:34" ht="15" hidden="1" customHeight="1" x14ac:dyDescent="0.3">
      <c r="B626" s="367" t="s">
        <v>11</v>
      </c>
      <c r="C626" s="630" t="s">
        <v>195</v>
      </c>
      <c r="D626" s="643" t="s">
        <v>151</v>
      </c>
      <c r="E626" s="275" t="s">
        <v>1996</v>
      </c>
      <c r="F626" s="641">
        <v>46220</v>
      </c>
      <c r="G626" s="367" t="s">
        <v>55</v>
      </c>
      <c r="H626" s="380"/>
      <c r="I626" s="384">
        <v>558000</v>
      </c>
      <c r="J626" s="367">
        <v>4</v>
      </c>
      <c r="K626" s="370">
        <f>I626/J626</f>
        <v>139500</v>
      </c>
      <c r="L626" s="631">
        <v>46220</v>
      </c>
      <c r="M626" s="631">
        <v>46584</v>
      </c>
      <c r="P626" s="376" t="s">
        <v>520</v>
      </c>
      <c r="S626" s="394" t="str" cm="1">
        <f t="array" ref="S626">TEXT(EDATE($L626,{0}),"dd/mm/yyy") &amp; " to " &amp; TEXT(EDATE($L626,{3})-1,"dd/mm/yyyy")</f>
        <v>17/07/2026 to 16/10/2026</v>
      </c>
      <c r="T626" s="363" t="s">
        <v>2059</v>
      </c>
      <c r="U626" s="381" t="str" cm="1">
        <f t="array" ref="U626">TEXT(EDATE($L626,{3}),"dd/mm/yyy") &amp; " to " &amp; TEXT(EDATE($L626,{6})-1,"dd/mm/yyyy")</f>
        <v>17/10/2026 to 16/01/2027</v>
      </c>
      <c r="V626" s="363"/>
      <c r="W626" s="381" t="str" cm="1">
        <f t="array" ref="W626">TEXT(EDATE($L626,{6}),"dd/mm/yyy") &amp; " to " &amp; TEXT(EDATE($L626,{9})-1,"dd/mm/yyyy")</f>
        <v>17/01/2027 to 16/04/2027</v>
      </c>
      <c r="X626" s="363"/>
      <c r="Y626" s="381" t="str" cm="1">
        <f t="array" ref="Y626">TEXT(EDATE($L626,{9}),"dd/mm/yyy") &amp; " to " &amp; TEXT(EDATE($L626,{12})-1,"dd/mm/yyyy")</f>
        <v>17/04/2027 to 16/07/2027</v>
      </c>
      <c r="AE626" s="376" t="s">
        <v>478</v>
      </c>
      <c r="AF626" s="380" t="s">
        <v>63</v>
      </c>
      <c r="AG626" s="367">
        <v>4</v>
      </c>
      <c r="AH626" s="376" t="s">
        <v>1997</v>
      </c>
    </row>
    <row r="627" spans="2:34" ht="15" hidden="1" customHeight="1" x14ac:dyDescent="0.3">
      <c r="B627" s="367" t="s">
        <v>11</v>
      </c>
      <c r="C627" s="630" t="s">
        <v>195</v>
      </c>
      <c r="D627" s="643" t="s">
        <v>151</v>
      </c>
      <c r="E627" s="275" t="s">
        <v>1996</v>
      </c>
      <c r="F627" s="641">
        <v>46220</v>
      </c>
      <c r="G627" s="367" t="s">
        <v>55</v>
      </c>
      <c r="H627" s="540">
        <v>9</v>
      </c>
      <c r="I627" s="384">
        <v>558000</v>
      </c>
      <c r="J627" s="367">
        <v>4</v>
      </c>
      <c r="K627" s="370">
        <f>I627/J627</f>
        <v>139500</v>
      </c>
      <c r="L627" s="631">
        <v>46585</v>
      </c>
      <c r="M627" s="631">
        <v>46950</v>
      </c>
      <c r="P627" s="376" t="s">
        <v>520</v>
      </c>
      <c r="S627" s="381" t="str" cm="1">
        <f t="array" ref="S627">TEXT(EDATE($L627,{0}),"dd/mm/yyy") &amp; " to " &amp; TEXT(EDATE($L627,{3})-1,"dd/mm/yyyy")</f>
        <v>17/07/2027 to 16/10/2027</v>
      </c>
      <c r="T627" s="363"/>
      <c r="U627" s="381" t="str" cm="1">
        <f t="array" ref="U627">TEXT(EDATE($L627,{3}),"dd/mm/yyy") &amp; " to " &amp; TEXT(EDATE($L627,{6})-1,"dd/mm/yyyy")</f>
        <v>17/10/2027 to 16/01/2028</v>
      </c>
      <c r="V627" s="363"/>
      <c r="W627" s="381" t="str" cm="1">
        <f t="array" ref="W627">TEXT(EDATE($L627,{6}),"dd/mm/yyy") &amp; " to " &amp; TEXT(EDATE($L627,{9})-1,"dd/mm/yyyy")</f>
        <v>17/01/2028 to 16/04/2028</v>
      </c>
      <c r="X627" s="363"/>
      <c r="Y627" s="381" t="str" cm="1">
        <f t="array" ref="Y627">TEXT(EDATE($L627,{9}),"dd/mm/yyy") &amp; " to " &amp; TEXT(EDATE($L627,{12})-1,"dd/mm/yyyy")</f>
        <v>17/04/2028 to 16/07/2028</v>
      </c>
      <c r="AE627" s="376" t="s">
        <v>478</v>
      </c>
      <c r="AF627" s="380" t="s">
        <v>63</v>
      </c>
      <c r="AG627" s="367">
        <v>4</v>
      </c>
      <c r="AH627" s="376" t="s">
        <v>1997</v>
      </c>
    </row>
    <row r="628" spans="2:34" ht="15" hidden="1" customHeight="1" x14ac:dyDescent="0.3">
      <c r="B628" s="367" t="s">
        <v>11</v>
      </c>
      <c r="C628" s="630" t="s">
        <v>663</v>
      </c>
      <c r="D628" s="806" t="s">
        <v>1227</v>
      </c>
      <c r="E628" s="832">
        <v>4508124633</v>
      </c>
      <c r="F628" s="641">
        <v>46212</v>
      </c>
      <c r="G628" s="367" t="s">
        <v>55</v>
      </c>
      <c r="H628" s="540">
        <v>9</v>
      </c>
      <c r="I628" s="384">
        <v>720000</v>
      </c>
      <c r="J628" s="367">
        <v>3</v>
      </c>
      <c r="K628" s="370">
        <f>I628/J628</f>
        <v>240000</v>
      </c>
      <c r="L628" s="807">
        <v>46204</v>
      </c>
      <c r="M628" s="807">
        <v>46568</v>
      </c>
      <c r="P628" s="376" t="s">
        <v>520</v>
      </c>
      <c r="S628" s="381" t="str" cm="1">
        <f t="array" ref="S628">TEXT(EDATE($L628,{0}),"dd/mm/yyy") &amp; " to " &amp; TEXT(EDATE($L628,{4})-1,"dd/mm/yyyy")</f>
        <v>01/07/2026 to 31/10/2026</v>
      </c>
      <c r="U628" s="381" t="str" cm="1">
        <f t="array" ref="U628">TEXT(EDATE($L628,{4}),"dd/mm/yyy") &amp; " to " &amp; TEXT(EDATE($L628,{8})-1,"dd/mm/yyyy")</f>
        <v>01/11/2026 to 28/02/2027</v>
      </c>
      <c r="W628" s="381" t="str" cm="1">
        <f t="array" ref="W628">TEXT(EDATE($L628,{8}),"dd/mm/yyy") &amp; " to " &amp; TEXT(EDATE($L628,{12})-1,"dd/mm/yyyy")</f>
        <v>01/03/2027 to 30/06/2027</v>
      </c>
      <c r="AE628" s="376" t="s">
        <v>478</v>
      </c>
      <c r="AF628" s="380" t="s">
        <v>63</v>
      </c>
      <c r="AG628" s="367">
        <v>3</v>
      </c>
      <c r="AH628" s="376" t="s">
        <v>667</v>
      </c>
    </row>
    <row r="629" spans="2:34" ht="15" hidden="1" customHeight="1" x14ac:dyDescent="0.3">
      <c r="B629" s="367" t="s">
        <v>11</v>
      </c>
      <c r="C629" s="816" t="s">
        <v>990</v>
      </c>
      <c r="D629" s="816" t="s">
        <v>991</v>
      </c>
      <c r="E629" s="122">
        <v>115571838</v>
      </c>
      <c r="F629" s="641">
        <v>46227</v>
      </c>
      <c r="G629" s="367" t="s">
        <v>55</v>
      </c>
      <c r="H629" s="380">
        <v>3</v>
      </c>
      <c r="I629" s="384">
        <v>244800</v>
      </c>
      <c r="J629" s="367">
        <v>2</v>
      </c>
      <c r="K629" s="370"/>
      <c r="L629" s="817">
        <v>46174</v>
      </c>
      <c r="M629" s="817">
        <v>46538</v>
      </c>
      <c r="P629" s="376" t="s">
        <v>520</v>
      </c>
      <c r="S629" s="381" t="str" cm="1">
        <f t="array" ref="S629">TEXT(EDATE($L629,{0}),"dd/mm/yyy") &amp; " to " &amp; TEXT(EDATE($L629,{6})-1,"dd/mm/yyyy")</f>
        <v>01/06/2026 to 30/11/2026</v>
      </c>
      <c r="T629" s="704" t="s">
        <v>2147</v>
      </c>
      <c r="U629" s="381" t="str" cm="1">
        <f t="array" ref="U629">TEXT(EDATE($L629,{6}),"dd/mm/yyy") &amp; " to " &amp; TEXT(EDATE($L629,{12})-1,"dd/mm/yyyy")</f>
        <v>01/12/2026 to 31/05/2027</v>
      </c>
      <c r="AE629" s="376" t="s">
        <v>485</v>
      </c>
      <c r="AF629" s="380" t="s">
        <v>63</v>
      </c>
      <c r="AG629" s="367">
        <v>2</v>
      </c>
      <c r="AH629" s="376" t="s">
        <v>1999</v>
      </c>
    </row>
    <row r="630" spans="2:34" ht="15" hidden="1" customHeight="1" x14ac:dyDescent="0.3">
      <c r="B630" s="367" t="s">
        <v>11</v>
      </c>
      <c r="C630" s="630" t="s">
        <v>195</v>
      </c>
      <c r="D630" s="818" t="s">
        <v>1051</v>
      </c>
      <c r="E630" s="220" t="s">
        <v>2000</v>
      </c>
      <c r="F630" s="641">
        <v>46219</v>
      </c>
      <c r="G630" s="367" t="s">
        <v>55</v>
      </c>
      <c r="H630" s="380"/>
      <c r="I630" s="384">
        <v>497859.68</v>
      </c>
      <c r="J630" s="367">
        <v>3</v>
      </c>
      <c r="K630" s="370">
        <f>I630/J630</f>
        <v>165953.22666666665</v>
      </c>
      <c r="L630" s="631">
        <v>46219</v>
      </c>
      <c r="M630" s="631">
        <v>46583</v>
      </c>
      <c r="P630" s="376" t="s">
        <v>520</v>
      </c>
      <c r="S630" s="381" t="str" cm="1">
        <f t="array" ref="S630">TEXT(EDATE($L630,{0}),"dd/mm/yyy") &amp; " to " &amp; TEXT(EDATE($L630,{4})-1,"dd/mm/yyyy")</f>
        <v>16/07/2026 to 15/11/2026</v>
      </c>
      <c r="U630" s="381" t="str" cm="1">
        <f t="array" ref="U630">TEXT(EDATE($L630,{4}),"dd/mm/yyy") &amp; " to " &amp; TEXT(EDATE($L630,{8})-1,"dd/mm/yyyy")</f>
        <v>16/11/2026 to 15/03/2027</v>
      </c>
      <c r="W630" s="381" t="str" cm="1">
        <f t="array" ref="W630">TEXT(EDATE($L630,{8}),"dd/mm/yyy") &amp; " to " &amp; TEXT(EDATE($L630,{12})-1,"dd/mm/yyyy")</f>
        <v>16/03/2027 to 15/07/2027</v>
      </c>
      <c r="AE630" s="376" t="s">
        <v>281</v>
      </c>
      <c r="AF630" s="380" t="s">
        <v>97</v>
      </c>
      <c r="AG630" s="367">
        <v>3</v>
      </c>
      <c r="AH630" s="376" t="s">
        <v>667</v>
      </c>
    </row>
    <row r="631" spans="2:34" ht="15" hidden="1" customHeight="1" x14ac:dyDescent="0.3">
      <c r="B631" s="367" t="s">
        <v>11</v>
      </c>
      <c r="C631" s="630" t="s">
        <v>195</v>
      </c>
      <c r="D631" s="819" t="s">
        <v>1051</v>
      </c>
      <c r="E631" s="222" t="s">
        <v>2000</v>
      </c>
      <c r="F631" s="697">
        <v>46219</v>
      </c>
      <c r="G631" s="367" t="s">
        <v>55</v>
      </c>
      <c r="H631" s="540">
        <v>6</v>
      </c>
      <c r="I631" s="384">
        <v>497859.68</v>
      </c>
      <c r="J631" s="367">
        <v>3</v>
      </c>
      <c r="K631" s="370">
        <f>I631/J631</f>
        <v>165953.22666666665</v>
      </c>
      <c r="L631" s="631">
        <v>46584</v>
      </c>
      <c r="M631" s="631">
        <v>46949</v>
      </c>
      <c r="P631" s="376" t="s">
        <v>520</v>
      </c>
      <c r="S631" s="381" t="str" cm="1">
        <f t="array" ref="S631">TEXT(EDATE($L631,{0}),"dd/mm/yyy") &amp; " to " &amp; TEXT(EDATE($L631,{4})-1,"dd/mm/yyyy")</f>
        <v>16/07/2027 to 15/11/2027</v>
      </c>
      <c r="U631" s="381" t="str" cm="1">
        <f t="array" ref="U631">TEXT(EDATE($L631,{4}),"dd/mm/yyy") &amp; " to " &amp; TEXT(EDATE($L631,{8})-1,"dd/mm/yyyy")</f>
        <v>16/11/2027 to 15/03/2028</v>
      </c>
      <c r="W631" s="381" t="str" cm="1">
        <f t="array" ref="W631">TEXT(EDATE($L631,{8}),"dd/mm/yyy") &amp; " to " &amp; TEXT(EDATE($L631,{12})-1,"dd/mm/yyyy")</f>
        <v>16/03/2028 to 15/07/2028</v>
      </c>
      <c r="AE631" s="376" t="s">
        <v>281</v>
      </c>
      <c r="AF631" s="380" t="s">
        <v>97</v>
      </c>
      <c r="AG631" s="367">
        <v>3</v>
      </c>
      <c r="AH631" s="376" t="s">
        <v>667</v>
      </c>
    </row>
    <row r="632" spans="2:34" ht="15" hidden="1" customHeight="1" x14ac:dyDescent="0.3">
      <c r="B632" s="367" t="s">
        <v>11</v>
      </c>
      <c r="C632" s="822" t="s">
        <v>614</v>
      </c>
      <c r="D632" s="823" t="s">
        <v>970</v>
      </c>
      <c r="E632" s="269">
        <v>4500050863</v>
      </c>
      <c r="F632" s="641">
        <v>46225</v>
      </c>
      <c r="G632" s="380" t="s">
        <v>55</v>
      </c>
      <c r="H632" s="380">
        <v>2</v>
      </c>
      <c r="I632" s="384">
        <v>152880</v>
      </c>
      <c r="J632" s="367">
        <v>3</v>
      </c>
      <c r="L632" s="807">
        <v>46113</v>
      </c>
      <c r="M632" s="807">
        <v>46477</v>
      </c>
      <c r="P632" s="376" t="s">
        <v>520</v>
      </c>
      <c r="S632" s="394" t="str" cm="1">
        <f t="array" ref="S632">TEXT(EDATE($L632,{0}),"dd/mm/yyy") &amp; " to " &amp; TEXT(EDATE($L632,{4})-1,"dd/mm/yyyy")</f>
        <v>01/04/2026 to 31/07/2026</v>
      </c>
      <c r="T632" s="376" t="s">
        <v>2001</v>
      </c>
      <c r="U632" s="381" t="str" cm="1">
        <f t="array" ref="U632">TEXT(EDATE($L632,{4}),"dd/mm/yyy") &amp; " to " &amp; TEXT(EDATE($L632,{8})-1,"dd/mm/yyyy")</f>
        <v>01/08/2026 to 30/11/2026</v>
      </c>
      <c r="W632" s="381" t="str" cm="1">
        <f t="array" ref="W632">TEXT(EDATE($L632,{8}),"dd/mm/yyy") &amp; " to " &amp; TEXT(EDATE($L632,{12})-1,"dd/mm/yyyy")</f>
        <v>01/12/2026 to 31/03/2027</v>
      </c>
      <c r="AE632" s="376" t="s">
        <v>281</v>
      </c>
      <c r="AF632" s="380" t="s">
        <v>97</v>
      </c>
      <c r="AG632" s="367">
        <v>3</v>
      </c>
      <c r="AH632" s="376" t="s">
        <v>1999</v>
      </c>
    </row>
    <row r="633" spans="2:34" ht="15" hidden="1" customHeight="1" x14ac:dyDescent="0.3">
      <c r="B633" s="367" t="s">
        <v>11</v>
      </c>
      <c r="C633" s="822" t="s">
        <v>1032</v>
      </c>
      <c r="D633" s="823" t="s">
        <v>2002</v>
      </c>
      <c r="E633" s="269">
        <v>2880002596</v>
      </c>
      <c r="F633" s="641">
        <v>46218</v>
      </c>
      <c r="G633" s="380" t="s">
        <v>55</v>
      </c>
      <c r="H633" s="380">
        <v>1</v>
      </c>
      <c r="I633" s="384">
        <v>100000</v>
      </c>
      <c r="J633" s="367">
        <v>2</v>
      </c>
      <c r="K633" s="370">
        <f>I633/J633</f>
        <v>50000</v>
      </c>
      <c r="L633" s="807">
        <v>46204</v>
      </c>
      <c r="M633" s="807">
        <v>46568</v>
      </c>
      <c r="P633" s="376" t="s">
        <v>520</v>
      </c>
      <c r="S633" s="381" t="str" cm="1">
        <f t="array" ref="S633">TEXT(EDATE($L633,{0}),"dd/mm/yyy") &amp; " to " &amp; TEXT(EDATE($L633,{6})-1,"dd/mm/yyyy")</f>
        <v>01/07/2026 to 31/12/2026</v>
      </c>
      <c r="T633" s="533"/>
      <c r="U633" s="381" t="str" cm="1">
        <f t="array" ref="U633">TEXT(EDATE($L633,{6}),"dd/mm/yyy") &amp; " to " &amp; TEXT(EDATE($L633,{12})-1,"dd/mm/yyyy")</f>
        <v>01/01/2027 to 30/06/2027</v>
      </c>
      <c r="W633" s="381"/>
      <c r="AE633" s="376" t="s">
        <v>96</v>
      </c>
      <c r="AF633" s="380" t="s">
        <v>97</v>
      </c>
      <c r="AG633" s="367">
        <v>3</v>
      </c>
      <c r="AH633" s="376" t="s">
        <v>1898</v>
      </c>
    </row>
    <row r="634" spans="2:34" ht="15" hidden="1" customHeight="1" x14ac:dyDescent="0.3">
      <c r="B634" s="367" t="s">
        <v>11</v>
      </c>
      <c r="C634" s="696" t="s">
        <v>1589</v>
      </c>
      <c r="D634" s="643" t="s">
        <v>1317</v>
      </c>
      <c r="E634" s="183" t="s">
        <v>2003</v>
      </c>
      <c r="F634" s="641">
        <v>46036</v>
      </c>
      <c r="G634" s="380" t="s">
        <v>55</v>
      </c>
      <c r="H634" s="380">
        <v>2</v>
      </c>
      <c r="I634" s="384">
        <v>160000</v>
      </c>
      <c r="J634" s="367">
        <v>2</v>
      </c>
      <c r="K634" s="370">
        <f>I634/J634</f>
        <v>80000</v>
      </c>
      <c r="L634" s="631">
        <v>46023</v>
      </c>
      <c r="M634" s="631">
        <v>46387</v>
      </c>
      <c r="P634" s="376" t="s">
        <v>520</v>
      </c>
      <c r="S634" s="394" t="str" cm="1">
        <f t="array" ref="S634">TEXT(EDATE($L634,{0}),"dd/mm/yyy") &amp; " to " &amp; TEXT(EDATE($L634,{6})-1,"dd/mm/yyyy")</f>
        <v>01/01/2026 to 30/06/2026</v>
      </c>
      <c r="T634" s="376" t="s">
        <v>1964</v>
      </c>
      <c r="U634" s="381" t="str" cm="1">
        <f t="array" ref="U634">TEXT(EDATE($L634,{6}),"dd/mm/yyy") &amp; " to " &amp; TEXT(EDATE($L634,{12})-1,"dd/mm/yyyy")</f>
        <v>01/07/2026 to 31/12/2026</v>
      </c>
      <c r="AE634" s="376" t="s">
        <v>478</v>
      </c>
      <c r="AF634" s="380" t="s">
        <v>63</v>
      </c>
      <c r="AG634" s="367">
        <v>3</v>
      </c>
      <c r="AH634" s="376" t="s">
        <v>667</v>
      </c>
    </row>
    <row r="635" spans="2:34" ht="15" hidden="1" customHeight="1" x14ac:dyDescent="0.3">
      <c r="B635" s="367" t="s">
        <v>11</v>
      </c>
      <c r="C635" s="642" t="s">
        <v>975</v>
      </c>
      <c r="D635" s="630" t="s">
        <v>1136</v>
      </c>
      <c r="E635" s="50">
        <v>6100016245</v>
      </c>
      <c r="F635" s="641">
        <v>46212</v>
      </c>
      <c r="G635" s="380" t="s">
        <v>55</v>
      </c>
      <c r="H635" s="698">
        <v>2</v>
      </c>
      <c r="I635" s="384">
        <v>224000</v>
      </c>
      <c r="J635" s="367">
        <v>3</v>
      </c>
      <c r="K635" s="370">
        <f>I635/2</f>
        <v>112000</v>
      </c>
      <c r="L635" s="639">
        <v>46235</v>
      </c>
      <c r="M635" s="639">
        <v>46599</v>
      </c>
      <c r="P635" s="376" t="s">
        <v>520</v>
      </c>
      <c r="S635" s="381" t="str" cm="1">
        <f t="array" ref="S635">TEXT(EDATE($L635,{0}),"dd/mm/yyy") &amp; " to " &amp; TEXT(EDATE($L635,{4})-1,"dd/mm/yyyy")</f>
        <v>01/08/2026 to 30/11/2026</v>
      </c>
      <c r="U635" s="381" t="str" cm="1">
        <f t="array" ref="U635">TEXT(EDATE($L635,{4}),"dd/mm/yyy") &amp; " to " &amp; TEXT(EDATE($L635,{8})-1,"dd/mm/yyyy")</f>
        <v>01/12/2026 to 31/03/2027</v>
      </c>
      <c r="W635" s="381" t="str" cm="1">
        <f t="array" ref="W635">TEXT(EDATE($L635,{8}),"dd/mm/yyy") &amp; " to " &amp; TEXT(EDATE($L635,{12})-1,"dd/mm/yyyy")</f>
        <v>01/04/2027 to 31/07/2027</v>
      </c>
      <c r="AE635" s="376" t="s">
        <v>1975</v>
      </c>
      <c r="AF635" s="380" t="s">
        <v>207</v>
      </c>
      <c r="AG635" s="367">
        <v>3</v>
      </c>
      <c r="AH635" s="376" t="s">
        <v>2004</v>
      </c>
    </row>
    <row r="636" spans="2:34" ht="15" hidden="1" customHeight="1" x14ac:dyDescent="0.3">
      <c r="B636" s="367" t="s">
        <v>11</v>
      </c>
      <c r="C636" s="806" t="s">
        <v>685</v>
      </c>
      <c r="D636" s="806" t="s">
        <v>1031</v>
      </c>
      <c r="E636" s="805">
        <v>4514486733</v>
      </c>
      <c r="F636" s="641">
        <v>46224</v>
      </c>
      <c r="G636" s="525" t="s">
        <v>55</v>
      </c>
      <c r="H636" s="380">
        <v>2</v>
      </c>
      <c r="I636" s="384">
        <v>100000</v>
      </c>
      <c r="J636" s="367">
        <v>3</v>
      </c>
      <c r="K636" s="370">
        <f>I636/J636</f>
        <v>33333.333333333336</v>
      </c>
      <c r="L636" s="807">
        <v>46174</v>
      </c>
      <c r="M636" s="807">
        <v>46538</v>
      </c>
      <c r="P636" s="376" t="s">
        <v>520</v>
      </c>
      <c r="S636" s="381" t="str" cm="1">
        <f t="array" ref="S636">TEXT(EDATE($L636,{0}),"dd/mm/yyy") &amp; " to " &amp; TEXT(EDATE($L636,{4})-1,"dd/mm/yyyy")</f>
        <v>01/06/2026 to 30/09/2026</v>
      </c>
      <c r="U636" s="381" t="str" cm="1">
        <f t="array" ref="U636">TEXT(EDATE($L636,{4}),"dd/mm/yyy") &amp; " to " &amp; TEXT(EDATE($L636,{8})-1,"dd/mm/yyyy")</f>
        <v>01/10/2026 to 31/01/2027</v>
      </c>
      <c r="W636" s="381" t="str" cm="1">
        <f t="array" ref="W636">TEXT(EDATE($L636,{8}),"dd/mm/yyy") &amp; " to " &amp; TEXT(EDATE($L636,{12})-1,"dd/mm/yyyy")</f>
        <v>01/02/2027 to 31/05/2027</v>
      </c>
      <c r="AE636" s="376" t="s">
        <v>478</v>
      </c>
      <c r="AF636" s="380" t="s">
        <v>63</v>
      </c>
      <c r="AG636" s="367">
        <v>3</v>
      </c>
      <c r="AH636" s="376" t="s">
        <v>667</v>
      </c>
    </row>
    <row r="637" spans="2:34" ht="15" hidden="1" customHeight="1" x14ac:dyDescent="0.3">
      <c r="B637" s="367" t="s">
        <v>11</v>
      </c>
      <c r="C637" s="806" t="s">
        <v>1216</v>
      </c>
      <c r="D637" s="806" t="s">
        <v>176</v>
      </c>
      <c r="E637" s="824">
        <v>1500003998</v>
      </c>
      <c r="F637" s="641">
        <v>46224</v>
      </c>
      <c r="G637" s="525" t="s">
        <v>55</v>
      </c>
      <c r="H637" s="540">
        <v>1</v>
      </c>
      <c r="I637" s="384">
        <v>101000</v>
      </c>
      <c r="J637" s="367">
        <v>3</v>
      </c>
      <c r="K637" s="370"/>
      <c r="L637" s="825">
        <v>46224</v>
      </c>
      <c r="M637" s="825">
        <v>46588</v>
      </c>
      <c r="P637" s="376" t="s">
        <v>520</v>
      </c>
      <c r="S637" s="381" t="str" cm="1">
        <f t="array" ref="S637">TEXT(EDATE($L637,{0}),"dd/mm/yyy") &amp; " to " &amp; TEXT(EDATE($L637,{4})-1,"dd/mm/yyyy")</f>
        <v>21/07/2026 to 20/11/2026</v>
      </c>
      <c r="U637" s="381" t="str" cm="1">
        <f t="array" ref="U637">TEXT(EDATE($L637,{4}),"dd/mm/yyy") &amp; " to " &amp; TEXT(EDATE($L637,{8})-1,"dd/mm/yyyy")</f>
        <v>21/11/2026 to 20/03/2027</v>
      </c>
      <c r="W637" s="381" t="str" cm="1">
        <f t="array" ref="W637">TEXT(EDATE($L637,{8}),"dd/mm/yyy") &amp; " to " &amp; TEXT(EDATE($L637,{12})-1,"dd/mm/yyyy")</f>
        <v>21/03/2027 to 20/07/2027</v>
      </c>
      <c r="AE637" s="376" t="s">
        <v>1893</v>
      </c>
      <c r="AF637" s="380" t="s">
        <v>97</v>
      </c>
      <c r="AG637" s="367">
        <v>3</v>
      </c>
      <c r="AH637" s="376" t="s">
        <v>2005</v>
      </c>
    </row>
    <row r="638" spans="2:34" ht="15" hidden="1" customHeight="1" x14ac:dyDescent="0.3">
      <c r="B638" s="367" t="s">
        <v>11</v>
      </c>
      <c r="C638" s="826" t="s">
        <v>1032</v>
      </c>
      <c r="D638" s="806" t="s">
        <v>693</v>
      </c>
      <c r="E638" s="805">
        <v>3430064019</v>
      </c>
      <c r="F638" s="641">
        <v>46225</v>
      </c>
      <c r="G638" s="525" t="s">
        <v>55</v>
      </c>
      <c r="H638" s="380">
        <v>10</v>
      </c>
      <c r="I638" s="384">
        <v>617040</v>
      </c>
      <c r="J638" s="367">
        <v>3</v>
      </c>
      <c r="K638" s="370">
        <f t="shared" ref="K638:K643" si="28">I638/J638</f>
        <v>205680</v>
      </c>
      <c r="L638" s="825">
        <v>46113</v>
      </c>
      <c r="M638" s="825">
        <v>46477</v>
      </c>
      <c r="P638" s="376" t="s">
        <v>520</v>
      </c>
      <c r="S638" s="394" t="str" cm="1">
        <f t="array" ref="S638">TEXT(EDATE($L638,{0}),"dd/mm/yyy") &amp; " to " &amp; TEXT(EDATE($L638,{4})-1,"dd/mm/yyyy")</f>
        <v>01/04/2026 to 31/07/2026</v>
      </c>
      <c r="T638" s="376" t="s">
        <v>2056</v>
      </c>
      <c r="U638" s="381" t="str" cm="1">
        <f t="array" ref="U638">TEXT(EDATE($L638,{4}),"dd/mm/yyy") &amp; " to " &amp; TEXT(EDATE($L638,{8})-1,"dd/mm/yyyy")</f>
        <v>01/08/2026 to 30/11/2026</v>
      </c>
      <c r="W638" s="381" t="str" cm="1">
        <f t="array" ref="W638">TEXT(EDATE($L638,{8}),"dd/mm/yyy") &amp; " to " &amp; TEXT(EDATE($L638,{12})-1,"dd/mm/yyyy")</f>
        <v>01/12/2026 to 31/03/2027</v>
      </c>
      <c r="AE638" s="376" t="s">
        <v>128</v>
      </c>
      <c r="AF638" s="380" t="s">
        <v>129</v>
      </c>
      <c r="AG638" s="367">
        <v>2</v>
      </c>
      <c r="AH638" s="376" t="s">
        <v>1898</v>
      </c>
    </row>
    <row r="639" spans="2:34" ht="15" hidden="1" customHeight="1" x14ac:dyDescent="0.3">
      <c r="B639" s="367" t="s">
        <v>11</v>
      </c>
      <c r="C639" s="827" t="s">
        <v>2006</v>
      </c>
      <c r="D639" s="828" t="s">
        <v>2007</v>
      </c>
      <c r="E639" s="805">
        <v>262720297</v>
      </c>
      <c r="F639" s="641">
        <v>46216</v>
      </c>
      <c r="G639" s="525" t="s">
        <v>55</v>
      </c>
      <c r="H639" s="540">
        <v>3</v>
      </c>
      <c r="I639" s="384">
        <v>495000</v>
      </c>
      <c r="J639" s="367">
        <v>3</v>
      </c>
      <c r="K639" s="370">
        <f t="shared" si="28"/>
        <v>165000</v>
      </c>
      <c r="L639" s="817">
        <v>46204</v>
      </c>
      <c r="M639" s="817">
        <v>46477</v>
      </c>
      <c r="P639" s="376" t="s">
        <v>520</v>
      </c>
      <c r="R639" s="367" t="s">
        <v>1</v>
      </c>
      <c r="S639" s="381" t="s">
        <v>496</v>
      </c>
      <c r="T639" s="363"/>
      <c r="U639" s="381" t="s">
        <v>497</v>
      </c>
      <c r="V639" s="363"/>
      <c r="W639" s="381" t="s">
        <v>498</v>
      </c>
      <c r="AE639" s="376" t="s">
        <v>128</v>
      </c>
      <c r="AF639" s="380" t="s">
        <v>129</v>
      </c>
      <c r="AG639" s="367">
        <v>2</v>
      </c>
      <c r="AH639" s="376" t="s">
        <v>1898</v>
      </c>
    </row>
    <row r="640" spans="2:34" ht="15" hidden="1" customHeight="1" x14ac:dyDescent="0.3">
      <c r="B640" s="367" t="s">
        <v>11</v>
      </c>
      <c r="C640" s="699" t="s">
        <v>1062</v>
      </c>
      <c r="D640" s="700" t="s">
        <v>388</v>
      </c>
      <c r="E640" s="805">
        <v>4700033648</v>
      </c>
      <c r="F640" s="641">
        <v>46226</v>
      </c>
      <c r="G640" s="525" t="s">
        <v>55</v>
      </c>
      <c r="H640" s="380">
        <v>1</v>
      </c>
      <c r="I640" s="384">
        <v>94500</v>
      </c>
      <c r="J640" s="367">
        <v>2</v>
      </c>
      <c r="K640" s="370">
        <f t="shared" si="28"/>
        <v>47250</v>
      </c>
      <c r="L640" s="654">
        <v>46204</v>
      </c>
      <c r="M640" s="654">
        <v>46568</v>
      </c>
      <c r="P640" s="376" t="s">
        <v>520</v>
      </c>
      <c r="S640" s="381" t="str" cm="1">
        <f t="array" ref="S640">TEXT(EDATE($L640,{0}),"dd/mm/yyy") &amp; " to " &amp; TEXT(EDATE($L640,{6})-1,"dd/mm/yyyy")</f>
        <v>01/07/2026 to 31/12/2026</v>
      </c>
      <c r="U640" s="381" t="str" cm="1">
        <f t="array" ref="U640">TEXT(EDATE($L640,{6}),"dd/mm/yyy") &amp; " to " &amp; TEXT(EDATE($L640,{12})-1,"dd/mm/yyyy")</f>
        <v>01/01/2027 to 30/06/2027</v>
      </c>
      <c r="AE640" s="376" t="s">
        <v>619</v>
      </c>
      <c r="AF640" s="380" t="s">
        <v>63</v>
      </c>
      <c r="AG640" s="367">
        <v>2</v>
      </c>
      <c r="AH640" s="376" t="s">
        <v>1898</v>
      </c>
    </row>
    <row r="641" spans="1:34" ht="15" hidden="1" customHeight="1" x14ac:dyDescent="0.3">
      <c r="B641" s="367" t="s">
        <v>11</v>
      </c>
      <c r="C641" s="826" t="s">
        <v>1095</v>
      </c>
      <c r="D641" s="823" t="s">
        <v>1016</v>
      </c>
      <c r="E641" s="805">
        <v>9709884514</v>
      </c>
      <c r="F641" s="641">
        <v>46211</v>
      </c>
      <c r="G641" s="525" t="s">
        <v>55</v>
      </c>
      <c r="H641" s="540">
        <v>13</v>
      </c>
      <c r="I641" s="384">
        <v>1040000</v>
      </c>
      <c r="J641" s="367">
        <v>4</v>
      </c>
      <c r="K641" s="370">
        <f t="shared" si="28"/>
        <v>260000</v>
      </c>
      <c r="L641" s="825">
        <v>46204</v>
      </c>
      <c r="M641" s="825">
        <v>46568</v>
      </c>
      <c r="N641" s="660">
        <v>155367</v>
      </c>
      <c r="O641" s="677">
        <v>4691</v>
      </c>
      <c r="P641" s="376" t="s">
        <v>520</v>
      </c>
      <c r="S641" s="394" t="str" cm="1">
        <f t="array" ref="S641">TEXT(EDATE($L641,{0}),"dd/mm/yyy") &amp; " to " &amp; TEXT(EDATE($L641,{3})-1,"dd/mm/yyyy")</f>
        <v>01/07/2026 to 30/09/2026</v>
      </c>
      <c r="T641" s="363" t="s">
        <v>1962</v>
      </c>
      <c r="U641" s="381" t="str" cm="1">
        <f t="array" ref="U641">TEXT(EDATE($L641,{3}),"dd/mm/yyy") &amp; " to " &amp; TEXT(EDATE($L641,{6})-1,"dd/mm/yyyy")</f>
        <v>01/10/2026 to 31/12/2026</v>
      </c>
      <c r="V641" s="363"/>
      <c r="W641" s="381" t="str" cm="1">
        <f t="array" ref="W641">TEXT(EDATE($L641,{6}),"dd/mm/yyy") &amp; " to " &amp; TEXT(EDATE($L641,{9})-1,"dd/mm/yyyy")</f>
        <v>01/01/2027 to 31/03/2027</v>
      </c>
      <c r="X641" s="363"/>
      <c r="Y641" s="381" t="str" cm="1">
        <f t="array" ref="Y641">TEXT(EDATE($L641,{9}),"dd/mm/yyy") &amp; " to " &amp; TEXT(EDATE($L641,{12})-1,"dd/mm/yyyy")</f>
        <v>01/04/2027 to 30/06/2027</v>
      </c>
      <c r="AE641" s="376" t="s">
        <v>619</v>
      </c>
      <c r="AF641" s="380" t="s">
        <v>63</v>
      </c>
      <c r="AG641" s="367">
        <v>4</v>
      </c>
      <c r="AH641" s="376" t="s">
        <v>667</v>
      </c>
    </row>
    <row r="642" spans="1:34" ht="15" hidden="1" customHeight="1" x14ac:dyDescent="0.3">
      <c r="B642" s="367" t="s">
        <v>11</v>
      </c>
      <c r="C642" s="699" t="s">
        <v>2008</v>
      </c>
      <c r="D642" s="818" t="s">
        <v>1114</v>
      </c>
      <c r="E642" s="701">
        <v>8000195793</v>
      </c>
      <c r="F642" s="640">
        <v>46231</v>
      </c>
      <c r="G642" s="525" t="s">
        <v>55</v>
      </c>
      <c r="H642" s="540">
        <v>1</v>
      </c>
      <c r="I642" s="549">
        <v>98325</v>
      </c>
      <c r="J642" s="540">
        <v>3</v>
      </c>
      <c r="K642" s="370">
        <f t="shared" si="28"/>
        <v>32775</v>
      </c>
      <c r="L642" s="705">
        <v>46204</v>
      </c>
      <c r="M642" s="705">
        <v>46568</v>
      </c>
      <c r="P642" s="376" t="s">
        <v>520</v>
      </c>
      <c r="S642" s="706" t="str" cm="1">
        <f t="array" ref="S642">TEXT(EDATE($L642,{0}),"dd/mm/yyy") &amp; " to " &amp; TEXT(EDATE($L642,{4})-1,"dd/mm/yyyy")</f>
        <v>01/07/2026 to 31/10/2026</v>
      </c>
      <c r="U642" s="706" t="str" cm="1">
        <f t="array" ref="U642">TEXT(EDATE($L642,{4}),"dd/mm/yyy") &amp; " to " &amp; TEXT(EDATE($L642,{8})-1,"dd/mm/yyyy")</f>
        <v>01/11/2026 to 28/02/2027</v>
      </c>
      <c r="W642" s="706" t="str" cm="1">
        <f t="array" ref="W642">TEXT(EDATE($L642,{8}),"dd/mm/yyy") &amp; " to " &amp; TEXT(EDATE($L642,{12})-1,"dd/mm/yyyy")</f>
        <v>01/03/2027 to 30/06/2027</v>
      </c>
      <c r="AE642" s="376" t="s">
        <v>1893</v>
      </c>
      <c r="AF642" s="380" t="s">
        <v>97</v>
      </c>
      <c r="AG642" s="367">
        <v>2</v>
      </c>
      <c r="AH642" s="376" t="s">
        <v>667</v>
      </c>
    </row>
    <row r="643" spans="1:34" ht="15" hidden="1" customHeight="1" x14ac:dyDescent="0.3">
      <c r="B643" s="367" t="s">
        <v>11</v>
      </c>
      <c r="C643" s="699" t="s">
        <v>2009</v>
      </c>
      <c r="D643" s="806" t="s">
        <v>151</v>
      </c>
      <c r="E643" s="805">
        <v>4514522681</v>
      </c>
      <c r="F643" s="641">
        <v>46232</v>
      </c>
      <c r="G643" s="525" t="s">
        <v>55</v>
      </c>
      <c r="H643" s="380">
        <v>10</v>
      </c>
      <c r="I643" s="388">
        <v>500000</v>
      </c>
      <c r="J643" s="380">
        <v>3</v>
      </c>
      <c r="K643" s="389">
        <f t="shared" si="28"/>
        <v>166666.66666666666</v>
      </c>
      <c r="L643" s="807">
        <v>46174</v>
      </c>
      <c r="M643" s="807">
        <v>46538</v>
      </c>
      <c r="N643" s="663"/>
      <c r="O643" s="680"/>
      <c r="P643" s="363" t="s">
        <v>520</v>
      </c>
      <c r="Q643" s="380"/>
      <c r="R643" s="380"/>
      <c r="S643" s="381" t="str" cm="1">
        <f t="array" ref="S643">TEXT(EDATE($L643,{0}),"dd/mm/yyy") &amp; " to " &amp; TEXT(EDATE($L643,{4})-1,"dd/mm/yyyy")</f>
        <v>01/06/2026 to 30/09/2026</v>
      </c>
      <c r="T643" s="363"/>
      <c r="U643" s="381" t="str" cm="1">
        <f t="array" ref="U643">TEXT(EDATE($L643,{4}),"dd/mm/yyy") &amp; " to " &amp; TEXT(EDATE($L643,{8})-1,"dd/mm/yyyy")</f>
        <v>01/10/2026 to 31/01/2027</v>
      </c>
      <c r="V643" s="363"/>
      <c r="W643" s="381" t="str" cm="1">
        <f t="array" ref="W643">TEXT(EDATE($L643,{8}),"dd/mm/yyy") &amp; " to " &amp; TEXT(EDATE($L643,{12})-1,"dd/mm/yyyy")</f>
        <v>01/02/2027 to 31/05/2027</v>
      </c>
      <c r="X643" s="363"/>
      <c r="Y643" s="363"/>
      <c r="Z643" s="363"/>
      <c r="AA643" s="363"/>
      <c r="AB643" s="363"/>
      <c r="AC643" s="363"/>
      <c r="AD643" s="363"/>
      <c r="AE643" s="363" t="s">
        <v>478</v>
      </c>
      <c r="AF643" s="380" t="s">
        <v>63</v>
      </c>
      <c r="AG643" s="380">
        <v>5</v>
      </c>
      <c r="AH643" s="363" t="s">
        <v>667</v>
      </c>
    </row>
    <row r="644" spans="1:34" ht="15" hidden="1" customHeight="1" x14ac:dyDescent="0.3">
      <c r="B644" s="367" t="s">
        <v>11</v>
      </c>
      <c r="C644" s="826" t="s">
        <v>2010</v>
      </c>
      <c r="D644" s="806" t="s">
        <v>1022</v>
      </c>
      <c r="E644" s="824">
        <v>1421087162</v>
      </c>
      <c r="F644" s="641">
        <v>46224</v>
      </c>
      <c r="G644" s="525" t="s">
        <v>55</v>
      </c>
      <c r="H644" s="380">
        <v>1</v>
      </c>
      <c r="I644" s="388">
        <v>88700</v>
      </c>
      <c r="J644" s="380">
        <v>2</v>
      </c>
      <c r="K644" s="389"/>
      <c r="L644" s="807">
        <v>46204</v>
      </c>
      <c r="M644" s="807">
        <v>46568</v>
      </c>
      <c r="N644" s="663"/>
      <c r="O644" s="680"/>
      <c r="P644" s="363" t="s">
        <v>520</v>
      </c>
      <c r="Q644" s="380"/>
      <c r="R644" s="380"/>
      <c r="S644" s="381" t="str" cm="1">
        <f t="array" ref="S644">TEXT(EDATE($L644,{0}),"dd/mm/yyy") &amp; " to " &amp; TEXT(EDATE($L644,{6})-1,"dd/mm/yyyy")</f>
        <v>01/07/2026 to 31/12/2026</v>
      </c>
      <c r="T644" s="363" t="s">
        <v>2148</v>
      </c>
      <c r="U644" s="381" t="str" cm="1">
        <f t="array" ref="U644">TEXT(EDATE($L644,{6}),"dd/mm/yyy") &amp; " to " &amp; TEXT(EDATE($L644,{12})-1,"dd/mm/yyyy")</f>
        <v>01/01/2027 to 30/06/2027</v>
      </c>
      <c r="V644" s="363"/>
      <c r="W644" s="363"/>
      <c r="X644" s="363"/>
      <c r="Y644" s="363"/>
      <c r="Z644" s="363"/>
      <c r="AA644" s="363"/>
      <c r="AB644" s="363"/>
      <c r="AC644" s="363"/>
      <c r="AD644" s="363"/>
      <c r="AE644" s="363" t="s">
        <v>485</v>
      </c>
      <c r="AF644" s="380" t="s">
        <v>63</v>
      </c>
      <c r="AG644" s="380">
        <v>2</v>
      </c>
      <c r="AH644" s="363" t="s">
        <v>1060</v>
      </c>
    </row>
    <row r="645" spans="1:34" ht="15" hidden="1" customHeight="1" x14ac:dyDescent="0.3">
      <c r="B645" s="367" t="s">
        <v>13</v>
      </c>
      <c r="C645" s="707" t="s">
        <v>1103</v>
      </c>
      <c r="D645" s="708" t="s">
        <v>1088</v>
      </c>
      <c r="E645" s="50" t="s">
        <v>2088</v>
      </c>
      <c r="F645" s="343">
        <v>46237</v>
      </c>
      <c r="G645" s="319" t="s">
        <v>55</v>
      </c>
      <c r="I645" s="384">
        <v>66000</v>
      </c>
      <c r="J645" s="367">
        <v>4</v>
      </c>
      <c r="K645" s="9">
        <f t="shared" ref="K645:K651" si="29">I645/J645</f>
        <v>16500</v>
      </c>
      <c r="L645" s="348">
        <v>46235</v>
      </c>
      <c r="M645" s="348">
        <v>46599</v>
      </c>
      <c r="P645" s="58" t="s">
        <v>520</v>
      </c>
      <c r="S645" s="57" t="str" cm="1">
        <f t="array" ref="S645">TEXT(EDATE($L645,{0}),"dd/mm/yyy") &amp; " to " &amp; TEXT(EDATE($L645,{3})-1,"dd/mm/yyyy")</f>
        <v>01/08/2026 to 31/10/2026</v>
      </c>
      <c r="T645" s="58"/>
      <c r="U645" s="57" t="str" cm="1">
        <f t="array" ref="U645">TEXT(EDATE($L645,{3}),"dd/mm/yyy") &amp; " to " &amp; TEXT(EDATE($L645,{6})-1,"dd/mm/yyyy")</f>
        <v>01/11/2026 to 31/01/2027</v>
      </c>
      <c r="V645" s="58"/>
      <c r="W645" s="57" t="str" cm="1">
        <f t="array" ref="W645">TEXT(EDATE($L645,{6}),"dd/mm/yyy") &amp; " to " &amp; TEXT(EDATE($L645,{9})-1,"dd/mm/yyyy")</f>
        <v>01/02/2027 to 30/04/2027</v>
      </c>
      <c r="X645" s="58"/>
      <c r="Y645" s="57" t="str" cm="1">
        <f t="array" ref="Y645">TEXT(EDATE($L645,{9}),"dd/mm/yyy") &amp; " to " &amp; TEXT(EDATE($L645,{12})-1,"dd/mm/yyyy")</f>
        <v>01/05/2027 to 31/07/2027</v>
      </c>
      <c r="AE645" s="376" t="s">
        <v>96</v>
      </c>
      <c r="AF645" s="380" t="s">
        <v>97</v>
      </c>
      <c r="AG645" s="367" t="s">
        <v>494</v>
      </c>
      <c r="AH645" s="376" t="s">
        <v>2089</v>
      </c>
    </row>
    <row r="646" spans="1:34" ht="15" hidden="1" customHeight="1" x14ac:dyDescent="0.3">
      <c r="B646" s="367" t="s">
        <v>13</v>
      </c>
      <c r="C646" s="707" t="s">
        <v>1103</v>
      </c>
      <c r="D646" s="708" t="s">
        <v>1088</v>
      </c>
      <c r="E646" s="50" t="s">
        <v>2088</v>
      </c>
      <c r="F646" s="343">
        <v>46237</v>
      </c>
      <c r="G646" s="319" t="s">
        <v>55</v>
      </c>
      <c r="H646" s="367">
        <v>1</v>
      </c>
      <c r="I646" s="384">
        <v>66000</v>
      </c>
      <c r="J646" s="367">
        <v>4</v>
      </c>
      <c r="K646" s="9">
        <f t="shared" si="29"/>
        <v>16500</v>
      </c>
      <c r="L646" s="352">
        <v>46600</v>
      </c>
      <c r="M646" s="352">
        <v>46965</v>
      </c>
      <c r="P646" s="58" t="s">
        <v>520</v>
      </c>
      <c r="S646" s="57" t="str" cm="1">
        <f t="array" ref="S646">TEXT(EDATE($L646,{0}),"dd/mm/yyy") &amp; " to " &amp; TEXT(EDATE($L646,{3})-1,"dd/mm/yyyy")</f>
        <v>01/08/2027 to 31/10/2027</v>
      </c>
      <c r="T646" s="58"/>
      <c r="U646" s="57" t="str" cm="1">
        <f t="array" ref="U646">TEXT(EDATE($L646,{3}),"dd/mm/yyy") &amp; " to " &amp; TEXT(EDATE($L646,{6})-1,"dd/mm/yyyy")</f>
        <v>01/11/2027 to 31/01/2028</v>
      </c>
      <c r="V646" s="58"/>
      <c r="W646" s="57" t="str" cm="1">
        <f t="array" ref="W646">TEXT(EDATE($L646,{6}),"dd/mm/yyy") &amp; " to " &amp; TEXT(EDATE($L646,{9})-1,"dd/mm/yyyy")</f>
        <v>01/02/2028 to 30/04/2028</v>
      </c>
      <c r="X646" s="58"/>
      <c r="Y646" s="57" t="str" cm="1">
        <f t="array" ref="Y646">TEXT(EDATE($L646,{9}),"dd/mm/yyy") &amp; " to " &amp; TEXT(EDATE($L646,{12})-1,"dd/mm/yyyy")</f>
        <v>01/05/2028 to 31/07/2028</v>
      </c>
      <c r="AE646" s="376" t="s">
        <v>96</v>
      </c>
      <c r="AF646" s="380" t="s">
        <v>97</v>
      </c>
      <c r="AG646" s="367" t="s">
        <v>494</v>
      </c>
      <c r="AH646" s="376" t="s">
        <v>2089</v>
      </c>
    </row>
    <row r="647" spans="1:34" ht="15" hidden="1" customHeight="1" x14ac:dyDescent="0.3">
      <c r="B647" s="367" t="s">
        <v>13</v>
      </c>
      <c r="C647" s="630" t="s">
        <v>150</v>
      </c>
      <c r="D647" s="818" t="s">
        <v>447</v>
      </c>
      <c r="E647" s="805">
        <v>4200390534</v>
      </c>
      <c r="F647" s="641">
        <v>46179</v>
      </c>
      <c r="G647" s="319" t="s">
        <v>55</v>
      </c>
      <c r="H647" s="380">
        <v>3</v>
      </c>
      <c r="I647" s="384">
        <v>195000</v>
      </c>
      <c r="J647" s="367">
        <v>2</v>
      </c>
      <c r="K647" s="9">
        <f t="shared" si="29"/>
        <v>97500</v>
      </c>
      <c r="L647" s="631">
        <v>46204</v>
      </c>
      <c r="M647" s="631">
        <v>46568</v>
      </c>
      <c r="P647" s="58" t="s">
        <v>520</v>
      </c>
      <c r="S647" s="381" t="str" cm="1">
        <f t="array" ref="S647">TEXT(EDATE($L647,{0}),"dd/mm/yyy") &amp; " to " &amp; TEXT(EDATE($L647,{6})-1,"dd/mm/yyyy")</f>
        <v>01/07/2026 to 31/12/2026</v>
      </c>
      <c r="T647" s="363"/>
      <c r="U647" s="381" t="str" cm="1">
        <f t="array" ref="U647">TEXT(EDATE($L647,{6}),"dd/mm/yyy") &amp; " to " &amp; TEXT(EDATE($L647,{12})-1,"dd/mm/yyyy")</f>
        <v>01/01/2027 to 30/06/2027</v>
      </c>
      <c r="AE647" s="376" t="s">
        <v>96</v>
      </c>
      <c r="AF647" s="380" t="s">
        <v>97</v>
      </c>
      <c r="AG647" s="367" t="s">
        <v>494</v>
      </c>
      <c r="AH647" s="376" t="s">
        <v>667</v>
      </c>
    </row>
    <row r="648" spans="1:34" ht="15" hidden="1" customHeight="1" x14ac:dyDescent="0.3">
      <c r="A648" s="376" t="s">
        <v>2149</v>
      </c>
      <c r="B648" s="367" t="s">
        <v>13</v>
      </c>
      <c r="C648" s="630" t="s">
        <v>1796</v>
      </c>
      <c r="D648" s="632" t="s">
        <v>757</v>
      </c>
      <c r="E648" s="715">
        <v>2265008138</v>
      </c>
      <c r="F648" s="641">
        <v>46239</v>
      </c>
      <c r="G648" s="319" t="s">
        <v>55</v>
      </c>
      <c r="H648" s="380">
        <v>2</v>
      </c>
      <c r="I648" s="384">
        <v>166999.79999999999</v>
      </c>
      <c r="J648" s="367">
        <v>3</v>
      </c>
      <c r="K648" s="9">
        <f t="shared" si="29"/>
        <v>55666.6</v>
      </c>
      <c r="L648" s="631">
        <v>46113</v>
      </c>
      <c r="M648" s="631">
        <v>46477</v>
      </c>
      <c r="P648" s="58" t="s">
        <v>520</v>
      </c>
      <c r="S648" s="381" t="str" cm="1">
        <f t="array" ref="S648">TEXT(EDATE($L648,{0}),"dd/mm/yyy") &amp; " to " &amp; TEXT(EDATE($L648,{4})-1,"dd/mm/yyyy")</f>
        <v>01/04/2026 to 31/07/2026</v>
      </c>
      <c r="T648" s="363"/>
      <c r="U648" s="381" t="str" cm="1">
        <f t="array" ref="U648">TEXT(EDATE($L648,{4}),"dd/mm/yyy") &amp; " to " &amp; TEXT(EDATE($L648,{8})-1,"dd/mm/yyyy")</f>
        <v>01/08/2026 to 30/11/2026</v>
      </c>
      <c r="V648" s="363"/>
      <c r="W648" s="381" t="str" cm="1">
        <f t="array" ref="W648">TEXT(EDATE($L648,{8}),"dd/mm/yyy") &amp; " to " &amp; TEXT(EDATE($L648,{12})-1,"dd/mm/yyyy")</f>
        <v>01/12/2026 to 31/03/2027</v>
      </c>
      <c r="AE648" s="376" t="s">
        <v>507</v>
      </c>
      <c r="AF648" s="380" t="s">
        <v>63</v>
      </c>
      <c r="AG648" s="367">
        <v>3</v>
      </c>
      <c r="AH648" s="376" t="s">
        <v>1898</v>
      </c>
    </row>
    <row r="649" spans="1:34" ht="15" hidden="1" customHeight="1" x14ac:dyDescent="0.3">
      <c r="B649" s="367" t="s">
        <v>13</v>
      </c>
      <c r="C649" s="806" t="s">
        <v>195</v>
      </c>
      <c r="D649" s="806" t="s">
        <v>447</v>
      </c>
      <c r="E649" s="805" t="s">
        <v>2090</v>
      </c>
      <c r="F649" s="641">
        <v>46241</v>
      </c>
      <c r="G649" s="319" t="s">
        <v>55</v>
      </c>
      <c r="H649" s="540">
        <v>1</v>
      </c>
      <c r="I649" s="384">
        <v>65500</v>
      </c>
      <c r="J649" s="367">
        <v>4</v>
      </c>
      <c r="K649" s="9">
        <f t="shared" si="29"/>
        <v>16375</v>
      </c>
      <c r="L649" s="807">
        <v>46242</v>
      </c>
      <c r="M649" s="807">
        <v>46606</v>
      </c>
      <c r="P649" s="58" t="s">
        <v>520</v>
      </c>
      <c r="S649" s="57" t="str" cm="1">
        <f t="array" ref="S649">TEXT(EDATE($L649,{0}),"dd/mm/yyy") &amp; " to " &amp; TEXT(EDATE($L649,{3})-1,"dd/mm/yyyy")</f>
        <v>08/08/2026 to 07/11/2026</v>
      </c>
      <c r="T649" s="58"/>
      <c r="U649" s="57" t="str" cm="1">
        <f t="array" ref="U649">TEXT(EDATE($L649,{3}),"dd/mm/yyy") &amp; " to " &amp; TEXT(EDATE($L649,{6})-1,"dd/mm/yyyy")</f>
        <v>08/11/2026 to 07/02/2027</v>
      </c>
      <c r="V649" s="58"/>
      <c r="W649" s="57" t="str" cm="1">
        <f t="array" ref="W649">TEXT(EDATE($L649,{6}),"dd/mm/yyy") &amp; " to " &amp; TEXT(EDATE($L649,{9})-1,"dd/mm/yyyy")</f>
        <v>08/02/2027 to 07/05/2027</v>
      </c>
      <c r="X649" s="58"/>
      <c r="Y649" s="57" t="str" cm="1">
        <f t="array" ref="Y649">TEXT(EDATE($L649,{9}),"dd/mm/yyy") &amp; " to " &amp; TEXT(EDATE($L649,{12})-1,"dd/mm/yyyy")</f>
        <v>08/05/2027 to 07/08/2027</v>
      </c>
      <c r="AE649" s="376" t="s">
        <v>96</v>
      </c>
      <c r="AF649" s="380" t="s">
        <v>97</v>
      </c>
      <c r="AG649" s="367" t="s">
        <v>494</v>
      </c>
      <c r="AH649" s="376" t="s">
        <v>667</v>
      </c>
    </row>
    <row r="650" spans="1:34" ht="15" hidden="1" customHeight="1" x14ac:dyDescent="0.3">
      <c r="B650" s="367" t="s">
        <v>13</v>
      </c>
      <c r="C650" s="810" t="s">
        <v>1063</v>
      </c>
      <c r="D650" s="810" t="s">
        <v>2091</v>
      </c>
      <c r="E650" s="833" t="s">
        <v>2092</v>
      </c>
      <c r="F650" s="641">
        <v>46227</v>
      </c>
      <c r="G650" s="319" t="s">
        <v>55</v>
      </c>
      <c r="H650" s="380">
        <v>7</v>
      </c>
      <c r="I650" s="384">
        <v>595000</v>
      </c>
      <c r="J650" s="367">
        <v>3</v>
      </c>
      <c r="K650" s="9">
        <f t="shared" si="29"/>
        <v>198333.33333333334</v>
      </c>
      <c r="L650" s="817">
        <v>46204</v>
      </c>
      <c r="M650" s="817">
        <v>46568</v>
      </c>
      <c r="P650" s="58" t="s">
        <v>520</v>
      </c>
      <c r="S650" s="381" t="str" cm="1">
        <f t="array" ref="S650">TEXT(EDATE($L650,{0}),"dd/mm/yyy") &amp; " to " &amp; TEXT(EDATE($L650,{4})-1,"dd/mm/yyyy")</f>
        <v>01/07/2026 to 31/10/2026</v>
      </c>
      <c r="T650" s="363"/>
      <c r="U650" s="381" t="str" cm="1">
        <f t="array" ref="U650">TEXT(EDATE($L650,{4}),"dd/mm/yyy") &amp; " to " &amp; TEXT(EDATE($L650,{8})-1,"dd/mm/yyyy")</f>
        <v>01/11/2026 to 28/02/2027</v>
      </c>
      <c r="V650" s="363"/>
      <c r="W650" s="381" t="str" cm="1">
        <f t="array" ref="W650">TEXT(EDATE($L650,{8}),"dd/mm/yyy") &amp; " to " &amp; TEXT(EDATE($L650,{12})-1,"dd/mm/yyyy")</f>
        <v>01/03/2027 to 30/06/2027</v>
      </c>
      <c r="AE650" s="376" t="s">
        <v>507</v>
      </c>
      <c r="AF650" s="380" t="s">
        <v>63</v>
      </c>
      <c r="AG650" s="367">
        <v>3</v>
      </c>
      <c r="AH650" s="376" t="s">
        <v>835</v>
      </c>
    </row>
    <row r="651" spans="1:34" ht="15" hidden="1" customHeight="1" x14ac:dyDescent="0.3">
      <c r="A651" s="376" t="s">
        <v>2093</v>
      </c>
      <c r="B651" s="367" t="s">
        <v>13</v>
      </c>
      <c r="C651" s="630" t="s">
        <v>195</v>
      </c>
      <c r="D651" s="386" t="s">
        <v>196</v>
      </c>
      <c r="E651" s="380" t="s">
        <v>2094</v>
      </c>
      <c r="F651" s="644">
        <v>46244</v>
      </c>
      <c r="G651" s="319" t="s">
        <v>55</v>
      </c>
      <c r="H651" s="380"/>
      <c r="I651" s="384">
        <v>846300</v>
      </c>
      <c r="J651" s="367">
        <v>4</v>
      </c>
      <c r="K651" s="9">
        <f t="shared" si="29"/>
        <v>211575</v>
      </c>
      <c r="L651" s="639">
        <v>46299</v>
      </c>
      <c r="M651" s="639">
        <v>46663</v>
      </c>
      <c r="P651" s="363" t="s">
        <v>520</v>
      </c>
      <c r="S651" s="381" t="str" cm="1">
        <f t="array" ref="S651">TEXT(EDATE($L651,{0}),"dd/mm/yyy") &amp; " to " &amp; TEXT(EDATE($L651,{3})-1,"dd/mm/yyyy")</f>
        <v>04/10/2026 to 03/01/2027</v>
      </c>
      <c r="T651" s="363"/>
      <c r="U651" s="381" t="str" cm="1">
        <f t="array" ref="U651">TEXT(EDATE($L651,{3}),"dd/mm/yyy") &amp; " to " &amp; TEXT(EDATE($L651,{6})-1,"dd/mm/yyyy")</f>
        <v>04/01/2027 to 03/04/2027</v>
      </c>
      <c r="V651" s="363"/>
      <c r="W651" s="381" t="str" cm="1">
        <f t="array" ref="W651">TEXT(EDATE($L651,{6}),"dd/mm/yyy") &amp; " to " &amp; TEXT(EDATE($L651,{9})-1,"dd/mm/yyyy")</f>
        <v>04/04/2027 to 03/07/2027</v>
      </c>
      <c r="X651" s="363"/>
      <c r="Y651" s="381" t="str" cm="1">
        <f t="array" ref="Y651">TEXT(EDATE($L651,{9}),"dd/mm/yyy") &amp; " to " &amp; TEXT(EDATE($L651,{12})-1,"dd/mm/yyyy")</f>
        <v>04/07/2027 to 03/10/2027</v>
      </c>
      <c r="AE651" s="376" t="s">
        <v>2095</v>
      </c>
      <c r="AF651" s="380" t="s">
        <v>207</v>
      </c>
      <c r="AG651" s="380">
        <v>3</v>
      </c>
      <c r="AH651" s="376" t="s">
        <v>667</v>
      </c>
    </row>
    <row r="652" spans="1:34" ht="15" hidden="1" customHeight="1" x14ac:dyDescent="0.3">
      <c r="B652" s="367" t="s">
        <v>13</v>
      </c>
      <c r="C652" s="630" t="s">
        <v>195</v>
      </c>
      <c r="D652" s="386" t="s">
        <v>196</v>
      </c>
      <c r="E652" s="380" t="s">
        <v>2094</v>
      </c>
      <c r="F652" s="644">
        <v>46244</v>
      </c>
      <c r="G652" s="319" t="s">
        <v>55</v>
      </c>
      <c r="I652" s="384">
        <v>846300</v>
      </c>
      <c r="J652" s="367">
        <v>4</v>
      </c>
      <c r="K652" s="9">
        <f t="shared" ref="K652:K677" si="30">I652/J652</f>
        <v>211575</v>
      </c>
      <c r="L652" s="639">
        <v>46664</v>
      </c>
      <c r="M652" s="639">
        <v>47029</v>
      </c>
      <c r="P652" s="363" t="s">
        <v>520</v>
      </c>
      <c r="S652" s="381" t="str" cm="1">
        <f t="array" ref="S652">TEXT(EDATE($L652,{0}),"dd/mm/yyy") &amp; " to " &amp; TEXT(EDATE($L652,{3})-1,"dd/mm/yyyy")</f>
        <v>04/10/2027 to 03/01/2028</v>
      </c>
      <c r="T652" s="363"/>
      <c r="U652" s="381" t="str" cm="1">
        <f t="array" ref="U652">TEXT(EDATE($L652,{3}),"dd/mm/yyy") &amp; " to " &amp; TEXT(EDATE($L652,{6})-1,"dd/mm/yyyy")</f>
        <v>04/01/2028 to 03/04/2028</v>
      </c>
      <c r="V652" s="363"/>
      <c r="W652" s="381" t="str" cm="1">
        <f t="array" ref="W652">TEXT(EDATE($L652,{6}),"dd/mm/yyy") &amp; " to " &amp; TEXT(EDATE($L652,{9})-1,"dd/mm/yyyy")</f>
        <v>04/04/2028 to 03/07/2028</v>
      </c>
      <c r="X652" s="363"/>
      <c r="Y652" s="381" t="str" cm="1">
        <f t="array" ref="Y652">TEXT(EDATE($L652,{9}),"dd/mm/yyy") &amp; " to " &amp; TEXT(EDATE($L652,{12})-1,"dd/mm/yyyy")</f>
        <v>04/07/2028 to 03/10/2028</v>
      </c>
      <c r="AE652" s="376" t="s">
        <v>2095</v>
      </c>
      <c r="AF652" s="380" t="s">
        <v>207</v>
      </c>
      <c r="AG652" s="380">
        <v>3</v>
      </c>
      <c r="AH652" s="376" t="s">
        <v>667</v>
      </c>
    </row>
    <row r="653" spans="1:34" ht="15" hidden="1" customHeight="1" x14ac:dyDescent="0.3">
      <c r="B653" s="367" t="s">
        <v>13</v>
      </c>
      <c r="C653" s="630" t="s">
        <v>195</v>
      </c>
      <c r="D653" s="386" t="s">
        <v>196</v>
      </c>
      <c r="E653" s="380" t="s">
        <v>2094</v>
      </c>
      <c r="F653" s="644">
        <v>46244</v>
      </c>
      <c r="G653" s="319" t="s">
        <v>55</v>
      </c>
      <c r="I653" s="384">
        <v>846300</v>
      </c>
      <c r="J653" s="367">
        <v>4</v>
      </c>
      <c r="K653" s="9">
        <f t="shared" si="30"/>
        <v>211575</v>
      </c>
      <c r="L653" s="639">
        <v>47030</v>
      </c>
      <c r="M653" s="639">
        <v>47394</v>
      </c>
      <c r="P653" s="363" t="s">
        <v>520</v>
      </c>
      <c r="S653" s="381" t="str" cm="1">
        <f t="array" ref="S653">TEXT(EDATE($L653,{0}),"dd/mm/yyy") &amp; " to " &amp; TEXT(EDATE($L653,{3})-1,"dd/mm/yyyy")</f>
        <v>04/10/2028 to 03/01/2029</v>
      </c>
      <c r="T653" s="363"/>
      <c r="U653" s="381" t="str" cm="1">
        <f t="array" ref="U653">TEXT(EDATE($L653,{3}),"dd/mm/yyy") &amp; " to " &amp; TEXT(EDATE($L653,{6})-1,"dd/mm/yyyy")</f>
        <v>04/01/2029 to 03/04/2029</v>
      </c>
      <c r="V653" s="363"/>
      <c r="W653" s="381" t="str" cm="1">
        <f t="array" ref="W653">TEXT(EDATE($L653,{6}),"dd/mm/yyy") &amp; " to " &amp; TEXT(EDATE($L653,{9})-1,"dd/mm/yyyy")</f>
        <v>04/04/2029 to 03/07/2029</v>
      </c>
      <c r="X653" s="363"/>
      <c r="Y653" s="381" t="str" cm="1">
        <f t="array" ref="Y653">TEXT(EDATE($L653,{9}),"dd/mm/yyy") &amp; " to " &amp; TEXT(EDATE($L653,{12})-1,"dd/mm/yyyy")</f>
        <v>04/07/2029 to 03/10/2029</v>
      </c>
      <c r="AE653" s="376" t="s">
        <v>2095</v>
      </c>
      <c r="AF653" s="380" t="s">
        <v>207</v>
      </c>
      <c r="AG653" s="380">
        <v>3</v>
      </c>
      <c r="AH653" s="376" t="s">
        <v>667</v>
      </c>
    </row>
    <row r="654" spans="1:34" ht="15" hidden="1" customHeight="1" x14ac:dyDescent="0.3">
      <c r="B654" s="367" t="s">
        <v>13</v>
      </c>
      <c r="C654" s="630" t="s">
        <v>195</v>
      </c>
      <c r="D654" s="386" t="s">
        <v>196</v>
      </c>
      <c r="E654" s="380" t="s">
        <v>2094</v>
      </c>
      <c r="F654" s="644">
        <v>46244</v>
      </c>
      <c r="G654" s="319" t="s">
        <v>55</v>
      </c>
      <c r="I654" s="384">
        <v>846300</v>
      </c>
      <c r="J654" s="367">
        <v>4</v>
      </c>
      <c r="K654" s="9">
        <f t="shared" si="30"/>
        <v>211575</v>
      </c>
      <c r="L654" s="639">
        <v>47395</v>
      </c>
      <c r="M654" s="639">
        <v>47759</v>
      </c>
      <c r="P654" s="363" t="s">
        <v>520</v>
      </c>
      <c r="S654" s="381" t="str" cm="1">
        <f t="array" ref="S654">TEXT(EDATE($L654,{0}),"dd/mm/yyy") &amp; " to " &amp; TEXT(EDATE($L654,{3})-1,"dd/mm/yyyy")</f>
        <v>04/10/2029 to 03/01/2030</v>
      </c>
      <c r="T654" s="363"/>
      <c r="U654" s="381" t="str" cm="1">
        <f t="array" ref="U654">TEXT(EDATE($L654,{3}),"dd/mm/yyy") &amp; " to " &amp; TEXT(EDATE($L654,{6})-1,"dd/mm/yyyy")</f>
        <v>04/01/2030 to 03/04/2030</v>
      </c>
      <c r="V654" s="363"/>
      <c r="W654" s="381" t="str" cm="1">
        <f t="array" ref="W654">TEXT(EDATE($L654,{6}),"dd/mm/yyy") &amp; " to " &amp; TEXT(EDATE($L654,{9})-1,"dd/mm/yyyy")</f>
        <v>04/04/2030 to 03/07/2030</v>
      </c>
      <c r="X654" s="363"/>
      <c r="Y654" s="381" t="str" cm="1">
        <f t="array" ref="Y654">TEXT(EDATE($L654,{9}),"dd/mm/yyy") &amp; " to " &amp; TEXT(EDATE($L654,{12})-1,"dd/mm/yyyy")</f>
        <v>04/07/2030 to 03/10/2030</v>
      </c>
      <c r="AE654" s="376" t="s">
        <v>2095</v>
      </c>
      <c r="AF654" s="380" t="s">
        <v>207</v>
      </c>
      <c r="AG654" s="380">
        <v>3</v>
      </c>
      <c r="AH654" s="376" t="s">
        <v>667</v>
      </c>
    </row>
    <row r="655" spans="1:34" ht="15" hidden="1" customHeight="1" x14ac:dyDescent="0.3">
      <c r="B655" s="367" t="s">
        <v>13</v>
      </c>
      <c r="C655" s="630" t="s">
        <v>195</v>
      </c>
      <c r="D655" s="386" t="s">
        <v>196</v>
      </c>
      <c r="E655" s="380" t="s">
        <v>2094</v>
      </c>
      <c r="F655" s="644">
        <v>46244</v>
      </c>
      <c r="G655" s="319" t="s">
        <v>55</v>
      </c>
      <c r="H655" s="367">
        <v>13</v>
      </c>
      <c r="I655" s="384">
        <v>846300</v>
      </c>
      <c r="J655" s="367">
        <v>4</v>
      </c>
      <c r="K655" s="9">
        <f t="shared" si="30"/>
        <v>211575</v>
      </c>
      <c r="L655" s="639">
        <v>47760</v>
      </c>
      <c r="M655" s="639">
        <v>48124</v>
      </c>
      <c r="P655" s="363" t="s">
        <v>520</v>
      </c>
      <c r="S655" s="381" t="str" cm="1">
        <f t="array" ref="S655">TEXT(EDATE($L655,{0}),"dd/mm/yyy") &amp; " to " &amp; TEXT(EDATE($L655,{3})-1,"dd/mm/yyyy")</f>
        <v>04/10/2030 to 03/01/2031</v>
      </c>
      <c r="T655" s="363"/>
      <c r="U655" s="381" t="str" cm="1">
        <f t="array" ref="U655">TEXT(EDATE($L655,{3}),"dd/mm/yyy") &amp; " to " &amp; TEXT(EDATE($L655,{6})-1,"dd/mm/yyyy")</f>
        <v>04/01/2031 to 03/04/2031</v>
      </c>
      <c r="V655" s="363"/>
      <c r="W655" s="381" t="str" cm="1">
        <f t="array" ref="W655">TEXT(EDATE($L655,{6}),"dd/mm/yyy") &amp; " to " &amp; TEXT(EDATE($L655,{9})-1,"dd/mm/yyyy")</f>
        <v>04/04/2031 to 03/07/2031</v>
      </c>
      <c r="X655" s="363"/>
      <c r="Y655" s="381" t="str" cm="1">
        <f t="array" ref="Y655">TEXT(EDATE($L655,{9}),"dd/mm/yyy") &amp; " to " &amp; TEXT(EDATE($L655,{12})-1,"dd/mm/yyyy")</f>
        <v>04/07/2031 to 03/10/2031</v>
      </c>
      <c r="AE655" s="376" t="s">
        <v>2095</v>
      </c>
      <c r="AF655" s="380" t="s">
        <v>207</v>
      </c>
      <c r="AG655" s="380">
        <v>3</v>
      </c>
      <c r="AH655" s="376" t="s">
        <v>667</v>
      </c>
    </row>
    <row r="656" spans="1:34" ht="15" hidden="1" customHeight="1" x14ac:dyDescent="0.3">
      <c r="B656" s="367" t="s">
        <v>13</v>
      </c>
      <c r="C656" s="806" t="s">
        <v>2096</v>
      </c>
      <c r="D656" s="806" t="s">
        <v>176</v>
      </c>
      <c r="E656" s="834" t="s">
        <v>2097</v>
      </c>
      <c r="F656" s="641">
        <v>46245</v>
      </c>
      <c r="G656" s="319" t="s">
        <v>55</v>
      </c>
      <c r="H656" s="540">
        <v>1</v>
      </c>
      <c r="I656" s="384">
        <v>105000</v>
      </c>
      <c r="J656" s="367">
        <v>3</v>
      </c>
      <c r="K656" s="9">
        <f t="shared" si="30"/>
        <v>35000</v>
      </c>
      <c r="L656" s="807">
        <v>46204</v>
      </c>
      <c r="M656" s="807">
        <v>46568</v>
      </c>
      <c r="P656" s="363" t="s">
        <v>520</v>
      </c>
      <c r="S656" s="381" t="str" cm="1">
        <f t="array" ref="S656">TEXT(EDATE($L656,{0}),"dd/mm/yyy") &amp; " to " &amp; TEXT(EDATE($L656,{4})-1,"dd/mm/yyyy")</f>
        <v>01/07/2026 to 31/10/2026</v>
      </c>
      <c r="T656" s="363"/>
      <c r="U656" s="381" t="str" cm="1">
        <f t="array" ref="U656">TEXT(EDATE($L656,{4}),"dd/mm/yyy") &amp; " to " &amp; TEXT(EDATE($L656,{8})-1,"dd/mm/yyyy")</f>
        <v>01/11/2026 to 28/02/2027</v>
      </c>
      <c r="V656" s="363"/>
      <c r="W656" s="381" t="str" cm="1">
        <f t="array" ref="W656">TEXT(EDATE($L656,{8}),"dd/mm/yyy") &amp; " to " &amp; TEXT(EDATE($L656,{12})-1,"dd/mm/yyyy")</f>
        <v>01/03/2027 to 30/06/2027</v>
      </c>
      <c r="AE656" s="376" t="s">
        <v>1893</v>
      </c>
      <c r="AF656" s="380" t="s">
        <v>97</v>
      </c>
      <c r="AG656" s="367">
        <v>3</v>
      </c>
      <c r="AH656" s="376" t="s">
        <v>2098</v>
      </c>
    </row>
    <row r="657" spans="1:34" ht="15" hidden="1" customHeight="1" x14ac:dyDescent="0.3">
      <c r="B657" s="367" t="s">
        <v>13</v>
      </c>
      <c r="C657" s="806" t="s">
        <v>1087</v>
      </c>
      <c r="D657" s="806" t="s">
        <v>1088</v>
      </c>
      <c r="E657" s="805" t="s">
        <v>2099</v>
      </c>
      <c r="F657" s="641">
        <v>46238</v>
      </c>
      <c r="G657" s="319" t="s">
        <v>55</v>
      </c>
      <c r="H657" s="540">
        <v>2</v>
      </c>
      <c r="I657" s="384">
        <v>240000</v>
      </c>
      <c r="J657" s="367">
        <v>2</v>
      </c>
      <c r="K657" s="9">
        <f t="shared" si="30"/>
        <v>120000</v>
      </c>
      <c r="L657" s="807">
        <v>46235</v>
      </c>
      <c r="M657" s="807">
        <v>46599</v>
      </c>
      <c r="P657" s="363" t="s">
        <v>520</v>
      </c>
      <c r="S657" s="381" t="str" cm="1">
        <f t="array" ref="S657">TEXT(EDATE($L657,{0}),"dd/mm/yyy") &amp; " to " &amp; TEXT(EDATE($L657,{6})-1,"dd/mm/yyyy")</f>
        <v>01/08/2026 to 31/01/2027</v>
      </c>
      <c r="T657" s="363"/>
      <c r="U657" s="381" t="str" cm="1">
        <f t="array" ref="U657">TEXT(EDATE($L657,{6}),"dd/mm/yyy") &amp; " to " &amp; TEXT(EDATE($L657,{12})-1,"dd/mm/yyyy")</f>
        <v>01/02/2027 to 31/07/2027</v>
      </c>
      <c r="AE657" s="376" t="s">
        <v>96</v>
      </c>
      <c r="AF657" s="380" t="s">
        <v>97</v>
      </c>
      <c r="AG657" s="367">
        <v>8</v>
      </c>
      <c r="AH657" s="376" t="s">
        <v>2100</v>
      </c>
    </row>
    <row r="658" spans="1:34" ht="15" hidden="1" customHeight="1" x14ac:dyDescent="0.3">
      <c r="B658" s="367" t="s">
        <v>13</v>
      </c>
      <c r="C658" s="630" t="s">
        <v>1174</v>
      </c>
      <c r="D658" s="818" t="s">
        <v>447</v>
      </c>
      <c r="E658" s="716" t="s">
        <v>2101</v>
      </c>
      <c r="F658" s="641">
        <v>46244</v>
      </c>
      <c r="G658" s="319" t="s">
        <v>55</v>
      </c>
      <c r="H658" s="380">
        <v>4</v>
      </c>
      <c r="I658" s="384">
        <v>244945.92000000001</v>
      </c>
      <c r="J658" s="367">
        <v>3</v>
      </c>
      <c r="K658" s="9">
        <f t="shared" si="30"/>
        <v>81648.639999999999</v>
      </c>
      <c r="L658" s="631">
        <v>46218</v>
      </c>
      <c r="M658" s="631">
        <v>46582</v>
      </c>
      <c r="P658" s="363" t="s">
        <v>520</v>
      </c>
      <c r="S658" s="381" t="str" cm="1">
        <f t="array" ref="S658">TEXT(EDATE($L658,{0}),"dd/mm/yyy") &amp; " to " &amp; TEXT(EDATE($L658,{4})-1,"dd/mm/yyyy")</f>
        <v>15/07/2026 to 14/11/2026</v>
      </c>
      <c r="T658" s="363"/>
      <c r="U658" s="381" t="str" cm="1">
        <f t="array" ref="U658">TEXT(EDATE($L658,{4}),"dd/mm/yyy") &amp; " to " &amp; TEXT(EDATE($L658,{8})-1,"dd/mm/yyyy")</f>
        <v>15/11/2026 to 14/03/2027</v>
      </c>
      <c r="V658" s="363"/>
      <c r="W658" s="381" t="str" cm="1">
        <f t="array" ref="W658">TEXT(EDATE($L658,{8}),"dd/mm/yyy") &amp; " to " &amp; TEXT(EDATE($L658,{12})-1,"dd/mm/yyyy")</f>
        <v>15/03/2027 to 14/07/2027</v>
      </c>
      <c r="AE658" s="376" t="s">
        <v>281</v>
      </c>
      <c r="AF658" s="367" t="s">
        <v>97</v>
      </c>
      <c r="AG658" s="367">
        <v>3</v>
      </c>
      <c r="AH658" s="376" t="s">
        <v>667</v>
      </c>
    </row>
    <row r="659" spans="1:34" ht="15" hidden="1" customHeight="1" x14ac:dyDescent="0.3">
      <c r="A659" s="376" t="s">
        <v>2102</v>
      </c>
      <c r="B659" s="367" t="s">
        <v>13</v>
      </c>
      <c r="C659" s="806" t="s">
        <v>527</v>
      </c>
      <c r="D659" s="806" t="s">
        <v>151</v>
      </c>
      <c r="E659" s="805" t="s">
        <v>2103</v>
      </c>
      <c r="F659" s="641">
        <v>46248</v>
      </c>
      <c r="G659" s="319" t="s">
        <v>55</v>
      </c>
      <c r="H659" s="367">
        <v>2</v>
      </c>
      <c r="I659" s="384">
        <v>177984</v>
      </c>
      <c r="J659" s="367">
        <v>3</v>
      </c>
      <c r="K659" s="9">
        <f t="shared" si="30"/>
        <v>59328</v>
      </c>
      <c r="L659" s="807">
        <v>46266</v>
      </c>
      <c r="M659" s="807">
        <v>46630</v>
      </c>
      <c r="P659" s="363" t="s">
        <v>520</v>
      </c>
      <c r="S659" s="381" t="str" cm="1">
        <f t="array" ref="S659">TEXT(EDATE($L659,{0}),"dd/mm/yyy") &amp; " to " &amp; TEXT(EDATE($L659,{4})-1,"dd/mm/yyyy")</f>
        <v>01/09/2026 to 31/12/2026</v>
      </c>
      <c r="U659" s="381" t="str" cm="1">
        <f t="array" ref="U659">TEXT(EDATE($L659,{4}),"dd/mm/yyy") &amp; " to " &amp; TEXT(EDATE($L659,{8})-1,"dd/mm/yyyy")</f>
        <v>01/01/2027 to 30/04/2027</v>
      </c>
      <c r="W659" s="381" t="str" cm="1">
        <f t="array" ref="W659">TEXT(EDATE($L659,{8}),"dd/mm/yyy") &amp; " to " &amp; TEXT(EDATE($L659,{12})-1,"dd/mm/yyyy")</f>
        <v>01/05/2027 to 31/08/2027</v>
      </c>
      <c r="AE659" s="376" t="s">
        <v>507</v>
      </c>
      <c r="AF659" s="367" t="s">
        <v>63</v>
      </c>
      <c r="AG659" s="367">
        <v>3</v>
      </c>
      <c r="AH659" s="376" t="s">
        <v>799</v>
      </c>
    </row>
    <row r="660" spans="1:34" ht="15" hidden="1" customHeight="1" x14ac:dyDescent="0.3">
      <c r="A660" s="376" t="s">
        <v>2102</v>
      </c>
      <c r="B660" s="367" t="s">
        <v>13</v>
      </c>
      <c r="C660" s="806" t="s">
        <v>527</v>
      </c>
      <c r="D660" s="806" t="s">
        <v>151</v>
      </c>
      <c r="E660" s="805" t="s">
        <v>2104</v>
      </c>
      <c r="F660" s="644">
        <v>46245</v>
      </c>
      <c r="G660" s="319" t="s">
        <v>55</v>
      </c>
      <c r="H660" s="367">
        <v>1</v>
      </c>
      <c r="I660" s="384">
        <v>88992</v>
      </c>
      <c r="J660" s="367">
        <v>3</v>
      </c>
      <c r="K660" s="9">
        <f t="shared" si="30"/>
        <v>29664</v>
      </c>
      <c r="L660" s="807">
        <v>46266</v>
      </c>
      <c r="M660" s="807">
        <v>46630</v>
      </c>
      <c r="P660" s="363" t="s">
        <v>520</v>
      </c>
      <c r="S660" s="381" t="str" cm="1">
        <f t="array" ref="S660">TEXT(EDATE($L660,{0}),"dd/mm/yyy") &amp; " to " &amp; TEXT(EDATE($L660,{4})-1,"dd/mm/yyyy")</f>
        <v>01/09/2026 to 31/12/2026</v>
      </c>
      <c r="U660" s="381" t="str" cm="1">
        <f t="array" ref="U660">TEXT(EDATE($L660,{4}),"dd/mm/yyy") &amp; " to " &amp; TEXT(EDATE($L660,{8})-1,"dd/mm/yyyy")</f>
        <v>01/01/2027 to 30/04/2027</v>
      </c>
      <c r="W660" s="381" t="str" cm="1">
        <f t="array" ref="W660">TEXT(EDATE($L660,{8}),"dd/mm/yyy") &amp; " to " &amp; TEXT(EDATE($L660,{12})-1,"dd/mm/yyyy")</f>
        <v>01/05/2027 to 31/08/2027</v>
      </c>
      <c r="AE660" s="376" t="s">
        <v>507</v>
      </c>
      <c r="AF660" s="367" t="s">
        <v>63</v>
      </c>
      <c r="AG660" s="367">
        <v>3</v>
      </c>
      <c r="AH660" s="376" t="s">
        <v>799</v>
      </c>
    </row>
    <row r="661" spans="1:34" ht="15" hidden="1" customHeight="1" x14ac:dyDescent="0.3">
      <c r="B661" s="367" t="s">
        <v>13</v>
      </c>
      <c r="C661" s="810" t="s">
        <v>1155</v>
      </c>
      <c r="D661" s="828" t="s">
        <v>2105</v>
      </c>
      <c r="E661" s="805">
        <v>4300643744</v>
      </c>
      <c r="F661" s="641">
        <v>46245</v>
      </c>
      <c r="G661" s="319" t="s">
        <v>55</v>
      </c>
      <c r="H661" s="540">
        <v>1</v>
      </c>
      <c r="I661" s="384">
        <v>74000</v>
      </c>
      <c r="J661" s="367">
        <v>3</v>
      </c>
      <c r="K661" s="9">
        <f t="shared" si="30"/>
        <v>24666.666666666668</v>
      </c>
      <c r="L661" s="811">
        <v>46204</v>
      </c>
      <c r="M661" s="811">
        <v>46568</v>
      </c>
      <c r="P661" s="363" t="s">
        <v>520</v>
      </c>
      <c r="S661" s="381" t="str" cm="1">
        <f t="array" ref="S661">TEXT(EDATE($L661,{0}),"dd/mm/yyy") &amp; " to " &amp; TEXT(EDATE($L661,{4})-1,"dd/mm/yyyy")</f>
        <v>01/07/2026 to 31/10/2026</v>
      </c>
      <c r="U661" s="381" t="str" cm="1">
        <f t="array" ref="U661">TEXT(EDATE($L661,{4}),"dd/mm/yyy") &amp; " to " &amp; TEXT(EDATE($L661,{8})-1,"dd/mm/yyyy")</f>
        <v>01/11/2026 to 28/02/2027</v>
      </c>
      <c r="W661" s="381" t="str" cm="1">
        <f t="array" ref="W661">TEXT(EDATE($L661,{8}),"dd/mm/yyy") &amp; " to " &amp; TEXT(EDATE($L661,{12})-1,"dd/mm/yyyy")</f>
        <v>01/03/2027 to 30/06/2027</v>
      </c>
      <c r="AE661" s="376" t="s">
        <v>507</v>
      </c>
      <c r="AF661" s="367" t="s">
        <v>63</v>
      </c>
      <c r="AG661" s="367">
        <v>3</v>
      </c>
      <c r="AH661" s="376" t="s">
        <v>667</v>
      </c>
    </row>
    <row r="662" spans="1:34" ht="15" hidden="1" customHeight="1" x14ac:dyDescent="0.3">
      <c r="B662" s="367" t="s">
        <v>13</v>
      </c>
      <c r="C662" s="806" t="s">
        <v>1032</v>
      </c>
      <c r="D662" s="823" t="s">
        <v>1227</v>
      </c>
      <c r="E662" s="813">
        <v>2260063775</v>
      </c>
      <c r="F662" s="641">
        <v>46209</v>
      </c>
      <c r="G662" s="319" t="s">
        <v>55</v>
      </c>
      <c r="H662" s="380">
        <v>2</v>
      </c>
      <c r="I662" s="384">
        <v>160000.01999999999</v>
      </c>
      <c r="J662" s="367">
        <v>3</v>
      </c>
      <c r="K662" s="9">
        <f t="shared" si="30"/>
        <v>53333.34</v>
      </c>
      <c r="L662" s="807">
        <v>46113</v>
      </c>
      <c r="M662" s="807">
        <v>46477</v>
      </c>
      <c r="P662" s="363" t="s">
        <v>520</v>
      </c>
      <c r="S662" s="381" t="str" cm="1">
        <f t="array" ref="S662">TEXT(EDATE($L662,{0}),"dd/mm/yyy") &amp; " to " &amp; TEXT(EDATE($L662,{4})-1,"dd/mm/yyyy")</f>
        <v>01/04/2026 to 31/07/2026</v>
      </c>
      <c r="U662" s="381" t="str" cm="1">
        <f t="array" ref="U662">TEXT(EDATE($L662,{4}),"dd/mm/yyy") &amp; " to " &amp; TEXT(EDATE($L662,{8})-1,"dd/mm/yyyy")</f>
        <v>01/08/2026 to 30/11/2026</v>
      </c>
      <c r="W662" s="381" t="str" cm="1">
        <f t="array" ref="W662">TEXT(EDATE($L662,{8}),"dd/mm/yyy") &amp; " to " &amp; TEXT(EDATE($L662,{12})-1,"dd/mm/yyyy")</f>
        <v>01/12/2026 to 31/03/2027</v>
      </c>
      <c r="AE662" s="376" t="s">
        <v>507</v>
      </c>
      <c r="AF662" s="367" t="s">
        <v>63</v>
      </c>
      <c r="AG662" s="367">
        <v>3</v>
      </c>
      <c r="AH662" s="376" t="s">
        <v>667</v>
      </c>
    </row>
    <row r="663" spans="1:34" ht="15" hidden="1" customHeight="1" x14ac:dyDescent="0.3">
      <c r="B663" s="367" t="s">
        <v>13</v>
      </c>
      <c r="C663" s="630" t="s">
        <v>1221</v>
      </c>
      <c r="D663" s="734" t="s">
        <v>1159</v>
      </c>
      <c r="E663" s="805">
        <v>3300006886</v>
      </c>
      <c r="F663" s="641">
        <v>46245</v>
      </c>
      <c r="G663" s="319" t="s">
        <v>55</v>
      </c>
      <c r="H663" s="651">
        <v>7</v>
      </c>
      <c r="I663" s="384">
        <v>418222</v>
      </c>
      <c r="J663" s="367">
        <v>2</v>
      </c>
      <c r="K663" s="9">
        <f t="shared" si="30"/>
        <v>209111</v>
      </c>
      <c r="L663" s="631">
        <v>46235</v>
      </c>
      <c r="M663" s="631">
        <v>46599</v>
      </c>
      <c r="P663" s="363" t="s">
        <v>520</v>
      </c>
      <c r="S663" s="381" t="str" cm="1">
        <f t="array" ref="S663">TEXT(EDATE($L663,{0}),"dd/mm/yyy") &amp; " to " &amp; TEXT(EDATE($L663,{6})-1,"dd/mm/yyyy")</f>
        <v>01/08/2026 to 31/01/2027</v>
      </c>
      <c r="T663" s="363"/>
      <c r="U663" s="381" t="str" cm="1">
        <f t="array" ref="U663">TEXT(EDATE($L663,{6}),"dd/mm/yyy") &amp; " to " &amp; TEXT(EDATE($L663,{12})-1,"dd/mm/yyyy")</f>
        <v>01/02/2027 to 31/07/2027</v>
      </c>
      <c r="AE663" s="376" t="s">
        <v>507</v>
      </c>
      <c r="AF663" s="367" t="s">
        <v>63</v>
      </c>
      <c r="AG663" s="367">
        <v>3</v>
      </c>
      <c r="AH663" s="376" t="s">
        <v>667</v>
      </c>
    </row>
    <row r="664" spans="1:34" ht="15" hidden="1" customHeight="1" x14ac:dyDescent="0.3">
      <c r="A664" s="376" t="s">
        <v>2102</v>
      </c>
      <c r="B664" s="367" t="s">
        <v>13</v>
      </c>
      <c r="C664" s="806" t="s">
        <v>1229</v>
      </c>
      <c r="D664" s="823" t="s">
        <v>1230</v>
      </c>
      <c r="E664" s="805">
        <v>5500012534</v>
      </c>
      <c r="F664" s="641">
        <v>46248</v>
      </c>
      <c r="G664" s="319" t="s">
        <v>55</v>
      </c>
      <c r="H664" s="380">
        <v>1</v>
      </c>
      <c r="I664" s="384">
        <v>85999.98</v>
      </c>
      <c r="J664" s="367">
        <v>3</v>
      </c>
      <c r="K664" s="9">
        <f t="shared" si="30"/>
        <v>28666.66</v>
      </c>
      <c r="L664" s="807">
        <v>46266</v>
      </c>
      <c r="M664" s="807">
        <v>46630</v>
      </c>
      <c r="P664" s="363" t="s">
        <v>520</v>
      </c>
      <c r="S664" s="381" t="str" cm="1">
        <f t="array" ref="S664">TEXT(EDATE($L664,{0}),"dd/mm/yyy") &amp; " to " &amp; TEXT(EDATE($L664,{4})-1,"dd/mm/yyyy")</f>
        <v>01/09/2026 to 31/12/2026</v>
      </c>
      <c r="U664" s="381" t="str" cm="1">
        <f t="array" ref="U664">TEXT(EDATE($L664,{4}),"dd/mm/yyy") &amp; " to " &amp; TEXT(EDATE($L664,{8})-1,"dd/mm/yyyy")</f>
        <v>01/01/2027 to 30/04/2027</v>
      </c>
      <c r="W664" s="381" t="str" cm="1">
        <f t="array" ref="W664">TEXT(EDATE($L664,{8}),"dd/mm/yyy") &amp; " to " &amp; TEXT(EDATE($L664,{12})-1,"dd/mm/yyyy")</f>
        <v>01/05/2027 to 31/08/2027</v>
      </c>
      <c r="AE664" s="376" t="s">
        <v>96</v>
      </c>
      <c r="AF664" s="367" t="s">
        <v>97</v>
      </c>
      <c r="AG664" s="367">
        <v>2</v>
      </c>
      <c r="AH664" s="376" t="s">
        <v>667</v>
      </c>
    </row>
    <row r="665" spans="1:34" ht="15" hidden="1" customHeight="1" x14ac:dyDescent="0.3">
      <c r="B665" s="367" t="s">
        <v>13</v>
      </c>
      <c r="C665" s="810" t="s">
        <v>2106</v>
      </c>
      <c r="D665" s="828" t="s">
        <v>1892</v>
      </c>
      <c r="E665" s="805">
        <v>4514634984</v>
      </c>
      <c r="F665" s="641">
        <v>46255</v>
      </c>
      <c r="G665" s="319" t="s">
        <v>55</v>
      </c>
      <c r="H665" s="380">
        <v>1</v>
      </c>
      <c r="I665" s="384">
        <v>50000</v>
      </c>
      <c r="J665" s="367">
        <v>3</v>
      </c>
      <c r="K665" s="9">
        <f t="shared" si="30"/>
        <v>16666.666666666668</v>
      </c>
      <c r="L665" s="811">
        <v>46143</v>
      </c>
      <c r="M665" s="811">
        <v>46507</v>
      </c>
      <c r="P665" s="363" t="s">
        <v>520</v>
      </c>
      <c r="S665" s="381" t="str" cm="1">
        <f t="array" ref="S665">TEXT(EDATE($L665,{0}),"dd/mm/yyy") &amp; " to " &amp; TEXT(EDATE($L665,{4})-1,"dd/mm/yyyy")</f>
        <v>01/05/2026 to 31/08/2026</v>
      </c>
      <c r="U665" s="381" t="str" cm="1">
        <f t="array" ref="U665">TEXT(EDATE($L665,{4}),"dd/mm/yyy") &amp; " to " &amp; TEXT(EDATE($L665,{8})-1,"dd/mm/yyyy")</f>
        <v>01/09/2026 to 31/12/2026</v>
      </c>
      <c r="W665" s="381" t="str" cm="1">
        <f t="array" ref="W665">TEXT(EDATE($L665,{8}),"dd/mm/yyy") &amp; " to " &amp; TEXT(EDATE($L665,{12})-1,"dd/mm/yyyy")</f>
        <v>01/01/2027 to 30/04/2027</v>
      </c>
      <c r="AE665" s="376" t="s">
        <v>478</v>
      </c>
      <c r="AF665" s="367" t="s">
        <v>63</v>
      </c>
      <c r="AG665" s="367">
        <v>3</v>
      </c>
      <c r="AH665" s="376" t="s">
        <v>799</v>
      </c>
    </row>
    <row r="666" spans="1:34" ht="15" hidden="1" customHeight="1" x14ac:dyDescent="0.3">
      <c r="B666" s="367" t="s">
        <v>13</v>
      </c>
      <c r="C666" s="806" t="s">
        <v>2107</v>
      </c>
      <c r="D666" s="823" t="s">
        <v>151</v>
      </c>
      <c r="E666" s="813">
        <v>4700007699</v>
      </c>
      <c r="F666" s="641">
        <v>46253</v>
      </c>
      <c r="G666" s="319" t="s">
        <v>55</v>
      </c>
      <c r="H666" s="380"/>
      <c r="I666" s="384">
        <v>89601</v>
      </c>
      <c r="J666" s="367">
        <v>3</v>
      </c>
      <c r="K666" s="9">
        <f t="shared" si="30"/>
        <v>29867</v>
      </c>
      <c r="L666" s="807">
        <v>46174</v>
      </c>
      <c r="M666" s="807">
        <v>46538</v>
      </c>
      <c r="P666" s="363" t="s">
        <v>520</v>
      </c>
      <c r="S666" s="381" t="str" cm="1">
        <f t="array" ref="S666">TEXT(EDATE($L666,{0}),"dd/mm/yyy") &amp; " to " &amp; TEXT(EDATE($L666,{4})-1,"dd/mm/yyyy")</f>
        <v>01/06/2026 to 30/09/2026</v>
      </c>
      <c r="U666" s="381" t="str" cm="1">
        <f t="array" ref="U666">TEXT(EDATE($L666,{4}),"dd/mm/yyy") &amp; " to " &amp; TEXT(EDATE($L666,{8})-1,"dd/mm/yyyy")</f>
        <v>01/10/2026 to 31/01/2027</v>
      </c>
      <c r="W666" s="381" t="str" cm="1">
        <f t="array" ref="W666">TEXT(EDATE($L666,{8}),"dd/mm/yyy") &amp; " to " &amp; TEXT(EDATE($L666,{12})-1,"dd/mm/yyyy")</f>
        <v>01/02/2027 to 31/05/2027</v>
      </c>
      <c r="AE666" s="376" t="s">
        <v>478</v>
      </c>
      <c r="AF666" s="367" t="s">
        <v>63</v>
      </c>
      <c r="AG666" s="367">
        <v>3</v>
      </c>
      <c r="AH666" s="376" t="s">
        <v>2108</v>
      </c>
    </row>
    <row r="667" spans="1:34" ht="15" hidden="1" customHeight="1" x14ac:dyDescent="0.3">
      <c r="B667" s="367" t="s">
        <v>13</v>
      </c>
      <c r="C667" s="806" t="s">
        <v>2107</v>
      </c>
      <c r="D667" s="823" t="s">
        <v>151</v>
      </c>
      <c r="E667" s="813">
        <v>4700007699</v>
      </c>
      <c r="F667" s="641">
        <v>46253</v>
      </c>
      <c r="G667" s="319" t="s">
        <v>55</v>
      </c>
      <c r="H667" s="380"/>
      <c r="I667" s="384">
        <v>89601</v>
      </c>
      <c r="J667" s="367">
        <v>3</v>
      </c>
      <c r="K667" s="9">
        <f t="shared" si="30"/>
        <v>29867</v>
      </c>
      <c r="L667" s="807">
        <v>46539</v>
      </c>
      <c r="M667" s="807">
        <v>46904</v>
      </c>
      <c r="P667" s="363" t="s">
        <v>520</v>
      </c>
      <c r="S667" s="381" t="str" cm="1">
        <f t="array" ref="S667">TEXT(EDATE($L667,{0}),"dd/mm/yyy") &amp; " to " &amp; TEXT(EDATE($L667,{4})-1,"dd/mm/yyyy")</f>
        <v>01/06/2027 to 30/09/2027</v>
      </c>
      <c r="U667" s="381" t="str" cm="1">
        <f t="array" ref="U667">TEXT(EDATE($L667,{4}),"dd/mm/yyy") &amp; " to " &amp; TEXT(EDATE($L667,{8})-1,"dd/mm/yyyy")</f>
        <v>01/10/2027 to 31/01/2028</v>
      </c>
      <c r="W667" s="381" t="str" cm="1">
        <f t="array" ref="W667">TEXT(EDATE($L667,{8}),"dd/mm/yyy") &amp; " to " &amp; TEXT(EDATE($L667,{12})-1,"dd/mm/yyyy")</f>
        <v>01/02/2028 to 31/05/2028</v>
      </c>
      <c r="AE667" s="376" t="s">
        <v>478</v>
      </c>
      <c r="AF667" s="367" t="s">
        <v>63</v>
      </c>
      <c r="AG667" s="367">
        <v>3</v>
      </c>
      <c r="AH667" s="376" t="s">
        <v>2108</v>
      </c>
    </row>
    <row r="668" spans="1:34" ht="15" hidden="1" customHeight="1" x14ac:dyDescent="0.3">
      <c r="B668" s="367" t="s">
        <v>13</v>
      </c>
      <c r="C668" s="806" t="s">
        <v>2107</v>
      </c>
      <c r="D668" s="823" t="s">
        <v>151</v>
      </c>
      <c r="E668" s="813">
        <v>4700007699</v>
      </c>
      <c r="F668" s="641">
        <v>46253</v>
      </c>
      <c r="G668" s="319" t="s">
        <v>55</v>
      </c>
      <c r="H668" s="367">
        <v>1</v>
      </c>
      <c r="I668" s="384">
        <v>89601</v>
      </c>
      <c r="J668" s="367">
        <v>3</v>
      </c>
      <c r="K668" s="9">
        <f t="shared" si="30"/>
        <v>29867</v>
      </c>
      <c r="L668" s="807">
        <v>46905</v>
      </c>
      <c r="M668" s="807">
        <v>47269</v>
      </c>
      <c r="P668" s="363" t="s">
        <v>520</v>
      </c>
      <c r="S668" s="381" t="str" cm="1">
        <f t="array" ref="S668">TEXT(EDATE($L668,{0}),"dd/mm/yyy") &amp; " to " &amp; TEXT(EDATE($L668,{4})-1,"dd/mm/yyyy")</f>
        <v>01/06/2028 to 30/09/2028</v>
      </c>
      <c r="U668" s="381" t="str" cm="1">
        <f t="array" ref="U668">TEXT(EDATE($L668,{4}),"dd/mm/yyy") &amp; " to " &amp; TEXT(EDATE($L668,{8})-1,"dd/mm/yyyy")</f>
        <v>01/10/2028 to 31/01/2029</v>
      </c>
      <c r="W668" s="381" t="str" cm="1">
        <f t="array" ref="W668">TEXT(EDATE($L668,{8}),"dd/mm/yyy") &amp; " to " &amp; TEXT(EDATE($L668,{12})-1,"dd/mm/yyyy")</f>
        <v>01/02/2029 to 31/05/2029</v>
      </c>
      <c r="AE668" s="376" t="s">
        <v>478</v>
      </c>
      <c r="AF668" s="367" t="s">
        <v>63</v>
      </c>
      <c r="AG668" s="367">
        <v>3</v>
      </c>
      <c r="AH668" s="376" t="s">
        <v>2108</v>
      </c>
    </row>
    <row r="669" spans="1:34" ht="15" hidden="1" customHeight="1" x14ac:dyDescent="0.3">
      <c r="B669" s="367" t="s">
        <v>13</v>
      </c>
      <c r="C669" s="630" t="s">
        <v>1199</v>
      </c>
      <c r="D669" s="632" t="s">
        <v>151</v>
      </c>
      <c r="E669" s="735">
        <v>75803</v>
      </c>
      <c r="F669" s="641">
        <v>46226</v>
      </c>
      <c r="G669" s="319" t="s">
        <v>55</v>
      </c>
      <c r="H669" s="380">
        <v>2</v>
      </c>
      <c r="I669" s="384">
        <v>130000</v>
      </c>
      <c r="J669" s="367">
        <v>2</v>
      </c>
      <c r="K669" s="9">
        <f t="shared" si="30"/>
        <v>65000</v>
      </c>
      <c r="L669" s="631">
        <v>46204</v>
      </c>
      <c r="M669" s="631">
        <v>46568</v>
      </c>
      <c r="P669" s="363" t="s">
        <v>520</v>
      </c>
      <c r="S669" s="381" t="str" cm="1">
        <f t="array" ref="S669">TEXT(EDATE($L669,{0}),"dd/mm/yyy") &amp; " to " &amp; TEXT(EDATE($L669,{6})-1,"dd/mm/yyyy")</f>
        <v>01/07/2026 to 31/12/2026</v>
      </c>
      <c r="T669" s="363"/>
      <c r="U669" s="381" t="str" cm="1">
        <f t="array" ref="U669">TEXT(EDATE($L669,{6}),"dd/mm/yyy") &amp; " to " &amp; TEXT(EDATE($L669,{12})-1,"dd/mm/yyyy")</f>
        <v>01/01/2027 to 30/06/2027</v>
      </c>
      <c r="AE669" s="376" t="s">
        <v>478</v>
      </c>
      <c r="AF669" s="367" t="s">
        <v>63</v>
      </c>
      <c r="AG669" s="367">
        <v>3</v>
      </c>
      <c r="AH669" s="376" t="s">
        <v>667</v>
      </c>
    </row>
    <row r="670" spans="1:34" ht="15" hidden="1" customHeight="1" x14ac:dyDescent="0.3">
      <c r="B670" s="367" t="s">
        <v>13</v>
      </c>
      <c r="C670" s="806" t="s">
        <v>2109</v>
      </c>
      <c r="D670" s="806" t="s">
        <v>1088</v>
      </c>
      <c r="E670" s="805">
        <v>5891311886</v>
      </c>
      <c r="F670" s="641">
        <v>46258</v>
      </c>
      <c r="G670" s="319" t="s">
        <v>55</v>
      </c>
      <c r="H670" s="367">
        <v>3</v>
      </c>
      <c r="I670" s="384">
        <v>311850</v>
      </c>
      <c r="J670" s="367">
        <v>3</v>
      </c>
      <c r="K670" s="9">
        <f t="shared" si="30"/>
        <v>103950</v>
      </c>
      <c r="L670" s="807">
        <v>46235</v>
      </c>
      <c r="M670" s="807">
        <v>46599</v>
      </c>
      <c r="P670" s="363" t="s">
        <v>520</v>
      </c>
      <c r="S670" s="381" t="str" cm="1">
        <f t="array" ref="S670">TEXT(EDATE($L670,{0}),"dd/mm/yyy") &amp; " to " &amp; TEXT(EDATE($L670,{4})-1,"dd/mm/yyyy")</f>
        <v>01/08/2026 to 30/11/2026</v>
      </c>
      <c r="U670" s="381" t="str" cm="1">
        <f t="array" ref="U670">TEXT(EDATE($L670,{4}),"dd/mm/yyy") &amp; " to " &amp; TEXT(EDATE($L670,{8})-1,"dd/mm/yyyy")</f>
        <v>01/12/2026 to 31/03/2027</v>
      </c>
      <c r="W670" s="381" t="str" cm="1">
        <f t="array" ref="W670">TEXT(EDATE($L670,{8}),"dd/mm/yyy") &amp; " to " &amp; TEXT(EDATE($L670,{12})-1,"dd/mm/yyyy")</f>
        <v>01/04/2027 to 31/07/2027</v>
      </c>
      <c r="AE670" s="376" t="s">
        <v>96</v>
      </c>
      <c r="AF670" s="367" t="s">
        <v>97</v>
      </c>
      <c r="AG670" s="367" t="s">
        <v>494</v>
      </c>
      <c r="AH670" s="376" t="s">
        <v>667</v>
      </c>
    </row>
    <row r="671" spans="1:34" ht="15" hidden="1" customHeight="1" x14ac:dyDescent="0.3">
      <c r="B671" s="367" t="s">
        <v>13</v>
      </c>
      <c r="C671" s="806" t="s">
        <v>2109</v>
      </c>
      <c r="D671" s="806" t="s">
        <v>1088</v>
      </c>
      <c r="E671" s="805">
        <v>5891255256</v>
      </c>
      <c r="F671" s="641">
        <v>46120</v>
      </c>
      <c r="G671" s="319" t="s">
        <v>55</v>
      </c>
      <c r="H671" s="367">
        <v>1</v>
      </c>
      <c r="I671" s="384">
        <v>103599.9</v>
      </c>
      <c r="J671" s="367">
        <v>3</v>
      </c>
      <c r="K671" s="9">
        <f t="shared" si="30"/>
        <v>34533.299999999996</v>
      </c>
      <c r="L671" s="807">
        <v>46235</v>
      </c>
      <c r="M671" s="807">
        <v>46599</v>
      </c>
      <c r="P671" s="363" t="s">
        <v>520</v>
      </c>
      <c r="S671" s="381" t="str" cm="1">
        <f t="array" ref="S671">TEXT(EDATE($L671,{0}),"dd/mm/yyy") &amp; " to " &amp; TEXT(EDATE($L671,{4})-1,"dd/mm/yyyy")</f>
        <v>01/08/2026 to 30/11/2026</v>
      </c>
      <c r="U671" s="381" t="str" cm="1">
        <f t="array" ref="U671">TEXT(EDATE($L671,{4}),"dd/mm/yyy") &amp; " to " &amp; TEXT(EDATE($L671,{8})-1,"dd/mm/yyyy")</f>
        <v>01/12/2026 to 31/03/2027</v>
      </c>
      <c r="W671" s="381" t="str" cm="1">
        <f t="array" ref="W671">TEXT(EDATE($L671,{8}),"dd/mm/yyy") &amp; " to " &amp; TEXT(EDATE($L671,{12})-1,"dd/mm/yyyy")</f>
        <v>01/04/2027 to 31/07/2027</v>
      </c>
      <c r="AE671" s="376" t="s">
        <v>96</v>
      </c>
      <c r="AF671" s="367" t="s">
        <v>97</v>
      </c>
      <c r="AG671" s="367" t="s">
        <v>494</v>
      </c>
      <c r="AH671" s="376" t="s">
        <v>667</v>
      </c>
    </row>
    <row r="672" spans="1:34" ht="15" hidden="1" customHeight="1" x14ac:dyDescent="0.3">
      <c r="B672" s="367" t="s">
        <v>13</v>
      </c>
      <c r="C672" s="806" t="s">
        <v>195</v>
      </c>
      <c r="D672" s="806" t="s">
        <v>447</v>
      </c>
      <c r="E672" s="813" t="s">
        <v>2110</v>
      </c>
      <c r="F672" s="641">
        <v>46256</v>
      </c>
      <c r="G672" s="319" t="s">
        <v>55</v>
      </c>
      <c r="I672" s="384">
        <v>130000</v>
      </c>
      <c r="J672" s="367">
        <v>4</v>
      </c>
      <c r="K672" s="9">
        <f t="shared" si="30"/>
        <v>32500</v>
      </c>
      <c r="L672" s="807">
        <v>46256</v>
      </c>
      <c r="M672" s="807">
        <v>46620</v>
      </c>
      <c r="P672" s="363" t="s">
        <v>998</v>
      </c>
      <c r="S672" s="381" t="str" cm="1">
        <f t="array" ref="S672">TEXT(EDATE($L672,{0}),"dd/mm/yyy") &amp; " to " &amp; TEXT(EDATE($L672,{3})-1,"dd/mm/yyyy")</f>
        <v>22/08/2026 to 21/11/2026</v>
      </c>
      <c r="T672" s="363"/>
      <c r="U672" s="381" t="str" cm="1">
        <f t="array" ref="U672">TEXT(EDATE($L672,{3}),"dd/mm/yyy") &amp; " to " &amp; TEXT(EDATE($L672,{6})-1,"dd/mm/yyyy")</f>
        <v>22/11/2026 to 21/02/2027</v>
      </c>
      <c r="V672" s="363"/>
      <c r="W672" s="381" t="str" cm="1">
        <f t="array" ref="W672">TEXT(EDATE($L672,{6}),"dd/mm/yyy") &amp; " to " &amp; TEXT(EDATE($L672,{9})-1,"dd/mm/yyyy")</f>
        <v>22/02/2027 to 21/05/2027</v>
      </c>
      <c r="X672" s="363"/>
      <c r="Y672" s="381" t="str" cm="1">
        <f t="array" ref="Y672">TEXT(EDATE($L672,{9}),"dd/mm/yyy") &amp; " to " &amp; TEXT(EDATE($L672,{12})-1,"dd/mm/yyyy")</f>
        <v>22/05/2027 to 21/08/2027</v>
      </c>
      <c r="AE672" s="376" t="s">
        <v>96</v>
      </c>
      <c r="AF672" s="367" t="s">
        <v>97</v>
      </c>
      <c r="AG672" s="367" t="s">
        <v>494</v>
      </c>
      <c r="AH672" s="376" t="s">
        <v>667</v>
      </c>
    </row>
    <row r="673" spans="2:34" ht="15" hidden="1" customHeight="1" x14ac:dyDescent="0.3">
      <c r="B673" s="367" t="s">
        <v>13</v>
      </c>
      <c r="C673" s="806" t="s">
        <v>195</v>
      </c>
      <c r="D673" s="806" t="s">
        <v>447</v>
      </c>
      <c r="E673" s="813" t="s">
        <v>2110</v>
      </c>
      <c r="F673" s="641">
        <v>46256</v>
      </c>
      <c r="G673" s="319" t="s">
        <v>55</v>
      </c>
      <c r="I673" s="384">
        <v>130000</v>
      </c>
      <c r="J673" s="367">
        <v>4</v>
      </c>
      <c r="K673" s="9">
        <f t="shared" si="30"/>
        <v>32500</v>
      </c>
      <c r="L673" s="807">
        <v>46621</v>
      </c>
      <c r="M673" s="807">
        <v>46986</v>
      </c>
      <c r="P673" s="363" t="s">
        <v>998</v>
      </c>
      <c r="S673" s="381" t="str" cm="1">
        <f t="array" ref="S673">TEXT(EDATE($L673,{0}),"dd/mm/yyy") &amp; " to " &amp; TEXT(EDATE($L673,{3})-1,"dd/mm/yyyy")</f>
        <v>22/08/2027 to 21/11/2027</v>
      </c>
      <c r="T673" s="363"/>
      <c r="U673" s="381" t="str" cm="1">
        <f t="array" ref="U673">TEXT(EDATE($L673,{3}),"dd/mm/yyy") &amp; " to " &amp; TEXT(EDATE($L673,{6})-1,"dd/mm/yyyy")</f>
        <v>22/11/2027 to 21/02/2028</v>
      </c>
      <c r="V673" s="363"/>
      <c r="W673" s="381" t="str" cm="1">
        <f t="array" ref="W673">TEXT(EDATE($L673,{6}),"dd/mm/yyy") &amp; " to " &amp; TEXT(EDATE($L673,{9})-1,"dd/mm/yyyy")</f>
        <v>22/02/2028 to 21/05/2028</v>
      </c>
      <c r="X673" s="363"/>
      <c r="Y673" s="381" t="str" cm="1">
        <f t="array" ref="Y673">TEXT(EDATE($L673,{9}),"dd/mm/yyy") &amp; " to " &amp; TEXT(EDATE($L673,{12})-1,"dd/mm/yyyy")</f>
        <v>22/05/2028 to 21/08/2028</v>
      </c>
      <c r="AE673" s="376" t="s">
        <v>96</v>
      </c>
      <c r="AF673" s="367" t="s">
        <v>97</v>
      </c>
      <c r="AG673" s="367" t="s">
        <v>494</v>
      </c>
      <c r="AH673" s="376" t="s">
        <v>667</v>
      </c>
    </row>
    <row r="674" spans="2:34" ht="15" hidden="1" customHeight="1" x14ac:dyDescent="0.3">
      <c r="B674" s="367" t="s">
        <v>13</v>
      </c>
      <c r="C674" s="806" t="s">
        <v>195</v>
      </c>
      <c r="D674" s="806" t="s">
        <v>447</v>
      </c>
      <c r="E674" s="813" t="s">
        <v>2110</v>
      </c>
      <c r="F674" s="641">
        <v>46256</v>
      </c>
      <c r="G674" s="319" t="s">
        <v>55</v>
      </c>
      <c r="H674" s="380">
        <v>2</v>
      </c>
      <c r="I674" s="384">
        <v>130000</v>
      </c>
      <c r="J674" s="367">
        <v>4</v>
      </c>
      <c r="K674" s="9">
        <f t="shared" si="30"/>
        <v>32500</v>
      </c>
      <c r="L674" s="807">
        <v>46987</v>
      </c>
      <c r="M674" s="807">
        <v>47351</v>
      </c>
      <c r="P674" s="363" t="s">
        <v>998</v>
      </c>
      <c r="S674" s="381" t="str" cm="1">
        <f t="array" ref="S674">TEXT(EDATE($L674,{0}),"dd/mm/yyy") &amp; " to " &amp; TEXT(EDATE($L674,{3})-1,"dd/mm/yyyy")</f>
        <v>22/08/2028 to 21/11/2028</v>
      </c>
      <c r="T674" s="363"/>
      <c r="U674" s="381" t="str" cm="1">
        <f t="array" ref="U674">TEXT(EDATE($L674,{3}),"dd/mm/yyy") &amp; " to " &amp; TEXT(EDATE($L674,{6})-1,"dd/mm/yyyy")</f>
        <v>22/11/2028 to 21/02/2029</v>
      </c>
      <c r="V674" s="363"/>
      <c r="W674" s="381" t="str" cm="1">
        <f t="array" ref="W674">TEXT(EDATE($L674,{6}),"dd/mm/yyy") &amp; " to " &amp; TEXT(EDATE($L674,{9})-1,"dd/mm/yyyy")</f>
        <v>22/02/2029 to 21/05/2029</v>
      </c>
      <c r="X674" s="363"/>
      <c r="Y674" s="381" t="str" cm="1">
        <f t="array" ref="Y674">TEXT(EDATE($L674,{9}),"dd/mm/yyy") &amp; " to " &amp; TEXT(EDATE($L674,{12})-1,"dd/mm/yyyy")</f>
        <v>22/05/2029 to 21/08/2029</v>
      </c>
      <c r="AE674" s="376" t="s">
        <v>96</v>
      </c>
      <c r="AF674" s="367" t="s">
        <v>97</v>
      </c>
      <c r="AG674" s="367" t="s">
        <v>494</v>
      </c>
      <c r="AH674" s="376" t="s">
        <v>667</v>
      </c>
    </row>
    <row r="675" spans="2:34" ht="15" hidden="1" customHeight="1" x14ac:dyDescent="0.3">
      <c r="B675" s="367" t="s">
        <v>13</v>
      </c>
      <c r="C675" s="630" t="s">
        <v>1160</v>
      </c>
      <c r="D675" s="632" t="s">
        <v>151</v>
      </c>
      <c r="E675" s="735" t="s">
        <v>2111</v>
      </c>
      <c r="F675" s="641">
        <v>46259</v>
      </c>
      <c r="G675" s="319" t="s">
        <v>55</v>
      </c>
      <c r="H675" s="380">
        <v>2</v>
      </c>
      <c r="I675" s="384">
        <v>169998</v>
      </c>
      <c r="J675" s="367">
        <v>3</v>
      </c>
      <c r="K675" s="9">
        <f t="shared" si="30"/>
        <v>56666</v>
      </c>
      <c r="L675" s="631">
        <v>46204</v>
      </c>
      <c r="M675" s="631">
        <v>46568</v>
      </c>
      <c r="P675" s="363" t="s">
        <v>520</v>
      </c>
      <c r="S675" s="381" t="str" cm="1">
        <f t="array" ref="S675">TEXT(EDATE($L675,{0}),"dd/mm/yyy") &amp; " to " &amp; TEXT(EDATE($L675,{4})-1,"dd/mm/yyyy")</f>
        <v>01/07/2026 to 31/10/2026</v>
      </c>
      <c r="U675" s="381" t="str" cm="1">
        <f t="array" ref="U675">TEXT(EDATE($L675,{4}),"dd/mm/yyy") &amp; " to " &amp; TEXT(EDATE($L675,{8})-1,"dd/mm/yyyy")</f>
        <v>01/11/2026 to 28/02/2027</v>
      </c>
      <c r="W675" s="381" t="str" cm="1">
        <f t="array" ref="W675">TEXT(EDATE($L675,{8}),"dd/mm/yyy") &amp; " to " &amp; TEXT(EDATE($L675,{12})-1,"dd/mm/yyyy")</f>
        <v>01/03/2027 to 30/06/2027</v>
      </c>
      <c r="AE675" s="376" t="s">
        <v>478</v>
      </c>
      <c r="AF675" s="367" t="s">
        <v>63</v>
      </c>
      <c r="AG675" s="367">
        <v>3</v>
      </c>
      <c r="AH675" s="376" t="s">
        <v>2112</v>
      </c>
    </row>
    <row r="676" spans="2:34" ht="15" hidden="1" customHeight="1" x14ac:dyDescent="0.3">
      <c r="B676" s="367" t="s">
        <v>13</v>
      </c>
      <c r="C676" s="630" t="s">
        <v>2096</v>
      </c>
      <c r="D676" s="630" t="s">
        <v>823</v>
      </c>
      <c r="E676" s="738" t="s">
        <v>2113</v>
      </c>
      <c r="F676" s="641">
        <v>46253</v>
      </c>
      <c r="G676" s="319" t="s">
        <v>55</v>
      </c>
      <c r="H676" s="380">
        <v>1</v>
      </c>
      <c r="I676" s="384">
        <v>105000</v>
      </c>
      <c r="J676" s="367">
        <v>3</v>
      </c>
      <c r="K676" s="9">
        <f t="shared" si="30"/>
        <v>35000</v>
      </c>
      <c r="L676" s="631">
        <v>46266</v>
      </c>
      <c r="M676" s="631">
        <v>46630</v>
      </c>
      <c r="P676" s="363" t="s">
        <v>998</v>
      </c>
      <c r="R676" s="367" t="s">
        <v>1</v>
      </c>
      <c r="S676" s="381" t="str" cm="1">
        <f t="array" ref="S676">TEXT(EDATE($L676,{0}),"dd/mm/yyy") &amp; " to " &amp; TEXT(EDATE($L676,{4})-1,"dd/mm/yyyy")</f>
        <v>01/09/2026 to 31/12/2026</v>
      </c>
      <c r="U676" s="381" t="str" cm="1">
        <f t="array" ref="U676">TEXT(EDATE($L676,{4}),"dd/mm/yyy") &amp; " to " &amp; TEXT(EDATE($L676,{8})-1,"dd/mm/yyyy")</f>
        <v>01/01/2027 to 30/04/2027</v>
      </c>
      <c r="W676" s="381" t="str" cm="1">
        <f t="array" ref="W676">TEXT(EDATE($L676,{8}),"dd/mm/yyy") &amp; " to " &amp; TEXT(EDATE($L676,{12})-1,"dd/mm/yyyy")</f>
        <v>01/05/2027 to 31/08/2027</v>
      </c>
      <c r="AE676" s="376" t="s">
        <v>1893</v>
      </c>
      <c r="AF676" s="367" t="s">
        <v>97</v>
      </c>
      <c r="AG676" s="367">
        <v>3</v>
      </c>
      <c r="AH676" s="376" t="s">
        <v>2114</v>
      </c>
    </row>
    <row r="677" spans="2:34" ht="15" hidden="1" customHeight="1" x14ac:dyDescent="0.3">
      <c r="B677" s="367" t="s">
        <v>13</v>
      </c>
      <c r="C677" s="739" t="s">
        <v>658</v>
      </c>
      <c r="D677" s="630" t="s">
        <v>151</v>
      </c>
      <c r="E677" s="651">
        <v>6500019066</v>
      </c>
      <c r="F677" s="641">
        <v>46255</v>
      </c>
      <c r="G677" s="319" t="s">
        <v>55</v>
      </c>
      <c r="H677" s="380">
        <v>1</v>
      </c>
      <c r="I677" s="384">
        <v>56000</v>
      </c>
      <c r="J677" s="367">
        <v>1</v>
      </c>
      <c r="K677" s="9">
        <f t="shared" si="30"/>
        <v>56000</v>
      </c>
      <c r="L677" s="631">
        <v>46226</v>
      </c>
      <c r="M677" s="631">
        <v>46592</v>
      </c>
      <c r="P677" s="363" t="s">
        <v>998</v>
      </c>
      <c r="S677" s="376" t="s">
        <v>2115</v>
      </c>
      <c r="AE677" s="376" t="s">
        <v>507</v>
      </c>
      <c r="AF677" s="367" t="s">
        <v>63</v>
      </c>
      <c r="AG677" s="367">
        <v>2</v>
      </c>
      <c r="AH677" s="376" t="s">
        <v>2116</v>
      </c>
    </row>
    <row r="678" spans="2:34" ht="15" hidden="1" customHeight="1" x14ac:dyDescent="0.3">
      <c r="B678" s="367" t="s">
        <v>13</v>
      </c>
      <c r="C678" s="642" t="s">
        <v>975</v>
      </c>
      <c r="D678" s="630" t="s">
        <v>1136</v>
      </c>
      <c r="E678" s="805">
        <v>6100016647</v>
      </c>
      <c r="F678" s="641">
        <v>46234</v>
      </c>
      <c r="G678" s="319" t="s">
        <v>55</v>
      </c>
      <c r="H678" s="380">
        <v>2</v>
      </c>
      <c r="I678" s="384">
        <v>224000</v>
      </c>
      <c r="J678" s="367">
        <v>3</v>
      </c>
      <c r="K678" s="9">
        <f>I678/2</f>
        <v>112000</v>
      </c>
      <c r="L678" s="631">
        <v>46235</v>
      </c>
      <c r="M678" s="631">
        <v>46599</v>
      </c>
      <c r="P678" s="363" t="s">
        <v>520</v>
      </c>
      <c r="S678" s="381" t="str" cm="1">
        <f t="array" ref="S678">TEXT(EDATE($L678,{0}),"dd/mm/yyy") &amp; " to " &amp; TEXT(EDATE($L678,{4})-1,"dd/mm/yyyy")</f>
        <v>01/08/2026 to 30/11/2026</v>
      </c>
      <c r="U678" s="381" t="str" cm="1">
        <f t="array" ref="U678">TEXT(EDATE($L678,{4}),"dd/mm/yyy") &amp; " to " &amp; TEXT(EDATE($L678,{8})-1,"dd/mm/yyyy")</f>
        <v>01/12/2026 to 31/03/2027</v>
      </c>
      <c r="W678" s="381" t="str" cm="1">
        <f t="array" ref="W678">TEXT(EDATE($L678,{8}),"dd/mm/yyy") &amp; " to " &amp; TEXT(EDATE($L678,{12})-1,"dd/mm/yyyy")</f>
        <v>01/04/2027 to 31/07/2027</v>
      </c>
      <c r="AE678" s="376" t="s">
        <v>834</v>
      </c>
      <c r="AF678" s="367" t="s">
        <v>207</v>
      </c>
      <c r="AG678" s="367">
        <v>3</v>
      </c>
      <c r="AH678" s="659">
        <v>0.5</v>
      </c>
    </row>
    <row r="679" spans="2:34" ht="15" hidden="1" customHeight="1" x14ac:dyDescent="0.3">
      <c r="B679" s="367" t="s">
        <v>13</v>
      </c>
      <c r="C679" s="806" t="s">
        <v>663</v>
      </c>
      <c r="D679" s="806" t="s">
        <v>1016</v>
      </c>
      <c r="E679" s="805">
        <v>4508199164</v>
      </c>
      <c r="F679" s="641">
        <v>46263</v>
      </c>
      <c r="G679" s="319" t="s">
        <v>55</v>
      </c>
      <c r="H679" s="380">
        <v>6</v>
      </c>
      <c r="I679" s="384">
        <v>480000</v>
      </c>
      <c r="J679" s="367">
        <v>3</v>
      </c>
      <c r="K679" s="9">
        <f t="shared" ref="K679" si="31">I679/J679</f>
        <v>160000</v>
      </c>
      <c r="L679" s="807">
        <v>46204</v>
      </c>
      <c r="M679" s="807">
        <v>46568</v>
      </c>
      <c r="P679" s="363" t="s">
        <v>520</v>
      </c>
      <c r="S679" s="381" t="str" cm="1">
        <f t="array" ref="S679">TEXT(EDATE($L679,{0}),"dd/mm/yyy") &amp; " to " &amp; TEXT(EDATE($L679,{4})-1,"dd/mm/yyyy")</f>
        <v>01/07/2026 to 31/10/2026</v>
      </c>
      <c r="U679" s="381" t="str" cm="1">
        <f t="array" ref="U679">TEXT(EDATE($L679,{4}),"dd/mm/yyy") &amp; " to " &amp; TEXT(EDATE($L679,{8})-1,"dd/mm/yyyy")</f>
        <v>01/11/2026 to 28/02/2027</v>
      </c>
      <c r="W679" s="381" t="str" cm="1">
        <f t="array" ref="W679">TEXT(EDATE($L679,{8}),"dd/mm/yyy") &amp; " to " &amp; TEXT(EDATE($L679,{12})-1,"dd/mm/yyyy")</f>
        <v>01/03/2027 to 30/06/2027</v>
      </c>
      <c r="AE679" s="376" t="s">
        <v>619</v>
      </c>
      <c r="AF679" s="367" t="s">
        <v>63</v>
      </c>
      <c r="AG679" s="367">
        <v>3</v>
      </c>
      <c r="AH679" s="376" t="s">
        <v>2117</v>
      </c>
    </row>
  </sheetData>
  <autoFilter ref="A6:AH679" xr:uid="{84B9B0DD-F472-49A2-A3FB-3057BF537F60}">
    <filterColumn colId="15">
      <filters>
        <filter val="Expired"/>
      </filters>
    </filterColumn>
    <filterColumn colId="16">
      <filters>
        <filter val="August"/>
      </filters>
    </filterColumn>
    <filterColumn colId="17">
      <filters>
        <filter val="Yes"/>
      </filters>
    </filterColumn>
  </autoFilter>
  <mergeCells count="2">
    <mergeCell ref="A1:B1"/>
    <mergeCell ref="L5:M5"/>
  </mergeCells>
  <conditionalFormatting sqref="B1048565:D1048576 F1048565:AH1048576">
    <cfRule type="expression" dxfId="9" priority="10">
      <formula>$B1048565:$AH1048566&lt;&gt;""</formula>
    </cfRule>
  </conditionalFormatting>
  <conditionalFormatting sqref="C4">
    <cfRule type="duplicateValues" dxfId="8" priority="2"/>
  </conditionalFormatting>
  <conditionalFormatting sqref="D4">
    <cfRule type="duplicateValues" dxfId="7" priority="1"/>
  </conditionalFormatting>
  <conditionalFormatting sqref="E397:E644 E647:E1048576 E1:E395">
    <cfRule type="duplicateValues" dxfId="6" priority="7"/>
  </conditionalFormatting>
  <conditionalFormatting sqref="E645:E646">
    <cfRule type="duplicateValues" dxfId="5" priority="4"/>
  </conditionalFormatting>
  <conditionalFormatting sqref="G636:G645 B636:D650 I645:M645 G646:M646">
    <cfRule type="expression" dxfId="4" priority="5">
      <formula>$B636:$AH636&lt;&gt;""</formula>
    </cfRule>
  </conditionalFormatting>
  <conditionalFormatting sqref="T580:T581 V580:V581 X580:AE581 I580:K583 Q580:R584 AG580:AH588 V582:AE582 X583:AE584 T584 V584 F584:F601 I584:O601 Q585:AE585 C585:D595 X586:AE589 Q586:R601 T588:T589 V588:V589 AH589 V590:AE591 T591:T592 V592 X592:AE593 V594:AE595 T595 V596:V600 X596:AE600 T597 C597:D601 T599:T600 Z601:AE601 B602:D602 F602:R602 U602:AE602 B603 D603 J603:R603 V603:AE603 F603:G610 X604:AE608 B604:D609 I604:R610 V605:V607 T606 V609:AE609 B610 D610 X610:AE610 B611:D611 Z611:AE611 F611:R613 X612:AE612 B612:B613 D612:D613 Y613:AE613 T614 V614 X614:AE614 I614:R616 B614:D620 F614:G627 V615:AE615 Z616:AE616 I617:AE619 V620:AE620 I620:R630 D621 X621:AE623 B621:B635 T622:T623 V622:V623 C622:D634 V624:AE624 T625 V625 X625:AE625 Z626:AE627 T628 V628 X628:AE628 G628:G630 V629:AE629 T630:T632 V630:V633 X630:AE633 G631:R631 G632:G634 I632:R634 V634:AE634 T634:T638 D635 F635:R635 V635:V638 X635:AE639 I636:R644 T640 V640:AE640 Z641:AE641 X642:AE643 V644:AE644 N645:R646 L647:M647 O647:R647 V647:AE647 T647:T648 I647:K651 G647:G659 V648 X648:AE648 L648:R650 Z649:AE649 T650 V650 X650:AE650 L651:O651 B651:C655 F651:F655 Z651:AE655 AH651:AH655 Q651:R676 H652:H654 I652:O659 V656 X656:AE656 AG656:AH657 T656:T671 B656:D677 V657:AE657 V658:V662 X658:AH662 F660:O660 G661:G662 I661:O662 F663:O663 V663:AH663 G664:G666 I664:O666 V664:V668 X664:AH668 G667:O668 V669:AH669 G669:G670 I669:O670 V670:V671 X670:AH671 G671:O671 I672:O672 Z672:AH674 G672:G679 F673:F674 H673:O674 T675:T676 V675:V676 X675:AH676 I675:O679 Q677:AH677 B678 D678 Q678:R679 T678:T679 V678:V679 X678:AH679 B679:D1048564 F680:AH1048564">
    <cfRule type="expression" dxfId="3" priority="8">
      <formula>$B580:$AH580&lt;&gt;""</formula>
    </cfRule>
  </conditionalFormatting>
  <conditionalFormatting sqref="T602 H655">
    <cfRule type="expression" dxfId="2" priority="9">
      <formula>$B598:$AH598&lt;&gt;""</formula>
    </cfRule>
  </conditionalFormatting>
  <conditionalFormatting sqref="V642:V643 T642:T644">
    <cfRule type="expression" dxfId="1" priority="6">
      <formula>$B642:$AH642&lt;&gt;""</formula>
    </cfRule>
  </conditionalFormatting>
  <conditionalFormatting sqref="AG590:AH650 Z645:AE646">
    <cfRule type="expression" dxfId="0" priority="3">
      <formula>$B590:$AH590&lt;&gt;""</formula>
    </cfRule>
  </conditionalFormatting>
  <pageMargins left="0.7" right="0.7" top="0.75" bottom="0.75" header="0.3" footer="0.3"/>
  <pageSetup scale="10" orientation="landscape"/>
  <drawing r:id="rId1"/>
  <legacyDrawing r:id="rId2"/>
</worksheet>
</file>

<file path=docMetadata/LabelInfo.xml><?xml version="1.0" encoding="utf-8"?>
<clbl:labelList xmlns:clbl="http://schemas.microsoft.com/office/2020/mipLabelMetadata">
  <clbl:label id="{92dcbe01-8a8a-440a-aed8-8f4941aab19e}" enabled="1" method="Standard" siteId="{8b2a11eb-f80f-4d21-bf22-a0d7dbd967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 -April 26</vt:lpstr>
      <vt:lpstr>Jan - May 26</vt:lpstr>
      <vt:lpstr>Jan - June 26</vt:lpstr>
      <vt:lpstr>Jan _ July 26</vt:lpstr>
      <vt:lpstr>AMC LIST 2026</vt:lpstr>
      <vt:lpstr>Jan -Aug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Kavya Guru</cp:lastModifiedBy>
  <cp:revision/>
  <dcterms:created xsi:type="dcterms:W3CDTF">2026-01-07T10:18:09Z</dcterms:created>
  <dcterms:modified xsi:type="dcterms:W3CDTF">2026-09-23T07:04:47Z</dcterms:modified>
  <cp:category/>
  <cp:contentStatus/>
</cp:coreProperties>
</file>